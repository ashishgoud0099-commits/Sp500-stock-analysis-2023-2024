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fe4d080e801d9ecd/Desktop/"/>
    </mc:Choice>
  </mc:AlternateContent>
  <xr:revisionPtr revIDLastSave="47" documentId="8_{61C18733-5E81-4C23-98FE-83A2C3BA9257}" xr6:coauthVersionLast="47" xr6:coauthVersionMax="47" xr10:uidLastSave="{120F9101-A69B-46FB-AD15-BEA9DA10DA3D}"/>
  <bookViews>
    <workbookView xWindow="-110" yWindow="-110" windowWidth="19420" windowHeight="11500" activeTab="1" xr2:uid="{00000000-000D-0000-FFFF-FFFF00000000}"/>
  </bookViews>
  <sheets>
    <sheet name="Sheet1" sheetId="4" r:id="rId1"/>
    <sheet name="Dashboard" sheetId="7" r:id="rId2"/>
    <sheet name="Stock_Data" sheetId="1" r:id="rId3"/>
    <sheet name="Summary_Stats" sheetId="2" r:id="rId4"/>
    <sheet name="Sector_Analysis" sheetId="3" r:id="rId5"/>
  </sheets>
  <definedNames>
    <definedName name="_xlnm._FilterDatabase" localSheetId="2" hidden="1">Stock_Data!$A$1:$N$1</definedName>
    <definedName name="Slicer_Sector1">#N/A</definedName>
    <definedName name="Slicer_Symbol1">#N/A</definedName>
    <definedName name="Slicer_Yea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04" i="1" l="1"/>
  <c r="P505" i="1" s="1"/>
  <c r="P506" i="1" s="1"/>
  <c r="P507" i="1" s="1"/>
  <c r="P508" i="1" s="1"/>
  <c r="P509" i="1" s="1"/>
  <c r="P510" i="1" s="1"/>
  <c r="P511" i="1" s="1"/>
  <c r="P512" i="1" s="1"/>
  <c r="P513" i="1" s="1"/>
  <c r="P514" i="1" s="1"/>
  <c r="P515" i="1" s="1"/>
  <c r="P516" i="1" s="1"/>
  <c r="P517" i="1" s="1"/>
  <c r="P518" i="1" s="1"/>
  <c r="P519" i="1" s="1"/>
  <c r="P520" i="1" s="1"/>
  <c r="P521" i="1" s="1"/>
  <c r="P522" i="1" s="1"/>
  <c r="P523" i="1" s="1"/>
  <c r="P524" i="1" s="1"/>
  <c r="P525" i="1" s="1"/>
  <c r="P526" i="1" s="1"/>
  <c r="P527" i="1" s="1"/>
  <c r="P528" i="1" s="1"/>
  <c r="P529" i="1" s="1"/>
  <c r="P530" i="1" s="1"/>
  <c r="P531" i="1" s="1"/>
  <c r="P532" i="1" s="1"/>
  <c r="P533" i="1" s="1"/>
  <c r="P534" i="1" s="1"/>
  <c r="P535" i="1" s="1"/>
  <c r="P536" i="1" s="1"/>
  <c r="P537" i="1" s="1"/>
  <c r="P538" i="1" s="1"/>
  <c r="P539" i="1" s="1"/>
  <c r="P540" i="1" s="1"/>
  <c r="P541" i="1" s="1"/>
  <c r="P542" i="1" s="1"/>
  <c r="P543" i="1" s="1"/>
  <c r="P544" i="1" s="1"/>
  <c r="P545" i="1" s="1"/>
  <c r="P546" i="1" s="1"/>
  <c r="P547" i="1" s="1"/>
  <c r="P548" i="1" s="1"/>
  <c r="P549" i="1" s="1"/>
  <c r="P550" i="1" s="1"/>
  <c r="P551" i="1" s="1"/>
  <c r="P552" i="1" s="1"/>
  <c r="P553" i="1" s="1"/>
  <c r="P554" i="1" s="1"/>
  <c r="P555" i="1" s="1"/>
  <c r="P556" i="1" s="1"/>
  <c r="P557" i="1" s="1"/>
  <c r="P558" i="1" s="1"/>
  <c r="P559" i="1" s="1"/>
  <c r="P560" i="1" s="1"/>
  <c r="P561" i="1" s="1"/>
  <c r="P562" i="1" s="1"/>
  <c r="P563" i="1" s="1"/>
  <c r="P564" i="1" s="1"/>
  <c r="P565" i="1" s="1"/>
  <c r="P566" i="1" s="1"/>
  <c r="P567" i="1" s="1"/>
  <c r="P568" i="1" s="1"/>
  <c r="P569" i="1" s="1"/>
  <c r="P570" i="1" s="1"/>
  <c r="P571" i="1" s="1"/>
  <c r="P572" i="1" s="1"/>
  <c r="P573" i="1" s="1"/>
  <c r="P574" i="1" s="1"/>
  <c r="P575" i="1" s="1"/>
  <c r="P576" i="1" s="1"/>
  <c r="P577" i="1" s="1"/>
  <c r="P578" i="1" s="1"/>
  <c r="P579" i="1" s="1"/>
  <c r="P580" i="1" s="1"/>
  <c r="P581" i="1" s="1"/>
  <c r="P582" i="1" s="1"/>
  <c r="P583" i="1" s="1"/>
  <c r="P584" i="1" s="1"/>
  <c r="P585" i="1" s="1"/>
  <c r="P586" i="1" s="1"/>
  <c r="P587" i="1" s="1"/>
  <c r="P588" i="1" s="1"/>
  <c r="P589" i="1" s="1"/>
  <c r="P590" i="1" s="1"/>
  <c r="P591" i="1" s="1"/>
  <c r="P592" i="1" s="1"/>
  <c r="P593" i="1" s="1"/>
  <c r="P594" i="1" s="1"/>
  <c r="P595" i="1" s="1"/>
  <c r="P596" i="1" s="1"/>
  <c r="P597" i="1" s="1"/>
  <c r="P598" i="1" s="1"/>
  <c r="P599" i="1" s="1"/>
  <c r="P600" i="1" s="1"/>
  <c r="P601" i="1" s="1"/>
  <c r="P602" i="1" s="1"/>
  <c r="P603" i="1" s="1"/>
  <c r="P604" i="1" s="1"/>
  <c r="P605" i="1" s="1"/>
  <c r="P606" i="1" s="1"/>
  <c r="P607" i="1" s="1"/>
  <c r="P608" i="1" s="1"/>
  <c r="P609" i="1" s="1"/>
  <c r="P610" i="1" s="1"/>
  <c r="P611" i="1" s="1"/>
  <c r="P612" i="1" s="1"/>
  <c r="P613" i="1" s="1"/>
  <c r="P614" i="1" s="1"/>
  <c r="P615" i="1" s="1"/>
  <c r="P616" i="1" s="1"/>
  <c r="P617" i="1" s="1"/>
  <c r="P618" i="1" s="1"/>
  <c r="P619" i="1" s="1"/>
  <c r="P620" i="1" s="1"/>
  <c r="P621" i="1" s="1"/>
  <c r="P622" i="1" s="1"/>
  <c r="P623" i="1" s="1"/>
  <c r="P624" i="1" s="1"/>
  <c r="P625" i="1" s="1"/>
  <c r="P626" i="1" s="1"/>
  <c r="P627" i="1" s="1"/>
  <c r="P628" i="1" s="1"/>
  <c r="P629" i="1" s="1"/>
  <c r="P630" i="1" s="1"/>
  <c r="P631" i="1" s="1"/>
  <c r="P632" i="1" s="1"/>
  <c r="P633" i="1" s="1"/>
  <c r="P634" i="1" s="1"/>
  <c r="P635" i="1" s="1"/>
  <c r="P636" i="1" s="1"/>
  <c r="P637" i="1" s="1"/>
  <c r="P638" i="1" s="1"/>
  <c r="P639" i="1" s="1"/>
  <c r="P640" i="1" s="1"/>
  <c r="P641" i="1" s="1"/>
  <c r="P642" i="1" s="1"/>
  <c r="P643" i="1" s="1"/>
  <c r="P644" i="1" s="1"/>
  <c r="P645" i="1" s="1"/>
  <c r="P646" i="1" s="1"/>
  <c r="P647" i="1" s="1"/>
  <c r="P648" i="1" s="1"/>
  <c r="P649" i="1" s="1"/>
  <c r="P650" i="1" s="1"/>
  <c r="P651" i="1" s="1"/>
  <c r="P652" i="1" s="1"/>
  <c r="P653" i="1" s="1"/>
  <c r="P654" i="1" s="1"/>
  <c r="P655" i="1" s="1"/>
  <c r="P656" i="1" s="1"/>
  <c r="P657" i="1" s="1"/>
  <c r="P658" i="1" s="1"/>
  <c r="P659" i="1" s="1"/>
  <c r="P660" i="1" s="1"/>
  <c r="P661" i="1" s="1"/>
  <c r="P662" i="1" s="1"/>
  <c r="P663" i="1" s="1"/>
  <c r="P664" i="1" s="1"/>
  <c r="P665" i="1" s="1"/>
  <c r="P666" i="1" s="1"/>
  <c r="P667" i="1" s="1"/>
  <c r="P668" i="1" s="1"/>
  <c r="P669" i="1" s="1"/>
  <c r="P670" i="1" s="1"/>
  <c r="P671" i="1" s="1"/>
  <c r="P672" i="1" s="1"/>
  <c r="P673" i="1" s="1"/>
  <c r="P674" i="1" s="1"/>
  <c r="P675" i="1" s="1"/>
  <c r="P676" i="1" s="1"/>
  <c r="P677" i="1" s="1"/>
  <c r="P678" i="1" s="1"/>
  <c r="P679" i="1" s="1"/>
  <c r="P680" i="1" s="1"/>
  <c r="P681" i="1" s="1"/>
  <c r="P682" i="1" s="1"/>
  <c r="P683" i="1" s="1"/>
  <c r="P684" i="1" s="1"/>
  <c r="P685" i="1" s="1"/>
  <c r="P686" i="1" s="1"/>
  <c r="P687" i="1" s="1"/>
  <c r="P688" i="1" s="1"/>
  <c r="P689" i="1" s="1"/>
  <c r="P690" i="1" s="1"/>
  <c r="P691" i="1" s="1"/>
  <c r="P692" i="1" s="1"/>
  <c r="P693" i="1" s="1"/>
  <c r="P694" i="1" s="1"/>
  <c r="P695" i="1" s="1"/>
  <c r="P696" i="1" s="1"/>
  <c r="P697" i="1" s="1"/>
  <c r="P698" i="1" s="1"/>
  <c r="P699" i="1" s="1"/>
  <c r="P700" i="1" s="1"/>
  <c r="P701" i="1" s="1"/>
  <c r="P702" i="1" s="1"/>
  <c r="P703" i="1" s="1"/>
  <c r="P704" i="1" s="1"/>
  <c r="P705" i="1" s="1"/>
  <c r="P706" i="1" s="1"/>
  <c r="P707" i="1" s="1"/>
  <c r="P708" i="1" s="1"/>
  <c r="P709" i="1" s="1"/>
  <c r="P710" i="1" s="1"/>
  <c r="P711" i="1" s="1"/>
  <c r="P712" i="1" s="1"/>
  <c r="P713" i="1" s="1"/>
  <c r="P714" i="1" s="1"/>
  <c r="P715" i="1" s="1"/>
  <c r="P716" i="1" s="1"/>
  <c r="P717" i="1" s="1"/>
  <c r="P718" i="1" s="1"/>
  <c r="P719" i="1" s="1"/>
  <c r="P720" i="1" s="1"/>
  <c r="P721" i="1" s="1"/>
  <c r="P722" i="1" s="1"/>
  <c r="P723" i="1" s="1"/>
  <c r="P724" i="1" s="1"/>
  <c r="P725" i="1" s="1"/>
  <c r="P726" i="1" s="1"/>
  <c r="P727" i="1" s="1"/>
  <c r="P728" i="1" s="1"/>
  <c r="P729" i="1" s="1"/>
  <c r="P730" i="1" s="1"/>
  <c r="P731" i="1" s="1"/>
  <c r="P732" i="1" s="1"/>
  <c r="P733" i="1" s="1"/>
  <c r="P734" i="1" s="1"/>
  <c r="P735" i="1" s="1"/>
  <c r="P736" i="1" s="1"/>
  <c r="P737" i="1" s="1"/>
  <c r="P738" i="1" s="1"/>
  <c r="P739" i="1" s="1"/>
  <c r="P740" i="1" s="1"/>
  <c r="P741" i="1" s="1"/>
  <c r="P742" i="1" s="1"/>
  <c r="P743" i="1" s="1"/>
  <c r="P744" i="1" s="1"/>
  <c r="P745" i="1" s="1"/>
  <c r="P746" i="1" s="1"/>
  <c r="P747" i="1" s="1"/>
  <c r="P748" i="1" s="1"/>
  <c r="P749" i="1" s="1"/>
  <c r="P750" i="1" s="1"/>
  <c r="P751" i="1" s="1"/>
  <c r="P752" i="1" s="1"/>
  <c r="P753" i="1" s="1"/>
  <c r="P754" i="1" s="1"/>
  <c r="P755" i="1" s="1"/>
  <c r="P756" i="1" s="1"/>
  <c r="P757" i="1" s="1"/>
  <c r="P758" i="1" s="1"/>
  <c r="P759" i="1" s="1"/>
  <c r="P760" i="1" s="1"/>
  <c r="P761" i="1" s="1"/>
  <c r="P762" i="1" s="1"/>
  <c r="P763" i="1" s="1"/>
  <c r="P764" i="1" s="1"/>
  <c r="P765" i="1" s="1"/>
  <c r="P766" i="1" s="1"/>
  <c r="P767" i="1" s="1"/>
  <c r="P768" i="1" s="1"/>
  <c r="P769" i="1" s="1"/>
  <c r="P770" i="1" s="1"/>
  <c r="P771" i="1" s="1"/>
  <c r="P772" i="1" s="1"/>
  <c r="P773" i="1" s="1"/>
  <c r="P774" i="1" s="1"/>
  <c r="P775" i="1" s="1"/>
  <c r="P776" i="1" s="1"/>
  <c r="P777" i="1" s="1"/>
  <c r="P778" i="1" s="1"/>
  <c r="P779" i="1" s="1"/>
  <c r="P780" i="1" s="1"/>
  <c r="P781" i="1" s="1"/>
  <c r="P782" i="1" s="1"/>
  <c r="P783" i="1" s="1"/>
  <c r="P784" i="1" s="1"/>
  <c r="P785" i="1" s="1"/>
  <c r="P786" i="1" s="1"/>
  <c r="P787" i="1" s="1"/>
  <c r="P788" i="1" s="1"/>
  <c r="P789" i="1" s="1"/>
  <c r="P790" i="1" s="1"/>
  <c r="P791" i="1" s="1"/>
  <c r="P792" i="1" s="1"/>
  <c r="P793" i="1" s="1"/>
  <c r="P794" i="1" s="1"/>
  <c r="P795" i="1" s="1"/>
  <c r="P796" i="1" s="1"/>
  <c r="P797" i="1" s="1"/>
  <c r="P798" i="1" s="1"/>
  <c r="P799" i="1" s="1"/>
  <c r="P800" i="1" s="1"/>
  <c r="P801" i="1" s="1"/>
  <c r="P802" i="1" s="1"/>
  <c r="P803" i="1" s="1"/>
  <c r="P804" i="1" s="1"/>
  <c r="P805" i="1" s="1"/>
  <c r="P806" i="1" s="1"/>
  <c r="P807" i="1" s="1"/>
  <c r="P808" i="1" s="1"/>
  <c r="P809" i="1" s="1"/>
  <c r="P810" i="1" s="1"/>
  <c r="P811" i="1" s="1"/>
  <c r="P812" i="1" s="1"/>
  <c r="P813" i="1" s="1"/>
  <c r="P814" i="1" s="1"/>
  <c r="P815" i="1" s="1"/>
  <c r="P816" i="1" s="1"/>
  <c r="P817" i="1" s="1"/>
  <c r="P818" i="1" s="1"/>
  <c r="P819" i="1" s="1"/>
  <c r="P820" i="1" s="1"/>
  <c r="P821" i="1" s="1"/>
  <c r="P822" i="1" s="1"/>
  <c r="P823" i="1" s="1"/>
  <c r="P824" i="1" s="1"/>
  <c r="P825" i="1" s="1"/>
  <c r="P826" i="1" s="1"/>
  <c r="P827" i="1" s="1"/>
  <c r="P828" i="1" s="1"/>
  <c r="P829" i="1" s="1"/>
  <c r="P830" i="1" s="1"/>
  <c r="P831" i="1" s="1"/>
  <c r="P832" i="1" s="1"/>
  <c r="P833" i="1" s="1"/>
  <c r="P834" i="1" s="1"/>
  <c r="P835" i="1" s="1"/>
  <c r="P836" i="1" s="1"/>
  <c r="P837" i="1" s="1"/>
  <c r="P838" i="1" s="1"/>
  <c r="P839" i="1" s="1"/>
  <c r="P840" i="1" s="1"/>
  <c r="P841" i="1" s="1"/>
  <c r="P842" i="1" s="1"/>
  <c r="P843" i="1" s="1"/>
  <c r="P844" i="1" s="1"/>
  <c r="P845" i="1" s="1"/>
  <c r="P846" i="1" s="1"/>
  <c r="P847" i="1" s="1"/>
  <c r="P848" i="1" s="1"/>
  <c r="P849" i="1" s="1"/>
  <c r="P850" i="1" s="1"/>
  <c r="P851" i="1" s="1"/>
  <c r="P852" i="1" s="1"/>
  <c r="P853" i="1" s="1"/>
  <c r="P854" i="1" s="1"/>
  <c r="P855" i="1" s="1"/>
  <c r="P856" i="1" s="1"/>
  <c r="P857" i="1" s="1"/>
  <c r="P858" i="1" s="1"/>
  <c r="P859" i="1" s="1"/>
  <c r="P860" i="1" s="1"/>
  <c r="P861" i="1" s="1"/>
  <c r="P862" i="1" s="1"/>
  <c r="P863" i="1" s="1"/>
  <c r="P864" i="1" s="1"/>
  <c r="P865" i="1" s="1"/>
  <c r="P866" i="1" s="1"/>
  <c r="P867" i="1" s="1"/>
  <c r="P868" i="1" s="1"/>
  <c r="P869" i="1" s="1"/>
  <c r="P870" i="1" s="1"/>
  <c r="P871" i="1" s="1"/>
  <c r="P872" i="1" s="1"/>
  <c r="P873" i="1" s="1"/>
  <c r="P874" i="1" s="1"/>
  <c r="P875" i="1" s="1"/>
  <c r="P876" i="1" s="1"/>
  <c r="P877" i="1" s="1"/>
  <c r="P878" i="1" s="1"/>
  <c r="P879" i="1" s="1"/>
  <c r="P880" i="1" s="1"/>
  <c r="P881" i="1" s="1"/>
  <c r="P882" i="1" s="1"/>
  <c r="P883" i="1" s="1"/>
  <c r="P884" i="1" s="1"/>
  <c r="P885" i="1" s="1"/>
  <c r="P886" i="1" s="1"/>
  <c r="P887" i="1" s="1"/>
  <c r="P888" i="1" s="1"/>
  <c r="P889" i="1" s="1"/>
  <c r="P890" i="1" s="1"/>
  <c r="P891" i="1" s="1"/>
  <c r="P892" i="1" s="1"/>
  <c r="P893" i="1" s="1"/>
  <c r="P894" i="1" s="1"/>
  <c r="P895" i="1" s="1"/>
  <c r="P896" i="1" s="1"/>
  <c r="P897" i="1" s="1"/>
  <c r="P898" i="1" s="1"/>
  <c r="P899" i="1" s="1"/>
  <c r="P900" i="1" s="1"/>
  <c r="P901" i="1" s="1"/>
  <c r="P902" i="1" s="1"/>
  <c r="P903" i="1" s="1"/>
  <c r="P904" i="1" s="1"/>
  <c r="P905" i="1" s="1"/>
  <c r="P906" i="1" s="1"/>
  <c r="P907" i="1" s="1"/>
  <c r="P908" i="1" s="1"/>
  <c r="P909" i="1" s="1"/>
  <c r="P910" i="1" s="1"/>
  <c r="P911" i="1" s="1"/>
  <c r="P912" i="1" s="1"/>
  <c r="P913" i="1" s="1"/>
  <c r="P914" i="1" s="1"/>
  <c r="P915" i="1" s="1"/>
  <c r="P916" i="1" s="1"/>
  <c r="P917" i="1" s="1"/>
  <c r="P918" i="1" s="1"/>
  <c r="P919" i="1" s="1"/>
  <c r="P920" i="1" s="1"/>
  <c r="P921" i="1" s="1"/>
  <c r="P922" i="1" s="1"/>
  <c r="P923" i="1" s="1"/>
  <c r="P924" i="1" s="1"/>
  <c r="P925" i="1" s="1"/>
  <c r="P926" i="1" s="1"/>
  <c r="P927" i="1" s="1"/>
  <c r="P928" i="1" s="1"/>
  <c r="P929" i="1" s="1"/>
  <c r="P930" i="1" s="1"/>
  <c r="P931" i="1" s="1"/>
  <c r="P932" i="1" s="1"/>
  <c r="P933" i="1" s="1"/>
  <c r="P934" i="1" s="1"/>
  <c r="P935" i="1" s="1"/>
  <c r="P936" i="1" s="1"/>
  <c r="P937" i="1" s="1"/>
  <c r="P938" i="1" s="1"/>
  <c r="P939" i="1" s="1"/>
  <c r="P940" i="1" s="1"/>
  <c r="P941" i="1" s="1"/>
  <c r="P942" i="1" s="1"/>
  <c r="P943" i="1" s="1"/>
  <c r="P944" i="1" s="1"/>
  <c r="P945" i="1" s="1"/>
  <c r="P946" i="1" s="1"/>
  <c r="P947" i="1" s="1"/>
  <c r="P948" i="1" s="1"/>
  <c r="P949" i="1" s="1"/>
  <c r="P950" i="1" s="1"/>
  <c r="P951" i="1" s="1"/>
  <c r="P952" i="1" s="1"/>
  <c r="P953" i="1" s="1"/>
  <c r="P954" i="1" s="1"/>
  <c r="P955" i="1" s="1"/>
  <c r="P956" i="1" s="1"/>
  <c r="P957" i="1" s="1"/>
  <c r="P958" i="1" s="1"/>
  <c r="P959" i="1" s="1"/>
  <c r="P960" i="1" s="1"/>
  <c r="P961" i="1" s="1"/>
  <c r="P962" i="1" s="1"/>
  <c r="P963" i="1" s="1"/>
  <c r="P964" i="1" s="1"/>
  <c r="P965" i="1" s="1"/>
  <c r="P966" i="1" s="1"/>
  <c r="P967" i="1" s="1"/>
  <c r="P968" i="1" s="1"/>
  <c r="P969" i="1" s="1"/>
  <c r="P970" i="1" s="1"/>
  <c r="P971" i="1" s="1"/>
  <c r="P972" i="1" s="1"/>
  <c r="P973" i="1" s="1"/>
  <c r="P974" i="1" s="1"/>
  <c r="P975" i="1" s="1"/>
  <c r="P976" i="1" s="1"/>
  <c r="P977" i="1" s="1"/>
  <c r="P978" i="1" s="1"/>
  <c r="P979" i="1" s="1"/>
  <c r="P980" i="1" s="1"/>
  <c r="P981" i="1" s="1"/>
  <c r="P982" i="1" s="1"/>
  <c r="P983" i="1" s="1"/>
  <c r="P984" i="1" s="1"/>
  <c r="P985" i="1" s="1"/>
  <c r="P986" i="1" s="1"/>
  <c r="P987" i="1" s="1"/>
  <c r="P988" i="1" s="1"/>
  <c r="P989" i="1" s="1"/>
  <c r="P990" i="1" s="1"/>
  <c r="P991" i="1" s="1"/>
  <c r="P992" i="1" s="1"/>
  <c r="P993" i="1" s="1"/>
  <c r="P994" i="1" s="1"/>
  <c r="P995" i="1" s="1"/>
  <c r="P996" i="1" s="1"/>
  <c r="P997" i="1" s="1"/>
  <c r="P998" i="1" s="1"/>
  <c r="P999" i="1" s="1"/>
  <c r="P1000" i="1" s="1"/>
  <c r="P1001" i="1" s="1"/>
  <c r="P1002" i="1" s="1"/>
  <c r="P1003" i="1" s="1"/>
  <c r="P1004" i="1" s="1"/>
  <c r="P1005" i="1" s="1"/>
  <c r="P1006" i="1"/>
  <c r="P1007" i="1" s="1"/>
  <c r="P1008" i="1" s="1"/>
  <c r="P1009" i="1" s="1"/>
  <c r="P1010" i="1" s="1"/>
  <c r="P1011" i="1" s="1"/>
  <c r="P1012" i="1" s="1"/>
  <c r="P1013" i="1" s="1"/>
  <c r="P1014" i="1" s="1"/>
  <c r="P1015" i="1" s="1"/>
  <c r="P1016" i="1" s="1"/>
  <c r="P1017" i="1" s="1"/>
  <c r="P1018" i="1" s="1"/>
  <c r="P1019" i="1" s="1"/>
  <c r="P1020" i="1" s="1"/>
  <c r="P1021" i="1" s="1"/>
  <c r="P1022" i="1" s="1"/>
  <c r="P1023" i="1" s="1"/>
  <c r="P1024" i="1" s="1"/>
  <c r="P1025" i="1" s="1"/>
  <c r="P1026" i="1" s="1"/>
  <c r="P1027" i="1" s="1"/>
  <c r="P1028" i="1" s="1"/>
  <c r="P1029" i="1" s="1"/>
  <c r="P1030" i="1" s="1"/>
  <c r="P1031" i="1" s="1"/>
  <c r="P1032" i="1" s="1"/>
  <c r="P1033" i="1" s="1"/>
  <c r="P1034" i="1" s="1"/>
  <c r="P1035" i="1" s="1"/>
  <c r="P1036" i="1" s="1"/>
  <c r="P1037" i="1" s="1"/>
  <c r="P1038" i="1" s="1"/>
  <c r="P1039" i="1" s="1"/>
  <c r="P1040" i="1" s="1"/>
  <c r="P1041" i="1" s="1"/>
  <c r="P1042" i="1" s="1"/>
  <c r="P1043" i="1" s="1"/>
  <c r="P1044" i="1" s="1"/>
  <c r="P1045" i="1" s="1"/>
  <c r="P1046" i="1" s="1"/>
  <c r="P1047" i="1" s="1"/>
  <c r="P1048" i="1" s="1"/>
  <c r="P1049" i="1" s="1"/>
  <c r="P1050" i="1" s="1"/>
  <c r="P1051" i="1" s="1"/>
  <c r="P1052" i="1" s="1"/>
  <c r="P1053" i="1" s="1"/>
  <c r="P1054" i="1" s="1"/>
  <c r="P1055" i="1" s="1"/>
  <c r="P1056" i="1" s="1"/>
  <c r="P1057" i="1" s="1"/>
  <c r="P1058" i="1" s="1"/>
  <c r="P1059" i="1" s="1"/>
  <c r="P1060" i="1" s="1"/>
  <c r="P1061" i="1" s="1"/>
  <c r="P1062" i="1" s="1"/>
  <c r="P1063" i="1" s="1"/>
  <c r="P1064" i="1" s="1"/>
  <c r="P1065" i="1" s="1"/>
  <c r="P1066" i="1" s="1"/>
  <c r="P1067" i="1" s="1"/>
  <c r="P1068" i="1" s="1"/>
  <c r="P1069" i="1" s="1"/>
  <c r="P1070" i="1" s="1"/>
  <c r="P1071" i="1" s="1"/>
  <c r="P1072" i="1" s="1"/>
  <c r="P1073" i="1" s="1"/>
  <c r="P1074" i="1" s="1"/>
  <c r="P1075" i="1" s="1"/>
  <c r="P1076" i="1" s="1"/>
  <c r="P1077" i="1" s="1"/>
  <c r="P1078" i="1" s="1"/>
  <c r="P1079" i="1" s="1"/>
  <c r="P1080" i="1" s="1"/>
  <c r="P1081" i="1" s="1"/>
  <c r="P1082" i="1" s="1"/>
  <c r="P1083" i="1" s="1"/>
  <c r="P1084" i="1" s="1"/>
  <c r="P1085" i="1" s="1"/>
  <c r="P1086" i="1" s="1"/>
  <c r="P1087" i="1" s="1"/>
  <c r="P1088" i="1" s="1"/>
  <c r="P1089" i="1" s="1"/>
  <c r="P1090" i="1" s="1"/>
  <c r="P1091" i="1" s="1"/>
  <c r="P1092" i="1" s="1"/>
  <c r="P1093" i="1" s="1"/>
  <c r="P1094" i="1" s="1"/>
  <c r="P1095" i="1" s="1"/>
  <c r="P1096" i="1" s="1"/>
  <c r="P1097" i="1" s="1"/>
  <c r="P1098" i="1" s="1"/>
  <c r="P1099" i="1" s="1"/>
  <c r="P1100" i="1" s="1"/>
  <c r="P1101" i="1" s="1"/>
  <c r="P1102" i="1" s="1"/>
  <c r="P1103" i="1" s="1"/>
  <c r="P1104" i="1" s="1"/>
  <c r="P1105" i="1" s="1"/>
  <c r="P1106" i="1" s="1"/>
  <c r="P1107" i="1" s="1"/>
  <c r="P1108" i="1" s="1"/>
  <c r="P1109" i="1" s="1"/>
  <c r="P1110" i="1" s="1"/>
  <c r="P1111" i="1" s="1"/>
  <c r="P1112" i="1" s="1"/>
  <c r="P1113" i="1" s="1"/>
  <c r="P1114" i="1" s="1"/>
  <c r="P1115" i="1" s="1"/>
  <c r="P1116" i="1" s="1"/>
  <c r="P1117" i="1" s="1"/>
  <c r="P1118" i="1" s="1"/>
  <c r="P1119" i="1" s="1"/>
  <c r="P1120" i="1" s="1"/>
  <c r="P1121" i="1" s="1"/>
  <c r="P1122" i="1" s="1"/>
  <c r="P1123" i="1" s="1"/>
  <c r="P1124" i="1" s="1"/>
  <c r="P1125" i="1" s="1"/>
  <c r="P1126" i="1" s="1"/>
  <c r="P1127" i="1" s="1"/>
  <c r="P1128" i="1" s="1"/>
  <c r="P1129" i="1" s="1"/>
  <c r="P1130" i="1" s="1"/>
  <c r="P1131" i="1" s="1"/>
  <c r="P1132" i="1" s="1"/>
  <c r="P1133" i="1" s="1"/>
  <c r="P1134" i="1" s="1"/>
  <c r="P1135" i="1" s="1"/>
  <c r="P1136" i="1" s="1"/>
  <c r="P1137" i="1" s="1"/>
  <c r="P1138" i="1" s="1"/>
  <c r="P1139" i="1" s="1"/>
  <c r="P1140" i="1" s="1"/>
  <c r="P1141" i="1" s="1"/>
  <c r="P1142" i="1" s="1"/>
  <c r="P1143" i="1" s="1"/>
  <c r="P1144" i="1" s="1"/>
  <c r="P1145" i="1" s="1"/>
  <c r="P1146" i="1" s="1"/>
  <c r="P1147" i="1" s="1"/>
  <c r="P1148" i="1" s="1"/>
  <c r="P1149" i="1" s="1"/>
  <c r="P1150" i="1" s="1"/>
  <c r="P1151" i="1" s="1"/>
  <c r="P1152" i="1" s="1"/>
  <c r="P1153" i="1" s="1"/>
  <c r="P1154" i="1" s="1"/>
  <c r="P1155" i="1" s="1"/>
  <c r="P1156" i="1" s="1"/>
  <c r="P1157" i="1" s="1"/>
  <c r="P1158" i="1" s="1"/>
  <c r="P1159" i="1" s="1"/>
  <c r="P1160" i="1" s="1"/>
  <c r="P1161" i="1" s="1"/>
  <c r="P1162" i="1" s="1"/>
  <c r="P1163" i="1" s="1"/>
  <c r="P1164" i="1" s="1"/>
  <c r="P1165" i="1" s="1"/>
  <c r="P1166" i="1" s="1"/>
  <c r="P1167" i="1" s="1"/>
  <c r="P1168" i="1" s="1"/>
  <c r="P1169" i="1" s="1"/>
  <c r="P1170" i="1" s="1"/>
  <c r="P1171" i="1" s="1"/>
  <c r="P1172" i="1" s="1"/>
  <c r="P1173" i="1" s="1"/>
  <c r="P1174" i="1" s="1"/>
  <c r="P1175" i="1" s="1"/>
  <c r="P1176" i="1" s="1"/>
  <c r="P1177" i="1" s="1"/>
  <c r="P1178" i="1" s="1"/>
  <c r="P1179" i="1" s="1"/>
  <c r="P1180" i="1" s="1"/>
  <c r="P1181" i="1" s="1"/>
  <c r="P1182" i="1" s="1"/>
  <c r="P1183" i="1" s="1"/>
  <c r="P1184" i="1" s="1"/>
  <c r="P1185" i="1" s="1"/>
  <c r="P1186" i="1" s="1"/>
  <c r="P1187" i="1" s="1"/>
  <c r="P1188" i="1" s="1"/>
  <c r="P1189" i="1" s="1"/>
  <c r="P1190" i="1" s="1"/>
  <c r="P1191" i="1" s="1"/>
  <c r="P1192" i="1" s="1"/>
  <c r="P1193" i="1" s="1"/>
  <c r="P1194" i="1" s="1"/>
  <c r="P1195" i="1" s="1"/>
  <c r="P1196" i="1" s="1"/>
  <c r="P1197" i="1" s="1"/>
  <c r="P1198" i="1" s="1"/>
  <c r="P1199" i="1" s="1"/>
  <c r="P1200" i="1" s="1"/>
  <c r="P1201" i="1" s="1"/>
  <c r="P1202" i="1" s="1"/>
  <c r="P1203" i="1" s="1"/>
  <c r="P1204" i="1" s="1"/>
  <c r="P1205" i="1" s="1"/>
  <c r="P1206" i="1" s="1"/>
  <c r="P1207" i="1" s="1"/>
  <c r="P1208" i="1" s="1"/>
  <c r="P1209" i="1" s="1"/>
  <c r="P1210" i="1" s="1"/>
  <c r="P1211" i="1" s="1"/>
  <c r="P1212" i="1" s="1"/>
  <c r="P1213" i="1" s="1"/>
  <c r="P1214" i="1" s="1"/>
  <c r="P1215" i="1" s="1"/>
  <c r="P1216" i="1" s="1"/>
  <c r="P1217" i="1" s="1"/>
  <c r="P1218" i="1" s="1"/>
  <c r="P1219" i="1" s="1"/>
  <c r="P1220" i="1" s="1"/>
  <c r="P1221" i="1" s="1"/>
  <c r="P1222" i="1" s="1"/>
  <c r="P1223" i="1" s="1"/>
  <c r="P1224" i="1" s="1"/>
  <c r="P1225" i="1" s="1"/>
  <c r="P1226" i="1" s="1"/>
  <c r="P1227" i="1" s="1"/>
  <c r="P1228" i="1" s="1"/>
  <c r="P1229" i="1" s="1"/>
  <c r="P1230" i="1" s="1"/>
  <c r="P1231" i="1" s="1"/>
  <c r="P1232" i="1" s="1"/>
  <c r="P1233" i="1" s="1"/>
  <c r="P1234" i="1" s="1"/>
  <c r="P1235" i="1" s="1"/>
  <c r="P1236" i="1" s="1"/>
  <c r="P1237" i="1" s="1"/>
  <c r="P1238" i="1" s="1"/>
  <c r="P1239" i="1" s="1"/>
  <c r="P1240" i="1" s="1"/>
  <c r="P1241" i="1" s="1"/>
  <c r="P1242" i="1" s="1"/>
  <c r="P1243" i="1" s="1"/>
  <c r="P1244" i="1" s="1"/>
  <c r="P1245" i="1" s="1"/>
  <c r="P1246" i="1" s="1"/>
  <c r="P1247" i="1" s="1"/>
  <c r="P1248" i="1" s="1"/>
  <c r="P1249" i="1" s="1"/>
  <c r="P1250" i="1" s="1"/>
  <c r="P1251" i="1" s="1"/>
  <c r="P1252" i="1" s="1"/>
  <c r="P1253" i="1" s="1"/>
  <c r="P1254" i="1" s="1"/>
  <c r="P1255" i="1" s="1"/>
  <c r="P1256" i="1" s="1"/>
  <c r="P1257" i="1" s="1"/>
  <c r="P1258" i="1" s="1"/>
  <c r="P1259" i="1" s="1"/>
  <c r="P1260" i="1" s="1"/>
  <c r="P1261" i="1" s="1"/>
  <c r="P1262" i="1" s="1"/>
  <c r="P1263" i="1" s="1"/>
  <c r="P1264" i="1" s="1"/>
  <c r="P1265" i="1" s="1"/>
  <c r="P1266" i="1" s="1"/>
  <c r="P1267" i="1" s="1"/>
  <c r="P1268" i="1" s="1"/>
  <c r="P1269" i="1" s="1"/>
  <c r="P1270" i="1" s="1"/>
  <c r="P1271" i="1" s="1"/>
  <c r="P1272" i="1" s="1"/>
  <c r="P1273" i="1" s="1"/>
  <c r="P1274" i="1" s="1"/>
  <c r="P1275" i="1" s="1"/>
  <c r="P1276" i="1" s="1"/>
  <c r="P1277" i="1" s="1"/>
  <c r="P1278" i="1" s="1"/>
  <c r="P1279" i="1" s="1"/>
  <c r="P1280" i="1" s="1"/>
  <c r="P1281" i="1" s="1"/>
  <c r="P1282" i="1" s="1"/>
  <c r="P1283" i="1" s="1"/>
  <c r="P1284" i="1" s="1"/>
  <c r="P1285" i="1" s="1"/>
  <c r="P1286" i="1" s="1"/>
  <c r="P1287" i="1" s="1"/>
  <c r="P1288" i="1" s="1"/>
  <c r="P1289" i="1" s="1"/>
  <c r="P1290" i="1" s="1"/>
  <c r="P1291" i="1" s="1"/>
  <c r="P1292" i="1" s="1"/>
  <c r="P1293" i="1" s="1"/>
  <c r="P1294" i="1" s="1"/>
  <c r="P1295" i="1" s="1"/>
  <c r="P1296" i="1" s="1"/>
  <c r="P1297" i="1" s="1"/>
  <c r="P1298" i="1" s="1"/>
  <c r="P1299" i="1" s="1"/>
  <c r="P1300" i="1" s="1"/>
  <c r="P1301" i="1" s="1"/>
  <c r="P1302" i="1" s="1"/>
  <c r="P1303" i="1" s="1"/>
  <c r="P1304" i="1" s="1"/>
  <c r="P1305" i="1" s="1"/>
  <c r="P1306" i="1" s="1"/>
  <c r="P1307" i="1" s="1"/>
  <c r="P1308" i="1" s="1"/>
  <c r="P1309" i="1" s="1"/>
  <c r="P1310" i="1" s="1"/>
  <c r="P1311" i="1" s="1"/>
  <c r="P1312" i="1" s="1"/>
  <c r="P1313" i="1" s="1"/>
  <c r="P1314" i="1" s="1"/>
  <c r="P1315" i="1" s="1"/>
  <c r="P1316" i="1" s="1"/>
  <c r="P1317" i="1" s="1"/>
  <c r="P1318" i="1" s="1"/>
  <c r="P1319" i="1" s="1"/>
  <c r="P1320" i="1" s="1"/>
  <c r="P1321" i="1" s="1"/>
  <c r="P1322" i="1" s="1"/>
  <c r="P1323" i="1" s="1"/>
  <c r="P1324" i="1" s="1"/>
  <c r="P1325" i="1" s="1"/>
  <c r="P1326" i="1" s="1"/>
  <c r="P1327" i="1" s="1"/>
  <c r="P1328" i="1" s="1"/>
  <c r="P1329" i="1" s="1"/>
  <c r="P1330" i="1" s="1"/>
  <c r="P1331" i="1" s="1"/>
  <c r="P1332" i="1" s="1"/>
  <c r="P1333" i="1" s="1"/>
  <c r="P1334" i="1" s="1"/>
  <c r="P1335" i="1" s="1"/>
  <c r="P1336" i="1" s="1"/>
  <c r="P1337" i="1" s="1"/>
  <c r="P1338" i="1" s="1"/>
  <c r="P1339" i="1" s="1"/>
  <c r="P1340" i="1" s="1"/>
  <c r="P1341" i="1" s="1"/>
  <c r="P1342" i="1" s="1"/>
  <c r="P1343" i="1" s="1"/>
  <c r="P1344" i="1" s="1"/>
  <c r="P1345" i="1" s="1"/>
  <c r="P1346" i="1" s="1"/>
  <c r="P1347" i="1" s="1"/>
  <c r="P1348" i="1" s="1"/>
  <c r="P1349" i="1" s="1"/>
  <c r="P1350" i="1" s="1"/>
  <c r="P1351" i="1" s="1"/>
  <c r="P1352" i="1" s="1"/>
  <c r="P1353" i="1" s="1"/>
  <c r="P1354" i="1" s="1"/>
  <c r="P1355" i="1" s="1"/>
  <c r="P1356" i="1" s="1"/>
  <c r="P1357" i="1" s="1"/>
  <c r="P1358" i="1" s="1"/>
  <c r="P1359" i="1" s="1"/>
  <c r="P1360" i="1" s="1"/>
  <c r="P1361" i="1" s="1"/>
  <c r="P1362" i="1" s="1"/>
  <c r="P1363" i="1" s="1"/>
  <c r="P1364" i="1" s="1"/>
  <c r="P1365" i="1" s="1"/>
  <c r="P1366" i="1" s="1"/>
  <c r="P1367" i="1" s="1"/>
  <c r="P1368" i="1" s="1"/>
  <c r="P1369" i="1" s="1"/>
  <c r="P1370" i="1" s="1"/>
  <c r="P1371" i="1" s="1"/>
  <c r="P1372" i="1" s="1"/>
  <c r="P1373" i="1" s="1"/>
  <c r="P1374" i="1" s="1"/>
  <c r="P1375" i="1" s="1"/>
  <c r="P1376" i="1" s="1"/>
  <c r="P1377" i="1" s="1"/>
  <c r="P1378" i="1" s="1"/>
  <c r="P1379" i="1" s="1"/>
  <c r="P1380" i="1" s="1"/>
  <c r="P1381" i="1" s="1"/>
  <c r="P1382" i="1" s="1"/>
  <c r="P1383" i="1" s="1"/>
  <c r="P1384" i="1" s="1"/>
  <c r="P1385" i="1" s="1"/>
  <c r="P1386" i="1" s="1"/>
  <c r="P1387" i="1" s="1"/>
  <c r="P1388" i="1" s="1"/>
  <c r="P1389" i="1" s="1"/>
  <c r="P1390" i="1" s="1"/>
  <c r="P1391" i="1" s="1"/>
  <c r="P1392" i="1" s="1"/>
  <c r="P1393" i="1" s="1"/>
  <c r="P1394" i="1" s="1"/>
  <c r="P1395" i="1" s="1"/>
  <c r="P1396" i="1" s="1"/>
  <c r="P1397" i="1" s="1"/>
  <c r="P1398" i="1" s="1"/>
  <c r="P1399" i="1" s="1"/>
  <c r="P1400" i="1" s="1"/>
  <c r="P1401" i="1" s="1"/>
  <c r="P1402" i="1" s="1"/>
  <c r="P1403" i="1" s="1"/>
  <c r="P1404" i="1" s="1"/>
  <c r="P1405" i="1" s="1"/>
  <c r="P1406" i="1" s="1"/>
  <c r="P1407" i="1" s="1"/>
  <c r="P1408" i="1" s="1"/>
  <c r="P1409" i="1" s="1"/>
  <c r="P1410" i="1" s="1"/>
  <c r="P1411" i="1" s="1"/>
  <c r="P1412" i="1" s="1"/>
  <c r="P1413" i="1" s="1"/>
  <c r="P1414" i="1" s="1"/>
  <c r="P1415" i="1" s="1"/>
  <c r="P1416" i="1" s="1"/>
  <c r="P1417" i="1" s="1"/>
  <c r="P1418" i="1" s="1"/>
  <c r="P1419" i="1" s="1"/>
  <c r="P1420" i="1" s="1"/>
  <c r="P1421" i="1" s="1"/>
  <c r="P1422" i="1" s="1"/>
  <c r="P1423" i="1" s="1"/>
  <c r="P1424" i="1" s="1"/>
  <c r="P1425" i="1" s="1"/>
  <c r="P1426" i="1" s="1"/>
  <c r="P1427" i="1" s="1"/>
  <c r="P1428" i="1" s="1"/>
  <c r="P1429" i="1" s="1"/>
  <c r="P1430" i="1" s="1"/>
  <c r="P1431" i="1" s="1"/>
  <c r="P1432" i="1" s="1"/>
  <c r="P1433" i="1" s="1"/>
  <c r="P1434" i="1" s="1"/>
  <c r="P1435" i="1" s="1"/>
  <c r="P1436" i="1" s="1"/>
  <c r="P1437" i="1" s="1"/>
  <c r="P1438" i="1" s="1"/>
  <c r="P1439" i="1" s="1"/>
  <c r="P1440" i="1" s="1"/>
  <c r="P1441" i="1" s="1"/>
  <c r="P1442" i="1" s="1"/>
  <c r="P1443" i="1" s="1"/>
  <c r="P1444" i="1" s="1"/>
  <c r="P1445" i="1" s="1"/>
  <c r="P1446" i="1" s="1"/>
  <c r="P1447" i="1" s="1"/>
  <c r="P1448" i="1" s="1"/>
  <c r="P1449" i="1" s="1"/>
  <c r="P1450" i="1" s="1"/>
  <c r="P1451" i="1" s="1"/>
  <c r="P1452" i="1" s="1"/>
  <c r="P1453" i="1" s="1"/>
  <c r="P1454" i="1" s="1"/>
  <c r="P1455" i="1" s="1"/>
  <c r="P1456" i="1" s="1"/>
  <c r="P1457" i="1" s="1"/>
  <c r="P1458" i="1" s="1"/>
  <c r="P1459" i="1" s="1"/>
  <c r="P1460" i="1" s="1"/>
  <c r="P1461" i="1" s="1"/>
  <c r="P1462" i="1" s="1"/>
  <c r="P1463" i="1" s="1"/>
  <c r="P1464" i="1" s="1"/>
  <c r="P1465" i="1" s="1"/>
  <c r="P1466" i="1" s="1"/>
  <c r="P1467" i="1" s="1"/>
  <c r="P1468" i="1" s="1"/>
  <c r="P1469" i="1" s="1"/>
  <c r="P1470" i="1" s="1"/>
  <c r="P1471" i="1" s="1"/>
  <c r="P1472" i="1" s="1"/>
  <c r="P1473" i="1" s="1"/>
  <c r="P1474" i="1" s="1"/>
  <c r="P1475" i="1" s="1"/>
  <c r="P1476" i="1" s="1"/>
  <c r="P1477" i="1" s="1"/>
  <c r="P1478" i="1" s="1"/>
  <c r="P1479" i="1" s="1"/>
  <c r="P1480" i="1" s="1"/>
  <c r="P1481" i="1" s="1"/>
  <c r="P1482" i="1" s="1"/>
  <c r="P1483" i="1" s="1"/>
  <c r="P1484" i="1" s="1"/>
  <c r="P1485" i="1" s="1"/>
  <c r="P1486" i="1" s="1"/>
  <c r="P1487" i="1" s="1"/>
  <c r="P1488" i="1" s="1"/>
  <c r="P1489" i="1" s="1"/>
  <c r="P1490" i="1" s="1"/>
  <c r="P1491" i="1" s="1"/>
  <c r="P1492" i="1" s="1"/>
  <c r="P1493" i="1" s="1"/>
  <c r="P1494" i="1" s="1"/>
  <c r="P1495" i="1" s="1"/>
  <c r="P1496" i="1" s="1"/>
  <c r="P1497" i="1" s="1"/>
  <c r="P1498" i="1" s="1"/>
  <c r="P1499" i="1" s="1"/>
  <c r="P1500" i="1" s="1"/>
  <c r="P1501" i="1" s="1"/>
  <c r="P1502" i="1" s="1"/>
  <c r="P1503" i="1" s="1"/>
  <c r="P1504" i="1" s="1"/>
  <c r="P1505" i="1" s="1"/>
  <c r="P1506" i="1" s="1"/>
  <c r="P1507" i="1" s="1"/>
  <c r="P1508" i="1"/>
  <c r="P1509" i="1" s="1"/>
  <c r="P1510" i="1" s="1"/>
  <c r="P1511" i="1" s="1"/>
  <c r="P1512" i="1" s="1"/>
  <c r="P1513" i="1" s="1"/>
  <c r="P1514" i="1" s="1"/>
  <c r="P1515" i="1" s="1"/>
  <c r="P1516" i="1" s="1"/>
  <c r="P1517" i="1" s="1"/>
  <c r="P1518" i="1" s="1"/>
  <c r="P1519" i="1" s="1"/>
  <c r="P1520" i="1" s="1"/>
  <c r="P1521" i="1" s="1"/>
  <c r="P1522" i="1" s="1"/>
  <c r="P1523" i="1" s="1"/>
  <c r="P1524" i="1" s="1"/>
  <c r="P1525" i="1" s="1"/>
  <c r="P1526" i="1" s="1"/>
  <c r="P1527" i="1" s="1"/>
  <c r="P1528" i="1" s="1"/>
  <c r="P1529" i="1" s="1"/>
  <c r="P1530" i="1" s="1"/>
  <c r="P1531" i="1" s="1"/>
  <c r="P1532" i="1" s="1"/>
  <c r="P1533" i="1" s="1"/>
  <c r="P1534" i="1" s="1"/>
  <c r="P1535" i="1" s="1"/>
  <c r="P1536" i="1" s="1"/>
  <c r="P1537" i="1" s="1"/>
  <c r="P1538" i="1" s="1"/>
  <c r="P1539" i="1" s="1"/>
  <c r="P1540" i="1" s="1"/>
  <c r="P1541" i="1" s="1"/>
  <c r="P1542" i="1" s="1"/>
  <c r="P1543" i="1" s="1"/>
  <c r="P1544" i="1" s="1"/>
  <c r="P1545" i="1" s="1"/>
  <c r="P1546" i="1" s="1"/>
  <c r="P1547" i="1" s="1"/>
  <c r="P1548" i="1" s="1"/>
  <c r="P1549" i="1" s="1"/>
  <c r="P1550" i="1" s="1"/>
  <c r="P1551" i="1" s="1"/>
  <c r="P1552" i="1" s="1"/>
  <c r="P1553" i="1" s="1"/>
  <c r="P1554" i="1" s="1"/>
  <c r="P1555" i="1" s="1"/>
  <c r="P1556" i="1" s="1"/>
  <c r="P1557" i="1" s="1"/>
  <c r="P1558" i="1" s="1"/>
  <c r="P1559" i="1" s="1"/>
  <c r="P1560" i="1" s="1"/>
  <c r="P1561" i="1" s="1"/>
  <c r="P1562" i="1" s="1"/>
  <c r="P1563" i="1" s="1"/>
  <c r="P1564" i="1" s="1"/>
  <c r="P1565" i="1" s="1"/>
  <c r="P1566" i="1" s="1"/>
  <c r="P1567" i="1" s="1"/>
  <c r="P1568" i="1" s="1"/>
  <c r="P1569" i="1" s="1"/>
  <c r="P1570" i="1" s="1"/>
  <c r="P1571" i="1" s="1"/>
  <c r="P1572" i="1" s="1"/>
  <c r="P1573" i="1" s="1"/>
  <c r="P1574" i="1" s="1"/>
  <c r="P1575" i="1" s="1"/>
  <c r="P1576" i="1" s="1"/>
  <c r="P1577" i="1" s="1"/>
  <c r="P1578" i="1" s="1"/>
  <c r="P1579" i="1" s="1"/>
  <c r="P1580" i="1" s="1"/>
  <c r="P1581" i="1" s="1"/>
  <c r="P1582" i="1" s="1"/>
  <c r="P1583" i="1" s="1"/>
  <c r="P1584" i="1" s="1"/>
  <c r="P1585" i="1" s="1"/>
  <c r="P1586" i="1" s="1"/>
  <c r="P1587" i="1" s="1"/>
  <c r="P1588" i="1" s="1"/>
  <c r="P1589" i="1" s="1"/>
  <c r="P1590" i="1" s="1"/>
  <c r="P1591" i="1" s="1"/>
  <c r="P1592" i="1" s="1"/>
  <c r="P1593" i="1" s="1"/>
  <c r="P1594" i="1" s="1"/>
  <c r="P1595" i="1" s="1"/>
  <c r="P1596" i="1" s="1"/>
  <c r="P1597" i="1" s="1"/>
  <c r="P1598" i="1" s="1"/>
  <c r="P1599" i="1" s="1"/>
  <c r="P1600" i="1" s="1"/>
  <c r="P1601" i="1" s="1"/>
  <c r="P1602" i="1" s="1"/>
  <c r="P1603" i="1" s="1"/>
  <c r="P1604" i="1" s="1"/>
  <c r="P1605" i="1" s="1"/>
  <c r="P1606" i="1" s="1"/>
  <c r="P1607" i="1" s="1"/>
  <c r="P1608" i="1" s="1"/>
  <c r="P1609" i="1" s="1"/>
  <c r="P1610" i="1" s="1"/>
  <c r="P1611" i="1" s="1"/>
  <c r="P1612" i="1" s="1"/>
  <c r="P1613" i="1" s="1"/>
  <c r="P1614" i="1" s="1"/>
  <c r="P1615" i="1" s="1"/>
  <c r="P1616" i="1" s="1"/>
  <c r="P1617" i="1" s="1"/>
  <c r="P1618" i="1" s="1"/>
  <c r="P1619" i="1" s="1"/>
  <c r="P1620" i="1" s="1"/>
  <c r="P1621" i="1" s="1"/>
  <c r="P1622" i="1" s="1"/>
  <c r="P1623" i="1" s="1"/>
  <c r="P1624" i="1" s="1"/>
  <c r="P1625" i="1" s="1"/>
  <c r="P1626" i="1" s="1"/>
  <c r="P1627" i="1" s="1"/>
  <c r="P1628" i="1" s="1"/>
  <c r="P1629" i="1" s="1"/>
  <c r="P1630" i="1" s="1"/>
  <c r="P1631" i="1" s="1"/>
  <c r="P1632" i="1" s="1"/>
  <c r="P1633" i="1" s="1"/>
  <c r="P1634" i="1" s="1"/>
  <c r="P1635" i="1" s="1"/>
  <c r="P1636" i="1" s="1"/>
  <c r="P1637" i="1" s="1"/>
  <c r="P1638" i="1" s="1"/>
  <c r="P1639" i="1" s="1"/>
  <c r="P1640" i="1" s="1"/>
  <c r="P1641" i="1" s="1"/>
  <c r="P1642" i="1" s="1"/>
  <c r="P1643" i="1" s="1"/>
  <c r="P1644" i="1" s="1"/>
  <c r="P1645" i="1" s="1"/>
  <c r="P1646" i="1" s="1"/>
  <c r="P1647" i="1" s="1"/>
  <c r="P1648" i="1" s="1"/>
  <c r="P1649" i="1" s="1"/>
  <c r="P1650" i="1" s="1"/>
  <c r="P1651" i="1" s="1"/>
  <c r="P1652" i="1" s="1"/>
  <c r="P1653" i="1" s="1"/>
  <c r="P1654" i="1" s="1"/>
  <c r="P1655" i="1" s="1"/>
  <c r="P1656" i="1" s="1"/>
  <c r="P1657" i="1" s="1"/>
  <c r="P1658" i="1" s="1"/>
  <c r="P1659" i="1" s="1"/>
  <c r="P1660" i="1" s="1"/>
  <c r="P1661" i="1" s="1"/>
  <c r="P1662" i="1" s="1"/>
  <c r="P1663" i="1" s="1"/>
  <c r="P1664" i="1" s="1"/>
  <c r="P1665" i="1" s="1"/>
  <c r="P1666" i="1" s="1"/>
  <c r="P1667" i="1" s="1"/>
  <c r="P1668" i="1" s="1"/>
  <c r="P1669" i="1" s="1"/>
  <c r="P1670" i="1" s="1"/>
  <c r="P1671" i="1" s="1"/>
  <c r="P1672" i="1" s="1"/>
  <c r="P1673" i="1" s="1"/>
  <c r="P1674" i="1" s="1"/>
  <c r="P1675" i="1" s="1"/>
  <c r="P1676" i="1" s="1"/>
  <c r="P1677" i="1" s="1"/>
  <c r="P1678" i="1" s="1"/>
  <c r="P1679" i="1" s="1"/>
  <c r="P1680" i="1" s="1"/>
  <c r="P1681" i="1" s="1"/>
  <c r="P1682" i="1" s="1"/>
  <c r="P1683" i="1" s="1"/>
  <c r="P1684" i="1" s="1"/>
  <c r="P1685" i="1" s="1"/>
  <c r="P1686" i="1" s="1"/>
  <c r="P1687" i="1" s="1"/>
  <c r="P1688" i="1" s="1"/>
  <c r="P1689" i="1" s="1"/>
  <c r="P1690" i="1" s="1"/>
  <c r="P1691" i="1" s="1"/>
  <c r="P1692" i="1" s="1"/>
  <c r="P1693" i="1" s="1"/>
  <c r="P1694" i="1" s="1"/>
  <c r="P1695" i="1" s="1"/>
  <c r="P1696" i="1" s="1"/>
  <c r="P1697" i="1" s="1"/>
  <c r="P1698" i="1" s="1"/>
  <c r="P1699" i="1" s="1"/>
  <c r="P1700" i="1" s="1"/>
  <c r="P1701" i="1" s="1"/>
  <c r="P1702" i="1" s="1"/>
  <c r="P1703" i="1" s="1"/>
  <c r="P1704" i="1" s="1"/>
  <c r="P1705" i="1" s="1"/>
  <c r="P1706" i="1" s="1"/>
  <c r="P1707" i="1" s="1"/>
  <c r="P1708" i="1" s="1"/>
  <c r="P1709" i="1" s="1"/>
  <c r="P1710" i="1" s="1"/>
  <c r="P1711" i="1" s="1"/>
  <c r="P1712" i="1" s="1"/>
  <c r="P1713" i="1" s="1"/>
  <c r="P1714" i="1" s="1"/>
  <c r="P1715" i="1" s="1"/>
  <c r="P1716" i="1" s="1"/>
  <c r="P1717" i="1" s="1"/>
  <c r="P1718" i="1" s="1"/>
  <c r="P1719" i="1" s="1"/>
  <c r="P1720" i="1" s="1"/>
  <c r="P1721" i="1" s="1"/>
  <c r="P1722" i="1" s="1"/>
  <c r="P1723" i="1" s="1"/>
  <c r="P1724" i="1" s="1"/>
  <c r="P1725" i="1" s="1"/>
  <c r="P1726" i="1" s="1"/>
  <c r="P1727" i="1" s="1"/>
  <c r="P1728" i="1" s="1"/>
  <c r="P1729" i="1" s="1"/>
  <c r="P1730" i="1" s="1"/>
  <c r="P1731" i="1" s="1"/>
  <c r="P1732" i="1" s="1"/>
  <c r="P1733" i="1" s="1"/>
  <c r="P1734" i="1" s="1"/>
  <c r="P1735" i="1" s="1"/>
  <c r="P1736" i="1" s="1"/>
  <c r="P1737" i="1" s="1"/>
  <c r="P1738" i="1" s="1"/>
  <c r="P1739" i="1" s="1"/>
  <c r="P1740" i="1" s="1"/>
  <c r="P1741" i="1" s="1"/>
  <c r="P1742" i="1" s="1"/>
  <c r="P1743" i="1" s="1"/>
  <c r="P1744" i="1" s="1"/>
  <c r="P1745" i="1" s="1"/>
  <c r="P1746" i="1" s="1"/>
  <c r="P1747" i="1" s="1"/>
  <c r="P1748" i="1" s="1"/>
  <c r="P1749" i="1" s="1"/>
  <c r="P1750" i="1" s="1"/>
  <c r="P1751" i="1" s="1"/>
  <c r="P1752" i="1" s="1"/>
  <c r="P1753" i="1" s="1"/>
  <c r="P1754" i="1" s="1"/>
  <c r="P1755" i="1" s="1"/>
  <c r="P1756" i="1" s="1"/>
  <c r="P1757" i="1" s="1"/>
  <c r="P1758" i="1" s="1"/>
  <c r="P1759" i="1" s="1"/>
  <c r="P1760" i="1" s="1"/>
  <c r="P1761" i="1" s="1"/>
  <c r="P1762" i="1" s="1"/>
  <c r="P1763" i="1" s="1"/>
  <c r="P1764" i="1" s="1"/>
  <c r="P1765" i="1" s="1"/>
  <c r="P1766" i="1" s="1"/>
  <c r="P1767" i="1" s="1"/>
  <c r="P1768" i="1" s="1"/>
  <c r="P1769" i="1" s="1"/>
  <c r="P1770" i="1" s="1"/>
  <c r="P1771" i="1" s="1"/>
  <c r="P1772" i="1" s="1"/>
  <c r="P1773" i="1" s="1"/>
  <c r="P1774" i="1" s="1"/>
  <c r="P1775" i="1" s="1"/>
  <c r="P1776" i="1" s="1"/>
  <c r="P1777" i="1" s="1"/>
  <c r="P1778" i="1" s="1"/>
  <c r="P1779" i="1" s="1"/>
  <c r="P1780" i="1" s="1"/>
  <c r="P1781" i="1" s="1"/>
  <c r="P1782" i="1" s="1"/>
  <c r="P1783" i="1" s="1"/>
  <c r="P1784" i="1" s="1"/>
  <c r="P1785" i="1" s="1"/>
  <c r="P1786" i="1" s="1"/>
  <c r="P1787" i="1" s="1"/>
  <c r="P1788" i="1" s="1"/>
  <c r="P1789" i="1" s="1"/>
  <c r="P1790" i="1" s="1"/>
  <c r="P1791" i="1" s="1"/>
  <c r="P1792" i="1" s="1"/>
  <c r="P1793" i="1" s="1"/>
  <c r="P1794" i="1" s="1"/>
  <c r="P1795" i="1" s="1"/>
  <c r="P1796" i="1" s="1"/>
  <c r="P1797" i="1" s="1"/>
  <c r="P1798" i="1" s="1"/>
  <c r="P1799" i="1" s="1"/>
  <c r="P1800" i="1" s="1"/>
  <c r="P1801" i="1" s="1"/>
  <c r="P1802" i="1" s="1"/>
  <c r="P1803" i="1" s="1"/>
  <c r="P1804" i="1" s="1"/>
  <c r="P1805" i="1" s="1"/>
  <c r="P1806" i="1" s="1"/>
  <c r="P1807" i="1" s="1"/>
  <c r="P1808" i="1" s="1"/>
  <c r="P1809" i="1" s="1"/>
  <c r="P1810" i="1" s="1"/>
  <c r="P1811" i="1" s="1"/>
  <c r="P1812" i="1" s="1"/>
  <c r="P1813" i="1" s="1"/>
  <c r="P1814" i="1" s="1"/>
  <c r="P1815" i="1" s="1"/>
  <c r="P1816" i="1" s="1"/>
  <c r="P1817" i="1" s="1"/>
  <c r="P1818" i="1" s="1"/>
  <c r="P1819" i="1" s="1"/>
  <c r="P1820" i="1" s="1"/>
  <c r="P1821" i="1" s="1"/>
  <c r="P1822" i="1" s="1"/>
  <c r="P1823" i="1" s="1"/>
  <c r="P1824" i="1" s="1"/>
  <c r="P1825" i="1" s="1"/>
  <c r="P1826" i="1" s="1"/>
  <c r="P1827" i="1" s="1"/>
  <c r="P1828" i="1" s="1"/>
  <c r="P1829" i="1" s="1"/>
  <c r="P1830" i="1" s="1"/>
  <c r="P1831" i="1" s="1"/>
  <c r="P1832" i="1" s="1"/>
  <c r="P1833" i="1" s="1"/>
  <c r="P1834" i="1" s="1"/>
  <c r="P1835" i="1" s="1"/>
  <c r="P1836" i="1" s="1"/>
  <c r="P1837" i="1" s="1"/>
  <c r="P1838" i="1" s="1"/>
  <c r="P1839" i="1" s="1"/>
  <c r="P1840" i="1" s="1"/>
  <c r="P1841" i="1" s="1"/>
  <c r="P1842" i="1" s="1"/>
  <c r="P1843" i="1" s="1"/>
  <c r="P1844" i="1" s="1"/>
  <c r="P1845" i="1" s="1"/>
  <c r="P1846" i="1" s="1"/>
  <c r="P1847" i="1" s="1"/>
  <c r="P1848" i="1" s="1"/>
  <c r="P1849" i="1" s="1"/>
  <c r="P1850" i="1" s="1"/>
  <c r="P1851" i="1" s="1"/>
  <c r="P1852" i="1" s="1"/>
  <c r="P1853" i="1" s="1"/>
  <c r="P1854" i="1" s="1"/>
  <c r="P1855" i="1" s="1"/>
  <c r="P1856" i="1" s="1"/>
  <c r="P1857" i="1" s="1"/>
  <c r="P1858" i="1" s="1"/>
  <c r="P1859" i="1" s="1"/>
  <c r="P1860" i="1" s="1"/>
  <c r="P1861" i="1" s="1"/>
  <c r="P1862" i="1" s="1"/>
  <c r="P1863" i="1" s="1"/>
  <c r="P1864" i="1" s="1"/>
  <c r="P1865" i="1" s="1"/>
  <c r="P1866" i="1" s="1"/>
  <c r="P1867" i="1" s="1"/>
  <c r="P1868" i="1" s="1"/>
  <c r="P1869" i="1" s="1"/>
  <c r="P1870" i="1" s="1"/>
  <c r="P1871" i="1" s="1"/>
  <c r="P1872" i="1" s="1"/>
  <c r="P1873" i="1" s="1"/>
  <c r="P1874" i="1" s="1"/>
  <c r="P1875" i="1" s="1"/>
  <c r="P1876" i="1" s="1"/>
  <c r="P1877" i="1" s="1"/>
  <c r="P1878" i="1" s="1"/>
  <c r="P1879" i="1" s="1"/>
  <c r="P1880" i="1" s="1"/>
  <c r="P1881" i="1" s="1"/>
  <c r="P1882" i="1" s="1"/>
  <c r="P1883" i="1" s="1"/>
  <c r="P1884" i="1" s="1"/>
  <c r="P1885" i="1" s="1"/>
  <c r="P1886" i="1" s="1"/>
  <c r="P1887" i="1" s="1"/>
  <c r="P1888" i="1" s="1"/>
  <c r="P1889" i="1" s="1"/>
  <c r="P1890" i="1" s="1"/>
  <c r="P1891" i="1" s="1"/>
  <c r="P1892" i="1" s="1"/>
  <c r="P1893" i="1" s="1"/>
  <c r="P1894" i="1" s="1"/>
  <c r="P1895" i="1" s="1"/>
  <c r="P1896" i="1" s="1"/>
  <c r="P1897" i="1" s="1"/>
  <c r="P1898" i="1" s="1"/>
  <c r="P1899" i="1" s="1"/>
  <c r="P1900" i="1" s="1"/>
  <c r="P1901" i="1" s="1"/>
  <c r="P1902" i="1" s="1"/>
  <c r="P1903" i="1" s="1"/>
  <c r="P1904" i="1" s="1"/>
  <c r="P1905" i="1" s="1"/>
  <c r="P1906" i="1" s="1"/>
  <c r="P1907" i="1" s="1"/>
  <c r="P1908" i="1" s="1"/>
  <c r="P1909" i="1" s="1"/>
  <c r="P1910" i="1" s="1"/>
  <c r="P1911" i="1" s="1"/>
  <c r="P1912" i="1" s="1"/>
  <c r="P1913" i="1" s="1"/>
  <c r="P1914" i="1" s="1"/>
  <c r="P1915" i="1" s="1"/>
  <c r="P1916" i="1" s="1"/>
  <c r="P1917" i="1" s="1"/>
  <c r="P1918" i="1" s="1"/>
  <c r="P1919" i="1" s="1"/>
  <c r="P1920" i="1" s="1"/>
  <c r="P1921" i="1" s="1"/>
  <c r="P1922" i="1" s="1"/>
  <c r="P1923" i="1" s="1"/>
  <c r="P1924" i="1" s="1"/>
  <c r="P1925" i="1" s="1"/>
  <c r="P1926" i="1" s="1"/>
  <c r="P1927" i="1" s="1"/>
  <c r="P1928" i="1" s="1"/>
  <c r="P1929" i="1" s="1"/>
  <c r="P1930" i="1" s="1"/>
  <c r="P1931" i="1" s="1"/>
  <c r="P1932" i="1" s="1"/>
  <c r="P1933" i="1" s="1"/>
  <c r="P1934" i="1" s="1"/>
  <c r="P1935" i="1" s="1"/>
  <c r="P1936" i="1" s="1"/>
  <c r="P1937" i="1" s="1"/>
  <c r="P1938" i="1" s="1"/>
  <c r="P1939" i="1" s="1"/>
  <c r="P1940" i="1" s="1"/>
  <c r="P1941" i="1" s="1"/>
  <c r="P1942" i="1" s="1"/>
  <c r="P1943" i="1" s="1"/>
  <c r="P1944" i="1" s="1"/>
  <c r="P1945" i="1" s="1"/>
  <c r="P1946" i="1" s="1"/>
  <c r="P1947" i="1" s="1"/>
  <c r="P1948" i="1" s="1"/>
  <c r="P1949" i="1" s="1"/>
  <c r="P1950" i="1" s="1"/>
  <c r="P1951" i="1" s="1"/>
  <c r="P1952" i="1" s="1"/>
  <c r="P1953" i="1" s="1"/>
  <c r="P1954" i="1" s="1"/>
  <c r="P1955" i="1" s="1"/>
  <c r="P1956" i="1" s="1"/>
  <c r="P1957" i="1" s="1"/>
  <c r="P1958" i="1" s="1"/>
  <c r="P1959" i="1" s="1"/>
  <c r="P1960" i="1" s="1"/>
  <c r="P1961" i="1" s="1"/>
  <c r="P1962" i="1" s="1"/>
  <c r="P1963" i="1" s="1"/>
  <c r="P1964" i="1" s="1"/>
  <c r="P1965" i="1" s="1"/>
  <c r="P1966" i="1" s="1"/>
  <c r="P1967" i="1" s="1"/>
  <c r="P1968" i="1" s="1"/>
  <c r="P1969" i="1" s="1"/>
  <c r="P1970" i="1" s="1"/>
  <c r="P1971" i="1" s="1"/>
  <c r="P1972" i="1" s="1"/>
  <c r="P1973" i="1" s="1"/>
  <c r="P1974" i="1" s="1"/>
  <c r="P1975" i="1" s="1"/>
  <c r="P1976" i="1" s="1"/>
  <c r="P1977" i="1" s="1"/>
  <c r="P1978" i="1" s="1"/>
  <c r="P1979" i="1" s="1"/>
  <c r="P1980" i="1" s="1"/>
  <c r="P1981" i="1" s="1"/>
  <c r="P1982" i="1" s="1"/>
  <c r="P1983" i="1" s="1"/>
  <c r="P1984" i="1" s="1"/>
  <c r="P1985" i="1" s="1"/>
  <c r="P1986" i="1" s="1"/>
  <c r="P1987" i="1" s="1"/>
  <c r="P1988" i="1" s="1"/>
  <c r="P1989" i="1" s="1"/>
  <c r="P1990" i="1" s="1"/>
  <c r="P1991" i="1" s="1"/>
  <c r="P1992" i="1" s="1"/>
  <c r="P1993" i="1" s="1"/>
  <c r="P1994" i="1" s="1"/>
  <c r="P1995" i="1" s="1"/>
  <c r="P1996" i="1" s="1"/>
  <c r="P1997" i="1" s="1"/>
  <c r="P1998" i="1" s="1"/>
  <c r="P1999" i="1" s="1"/>
  <c r="P2000" i="1" s="1"/>
  <c r="P2001" i="1" s="1"/>
  <c r="P2002" i="1" s="1"/>
  <c r="P2003" i="1" s="1"/>
  <c r="P2004" i="1" s="1"/>
  <c r="P2005" i="1" s="1"/>
  <c r="P2006" i="1" s="1"/>
  <c r="P2007" i="1" s="1"/>
  <c r="P2008" i="1" s="1"/>
  <c r="P2009" i="1" s="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s="1"/>
  <c r="P2063" i="1" s="1"/>
  <c r="P2064" i="1" s="1"/>
  <c r="P2065" i="1" s="1"/>
  <c r="P2066" i="1" s="1"/>
  <c r="P2067" i="1" s="1"/>
  <c r="P2068" i="1" s="1"/>
  <c r="P2069" i="1" s="1"/>
  <c r="P2070" i="1" s="1"/>
  <c r="P2071" i="1" s="1"/>
  <c r="P2072" i="1" s="1"/>
  <c r="P2073" i="1" s="1"/>
  <c r="P2074" i="1" s="1"/>
  <c r="P2075" i="1" s="1"/>
  <c r="P2076" i="1" s="1"/>
  <c r="P2077" i="1" s="1"/>
  <c r="P2078" i="1" s="1"/>
  <c r="P2079" i="1" s="1"/>
  <c r="P2080" i="1" s="1"/>
  <c r="P2081" i="1" s="1"/>
  <c r="P2082" i="1" s="1"/>
  <c r="P2083" i="1" s="1"/>
  <c r="P2084" i="1" s="1"/>
  <c r="P2085" i="1" s="1"/>
  <c r="P2086" i="1" s="1"/>
  <c r="P2087" i="1" s="1"/>
  <c r="P2088" i="1" s="1"/>
  <c r="P2089" i="1" s="1"/>
  <c r="P2090" i="1" s="1"/>
  <c r="P2091" i="1" s="1"/>
  <c r="P2092" i="1" s="1"/>
  <c r="P2093" i="1" s="1"/>
  <c r="P2094" i="1" s="1"/>
  <c r="P2095" i="1" s="1"/>
  <c r="P2096" i="1" s="1"/>
  <c r="P2097" i="1" s="1"/>
  <c r="P2098" i="1" s="1"/>
  <c r="P2099" i="1" s="1"/>
  <c r="P2100" i="1" s="1"/>
  <c r="P2101" i="1" s="1"/>
  <c r="P2102" i="1" s="1"/>
  <c r="P2103" i="1" s="1"/>
  <c r="P2104" i="1" s="1"/>
  <c r="P2105" i="1" s="1"/>
  <c r="P2106" i="1" s="1"/>
  <c r="P2107" i="1" s="1"/>
  <c r="P2108" i="1" s="1"/>
  <c r="P2109" i="1" s="1"/>
  <c r="P2110" i="1" s="1"/>
  <c r="P2111" i="1" s="1"/>
  <c r="P2112" i="1" s="1"/>
  <c r="P2113" i="1" s="1"/>
  <c r="P2114" i="1" s="1"/>
  <c r="P2115" i="1" s="1"/>
  <c r="P2116" i="1" s="1"/>
  <c r="P2117" i="1" s="1"/>
  <c r="P2118" i="1" s="1"/>
  <c r="P2119" i="1" s="1"/>
  <c r="P2120" i="1" s="1"/>
  <c r="P2121" i="1" s="1"/>
  <c r="P2122" i="1" s="1"/>
  <c r="P2123" i="1" s="1"/>
  <c r="P2124" i="1" s="1"/>
  <c r="P2125" i="1" s="1"/>
  <c r="P2126" i="1" s="1"/>
  <c r="P2127" i="1" s="1"/>
  <c r="P2128" i="1" s="1"/>
  <c r="P2129" i="1" s="1"/>
  <c r="P2130" i="1" s="1"/>
  <c r="P2131" i="1" s="1"/>
  <c r="P2132" i="1" s="1"/>
  <c r="P2133" i="1" s="1"/>
  <c r="P2134" i="1" s="1"/>
  <c r="P2135" i="1" s="1"/>
  <c r="P2136" i="1" s="1"/>
  <c r="P2137" i="1" s="1"/>
  <c r="P2138" i="1" s="1"/>
  <c r="P2139" i="1" s="1"/>
  <c r="P2140" i="1" s="1"/>
  <c r="P2141" i="1" s="1"/>
  <c r="P2142" i="1" s="1"/>
  <c r="P2143" i="1" s="1"/>
  <c r="P2144" i="1" s="1"/>
  <c r="P2145" i="1" s="1"/>
  <c r="P2146" i="1" s="1"/>
  <c r="P2147" i="1" s="1"/>
  <c r="P2148" i="1" s="1"/>
  <c r="P2149" i="1" s="1"/>
  <c r="P2150" i="1" s="1"/>
  <c r="P2151" i="1" s="1"/>
  <c r="P2152" i="1" s="1"/>
  <c r="P2153" i="1" s="1"/>
  <c r="P2154" i="1" s="1"/>
  <c r="P2155" i="1" s="1"/>
  <c r="P2156" i="1" s="1"/>
  <c r="P2157" i="1" s="1"/>
  <c r="P2158" i="1" s="1"/>
  <c r="P2159" i="1" s="1"/>
  <c r="P2160" i="1" s="1"/>
  <c r="P2161" i="1" s="1"/>
  <c r="P2162" i="1" s="1"/>
  <c r="P2163" i="1" s="1"/>
  <c r="P2164" i="1" s="1"/>
  <c r="P2165" i="1" s="1"/>
  <c r="P2166" i="1" s="1"/>
  <c r="P2167" i="1" s="1"/>
  <c r="P2168" i="1" s="1"/>
  <c r="P2169" i="1" s="1"/>
  <c r="P2170" i="1" s="1"/>
  <c r="P2171" i="1" s="1"/>
  <c r="P2172" i="1" s="1"/>
  <c r="P2173" i="1" s="1"/>
  <c r="P2174" i="1" s="1"/>
  <c r="P2175" i="1" s="1"/>
  <c r="P2176" i="1" s="1"/>
  <c r="P2177" i="1" s="1"/>
  <c r="P2178" i="1" s="1"/>
  <c r="P2179" i="1" s="1"/>
  <c r="P2180" i="1" s="1"/>
  <c r="P2181" i="1" s="1"/>
  <c r="P2182" i="1" s="1"/>
  <c r="P2183" i="1" s="1"/>
  <c r="P2184" i="1" s="1"/>
  <c r="P2185" i="1" s="1"/>
  <c r="P2186" i="1" s="1"/>
  <c r="P2187" i="1" s="1"/>
  <c r="P2188" i="1" s="1"/>
  <c r="P2189" i="1" s="1"/>
  <c r="P2190" i="1" s="1"/>
  <c r="P2191" i="1" s="1"/>
  <c r="P2192" i="1" s="1"/>
  <c r="P2193" i="1" s="1"/>
  <c r="P2194" i="1" s="1"/>
  <c r="P2195" i="1" s="1"/>
  <c r="P2196" i="1" s="1"/>
  <c r="P2197" i="1" s="1"/>
  <c r="P2198" i="1" s="1"/>
  <c r="P2199" i="1" s="1"/>
  <c r="P2200" i="1" s="1"/>
  <c r="P2201" i="1" s="1"/>
  <c r="P2202" i="1" s="1"/>
  <c r="P2203" i="1" s="1"/>
  <c r="P2204" i="1" s="1"/>
  <c r="P2205" i="1" s="1"/>
  <c r="P2206" i="1" s="1"/>
  <c r="P2207" i="1" s="1"/>
  <c r="P2208" i="1" s="1"/>
  <c r="P2209" i="1" s="1"/>
  <c r="P2210" i="1" s="1"/>
  <c r="P2211" i="1" s="1"/>
  <c r="P2212" i="1" s="1"/>
  <c r="P2213" i="1" s="1"/>
  <c r="P2214" i="1" s="1"/>
  <c r="P2215" i="1" s="1"/>
  <c r="P2216" i="1" s="1"/>
  <c r="P2217" i="1" s="1"/>
  <c r="P2218" i="1" s="1"/>
  <c r="P2219" i="1" s="1"/>
  <c r="P2220" i="1" s="1"/>
  <c r="P2221" i="1" s="1"/>
  <c r="P2222" i="1" s="1"/>
  <c r="P2223" i="1" s="1"/>
  <c r="P2224" i="1" s="1"/>
  <c r="P2225" i="1" s="1"/>
  <c r="P2226" i="1" s="1"/>
  <c r="P2227" i="1" s="1"/>
  <c r="P2228" i="1" s="1"/>
  <c r="P2229" i="1" s="1"/>
  <c r="P2230" i="1" s="1"/>
  <c r="P2231" i="1" s="1"/>
  <c r="P2232" i="1" s="1"/>
  <c r="P2233" i="1" s="1"/>
  <c r="P2234" i="1" s="1"/>
  <c r="P2235" i="1" s="1"/>
  <c r="P2236" i="1" s="1"/>
  <c r="P2237" i="1" s="1"/>
  <c r="P2238" i="1" s="1"/>
  <c r="P2239" i="1" s="1"/>
  <c r="P2240" i="1" s="1"/>
  <c r="P2241" i="1" s="1"/>
  <c r="P2242" i="1" s="1"/>
  <c r="P2243" i="1" s="1"/>
  <c r="P2244" i="1" s="1"/>
  <c r="P2245" i="1" s="1"/>
  <c r="P2246" i="1" s="1"/>
  <c r="P2247" i="1" s="1"/>
  <c r="P2248" i="1" s="1"/>
  <c r="P2249" i="1" s="1"/>
  <c r="P2250" i="1" s="1"/>
  <c r="P2251" i="1" s="1"/>
  <c r="P2252" i="1" s="1"/>
  <c r="P2253" i="1" s="1"/>
  <c r="P2254" i="1" s="1"/>
  <c r="P2255" i="1" s="1"/>
  <c r="P2256" i="1" s="1"/>
  <c r="P2257" i="1" s="1"/>
  <c r="P2258" i="1" s="1"/>
  <c r="P2259" i="1" s="1"/>
  <c r="P2260" i="1" s="1"/>
  <c r="P2261" i="1" s="1"/>
  <c r="P2262" i="1" s="1"/>
  <c r="P2263" i="1" s="1"/>
  <c r="P2264" i="1" s="1"/>
  <c r="P2265" i="1" s="1"/>
  <c r="P2266" i="1" s="1"/>
  <c r="P2267" i="1" s="1"/>
  <c r="P2268" i="1" s="1"/>
  <c r="P2269" i="1" s="1"/>
  <c r="P2270" i="1" s="1"/>
  <c r="P2271" i="1" s="1"/>
  <c r="P2272" i="1" s="1"/>
  <c r="P2273" i="1" s="1"/>
  <c r="P2274" i="1" s="1"/>
  <c r="P2275" i="1" s="1"/>
  <c r="P2276" i="1" s="1"/>
  <c r="P2277" i="1" s="1"/>
  <c r="P2278" i="1" s="1"/>
  <c r="P2279" i="1" s="1"/>
  <c r="P2280" i="1" s="1"/>
  <c r="P2281" i="1" s="1"/>
  <c r="P2282" i="1" s="1"/>
  <c r="P2283" i="1" s="1"/>
  <c r="P2284" i="1" s="1"/>
  <c r="P2285" i="1" s="1"/>
  <c r="P2286" i="1" s="1"/>
  <c r="P2287" i="1" s="1"/>
  <c r="P2288" i="1" s="1"/>
  <c r="P2289" i="1" s="1"/>
  <c r="P2290" i="1" s="1"/>
  <c r="P2291" i="1" s="1"/>
  <c r="P2292" i="1" s="1"/>
  <c r="P2293" i="1" s="1"/>
  <c r="P2294" i="1" s="1"/>
  <c r="P2295" i="1" s="1"/>
  <c r="P2296" i="1" s="1"/>
  <c r="P2297" i="1" s="1"/>
  <c r="P2298" i="1" s="1"/>
  <c r="P2299" i="1" s="1"/>
  <c r="P2300" i="1" s="1"/>
  <c r="P2301" i="1" s="1"/>
  <c r="P2302" i="1" s="1"/>
  <c r="P2303" i="1" s="1"/>
  <c r="P2304" i="1" s="1"/>
  <c r="P2305" i="1" s="1"/>
  <c r="P2306" i="1" s="1"/>
  <c r="P2307" i="1" s="1"/>
  <c r="P2308" i="1" s="1"/>
  <c r="P2309" i="1" s="1"/>
  <c r="P2310" i="1" s="1"/>
  <c r="P2311" i="1" s="1"/>
  <c r="P2312" i="1" s="1"/>
  <c r="P2313" i="1" s="1"/>
  <c r="P2314" i="1" s="1"/>
  <c r="P2315" i="1" s="1"/>
  <c r="P2316" i="1" s="1"/>
  <c r="P2317" i="1" s="1"/>
  <c r="P2318" i="1" s="1"/>
  <c r="P2319" i="1" s="1"/>
  <c r="P2320" i="1" s="1"/>
  <c r="P2321" i="1" s="1"/>
  <c r="P2322" i="1" s="1"/>
  <c r="P2323" i="1" s="1"/>
  <c r="P2324" i="1" s="1"/>
  <c r="P2325" i="1" s="1"/>
  <c r="P2326" i="1" s="1"/>
  <c r="P2327" i="1" s="1"/>
  <c r="P2328" i="1" s="1"/>
  <c r="P2329" i="1" s="1"/>
  <c r="P2330" i="1" s="1"/>
  <c r="P2331" i="1" s="1"/>
  <c r="P2332" i="1" s="1"/>
  <c r="P2333" i="1" s="1"/>
  <c r="P2334" i="1" s="1"/>
  <c r="P2335" i="1" s="1"/>
  <c r="P2336" i="1" s="1"/>
  <c r="P2337" i="1" s="1"/>
  <c r="P2338" i="1" s="1"/>
  <c r="P2339" i="1" s="1"/>
  <c r="P2340" i="1" s="1"/>
  <c r="P2341" i="1" s="1"/>
  <c r="P2342" i="1" s="1"/>
  <c r="P2343" i="1" s="1"/>
  <c r="P2344" i="1" s="1"/>
  <c r="P2345" i="1" s="1"/>
  <c r="P2346" i="1" s="1"/>
  <c r="P2347" i="1" s="1"/>
  <c r="P2348" i="1" s="1"/>
  <c r="P2349" i="1" s="1"/>
  <c r="P2350" i="1" s="1"/>
  <c r="P2351" i="1" s="1"/>
  <c r="P2352" i="1" s="1"/>
  <c r="P2353" i="1" s="1"/>
  <c r="P2354" i="1" s="1"/>
  <c r="P2355" i="1" s="1"/>
  <c r="P2356" i="1" s="1"/>
  <c r="P2357" i="1" s="1"/>
  <c r="P2358" i="1" s="1"/>
  <c r="P2359" i="1" s="1"/>
  <c r="P2360" i="1" s="1"/>
  <c r="P2361" i="1" s="1"/>
  <c r="P2362" i="1" s="1"/>
  <c r="P2363" i="1" s="1"/>
  <c r="P2364" i="1" s="1"/>
  <c r="P2365" i="1" s="1"/>
  <c r="P2366" i="1" s="1"/>
  <c r="P2367" i="1" s="1"/>
  <c r="P2368" i="1" s="1"/>
  <c r="P2369" i="1" s="1"/>
  <c r="P2370" i="1" s="1"/>
  <c r="P2371" i="1" s="1"/>
  <c r="P2372" i="1" s="1"/>
  <c r="P2373" i="1" s="1"/>
  <c r="P2374" i="1" s="1"/>
  <c r="P2375" i="1" s="1"/>
  <c r="P2376" i="1" s="1"/>
  <c r="P2377" i="1" s="1"/>
  <c r="P2378" i="1" s="1"/>
  <c r="P2379" i="1" s="1"/>
  <c r="P2380" i="1" s="1"/>
  <c r="P2381" i="1" s="1"/>
  <c r="P2382" i="1" s="1"/>
  <c r="P2383" i="1" s="1"/>
  <c r="P2384" i="1" s="1"/>
  <c r="P2385" i="1" s="1"/>
  <c r="P2386" i="1" s="1"/>
  <c r="P2387" i="1" s="1"/>
  <c r="P2388" i="1" s="1"/>
  <c r="P2389" i="1" s="1"/>
  <c r="P2390" i="1" s="1"/>
  <c r="P2391" i="1" s="1"/>
  <c r="P2392" i="1" s="1"/>
  <c r="P2393" i="1" s="1"/>
  <c r="P2394" i="1" s="1"/>
  <c r="P2395" i="1" s="1"/>
  <c r="P2396" i="1" s="1"/>
  <c r="P2397" i="1" s="1"/>
  <c r="P2398" i="1" s="1"/>
  <c r="P2399" i="1" s="1"/>
  <c r="P2400" i="1" s="1"/>
  <c r="P2401" i="1" s="1"/>
  <c r="P2402" i="1" s="1"/>
  <c r="P2403" i="1" s="1"/>
  <c r="P2404" i="1" s="1"/>
  <c r="P2405" i="1" s="1"/>
  <c r="P2406" i="1" s="1"/>
  <c r="P2407" i="1" s="1"/>
  <c r="P2408" i="1" s="1"/>
  <c r="P2409" i="1" s="1"/>
  <c r="P2410" i="1" s="1"/>
  <c r="P2411" i="1" s="1"/>
  <c r="P2412" i="1" s="1"/>
  <c r="P2413" i="1" s="1"/>
  <c r="P2414" i="1" s="1"/>
  <c r="P2415" i="1" s="1"/>
  <c r="P2416" i="1" s="1"/>
  <c r="P2417" i="1" s="1"/>
  <c r="P2418" i="1" s="1"/>
  <c r="P2419" i="1" s="1"/>
  <c r="P2420" i="1" s="1"/>
  <c r="P2421" i="1" s="1"/>
  <c r="P2422" i="1" s="1"/>
  <c r="P2423" i="1" s="1"/>
  <c r="P2424" i="1" s="1"/>
  <c r="P2425" i="1" s="1"/>
  <c r="P2426" i="1" s="1"/>
  <c r="P2427" i="1" s="1"/>
  <c r="P2428" i="1" s="1"/>
  <c r="P2429" i="1" s="1"/>
  <c r="P2430" i="1" s="1"/>
  <c r="P2431" i="1" s="1"/>
  <c r="P2432" i="1" s="1"/>
  <c r="P2433" i="1" s="1"/>
  <c r="P2434" i="1" s="1"/>
  <c r="P2435" i="1" s="1"/>
  <c r="P2436" i="1" s="1"/>
  <c r="P2437" i="1" s="1"/>
  <c r="P2438" i="1" s="1"/>
  <c r="P2439" i="1" s="1"/>
  <c r="P2440" i="1" s="1"/>
  <c r="P2441" i="1" s="1"/>
  <c r="P2442" i="1" s="1"/>
  <c r="P2443" i="1" s="1"/>
  <c r="P2444" i="1" s="1"/>
  <c r="P2445" i="1" s="1"/>
  <c r="P2446" i="1" s="1"/>
  <c r="P2447" i="1" s="1"/>
  <c r="P2448" i="1" s="1"/>
  <c r="P2449" i="1" s="1"/>
  <c r="P2450" i="1" s="1"/>
  <c r="P2451" i="1" s="1"/>
  <c r="P2452" i="1" s="1"/>
  <c r="P2453" i="1" s="1"/>
  <c r="P2454" i="1" s="1"/>
  <c r="P2455" i="1" s="1"/>
  <c r="P2456" i="1" s="1"/>
  <c r="P2457" i="1" s="1"/>
  <c r="P2458" i="1" s="1"/>
  <c r="P2459" i="1" s="1"/>
  <c r="P2460" i="1" s="1"/>
  <c r="P2461" i="1" s="1"/>
  <c r="P2462" i="1" s="1"/>
  <c r="P2463" i="1" s="1"/>
  <c r="P2464" i="1" s="1"/>
  <c r="P2465" i="1" s="1"/>
  <c r="P2466" i="1" s="1"/>
  <c r="P2467" i="1" s="1"/>
  <c r="P2468" i="1" s="1"/>
  <c r="P2469" i="1" s="1"/>
  <c r="P2470" i="1" s="1"/>
  <c r="P2471" i="1" s="1"/>
  <c r="P2472" i="1" s="1"/>
  <c r="P2473" i="1" s="1"/>
  <c r="P2474" i="1" s="1"/>
  <c r="P2475" i="1" s="1"/>
  <c r="P2476" i="1" s="1"/>
  <c r="P2477" i="1" s="1"/>
  <c r="P2478" i="1" s="1"/>
  <c r="P2479" i="1" s="1"/>
  <c r="P2480" i="1" s="1"/>
  <c r="P2481" i="1" s="1"/>
  <c r="P2482" i="1" s="1"/>
  <c r="P2483" i="1" s="1"/>
  <c r="P2484" i="1" s="1"/>
  <c r="P2485" i="1" s="1"/>
  <c r="P2486" i="1" s="1"/>
  <c r="P2487" i="1" s="1"/>
  <c r="P2488" i="1" s="1"/>
  <c r="P2489" i="1" s="1"/>
  <c r="P2490" i="1" s="1"/>
  <c r="P2491" i="1" s="1"/>
  <c r="P2492" i="1" s="1"/>
  <c r="P2493" i="1" s="1"/>
  <c r="P2494" i="1" s="1"/>
  <c r="P2495" i="1" s="1"/>
  <c r="P2496" i="1" s="1"/>
  <c r="P2497" i="1" s="1"/>
  <c r="P2498" i="1" s="1"/>
  <c r="P2499" i="1" s="1"/>
  <c r="P2500" i="1" s="1"/>
  <c r="P2501" i="1" s="1"/>
  <c r="P2502" i="1" s="1"/>
  <c r="P2503" i="1" s="1"/>
  <c r="P2504" i="1" s="1"/>
  <c r="P2505" i="1" s="1"/>
  <c r="P2506" i="1" s="1"/>
  <c r="P2507" i="1" s="1"/>
  <c r="P2508" i="1" s="1"/>
  <c r="P2509" i="1" s="1"/>
  <c r="P2510" i="1" s="1"/>
  <c r="P2511" i="1" s="1"/>
  <c r="P2512" i="1"/>
  <c r="P2513" i="1" s="1"/>
  <c r="P2514" i="1" s="1"/>
  <c r="P2515" i="1" s="1"/>
  <c r="P2516" i="1" s="1"/>
  <c r="P2517" i="1" s="1"/>
  <c r="P2518" i="1" s="1"/>
  <c r="P2519" i="1" s="1"/>
  <c r="P2520" i="1" s="1"/>
  <c r="P2521" i="1" s="1"/>
  <c r="P2522" i="1" s="1"/>
  <c r="P2523" i="1" s="1"/>
  <c r="P2524" i="1" s="1"/>
  <c r="P2525" i="1" s="1"/>
  <c r="P2526" i="1" s="1"/>
  <c r="P2527" i="1" s="1"/>
  <c r="P2528" i="1" s="1"/>
  <c r="P2529" i="1" s="1"/>
  <c r="P2530" i="1" s="1"/>
  <c r="P2531" i="1" s="1"/>
  <c r="P2532" i="1" s="1"/>
  <c r="P2533" i="1" s="1"/>
  <c r="P2534" i="1" s="1"/>
  <c r="P2535" i="1" s="1"/>
  <c r="P2536" i="1" s="1"/>
  <c r="P2537" i="1" s="1"/>
  <c r="P2538" i="1" s="1"/>
  <c r="P2539" i="1" s="1"/>
  <c r="P2540" i="1" s="1"/>
  <c r="P2541" i="1" s="1"/>
  <c r="P2542" i="1" s="1"/>
  <c r="P2543" i="1" s="1"/>
  <c r="P2544" i="1" s="1"/>
  <c r="P2545" i="1" s="1"/>
  <c r="P2546" i="1" s="1"/>
  <c r="P2547" i="1" s="1"/>
  <c r="P2548" i="1" s="1"/>
  <c r="P2549" i="1" s="1"/>
  <c r="P2550" i="1" s="1"/>
  <c r="P2551" i="1" s="1"/>
  <c r="P2552" i="1" s="1"/>
  <c r="P2553" i="1" s="1"/>
  <c r="P2554" i="1" s="1"/>
  <c r="P2555" i="1" s="1"/>
  <c r="P2556" i="1" s="1"/>
  <c r="P2557" i="1" s="1"/>
  <c r="P2558" i="1" s="1"/>
  <c r="P2559" i="1" s="1"/>
  <c r="P2560" i="1" s="1"/>
  <c r="P2561" i="1" s="1"/>
  <c r="P2562" i="1" s="1"/>
  <c r="P2563" i="1" s="1"/>
  <c r="P2564" i="1" s="1"/>
  <c r="P2565" i="1" s="1"/>
  <c r="P2566" i="1" s="1"/>
  <c r="P2567" i="1" s="1"/>
  <c r="P2568" i="1" s="1"/>
  <c r="P2569" i="1" s="1"/>
  <c r="P2570" i="1" s="1"/>
  <c r="P2571" i="1" s="1"/>
  <c r="P2572" i="1" s="1"/>
  <c r="P2573" i="1" s="1"/>
  <c r="P2574" i="1" s="1"/>
  <c r="P2575" i="1" s="1"/>
  <c r="P2576" i="1" s="1"/>
  <c r="P2577" i="1" s="1"/>
  <c r="P2578" i="1" s="1"/>
  <c r="P2579" i="1" s="1"/>
  <c r="P2580" i="1" s="1"/>
  <c r="P2581" i="1" s="1"/>
  <c r="P2582" i="1" s="1"/>
  <c r="P2583" i="1" s="1"/>
  <c r="P2584" i="1" s="1"/>
  <c r="P2585" i="1" s="1"/>
  <c r="P2586" i="1" s="1"/>
  <c r="P2587" i="1" s="1"/>
  <c r="P2588" i="1" s="1"/>
  <c r="P2589" i="1" s="1"/>
  <c r="P2590" i="1" s="1"/>
  <c r="P2591" i="1" s="1"/>
  <c r="P2592" i="1" s="1"/>
  <c r="P2593" i="1" s="1"/>
  <c r="P2594" i="1" s="1"/>
  <c r="P2595" i="1" s="1"/>
  <c r="P2596" i="1" s="1"/>
  <c r="P2597" i="1" s="1"/>
  <c r="P2598" i="1" s="1"/>
  <c r="P2599" i="1" s="1"/>
  <c r="P2600" i="1" s="1"/>
  <c r="P2601" i="1" s="1"/>
  <c r="P2602" i="1" s="1"/>
  <c r="P2603" i="1" s="1"/>
  <c r="P2604" i="1" s="1"/>
  <c r="P2605" i="1" s="1"/>
  <c r="P2606" i="1" s="1"/>
  <c r="P2607" i="1" s="1"/>
  <c r="P2608" i="1" s="1"/>
  <c r="P2609" i="1" s="1"/>
  <c r="P2610" i="1" s="1"/>
  <c r="P2611" i="1" s="1"/>
  <c r="P2612" i="1" s="1"/>
  <c r="P2613" i="1" s="1"/>
  <c r="P2614" i="1" s="1"/>
  <c r="P2615" i="1" s="1"/>
  <c r="P2616" i="1" s="1"/>
  <c r="P2617" i="1" s="1"/>
  <c r="P2618" i="1" s="1"/>
  <c r="P2619" i="1" s="1"/>
  <c r="P2620" i="1" s="1"/>
  <c r="P2621" i="1" s="1"/>
  <c r="P2622" i="1" s="1"/>
  <c r="P2623" i="1" s="1"/>
  <c r="P2624" i="1" s="1"/>
  <c r="P2625" i="1" s="1"/>
  <c r="P2626" i="1" s="1"/>
  <c r="P2627" i="1" s="1"/>
  <c r="P2628" i="1" s="1"/>
  <c r="P2629" i="1" s="1"/>
  <c r="P2630" i="1" s="1"/>
  <c r="P2631" i="1" s="1"/>
  <c r="P2632" i="1" s="1"/>
  <c r="P2633" i="1" s="1"/>
  <c r="P2634" i="1" s="1"/>
  <c r="P2635" i="1" s="1"/>
  <c r="P2636" i="1" s="1"/>
  <c r="P2637" i="1" s="1"/>
  <c r="P2638" i="1" s="1"/>
  <c r="P2639" i="1" s="1"/>
  <c r="P2640" i="1" s="1"/>
  <c r="P2641" i="1" s="1"/>
  <c r="P2642" i="1" s="1"/>
  <c r="P2643" i="1" s="1"/>
  <c r="P2644" i="1" s="1"/>
  <c r="P2645" i="1" s="1"/>
  <c r="P2646" i="1" s="1"/>
  <c r="P2647" i="1" s="1"/>
  <c r="P2648" i="1" s="1"/>
  <c r="P2649" i="1" s="1"/>
  <c r="P2650" i="1" s="1"/>
  <c r="P2651" i="1" s="1"/>
  <c r="P2652" i="1" s="1"/>
  <c r="P2653" i="1" s="1"/>
  <c r="P2654" i="1" s="1"/>
  <c r="P2655" i="1" s="1"/>
  <c r="P2656" i="1" s="1"/>
  <c r="P2657" i="1" s="1"/>
  <c r="P2658" i="1" s="1"/>
  <c r="P2659" i="1" s="1"/>
  <c r="P2660" i="1" s="1"/>
  <c r="P2661" i="1" s="1"/>
  <c r="P2662" i="1" s="1"/>
  <c r="P2663" i="1" s="1"/>
  <c r="P2664" i="1" s="1"/>
  <c r="P2665" i="1" s="1"/>
  <c r="P2666" i="1" s="1"/>
  <c r="P2667" i="1" s="1"/>
  <c r="P2668" i="1" s="1"/>
  <c r="P2669" i="1" s="1"/>
  <c r="P2670" i="1" s="1"/>
  <c r="P2671" i="1" s="1"/>
  <c r="P2672" i="1" s="1"/>
  <c r="P2673" i="1" s="1"/>
  <c r="P2674" i="1" s="1"/>
  <c r="P2675" i="1" s="1"/>
  <c r="P2676" i="1" s="1"/>
  <c r="P2677" i="1" s="1"/>
  <c r="P2678" i="1" s="1"/>
  <c r="P2679" i="1" s="1"/>
  <c r="P2680" i="1" s="1"/>
  <c r="P2681" i="1" s="1"/>
  <c r="P2682" i="1" s="1"/>
  <c r="P2683" i="1" s="1"/>
  <c r="P2684" i="1" s="1"/>
  <c r="P2685" i="1" s="1"/>
  <c r="P2686" i="1" s="1"/>
  <c r="P2687" i="1" s="1"/>
  <c r="P2688" i="1" s="1"/>
  <c r="P2689" i="1" s="1"/>
  <c r="P2690" i="1" s="1"/>
  <c r="P2691" i="1" s="1"/>
  <c r="P2692" i="1" s="1"/>
  <c r="P2693" i="1" s="1"/>
  <c r="P2694" i="1" s="1"/>
  <c r="P2695" i="1" s="1"/>
  <c r="P2696" i="1" s="1"/>
  <c r="P2697" i="1" s="1"/>
  <c r="P2698" i="1" s="1"/>
  <c r="P2699" i="1" s="1"/>
  <c r="P2700" i="1" s="1"/>
  <c r="P2701" i="1" s="1"/>
  <c r="P2702" i="1" s="1"/>
  <c r="P2703" i="1" s="1"/>
  <c r="P2704" i="1" s="1"/>
  <c r="P2705" i="1" s="1"/>
  <c r="P2706" i="1" s="1"/>
  <c r="P2707" i="1" s="1"/>
  <c r="P2708" i="1" s="1"/>
  <c r="P2709" i="1" s="1"/>
  <c r="P2710" i="1" s="1"/>
  <c r="P2711" i="1" s="1"/>
  <c r="P2712" i="1" s="1"/>
  <c r="P2713" i="1" s="1"/>
  <c r="P2714" i="1" s="1"/>
  <c r="P2715" i="1" s="1"/>
  <c r="P2716" i="1" s="1"/>
  <c r="P2717" i="1" s="1"/>
  <c r="P2718" i="1" s="1"/>
  <c r="P2719" i="1" s="1"/>
  <c r="P2720" i="1" s="1"/>
  <c r="P2721" i="1" s="1"/>
  <c r="P2722" i="1" s="1"/>
  <c r="P2723" i="1" s="1"/>
  <c r="P2724" i="1" s="1"/>
  <c r="P2725" i="1" s="1"/>
  <c r="P2726" i="1" s="1"/>
  <c r="P2727" i="1" s="1"/>
  <c r="P2728" i="1" s="1"/>
  <c r="P2729" i="1" s="1"/>
  <c r="P2730" i="1" s="1"/>
  <c r="P2731" i="1" s="1"/>
  <c r="P2732" i="1" s="1"/>
  <c r="P2733" i="1" s="1"/>
  <c r="P2734" i="1" s="1"/>
  <c r="P2735" i="1" s="1"/>
  <c r="P2736" i="1" s="1"/>
  <c r="P2737" i="1" s="1"/>
  <c r="P2738" i="1" s="1"/>
  <c r="P2739" i="1" s="1"/>
  <c r="P2740" i="1" s="1"/>
  <c r="P2741" i="1" s="1"/>
  <c r="P2742" i="1" s="1"/>
  <c r="P2743" i="1" s="1"/>
  <c r="P2744" i="1" s="1"/>
  <c r="P2745" i="1" s="1"/>
  <c r="P2746" i="1" s="1"/>
  <c r="P2747" i="1" s="1"/>
  <c r="P2748" i="1" s="1"/>
  <c r="P2749" i="1" s="1"/>
  <c r="P2750" i="1" s="1"/>
  <c r="P2751" i="1" s="1"/>
  <c r="P2752" i="1" s="1"/>
  <c r="P2753" i="1" s="1"/>
  <c r="P2754" i="1" s="1"/>
  <c r="P2755" i="1" s="1"/>
  <c r="P2756" i="1" s="1"/>
  <c r="P2757" i="1" s="1"/>
  <c r="P2758" i="1" s="1"/>
  <c r="P2759" i="1" s="1"/>
  <c r="P2760" i="1" s="1"/>
  <c r="P2761" i="1" s="1"/>
  <c r="P2762" i="1" s="1"/>
  <c r="P2763" i="1" s="1"/>
  <c r="P2764" i="1" s="1"/>
  <c r="P2765" i="1" s="1"/>
  <c r="P2766" i="1" s="1"/>
  <c r="P2767" i="1" s="1"/>
  <c r="P2768" i="1" s="1"/>
  <c r="P2769" i="1" s="1"/>
  <c r="P2770" i="1" s="1"/>
  <c r="P2771" i="1" s="1"/>
  <c r="P2772" i="1" s="1"/>
  <c r="P2773" i="1" s="1"/>
  <c r="P2774" i="1" s="1"/>
  <c r="P2775" i="1" s="1"/>
  <c r="P2776" i="1" s="1"/>
  <c r="P2777" i="1" s="1"/>
  <c r="P2778" i="1" s="1"/>
  <c r="P2779" i="1" s="1"/>
  <c r="P2780" i="1" s="1"/>
  <c r="P2781" i="1" s="1"/>
  <c r="P2782" i="1" s="1"/>
  <c r="P2783" i="1" s="1"/>
  <c r="P2784" i="1" s="1"/>
  <c r="P2785" i="1" s="1"/>
  <c r="P2786" i="1" s="1"/>
  <c r="P2787" i="1" s="1"/>
  <c r="P2788" i="1" s="1"/>
  <c r="P2789" i="1" s="1"/>
  <c r="P2790" i="1" s="1"/>
  <c r="P2791" i="1" s="1"/>
  <c r="P2792" i="1" s="1"/>
  <c r="P2793" i="1" s="1"/>
  <c r="P2794" i="1" s="1"/>
  <c r="P2795" i="1" s="1"/>
  <c r="P2796" i="1" s="1"/>
  <c r="P2797" i="1" s="1"/>
  <c r="P2798" i="1" s="1"/>
  <c r="P2799" i="1" s="1"/>
  <c r="P2800" i="1" s="1"/>
  <c r="P2801" i="1" s="1"/>
  <c r="P2802" i="1" s="1"/>
  <c r="P2803" i="1" s="1"/>
  <c r="P2804" i="1" s="1"/>
  <c r="P2805" i="1" s="1"/>
  <c r="P2806" i="1" s="1"/>
  <c r="P2807" i="1" s="1"/>
  <c r="P2808" i="1" s="1"/>
  <c r="P2809" i="1" s="1"/>
  <c r="P2810" i="1" s="1"/>
  <c r="P2811" i="1" s="1"/>
  <c r="P2812" i="1" s="1"/>
  <c r="P2813" i="1" s="1"/>
  <c r="P2814" i="1" s="1"/>
  <c r="P2815" i="1" s="1"/>
  <c r="P2816" i="1" s="1"/>
  <c r="P2817" i="1" s="1"/>
  <c r="P2818" i="1" s="1"/>
  <c r="P2819" i="1" s="1"/>
  <c r="P2820" i="1" s="1"/>
  <c r="P2821" i="1" s="1"/>
  <c r="P2822" i="1" s="1"/>
  <c r="P2823" i="1" s="1"/>
  <c r="P2824" i="1" s="1"/>
  <c r="P2825" i="1" s="1"/>
  <c r="P2826" i="1" s="1"/>
  <c r="P2827" i="1" s="1"/>
  <c r="P2828" i="1" s="1"/>
  <c r="P2829" i="1" s="1"/>
  <c r="P2830" i="1" s="1"/>
  <c r="P2831" i="1" s="1"/>
  <c r="P2832" i="1" s="1"/>
  <c r="P2833" i="1" s="1"/>
  <c r="P2834" i="1" s="1"/>
  <c r="P2835" i="1" s="1"/>
  <c r="P2836" i="1" s="1"/>
  <c r="P2837" i="1" s="1"/>
  <c r="P2838" i="1" s="1"/>
  <c r="P2839" i="1" s="1"/>
  <c r="P2840" i="1" s="1"/>
  <c r="P2841" i="1" s="1"/>
  <c r="P2842" i="1" s="1"/>
  <c r="P2843" i="1" s="1"/>
  <c r="P2844" i="1" s="1"/>
  <c r="P2845" i="1" s="1"/>
  <c r="P2846" i="1" s="1"/>
  <c r="P2847" i="1" s="1"/>
  <c r="P2848" i="1" s="1"/>
  <c r="P2849" i="1" s="1"/>
  <c r="P2850" i="1" s="1"/>
  <c r="P2851" i="1" s="1"/>
  <c r="P2852" i="1" s="1"/>
  <c r="P2853" i="1" s="1"/>
  <c r="P2854" i="1" s="1"/>
  <c r="P2855" i="1" s="1"/>
  <c r="P2856" i="1" s="1"/>
  <c r="P2857" i="1" s="1"/>
  <c r="P2858" i="1" s="1"/>
  <c r="P2859" i="1" s="1"/>
  <c r="P2860" i="1" s="1"/>
  <c r="P2861" i="1" s="1"/>
  <c r="P2862" i="1" s="1"/>
  <c r="P2863" i="1" s="1"/>
  <c r="P2864" i="1" s="1"/>
  <c r="P2865" i="1" s="1"/>
  <c r="P2866" i="1" s="1"/>
  <c r="P2867" i="1" s="1"/>
  <c r="P2868" i="1" s="1"/>
  <c r="P2869" i="1" s="1"/>
  <c r="P2870" i="1" s="1"/>
  <c r="P2871" i="1" s="1"/>
  <c r="P2872" i="1" s="1"/>
  <c r="P2873" i="1" s="1"/>
  <c r="P2874" i="1" s="1"/>
  <c r="P2875" i="1" s="1"/>
  <c r="P2876" i="1" s="1"/>
  <c r="P2877" i="1" s="1"/>
  <c r="P2878" i="1" s="1"/>
  <c r="P2879" i="1" s="1"/>
  <c r="P2880" i="1" s="1"/>
  <c r="P2881" i="1" s="1"/>
  <c r="P2882" i="1" s="1"/>
  <c r="P2883" i="1" s="1"/>
  <c r="P2884" i="1" s="1"/>
  <c r="P2885" i="1" s="1"/>
  <c r="P2886" i="1" s="1"/>
  <c r="P2887" i="1" s="1"/>
  <c r="P2888" i="1" s="1"/>
  <c r="P2889" i="1" s="1"/>
  <c r="P2890" i="1" s="1"/>
  <c r="P2891" i="1" s="1"/>
  <c r="P2892" i="1" s="1"/>
  <c r="P2893" i="1" s="1"/>
  <c r="P2894" i="1" s="1"/>
  <c r="P2895" i="1" s="1"/>
  <c r="P2896" i="1" s="1"/>
  <c r="P2897" i="1" s="1"/>
  <c r="P2898" i="1" s="1"/>
  <c r="P2899" i="1" s="1"/>
  <c r="P2900" i="1" s="1"/>
  <c r="P2901" i="1" s="1"/>
  <c r="P2902" i="1" s="1"/>
  <c r="P2903" i="1" s="1"/>
  <c r="P2904" i="1" s="1"/>
  <c r="P2905" i="1" s="1"/>
  <c r="P2906" i="1" s="1"/>
  <c r="P2907" i="1" s="1"/>
  <c r="P2908" i="1" s="1"/>
  <c r="P2909" i="1" s="1"/>
  <c r="P2910" i="1" s="1"/>
  <c r="P2911" i="1" s="1"/>
  <c r="P2912" i="1" s="1"/>
  <c r="P2913" i="1" s="1"/>
  <c r="P2914" i="1" s="1"/>
  <c r="P2915" i="1" s="1"/>
  <c r="P2916" i="1" s="1"/>
  <c r="P2917" i="1" s="1"/>
  <c r="P2918" i="1" s="1"/>
  <c r="P2919" i="1" s="1"/>
  <c r="P2920" i="1" s="1"/>
  <c r="P2921" i="1" s="1"/>
  <c r="P2922" i="1" s="1"/>
  <c r="P2923" i="1" s="1"/>
  <c r="P2924" i="1" s="1"/>
  <c r="P2925" i="1" s="1"/>
  <c r="P2926" i="1" s="1"/>
  <c r="P2927" i="1" s="1"/>
  <c r="P2928" i="1" s="1"/>
  <c r="P2929" i="1" s="1"/>
  <c r="P2930" i="1" s="1"/>
  <c r="P2931" i="1" s="1"/>
  <c r="P2932" i="1" s="1"/>
  <c r="P2933" i="1" s="1"/>
  <c r="P2934" i="1" s="1"/>
  <c r="P2935" i="1" s="1"/>
  <c r="P2936" i="1" s="1"/>
  <c r="P2937" i="1" s="1"/>
  <c r="P2938" i="1" s="1"/>
  <c r="P2939" i="1" s="1"/>
  <c r="P2940" i="1" s="1"/>
  <c r="P2941" i="1" s="1"/>
  <c r="P2942" i="1" s="1"/>
  <c r="P2943" i="1" s="1"/>
  <c r="P2944" i="1" s="1"/>
  <c r="P2945" i="1" s="1"/>
  <c r="P2946" i="1" s="1"/>
  <c r="P2947" i="1" s="1"/>
  <c r="P2948" i="1" s="1"/>
  <c r="P2949" i="1" s="1"/>
  <c r="P2950" i="1" s="1"/>
  <c r="P2951" i="1" s="1"/>
  <c r="P2952" i="1" s="1"/>
  <c r="P2953" i="1" s="1"/>
  <c r="P2954" i="1" s="1"/>
  <c r="P2955" i="1" s="1"/>
  <c r="P2956" i="1" s="1"/>
  <c r="P2957" i="1" s="1"/>
  <c r="P2958" i="1" s="1"/>
  <c r="P2959" i="1" s="1"/>
  <c r="P2960" i="1" s="1"/>
  <c r="P2961" i="1" s="1"/>
  <c r="P2962" i="1" s="1"/>
  <c r="P2963" i="1" s="1"/>
  <c r="P2964" i="1" s="1"/>
  <c r="P2965" i="1" s="1"/>
  <c r="P2966" i="1" s="1"/>
  <c r="P2967" i="1" s="1"/>
  <c r="P2968" i="1" s="1"/>
  <c r="P2969" i="1" s="1"/>
  <c r="P2970" i="1" s="1"/>
  <c r="P2971" i="1" s="1"/>
  <c r="P2972" i="1" s="1"/>
  <c r="P2973" i="1" s="1"/>
  <c r="P2974" i="1" s="1"/>
  <c r="P2975" i="1" s="1"/>
  <c r="P2976" i="1" s="1"/>
  <c r="P2977" i="1" s="1"/>
  <c r="P2978" i="1" s="1"/>
  <c r="P2979" i="1" s="1"/>
  <c r="P2980" i="1" s="1"/>
  <c r="P2981" i="1" s="1"/>
  <c r="P2982" i="1" s="1"/>
  <c r="P2983" i="1" s="1"/>
  <c r="P2984" i="1" s="1"/>
  <c r="P2985" i="1" s="1"/>
  <c r="P2986" i="1" s="1"/>
  <c r="P2987" i="1" s="1"/>
  <c r="P2988" i="1" s="1"/>
  <c r="P2989" i="1" s="1"/>
  <c r="P2990" i="1" s="1"/>
  <c r="P2991" i="1" s="1"/>
  <c r="P2992" i="1" s="1"/>
  <c r="P2993" i="1" s="1"/>
  <c r="P2994" i="1" s="1"/>
  <c r="P2995" i="1" s="1"/>
  <c r="P2996" i="1" s="1"/>
  <c r="P2997" i="1" s="1"/>
  <c r="P2998" i="1" s="1"/>
  <c r="P2999" i="1" s="1"/>
  <c r="P3000" i="1" s="1"/>
  <c r="P3001" i="1" s="1"/>
  <c r="P3002" i="1" s="1"/>
  <c r="P3003" i="1" s="1"/>
  <c r="P3004" i="1" s="1"/>
  <c r="P3005" i="1" s="1"/>
  <c r="P3006" i="1" s="1"/>
  <c r="P3007" i="1" s="1"/>
  <c r="P3008" i="1" s="1"/>
  <c r="P3009" i="1" s="1"/>
  <c r="P3010" i="1" s="1"/>
  <c r="P3011" i="1" s="1"/>
  <c r="P3012" i="1" s="1"/>
  <c r="P3013" i="1" s="1"/>
  <c r="P3014" i="1"/>
  <c r="P3015" i="1" s="1"/>
  <c r="P3016" i="1" s="1"/>
  <c r="P3017" i="1" s="1"/>
  <c r="P3018" i="1" s="1"/>
  <c r="P3019" i="1" s="1"/>
  <c r="P3020" i="1" s="1"/>
  <c r="P3021" i="1" s="1"/>
  <c r="P3022" i="1" s="1"/>
  <c r="P3023" i="1" s="1"/>
  <c r="P3024" i="1" s="1"/>
  <c r="P3025" i="1" s="1"/>
  <c r="P3026" i="1" s="1"/>
  <c r="P3027" i="1" s="1"/>
  <c r="P3028" i="1" s="1"/>
  <c r="P3029" i="1" s="1"/>
  <c r="P3030" i="1" s="1"/>
  <c r="P3031" i="1" s="1"/>
  <c r="P3032" i="1" s="1"/>
  <c r="P3033" i="1" s="1"/>
  <c r="P3034" i="1" s="1"/>
  <c r="P3035" i="1" s="1"/>
  <c r="P3036" i="1" s="1"/>
  <c r="P3037" i="1" s="1"/>
  <c r="P3038" i="1" s="1"/>
  <c r="P3039" i="1" s="1"/>
  <c r="P3040" i="1" s="1"/>
  <c r="P3041" i="1" s="1"/>
  <c r="P3042" i="1" s="1"/>
  <c r="P3043" i="1" s="1"/>
  <c r="P3044" i="1" s="1"/>
  <c r="P3045" i="1" s="1"/>
  <c r="P3046" i="1" s="1"/>
  <c r="P3047" i="1" s="1"/>
  <c r="P3048" i="1" s="1"/>
  <c r="P3049" i="1" s="1"/>
  <c r="P3050" i="1" s="1"/>
  <c r="P3051" i="1" s="1"/>
  <c r="P3052" i="1" s="1"/>
  <c r="P3053" i="1" s="1"/>
  <c r="P3054" i="1" s="1"/>
  <c r="P3055" i="1" s="1"/>
  <c r="P3056" i="1" s="1"/>
  <c r="P3057" i="1" s="1"/>
  <c r="P3058" i="1" s="1"/>
  <c r="P3059" i="1" s="1"/>
  <c r="P3060" i="1" s="1"/>
  <c r="P3061" i="1" s="1"/>
  <c r="P3062" i="1" s="1"/>
  <c r="P3063" i="1" s="1"/>
  <c r="P3064" i="1" s="1"/>
  <c r="P3065" i="1" s="1"/>
  <c r="P3066" i="1" s="1"/>
  <c r="P3067" i="1" s="1"/>
  <c r="P3068" i="1" s="1"/>
  <c r="P3069" i="1" s="1"/>
  <c r="P3070" i="1" s="1"/>
  <c r="P3071" i="1" s="1"/>
  <c r="P3072" i="1" s="1"/>
  <c r="P3073" i="1" s="1"/>
  <c r="P3074" i="1" s="1"/>
  <c r="P3075" i="1" s="1"/>
  <c r="P3076" i="1" s="1"/>
  <c r="P3077" i="1" s="1"/>
  <c r="P3078" i="1" s="1"/>
  <c r="P3079" i="1" s="1"/>
  <c r="P3080" i="1" s="1"/>
  <c r="P3081" i="1" s="1"/>
  <c r="P3082" i="1" s="1"/>
  <c r="P3083" i="1" s="1"/>
  <c r="P3084" i="1" s="1"/>
  <c r="P3085" i="1" s="1"/>
  <c r="P3086" i="1" s="1"/>
  <c r="P3087" i="1" s="1"/>
  <c r="P3088" i="1" s="1"/>
  <c r="P3089" i="1" s="1"/>
  <c r="P3090" i="1" s="1"/>
  <c r="P3091" i="1" s="1"/>
  <c r="P3092" i="1" s="1"/>
  <c r="P3093" i="1" s="1"/>
  <c r="P3094" i="1" s="1"/>
  <c r="P3095" i="1" s="1"/>
  <c r="P3096" i="1" s="1"/>
  <c r="P3097" i="1" s="1"/>
  <c r="P3098" i="1" s="1"/>
  <c r="P3099" i="1" s="1"/>
  <c r="P3100" i="1" s="1"/>
  <c r="P3101" i="1" s="1"/>
  <c r="P3102" i="1" s="1"/>
  <c r="P3103" i="1" s="1"/>
  <c r="P3104" i="1" s="1"/>
  <c r="P3105" i="1" s="1"/>
  <c r="P3106" i="1" s="1"/>
  <c r="P3107" i="1" s="1"/>
  <c r="P3108" i="1" s="1"/>
  <c r="P3109" i="1" s="1"/>
  <c r="P3110" i="1" s="1"/>
  <c r="P3111" i="1" s="1"/>
  <c r="P3112" i="1" s="1"/>
  <c r="P3113" i="1" s="1"/>
  <c r="P3114" i="1" s="1"/>
  <c r="P3115" i="1" s="1"/>
  <c r="P3116" i="1" s="1"/>
  <c r="P3117" i="1" s="1"/>
  <c r="P3118" i="1" s="1"/>
  <c r="P3119" i="1" s="1"/>
  <c r="P3120" i="1" s="1"/>
  <c r="P3121" i="1" s="1"/>
  <c r="P3122" i="1" s="1"/>
  <c r="P3123" i="1" s="1"/>
  <c r="P3124" i="1" s="1"/>
  <c r="P3125" i="1" s="1"/>
  <c r="P3126" i="1" s="1"/>
  <c r="P3127" i="1" s="1"/>
  <c r="P3128" i="1" s="1"/>
  <c r="P3129" i="1" s="1"/>
  <c r="P3130" i="1" s="1"/>
  <c r="P3131" i="1" s="1"/>
  <c r="P3132" i="1" s="1"/>
  <c r="P3133" i="1" s="1"/>
  <c r="P3134" i="1" s="1"/>
  <c r="P3135" i="1" s="1"/>
  <c r="P3136" i="1" s="1"/>
  <c r="P3137" i="1" s="1"/>
  <c r="P3138" i="1" s="1"/>
  <c r="P3139" i="1" s="1"/>
  <c r="P3140" i="1" s="1"/>
  <c r="P3141" i="1" s="1"/>
  <c r="P3142" i="1" s="1"/>
  <c r="P3143" i="1" s="1"/>
  <c r="P3144" i="1" s="1"/>
  <c r="P3145" i="1" s="1"/>
  <c r="P3146" i="1" s="1"/>
  <c r="P3147" i="1" s="1"/>
  <c r="P3148" i="1" s="1"/>
  <c r="P3149" i="1" s="1"/>
  <c r="P3150" i="1" s="1"/>
  <c r="P3151" i="1" s="1"/>
  <c r="P3152" i="1" s="1"/>
  <c r="P3153" i="1" s="1"/>
  <c r="P3154" i="1" s="1"/>
  <c r="P3155" i="1" s="1"/>
  <c r="P3156" i="1" s="1"/>
  <c r="P3157" i="1" s="1"/>
  <c r="P3158" i="1" s="1"/>
  <c r="P3159" i="1" s="1"/>
  <c r="P3160" i="1" s="1"/>
  <c r="P3161" i="1" s="1"/>
  <c r="P3162" i="1" s="1"/>
  <c r="P3163" i="1" s="1"/>
  <c r="P3164" i="1" s="1"/>
  <c r="P3165" i="1" s="1"/>
  <c r="P3166" i="1" s="1"/>
  <c r="P3167" i="1" s="1"/>
  <c r="P3168" i="1" s="1"/>
  <c r="P3169" i="1" s="1"/>
  <c r="P3170" i="1" s="1"/>
  <c r="P3171" i="1" s="1"/>
  <c r="P3172" i="1" s="1"/>
  <c r="P3173" i="1" s="1"/>
  <c r="P3174" i="1" s="1"/>
  <c r="P3175" i="1" s="1"/>
  <c r="P3176" i="1" s="1"/>
  <c r="P3177" i="1" s="1"/>
  <c r="P3178" i="1" s="1"/>
  <c r="P3179" i="1" s="1"/>
  <c r="P3180" i="1" s="1"/>
  <c r="P3181" i="1" s="1"/>
  <c r="P3182" i="1" s="1"/>
  <c r="P3183" i="1" s="1"/>
  <c r="P3184" i="1" s="1"/>
  <c r="P3185" i="1" s="1"/>
  <c r="P3186" i="1" s="1"/>
  <c r="P3187" i="1" s="1"/>
  <c r="P3188" i="1" s="1"/>
  <c r="P3189" i="1" s="1"/>
  <c r="P3190" i="1" s="1"/>
  <c r="P3191" i="1" s="1"/>
  <c r="P3192" i="1" s="1"/>
  <c r="P3193" i="1" s="1"/>
  <c r="P3194" i="1" s="1"/>
  <c r="P3195" i="1" s="1"/>
  <c r="P3196" i="1" s="1"/>
  <c r="P3197" i="1" s="1"/>
  <c r="P3198" i="1" s="1"/>
  <c r="P3199" i="1" s="1"/>
  <c r="P3200" i="1" s="1"/>
  <c r="P3201" i="1" s="1"/>
  <c r="P3202" i="1" s="1"/>
  <c r="P3203" i="1" s="1"/>
  <c r="P3204" i="1" s="1"/>
  <c r="P3205" i="1" s="1"/>
  <c r="P3206" i="1" s="1"/>
  <c r="P3207" i="1" s="1"/>
  <c r="P3208" i="1" s="1"/>
  <c r="P3209" i="1" s="1"/>
  <c r="P3210" i="1" s="1"/>
  <c r="P3211" i="1" s="1"/>
  <c r="P3212" i="1" s="1"/>
  <c r="P3213" i="1" s="1"/>
  <c r="P3214" i="1" s="1"/>
  <c r="P3215" i="1" s="1"/>
  <c r="P3216" i="1" s="1"/>
  <c r="P3217" i="1" s="1"/>
  <c r="P3218" i="1" s="1"/>
  <c r="P3219" i="1" s="1"/>
  <c r="P3220" i="1" s="1"/>
  <c r="P3221" i="1" s="1"/>
  <c r="P3222" i="1" s="1"/>
  <c r="P3223" i="1" s="1"/>
  <c r="P3224" i="1" s="1"/>
  <c r="P3225" i="1" s="1"/>
  <c r="P3226" i="1" s="1"/>
  <c r="P3227" i="1" s="1"/>
  <c r="P3228" i="1" s="1"/>
  <c r="P3229" i="1" s="1"/>
  <c r="P3230" i="1" s="1"/>
  <c r="P3231" i="1" s="1"/>
  <c r="P3232" i="1" s="1"/>
  <c r="P3233" i="1" s="1"/>
  <c r="P3234" i="1" s="1"/>
  <c r="P3235" i="1" s="1"/>
  <c r="P3236" i="1" s="1"/>
  <c r="P3237" i="1" s="1"/>
  <c r="P3238" i="1" s="1"/>
  <c r="P3239" i="1" s="1"/>
  <c r="P3240" i="1" s="1"/>
  <c r="P3241" i="1" s="1"/>
  <c r="P3242" i="1" s="1"/>
  <c r="P3243" i="1" s="1"/>
  <c r="P3244" i="1" s="1"/>
  <c r="P3245" i="1" s="1"/>
  <c r="P3246" i="1" s="1"/>
  <c r="P3247" i="1" s="1"/>
  <c r="P3248" i="1" s="1"/>
  <c r="P3249" i="1" s="1"/>
  <c r="P3250" i="1" s="1"/>
  <c r="P3251" i="1" s="1"/>
  <c r="P3252" i="1" s="1"/>
  <c r="P3253" i="1" s="1"/>
  <c r="P3254" i="1" s="1"/>
  <c r="P3255" i="1" s="1"/>
  <c r="P3256" i="1" s="1"/>
  <c r="P3257" i="1" s="1"/>
  <c r="P3258" i="1" s="1"/>
  <c r="P3259" i="1" s="1"/>
  <c r="P3260" i="1" s="1"/>
  <c r="P3261" i="1" s="1"/>
  <c r="P3262" i="1" s="1"/>
  <c r="P3263" i="1" s="1"/>
  <c r="P3264" i="1" s="1"/>
  <c r="P3265" i="1" s="1"/>
  <c r="P3266" i="1" s="1"/>
  <c r="P3267" i="1" s="1"/>
  <c r="P3268" i="1" s="1"/>
  <c r="P3269" i="1" s="1"/>
  <c r="P3270" i="1" s="1"/>
  <c r="P3271" i="1" s="1"/>
  <c r="P3272" i="1" s="1"/>
  <c r="P3273" i="1" s="1"/>
  <c r="P3274" i="1" s="1"/>
  <c r="P3275" i="1" s="1"/>
  <c r="P3276" i="1" s="1"/>
  <c r="P3277" i="1" s="1"/>
  <c r="P3278" i="1" s="1"/>
  <c r="P3279" i="1" s="1"/>
  <c r="P3280" i="1" s="1"/>
  <c r="P3281" i="1" s="1"/>
  <c r="P3282" i="1" s="1"/>
  <c r="P3283" i="1" s="1"/>
  <c r="P3284" i="1" s="1"/>
  <c r="P3285" i="1" s="1"/>
  <c r="P3286" i="1" s="1"/>
  <c r="P3287" i="1" s="1"/>
  <c r="P3288" i="1" s="1"/>
  <c r="P3289" i="1" s="1"/>
  <c r="P3290" i="1" s="1"/>
  <c r="P3291" i="1" s="1"/>
  <c r="P3292" i="1" s="1"/>
  <c r="P3293" i="1" s="1"/>
  <c r="P3294" i="1" s="1"/>
  <c r="P3295" i="1" s="1"/>
  <c r="P3296" i="1" s="1"/>
  <c r="P3297" i="1" s="1"/>
  <c r="P3298" i="1" s="1"/>
  <c r="P3299" i="1" s="1"/>
  <c r="P3300" i="1" s="1"/>
  <c r="P3301" i="1" s="1"/>
  <c r="P3302" i="1" s="1"/>
  <c r="P3303" i="1" s="1"/>
  <c r="P3304" i="1" s="1"/>
  <c r="P3305" i="1" s="1"/>
  <c r="P3306" i="1" s="1"/>
  <c r="P3307" i="1" s="1"/>
  <c r="P3308" i="1" s="1"/>
  <c r="P3309" i="1" s="1"/>
  <c r="P3310" i="1" s="1"/>
  <c r="P3311" i="1" s="1"/>
  <c r="P3312" i="1" s="1"/>
  <c r="P3313" i="1" s="1"/>
  <c r="P3314" i="1" s="1"/>
  <c r="P3315" i="1" s="1"/>
  <c r="P3316" i="1" s="1"/>
  <c r="P3317" i="1" s="1"/>
  <c r="P3318" i="1" s="1"/>
  <c r="P3319" i="1" s="1"/>
  <c r="P3320" i="1" s="1"/>
  <c r="P3321" i="1" s="1"/>
  <c r="P3322" i="1" s="1"/>
  <c r="P3323" i="1" s="1"/>
  <c r="P3324" i="1" s="1"/>
  <c r="P3325" i="1" s="1"/>
  <c r="P3326" i="1" s="1"/>
  <c r="P3327" i="1" s="1"/>
  <c r="P3328" i="1" s="1"/>
  <c r="P3329" i="1" s="1"/>
  <c r="P3330" i="1" s="1"/>
  <c r="P3331" i="1" s="1"/>
  <c r="P3332" i="1" s="1"/>
  <c r="P3333" i="1" s="1"/>
  <c r="P3334" i="1" s="1"/>
  <c r="P3335" i="1" s="1"/>
  <c r="P3336" i="1" s="1"/>
  <c r="P3337" i="1" s="1"/>
  <c r="P3338" i="1" s="1"/>
  <c r="P3339" i="1" s="1"/>
  <c r="P3340" i="1" s="1"/>
  <c r="P3341" i="1" s="1"/>
  <c r="P3342" i="1" s="1"/>
  <c r="P3343" i="1" s="1"/>
  <c r="P3344" i="1" s="1"/>
  <c r="P3345" i="1" s="1"/>
  <c r="P3346" i="1" s="1"/>
  <c r="P3347" i="1" s="1"/>
  <c r="P3348" i="1" s="1"/>
  <c r="P3349" i="1" s="1"/>
  <c r="P3350" i="1" s="1"/>
  <c r="P3351" i="1" s="1"/>
  <c r="P3352" i="1" s="1"/>
  <c r="P3353" i="1" s="1"/>
  <c r="P3354" i="1" s="1"/>
  <c r="P3355" i="1" s="1"/>
  <c r="P3356" i="1" s="1"/>
  <c r="P3357" i="1" s="1"/>
  <c r="P3358" i="1" s="1"/>
  <c r="P3359" i="1" s="1"/>
  <c r="P3360" i="1" s="1"/>
  <c r="P3361" i="1" s="1"/>
  <c r="P3362" i="1" s="1"/>
  <c r="P3363" i="1" s="1"/>
  <c r="P3364" i="1" s="1"/>
  <c r="P3365" i="1" s="1"/>
  <c r="P3366" i="1" s="1"/>
  <c r="P3367" i="1" s="1"/>
  <c r="P3368" i="1" s="1"/>
  <c r="P3369" i="1" s="1"/>
  <c r="P3370" i="1" s="1"/>
  <c r="P3371" i="1" s="1"/>
  <c r="P3372" i="1" s="1"/>
  <c r="P3373" i="1" s="1"/>
  <c r="P3374" i="1" s="1"/>
  <c r="P3375" i="1" s="1"/>
  <c r="P3376" i="1" s="1"/>
  <c r="P3377" i="1" s="1"/>
  <c r="P3378" i="1" s="1"/>
  <c r="P3379" i="1" s="1"/>
  <c r="P3380" i="1" s="1"/>
  <c r="P3381" i="1" s="1"/>
  <c r="P3382" i="1" s="1"/>
  <c r="P3383" i="1" s="1"/>
  <c r="P3384" i="1" s="1"/>
  <c r="P3385" i="1" s="1"/>
  <c r="P3386" i="1" s="1"/>
  <c r="P3387" i="1" s="1"/>
  <c r="P3388" i="1" s="1"/>
  <c r="P3389" i="1" s="1"/>
  <c r="P3390" i="1" s="1"/>
  <c r="P3391" i="1" s="1"/>
  <c r="P3392" i="1" s="1"/>
  <c r="P3393" i="1" s="1"/>
  <c r="P3394" i="1" s="1"/>
  <c r="P3395" i="1" s="1"/>
  <c r="P3396" i="1" s="1"/>
  <c r="P3397" i="1" s="1"/>
  <c r="P3398" i="1" s="1"/>
  <c r="P3399" i="1" s="1"/>
  <c r="P3400" i="1" s="1"/>
  <c r="P3401" i="1" s="1"/>
  <c r="P3402" i="1" s="1"/>
  <c r="P3403" i="1" s="1"/>
  <c r="P3404" i="1" s="1"/>
  <c r="P3405" i="1" s="1"/>
  <c r="P3406" i="1" s="1"/>
  <c r="P3407" i="1" s="1"/>
  <c r="P3408" i="1" s="1"/>
  <c r="P3409" i="1" s="1"/>
  <c r="P3410" i="1" s="1"/>
  <c r="P3411" i="1" s="1"/>
  <c r="P3412" i="1" s="1"/>
  <c r="P3413" i="1" s="1"/>
  <c r="P3414" i="1" s="1"/>
  <c r="P3415" i="1" s="1"/>
  <c r="P3416" i="1" s="1"/>
  <c r="P3417" i="1" s="1"/>
  <c r="P3418" i="1" s="1"/>
  <c r="P3419" i="1" s="1"/>
  <c r="P3420" i="1" s="1"/>
  <c r="P3421" i="1" s="1"/>
  <c r="P3422" i="1" s="1"/>
  <c r="P3423" i="1" s="1"/>
  <c r="P3424" i="1" s="1"/>
  <c r="P3425" i="1" s="1"/>
  <c r="P3426" i="1" s="1"/>
  <c r="P3427" i="1" s="1"/>
  <c r="P3428" i="1" s="1"/>
  <c r="P3429" i="1" s="1"/>
  <c r="P3430" i="1" s="1"/>
  <c r="P3431" i="1" s="1"/>
  <c r="P3432" i="1" s="1"/>
  <c r="P3433" i="1" s="1"/>
  <c r="P3434" i="1" s="1"/>
  <c r="P3435" i="1" s="1"/>
  <c r="P3436" i="1" s="1"/>
  <c r="P3437" i="1" s="1"/>
  <c r="P3438" i="1" s="1"/>
  <c r="P3439" i="1" s="1"/>
  <c r="P3440" i="1" s="1"/>
  <c r="P3441" i="1" s="1"/>
  <c r="P3442" i="1" s="1"/>
  <c r="P3443" i="1" s="1"/>
  <c r="P3444" i="1" s="1"/>
  <c r="P3445" i="1" s="1"/>
  <c r="P3446" i="1" s="1"/>
  <c r="P3447" i="1" s="1"/>
  <c r="P3448" i="1" s="1"/>
  <c r="P3449" i="1" s="1"/>
  <c r="P3450" i="1" s="1"/>
  <c r="P3451" i="1" s="1"/>
  <c r="P3452" i="1" s="1"/>
  <c r="P3453" i="1" s="1"/>
  <c r="P3454" i="1" s="1"/>
  <c r="P3455" i="1" s="1"/>
  <c r="P3456" i="1" s="1"/>
  <c r="P3457" i="1" s="1"/>
  <c r="P3458" i="1" s="1"/>
  <c r="P3459" i="1" s="1"/>
  <c r="P3460" i="1" s="1"/>
  <c r="P3461" i="1" s="1"/>
  <c r="P3462" i="1" s="1"/>
  <c r="P3463" i="1" s="1"/>
  <c r="P3464" i="1" s="1"/>
  <c r="P3465" i="1" s="1"/>
  <c r="P3466" i="1" s="1"/>
  <c r="P3467" i="1" s="1"/>
  <c r="P3468" i="1" s="1"/>
  <c r="P3469" i="1" s="1"/>
  <c r="P3470" i="1" s="1"/>
  <c r="P3471" i="1" s="1"/>
  <c r="P3472" i="1" s="1"/>
  <c r="P3473" i="1" s="1"/>
  <c r="P3474" i="1" s="1"/>
  <c r="P3475" i="1" s="1"/>
  <c r="P3476" i="1" s="1"/>
  <c r="P3477" i="1" s="1"/>
  <c r="P3478" i="1" s="1"/>
  <c r="P3479" i="1" s="1"/>
  <c r="P3480" i="1" s="1"/>
  <c r="P3481" i="1" s="1"/>
  <c r="P3482" i="1" s="1"/>
  <c r="P3483" i="1" s="1"/>
  <c r="P3484" i="1" s="1"/>
  <c r="P3485" i="1" s="1"/>
  <c r="P3486" i="1" s="1"/>
  <c r="P3487" i="1" s="1"/>
  <c r="P3488" i="1" s="1"/>
  <c r="P3489" i="1" s="1"/>
  <c r="P3490" i="1" s="1"/>
  <c r="P3491" i="1" s="1"/>
  <c r="P3492" i="1" s="1"/>
  <c r="P3493" i="1" s="1"/>
  <c r="P3494" i="1" s="1"/>
  <c r="P3495" i="1" s="1"/>
  <c r="P3496" i="1" s="1"/>
  <c r="P3497" i="1" s="1"/>
  <c r="P3498" i="1" s="1"/>
  <c r="P3499" i="1" s="1"/>
  <c r="P3500" i="1" s="1"/>
  <c r="P3501" i="1" s="1"/>
  <c r="P3502" i="1" s="1"/>
  <c r="P3503" i="1" s="1"/>
  <c r="P3504" i="1" s="1"/>
  <c r="P3505" i="1" s="1"/>
  <c r="P3506" i="1" s="1"/>
  <c r="P3507" i="1" s="1"/>
  <c r="P3508" i="1" s="1"/>
  <c r="P3509" i="1" s="1"/>
  <c r="P3510" i="1" s="1"/>
  <c r="P3511" i="1" s="1"/>
  <c r="P3512" i="1" s="1"/>
  <c r="P3513" i="1" s="1"/>
  <c r="P3514" i="1" s="1"/>
  <c r="P3515" i="1" s="1"/>
  <c r="P3516" i="1"/>
  <c r="P3517" i="1" s="1"/>
  <c r="P3518" i="1" s="1"/>
  <c r="P3519" i="1" s="1"/>
  <c r="P3520" i="1" s="1"/>
  <c r="P3521" i="1" s="1"/>
  <c r="P3522" i="1" s="1"/>
  <c r="P3523" i="1" s="1"/>
  <c r="P3524" i="1" s="1"/>
  <c r="P3525" i="1" s="1"/>
  <c r="P3526" i="1" s="1"/>
  <c r="P3527" i="1" s="1"/>
  <c r="P3528" i="1" s="1"/>
  <c r="P3529" i="1" s="1"/>
  <c r="P3530" i="1" s="1"/>
  <c r="P3531" i="1" s="1"/>
  <c r="P3532" i="1" s="1"/>
  <c r="P3533" i="1" s="1"/>
  <c r="P3534" i="1" s="1"/>
  <c r="P3535" i="1" s="1"/>
  <c r="P3536" i="1" s="1"/>
  <c r="P3537" i="1" s="1"/>
  <c r="P3538" i="1" s="1"/>
  <c r="P3539" i="1" s="1"/>
  <c r="P3540" i="1" s="1"/>
  <c r="P3541" i="1" s="1"/>
  <c r="P3542" i="1" s="1"/>
  <c r="P3543" i="1" s="1"/>
  <c r="P3544" i="1" s="1"/>
  <c r="P3545" i="1" s="1"/>
  <c r="P3546" i="1" s="1"/>
  <c r="P3547" i="1" s="1"/>
  <c r="P3548" i="1" s="1"/>
  <c r="P3549" i="1" s="1"/>
  <c r="P3550" i="1" s="1"/>
  <c r="P3551" i="1" s="1"/>
  <c r="P3552" i="1" s="1"/>
  <c r="P3553" i="1" s="1"/>
  <c r="P3554" i="1" s="1"/>
  <c r="P3555" i="1" s="1"/>
  <c r="P3556" i="1" s="1"/>
  <c r="P3557" i="1" s="1"/>
  <c r="P3558" i="1" s="1"/>
  <c r="P3559" i="1" s="1"/>
  <c r="P3560" i="1" s="1"/>
  <c r="P3561" i="1" s="1"/>
  <c r="P3562" i="1" s="1"/>
  <c r="P3563" i="1" s="1"/>
  <c r="P3564" i="1" s="1"/>
  <c r="P3565" i="1" s="1"/>
  <c r="P3566" i="1" s="1"/>
  <c r="P3567" i="1" s="1"/>
  <c r="P3568" i="1" s="1"/>
  <c r="P3569" i="1" s="1"/>
  <c r="P3570" i="1" s="1"/>
  <c r="P3571" i="1" s="1"/>
  <c r="P3572" i="1" s="1"/>
  <c r="P3573" i="1" s="1"/>
  <c r="P3574" i="1" s="1"/>
  <c r="P3575" i="1" s="1"/>
  <c r="P3576" i="1" s="1"/>
  <c r="P3577" i="1" s="1"/>
  <c r="P3578" i="1" s="1"/>
  <c r="P3579" i="1" s="1"/>
  <c r="P3580" i="1" s="1"/>
  <c r="P3581" i="1" s="1"/>
  <c r="P3582" i="1" s="1"/>
  <c r="P3583" i="1" s="1"/>
  <c r="P3584" i="1" s="1"/>
  <c r="P3585" i="1" s="1"/>
  <c r="P3586" i="1" s="1"/>
  <c r="P3587" i="1" s="1"/>
  <c r="P3588" i="1" s="1"/>
  <c r="P3589" i="1" s="1"/>
  <c r="P3590" i="1" s="1"/>
  <c r="P3591" i="1" s="1"/>
  <c r="P3592" i="1" s="1"/>
  <c r="P3593" i="1" s="1"/>
  <c r="P3594" i="1" s="1"/>
  <c r="P3595" i="1" s="1"/>
  <c r="P3596" i="1" s="1"/>
  <c r="P3597" i="1" s="1"/>
  <c r="P3598" i="1" s="1"/>
  <c r="P3599" i="1" s="1"/>
  <c r="P3600" i="1" s="1"/>
  <c r="P3601" i="1" s="1"/>
  <c r="P3602" i="1" s="1"/>
  <c r="P3603" i="1" s="1"/>
  <c r="P3604" i="1" s="1"/>
  <c r="P3605" i="1" s="1"/>
  <c r="P3606" i="1" s="1"/>
  <c r="P3607" i="1" s="1"/>
  <c r="P3608" i="1" s="1"/>
  <c r="P3609" i="1" s="1"/>
  <c r="P3610" i="1" s="1"/>
  <c r="P3611" i="1" s="1"/>
  <c r="P3612" i="1" s="1"/>
  <c r="P3613" i="1" s="1"/>
  <c r="P3614" i="1" s="1"/>
  <c r="P3615" i="1" s="1"/>
  <c r="P3616" i="1" s="1"/>
  <c r="P3617" i="1" s="1"/>
  <c r="P3618" i="1" s="1"/>
  <c r="P3619" i="1" s="1"/>
  <c r="P3620" i="1" s="1"/>
  <c r="P3621" i="1" s="1"/>
  <c r="P3622" i="1" s="1"/>
  <c r="P3623" i="1" s="1"/>
  <c r="P3624" i="1" s="1"/>
  <c r="P3625" i="1" s="1"/>
  <c r="P3626" i="1" s="1"/>
  <c r="P3627" i="1" s="1"/>
  <c r="P3628" i="1" s="1"/>
  <c r="P3629" i="1" s="1"/>
  <c r="P3630" i="1" s="1"/>
  <c r="P3631" i="1" s="1"/>
  <c r="P3632" i="1" s="1"/>
  <c r="P3633" i="1" s="1"/>
  <c r="P3634" i="1" s="1"/>
  <c r="P3635" i="1" s="1"/>
  <c r="P3636" i="1" s="1"/>
  <c r="P3637" i="1" s="1"/>
  <c r="P3638" i="1" s="1"/>
  <c r="P3639" i="1" s="1"/>
  <c r="P3640" i="1" s="1"/>
  <c r="P3641" i="1" s="1"/>
  <c r="P3642" i="1" s="1"/>
  <c r="P3643" i="1" s="1"/>
  <c r="P3644" i="1" s="1"/>
  <c r="P3645" i="1" s="1"/>
  <c r="P3646" i="1" s="1"/>
  <c r="P3647" i="1" s="1"/>
  <c r="P3648" i="1" s="1"/>
  <c r="P3649" i="1" s="1"/>
  <c r="P3650" i="1" s="1"/>
  <c r="P3651" i="1" s="1"/>
  <c r="P3652" i="1" s="1"/>
  <c r="P3653" i="1" s="1"/>
  <c r="P3654" i="1" s="1"/>
  <c r="P3655" i="1" s="1"/>
  <c r="P3656" i="1" s="1"/>
  <c r="P3657" i="1" s="1"/>
  <c r="P3658" i="1" s="1"/>
  <c r="P3659" i="1" s="1"/>
  <c r="P3660" i="1" s="1"/>
  <c r="P3661" i="1" s="1"/>
  <c r="P3662" i="1" s="1"/>
  <c r="P3663" i="1" s="1"/>
  <c r="P3664" i="1" s="1"/>
  <c r="P3665" i="1" s="1"/>
  <c r="P3666" i="1" s="1"/>
  <c r="P3667" i="1" s="1"/>
  <c r="P3668" i="1" s="1"/>
  <c r="P3669" i="1" s="1"/>
  <c r="P3670" i="1" s="1"/>
  <c r="P3671" i="1" s="1"/>
  <c r="P3672" i="1" s="1"/>
  <c r="P3673" i="1" s="1"/>
  <c r="P3674" i="1" s="1"/>
  <c r="P3675" i="1" s="1"/>
  <c r="P3676" i="1" s="1"/>
  <c r="P3677" i="1" s="1"/>
  <c r="P3678" i="1" s="1"/>
  <c r="P3679" i="1" s="1"/>
  <c r="P3680" i="1" s="1"/>
  <c r="P3681" i="1" s="1"/>
  <c r="P3682" i="1" s="1"/>
  <c r="P3683" i="1" s="1"/>
  <c r="P3684" i="1" s="1"/>
  <c r="P3685" i="1" s="1"/>
  <c r="P3686" i="1" s="1"/>
  <c r="P3687" i="1" s="1"/>
  <c r="P3688" i="1" s="1"/>
  <c r="P3689" i="1" s="1"/>
  <c r="P3690" i="1" s="1"/>
  <c r="P3691" i="1" s="1"/>
  <c r="P3692" i="1" s="1"/>
  <c r="P3693" i="1" s="1"/>
  <c r="P3694" i="1" s="1"/>
  <c r="P3695" i="1" s="1"/>
  <c r="P3696" i="1" s="1"/>
  <c r="P3697" i="1" s="1"/>
  <c r="P3698" i="1" s="1"/>
  <c r="P3699" i="1" s="1"/>
  <c r="P3700" i="1" s="1"/>
  <c r="P3701" i="1" s="1"/>
  <c r="P3702" i="1" s="1"/>
  <c r="P3703" i="1" s="1"/>
  <c r="P3704" i="1" s="1"/>
  <c r="P3705" i="1" s="1"/>
  <c r="P3706" i="1" s="1"/>
  <c r="P3707" i="1" s="1"/>
  <c r="P3708" i="1" s="1"/>
  <c r="P3709" i="1" s="1"/>
  <c r="P3710" i="1" s="1"/>
  <c r="P3711" i="1" s="1"/>
  <c r="P3712" i="1" s="1"/>
  <c r="P3713" i="1" s="1"/>
  <c r="P3714" i="1" s="1"/>
  <c r="P3715" i="1" s="1"/>
  <c r="P3716" i="1" s="1"/>
  <c r="P3717" i="1" s="1"/>
  <c r="P3718" i="1" s="1"/>
  <c r="P3719" i="1" s="1"/>
  <c r="P3720" i="1" s="1"/>
  <c r="P3721" i="1" s="1"/>
  <c r="P3722" i="1" s="1"/>
  <c r="P3723" i="1" s="1"/>
  <c r="P3724" i="1" s="1"/>
  <c r="P3725" i="1" s="1"/>
  <c r="P3726" i="1" s="1"/>
  <c r="P3727" i="1" s="1"/>
  <c r="P3728" i="1" s="1"/>
  <c r="P3729" i="1" s="1"/>
  <c r="P3730" i="1" s="1"/>
  <c r="P3731" i="1" s="1"/>
  <c r="P3732" i="1" s="1"/>
  <c r="P3733" i="1" s="1"/>
  <c r="P3734" i="1" s="1"/>
  <c r="P3735" i="1" s="1"/>
  <c r="P3736" i="1" s="1"/>
  <c r="P3737" i="1" s="1"/>
  <c r="P3738" i="1" s="1"/>
  <c r="P3739" i="1" s="1"/>
  <c r="P3740" i="1" s="1"/>
  <c r="P3741" i="1" s="1"/>
  <c r="P3742" i="1" s="1"/>
  <c r="P3743" i="1" s="1"/>
  <c r="P3744" i="1" s="1"/>
  <c r="P3745" i="1" s="1"/>
  <c r="P3746" i="1" s="1"/>
  <c r="P3747" i="1" s="1"/>
  <c r="P3748" i="1" s="1"/>
  <c r="P3749" i="1" s="1"/>
  <c r="P3750" i="1" s="1"/>
  <c r="P3751" i="1" s="1"/>
  <c r="P3752" i="1" s="1"/>
  <c r="P3753" i="1" s="1"/>
  <c r="P3754" i="1" s="1"/>
  <c r="P3755" i="1" s="1"/>
  <c r="P3756" i="1" s="1"/>
  <c r="P3757" i="1" s="1"/>
  <c r="P3758" i="1" s="1"/>
  <c r="P3759" i="1" s="1"/>
  <c r="P3760" i="1" s="1"/>
  <c r="P3761" i="1" s="1"/>
  <c r="P3762" i="1" s="1"/>
  <c r="P3763" i="1" s="1"/>
  <c r="P3764" i="1" s="1"/>
  <c r="P3765" i="1" s="1"/>
  <c r="P3766" i="1" s="1"/>
  <c r="P3767" i="1" s="1"/>
  <c r="P3768" i="1" s="1"/>
  <c r="P3769" i="1" s="1"/>
  <c r="P3770" i="1" s="1"/>
  <c r="P3771" i="1" s="1"/>
  <c r="P3772" i="1" s="1"/>
  <c r="P3773" i="1" s="1"/>
  <c r="P3774" i="1" s="1"/>
  <c r="P3775" i="1" s="1"/>
  <c r="P3776" i="1" s="1"/>
  <c r="P3777" i="1" s="1"/>
  <c r="P3778" i="1" s="1"/>
  <c r="P3779" i="1" s="1"/>
  <c r="P3780" i="1" s="1"/>
  <c r="P3781" i="1" s="1"/>
  <c r="P3782" i="1" s="1"/>
  <c r="P3783" i="1" s="1"/>
  <c r="P3784" i="1" s="1"/>
  <c r="P3785" i="1" s="1"/>
  <c r="P3786" i="1" s="1"/>
  <c r="P3787" i="1" s="1"/>
  <c r="P3788" i="1" s="1"/>
  <c r="P3789" i="1" s="1"/>
  <c r="P3790" i="1" s="1"/>
  <c r="P3791" i="1" s="1"/>
  <c r="P3792" i="1" s="1"/>
  <c r="P3793" i="1" s="1"/>
  <c r="P3794" i="1" s="1"/>
  <c r="P3795" i="1" s="1"/>
  <c r="P3796" i="1" s="1"/>
  <c r="P3797" i="1" s="1"/>
  <c r="P3798" i="1" s="1"/>
  <c r="P3799" i="1" s="1"/>
  <c r="P3800" i="1" s="1"/>
  <c r="P3801" i="1" s="1"/>
  <c r="P3802" i="1" s="1"/>
  <c r="P3803" i="1" s="1"/>
  <c r="P3804" i="1" s="1"/>
  <c r="P3805" i="1" s="1"/>
  <c r="P3806" i="1" s="1"/>
  <c r="P3807" i="1" s="1"/>
  <c r="P3808" i="1" s="1"/>
  <c r="P3809" i="1" s="1"/>
  <c r="P3810" i="1" s="1"/>
  <c r="P3811" i="1" s="1"/>
  <c r="P3812" i="1" s="1"/>
  <c r="P3813" i="1" s="1"/>
  <c r="P3814" i="1" s="1"/>
  <c r="P3815" i="1" s="1"/>
  <c r="P3816" i="1" s="1"/>
  <c r="P3817" i="1" s="1"/>
  <c r="P3818" i="1" s="1"/>
  <c r="P3819" i="1" s="1"/>
  <c r="P3820" i="1" s="1"/>
  <c r="P3821" i="1" s="1"/>
  <c r="P3822" i="1" s="1"/>
  <c r="P3823" i="1" s="1"/>
  <c r="P3824" i="1" s="1"/>
  <c r="P3825" i="1" s="1"/>
  <c r="P3826" i="1" s="1"/>
  <c r="P3827" i="1" s="1"/>
  <c r="P3828" i="1" s="1"/>
  <c r="P3829" i="1" s="1"/>
  <c r="P3830" i="1" s="1"/>
  <c r="P3831" i="1" s="1"/>
  <c r="P3832" i="1" s="1"/>
  <c r="P3833" i="1" s="1"/>
  <c r="P3834" i="1" s="1"/>
  <c r="P3835" i="1" s="1"/>
  <c r="P3836" i="1" s="1"/>
  <c r="P3837" i="1" s="1"/>
  <c r="P3838" i="1" s="1"/>
  <c r="P3839" i="1" s="1"/>
  <c r="P3840" i="1" s="1"/>
  <c r="P3841" i="1" s="1"/>
  <c r="P3842" i="1" s="1"/>
  <c r="P3843" i="1" s="1"/>
  <c r="P3844" i="1" s="1"/>
  <c r="P3845" i="1" s="1"/>
  <c r="P3846" i="1" s="1"/>
  <c r="P3847" i="1" s="1"/>
  <c r="P3848" i="1" s="1"/>
  <c r="P3849" i="1" s="1"/>
  <c r="P3850" i="1" s="1"/>
  <c r="P3851" i="1" s="1"/>
  <c r="P3852" i="1" s="1"/>
  <c r="P3853" i="1" s="1"/>
  <c r="P3854" i="1" s="1"/>
  <c r="P3855" i="1" s="1"/>
  <c r="P3856" i="1" s="1"/>
  <c r="P3857" i="1" s="1"/>
  <c r="P3858" i="1" s="1"/>
  <c r="P3859" i="1" s="1"/>
  <c r="P3860" i="1" s="1"/>
  <c r="P3861" i="1" s="1"/>
  <c r="P3862" i="1" s="1"/>
  <c r="P3863" i="1" s="1"/>
  <c r="P3864" i="1" s="1"/>
  <c r="P3865" i="1" s="1"/>
  <c r="P3866" i="1" s="1"/>
  <c r="P3867" i="1" s="1"/>
  <c r="P3868" i="1" s="1"/>
  <c r="P3869" i="1" s="1"/>
  <c r="P3870" i="1" s="1"/>
  <c r="P3871" i="1" s="1"/>
  <c r="P3872" i="1" s="1"/>
  <c r="P3873" i="1" s="1"/>
  <c r="P3874" i="1" s="1"/>
  <c r="P3875" i="1" s="1"/>
  <c r="P3876" i="1" s="1"/>
  <c r="P3877" i="1" s="1"/>
  <c r="P3878" i="1" s="1"/>
  <c r="P3879" i="1" s="1"/>
  <c r="P3880" i="1" s="1"/>
  <c r="P3881" i="1" s="1"/>
  <c r="P3882" i="1" s="1"/>
  <c r="P3883" i="1" s="1"/>
  <c r="P3884" i="1" s="1"/>
  <c r="P3885" i="1" s="1"/>
  <c r="P3886" i="1" s="1"/>
  <c r="P3887" i="1" s="1"/>
  <c r="P3888" i="1" s="1"/>
  <c r="P3889" i="1" s="1"/>
  <c r="P3890" i="1" s="1"/>
  <c r="P3891" i="1" s="1"/>
  <c r="P3892" i="1" s="1"/>
  <c r="P3893" i="1" s="1"/>
  <c r="P3894" i="1" s="1"/>
  <c r="P3895" i="1" s="1"/>
  <c r="P3896" i="1" s="1"/>
  <c r="P3897" i="1" s="1"/>
  <c r="P3898" i="1" s="1"/>
  <c r="P3899" i="1" s="1"/>
  <c r="P3900" i="1" s="1"/>
  <c r="P3901" i="1" s="1"/>
  <c r="P3902" i="1" s="1"/>
  <c r="P3903" i="1" s="1"/>
  <c r="P3904" i="1" s="1"/>
  <c r="P3905" i="1" s="1"/>
  <c r="P3906" i="1" s="1"/>
  <c r="P3907" i="1" s="1"/>
  <c r="P3908" i="1" s="1"/>
  <c r="P3909" i="1" s="1"/>
  <c r="P3910" i="1" s="1"/>
  <c r="P3911" i="1" s="1"/>
  <c r="P3912" i="1" s="1"/>
  <c r="P3913" i="1" s="1"/>
  <c r="P3914" i="1" s="1"/>
  <c r="P3915" i="1" s="1"/>
  <c r="P3916" i="1" s="1"/>
  <c r="P3917" i="1" s="1"/>
  <c r="P3918" i="1" s="1"/>
  <c r="P3919" i="1" s="1"/>
  <c r="P3920" i="1" s="1"/>
  <c r="P3921" i="1" s="1"/>
  <c r="P3922" i="1" s="1"/>
  <c r="P3923" i="1" s="1"/>
  <c r="P3924" i="1" s="1"/>
  <c r="P3925" i="1" s="1"/>
  <c r="P3926" i="1" s="1"/>
  <c r="P3927" i="1" s="1"/>
  <c r="P3928" i="1" s="1"/>
  <c r="P3929" i="1" s="1"/>
  <c r="P3930" i="1" s="1"/>
  <c r="P3931" i="1" s="1"/>
  <c r="P3932" i="1" s="1"/>
  <c r="P3933" i="1" s="1"/>
  <c r="P3934" i="1" s="1"/>
  <c r="P3935" i="1" s="1"/>
  <c r="P3936" i="1" s="1"/>
  <c r="P3937" i="1" s="1"/>
  <c r="P3938" i="1" s="1"/>
  <c r="P3939" i="1" s="1"/>
  <c r="P3940" i="1" s="1"/>
  <c r="P3941" i="1" s="1"/>
  <c r="P3942" i="1" s="1"/>
  <c r="P3943" i="1" s="1"/>
  <c r="P3944" i="1" s="1"/>
  <c r="P3945" i="1" s="1"/>
  <c r="P3946" i="1" s="1"/>
  <c r="P3947" i="1" s="1"/>
  <c r="P3948" i="1" s="1"/>
  <c r="P3949" i="1" s="1"/>
  <c r="P3950" i="1" s="1"/>
  <c r="P3951" i="1" s="1"/>
  <c r="P3952" i="1" s="1"/>
  <c r="P3953" i="1" s="1"/>
  <c r="P3954" i="1" s="1"/>
  <c r="P3955" i="1" s="1"/>
  <c r="P3956" i="1" s="1"/>
  <c r="P3957" i="1" s="1"/>
  <c r="P3958" i="1" s="1"/>
  <c r="P3959" i="1" s="1"/>
  <c r="P3960" i="1" s="1"/>
  <c r="P3961" i="1" s="1"/>
  <c r="P3962" i="1" s="1"/>
  <c r="P3963" i="1" s="1"/>
  <c r="P3964" i="1" s="1"/>
  <c r="P3965" i="1" s="1"/>
  <c r="P3966" i="1" s="1"/>
  <c r="P3967" i="1" s="1"/>
  <c r="P3968" i="1" s="1"/>
  <c r="P3969" i="1" s="1"/>
  <c r="P3970" i="1" s="1"/>
  <c r="P3971" i="1" s="1"/>
  <c r="P3972" i="1" s="1"/>
  <c r="P3973" i="1" s="1"/>
  <c r="P3974" i="1" s="1"/>
  <c r="P3975" i="1" s="1"/>
  <c r="P3976" i="1" s="1"/>
  <c r="P3977" i="1" s="1"/>
  <c r="P3978" i="1" s="1"/>
  <c r="P3979" i="1" s="1"/>
  <c r="P3980" i="1" s="1"/>
  <c r="P3981" i="1" s="1"/>
  <c r="P3982" i="1" s="1"/>
  <c r="P3983" i="1" s="1"/>
  <c r="P3984" i="1" s="1"/>
  <c r="P3985" i="1" s="1"/>
  <c r="P3986" i="1" s="1"/>
  <c r="P3987" i="1" s="1"/>
  <c r="P3988" i="1" s="1"/>
  <c r="P3989" i="1" s="1"/>
  <c r="P3990" i="1" s="1"/>
  <c r="P3991" i="1" s="1"/>
  <c r="P3992" i="1" s="1"/>
  <c r="P3993" i="1" s="1"/>
  <c r="P3994" i="1" s="1"/>
  <c r="P3995" i="1" s="1"/>
  <c r="P3996" i="1" s="1"/>
  <c r="P3997" i="1" s="1"/>
  <c r="P3998" i="1" s="1"/>
  <c r="P3999" i="1" s="1"/>
  <c r="P4000" i="1" s="1"/>
  <c r="P4001" i="1" s="1"/>
  <c r="P4002" i="1" s="1"/>
  <c r="P4003" i="1" s="1"/>
  <c r="P4004" i="1" s="1"/>
  <c r="P4005" i="1" s="1"/>
  <c r="P4006" i="1" s="1"/>
  <c r="P4007" i="1" s="1"/>
  <c r="P4008" i="1" s="1"/>
  <c r="P4009" i="1" s="1"/>
  <c r="P4010" i="1" s="1"/>
  <c r="P4011" i="1" s="1"/>
  <c r="P4012" i="1" s="1"/>
  <c r="P4013" i="1" s="1"/>
  <c r="P4014" i="1" s="1"/>
  <c r="P4015" i="1" s="1"/>
  <c r="P4016" i="1" s="1"/>
  <c r="P4017" i="1" s="1"/>
  <c r="P4018" i="1"/>
  <c r="P4019" i="1" s="1"/>
  <c r="P4020" i="1" s="1"/>
  <c r="P4021" i="1" s="1"/>
  <c r="P4022" i="1" s="1"/>
  <c r="P4023" i="1" s="1"/>
  <c r="P4024" i="1" s="1"/>
  <c r="P4025" i="1" s="1"/>
  <c r="P4026" i="1" s="1"/>
  <c r="P4027" i="1" s="1"/>
  <c r="P4028" i="1" s="1"/>
  <c r="P4029" i="1" s="1"/>
  <c r="P4030" i="1" s="1"/>
  <c r="P4031" i="1" s="1"/>
  <c r="P4032" i="1" s="1"/>
  <c r="P4033" i="1" s="1"/>
  <c r="P4034" i="1" s="1"/>
  <c r="P4035" i="1" s="1"/>
  <c r="P4036" i="1" s="1"/>
  <c r="P4037" i="1" s="1"/>
  <c r="P4038" i="1" s="1"/>
  <c r="P4039" i="1" s="1"/>
  <c r="P4040" i="1" s="1"/>
  <c r="P4041" i="1" s="1"/>
  <c r="P4042" i="1" s="1"/>
  <c r="P4043" i="1" s="1"/>
  <c r="P4044" i="1" s="1"/>
  <c r="P4045" i="1" s="1"/>
  <c r="P4046" i="1" s="1"/>
  <c r="P4047" i="1" s="1"/>
  <c r="P4048" i="1" s="1"/>
  <c r="P4049" i="1" s="1"/>
  <c r="P4050" i="1" s="1"/>
  <c r="P4051" i="1" s="1"/>
  <c r="P4052" i="1" s="1"/>
  <c r="P4053" i="1" s="1"/>
  <c r="P4054" i="1" s="1"/>
  <c r="P4055" i="1" s="1"/>
  <c r="P4056" i="1" s="1"/>
  <c r="P4057" i="1" s="1"/>
  <c r="P4058" i="1" s="1"/>
  <c r="P4059" i="1" s="1"/>
  <c r="P4060" i="1" s="1"/>
  <c r="P4061" i="1" s="1"/>
  <c r="P4062" i="1" s="1"/>
  <c r="P4063" i="1" s="1"/>
  <c r="P4064" i="1" s="1"/>
  <c r="P4065" i="1" s="1"/>
  <c r="P4066" i="1" s="1"/>
  <c r="P4067" i="1" s="1"/>
  <c r="P4068" i="1" s="1"/>
  <c r="P4069" i="1" s="1"/>
  <c r="P4070" i="1" s="1"/>
  <c r="P4071" i="1" s="1"/>
  <c r="P4072" i="1" s="1"/>
  <c r="P4073" i="1" s="1"/>
  <c r="P4074" i="1" s="1"/>
  <c r="P4075" i="1" s="1"/>
  <c r="P4076" i="1" s="1"/>
  <c r="P4077" i="1" s="1"/>
  <c r="P4078" i="1" s="1"/>
  <c r="P4079" i="1" s="1"/>
  <c r="P4080" i="1" s="1"/>
  <c r="P4081" i="1" s="1"/>
  <c r="P4082" i="1" s="1"/>
  <c r="P4083" i="1" s="1"/>
  <c r="P4084" i="1" s="1"/>
  <c r="P4085" i="1" s="1"/>
  <c r="P4086" i="1" s="1"/>
  <c r="P4087" i="1" s="1"/>
  <c r="P4088" i="1" s="1"/>
  <c r="P4089" i="1" s="1"/>
  <c r="P4090" i="1" s="1"/>
  <c r="P4091" i="1" s="1"/>
  <c r="P4092" i="1" s="1"/>
  <c r="P4093" i="1" s="1"/>
  <c r="P4094" i="1" s="1"/>
  <c r="P4095" i="1" s="1"/>
  <c r="P4096" i="1" s="1"/>
  <c r="P4097" i="1" s="1"/>
  <c r="P4098" i="1" s="1"/>
  <c r="P4099" i="1" s="1"/>
  <c r="P4100" i="1" s="1"/>
  <c r="P4101" i="1" s="1"/>
  <c r="P4102" i="1" s="1"/>
  <c r="P4103" i="1" s="1"/>
  <c r="P4104" i="1" s="1"/>
  <c r="P4105" i="1" s="1"/>
  <c r="P4106" i="1" s="1"/>
  <c r="P4107" i="1" s="1"/>
  <c r="P4108" i="1" s="1"/>
  <c r="P4109" i="1" s="1"/>
  <c r="P4110" i="1" s="1"/>
  <c r="P4111" i="1" s="1"/>
  <c r="P4112" i="1" s="1"/>
  <c r="P4113" i="1" s="1"/>
  <c r="P4114" i="1" s="1"/>
  <c r="P4115" i="1" s="1"/>
  <c r="P4116" i="1" s="1"/>
  <c r="P4117" i="1" s="1"/>
  <c r="P4118" i="1" s="1"/>
  <c r="P4119" i="1" s="1"/>
  <c r="P4120" i="1" s="1"/>
  <c r="P4121" i="1" s="1"/>
  <c r="P4122" i="1" s="1"/>
  <c r="P4123" i="1" s="1"/>
  <c r="P4124" i="1" s="1"/>
  <c r="P4125" i="1" s="1"/>
  <c r="P4126" i="1" s="1"/>
  <c r="P4127" i="1" s="1"/>
  <c r="P4128" i="1" s="1"/>
  <c r="P4129" i="1" s="1"/>
  <c r="P4130" i="1" s="1"/>
  <c r="P4131" i="1" s="1"/>
  <c r="P4132" i="1" s="1"/>
  <c r="P4133" i="1" s="1"/>
  <c r="P4134" i="1" s="1"/>
  <c r="P4135" i="1" s="1"/>
  <c r="P4136" i="1" s="1"/>
  <c r="P4137" i="1" s="1"/>
  <c r="P4138" i="1" s="1"/>
  <c r="P4139" i="1" s="1"/>
  <c r="P4140" i="1" s="1"/>
  <c r="P4141" i="1" s="1"/>
  <c r="P4142" i="1" s="1"/>
  <c r="P4143" i="1" s="1"/>
  <c r="P4144" i="1" s="1"/>
  <c r="P4145" i="1" s="1"/>
  <c r="P4146" i="1" s="1"/>
  <c r="P4147" i="1" s="1"/>
  <c r="P4148" i="1" s="1"/>
  <c r="P4149" i="1" s="1"/>
  <c r="P4150" i="1" s="1"/>
  <c r="P4151" i="1" s="1"/>
  <c r="P4152" i="1" s="1"/>
  <c r="P4153" i="1" s="1"/>
  <c r="P4154" i="1" s="1"/>
  <c r="P4155" i="1" s="1"/>
  <c r="P4156" i="1" s="1"/>
  <c r="P4157" i="1" s="1"/>
  <c r="P4158" i="1" s="1"/>
  <c r="P4159" i="1" s="1"/>
  <c r="P4160" i="1" s="1"/>
  <c r="P4161" i="1" s="1"/>
  <c r="P4162" i="1" s="1"/>
  <c r="P4163" i="1" s="1"/>
  <c r="P4164" i="1" s="1"/>
  <c r="P4165" i="1" s="1"/>
  <c r="P4166" i="1" s="1"/>
  <c r="P4167" i="1" s="1"/>
  <c r="P4168" i="1" s="1"/>
  <c r="P4169" i="1" s="1"/>
  <c r="P4170" i="1" s="1"/>
  <c r="P4171" i="1" s="1"/>
  <c r="P4172" i="1" s="1"/>
  <c r="P4173" i="1" s="1"/>
  <c r="P4174" i="1" s="1"/>
  <c r="P4175" i="1" s="1"/>
  <c r="P4176" i="1" s="1"/>
  <c r="P4177" i="1" s="1"/>
  <c r="P4178" i="1" s="1"/>
  <c r="P4179" i="1" s="1"/>
  <c r="P4180" i="1" s="1"/>
  <c r="P4181" i="1" s="1"/>
  <c r="P4182" i="1" s="1"/>
  <c r="P4183" i="1" s="1"/>
  <c r="P4184" i="1" s="1"/>
  <c r="P4185" i="1" s="1"/>
  <c r="P4186" i="1" s="1"/>
  <c r="P4187" i="1" s="1"/>
  <c r="P4188" i="1" s="1"/>
  <c r="P4189" i="1" s="1"/>
  <c r="P4190" i="1" s="1"/>
  <c r="P4191" i="1" s="1"/>
  <c r="P4192" i="1" s="1"/>
  <c r="P4193" i="1" s="1"/>
  <c r="P4194" i="1" s="1"/>
  <c r="P4195" i="1" s="1"/>
  <c r="P4196" i="1" s="1"/>
  <c r="P4197" i="1" s="1"/>
  <c r="P4198" i="1" s="1"/>
  <c r="P4199" i="1" s="1"/>
  <c r="P4200" i="1" s="1"/>
  <c r="P4201" i="1" s="1"/>
  <c r="P4202" i="1" s="1"/>
  <c r="P4203" i="1" s="1"/>
  <c r="P4204" i="1" s="1"/>
  <c r="P4205" i="1" s="1"/>
  <c r="P4206" i="1" s="1"/>
  <c r="P4207" i="1" s="1"/>
  <c r="P4208" i="1" s="1"/>
  <c r="P4209" i="1" s="1"/>
  <c r="P4210" i="1" s="1"/>
  <c r="P4211" i="1" s="1"/>
  <c r="P4212" i="1" s="1"/>
  <c r="P4213" i="1" s="1"/>
  <c r="P4214" i="1" s="1"/>
  <c r="P4215" i="1" s="1"/>
  <c r="P4216" i="1" s="1"/>
  <c r="P4217" i="1" s="1"/>
  <c r="P4218" i="1" s="1"/>
  <c r="P4219" i="1" s="1"/>
  <c r="P4220" i="1" s="1"/>
  <c r="P4221" i="1" s="1"/>
  <c r="P4222" i="1" s="1"/>
  <c r="P4223" i="1" s="1"/>
  <c r="P4224" i="1" s="1"/>
  <c r="P4225" i="1" s="1"/>
  <c r="P4226" i="1" s="1"/>
  <c r="P4227" i="1" s="1"/>
  <c r="P4228" i="1" s="1"/>
  <c r="P4229" i="1" s="1"/>
  <c r="P4230" i="1" s="1"/>
  <c r="P4231" i="1" s="1"/>
  <c r="P4232" i="1" s="1"/>
  <c r="P4233" i="1" s="1"/>
  <c r="P4234" i="1" s="1"/>
  <c r="P4235" i="1" s="1"/>
  <c r="P4236" i="1" s="1"/>
  <c r="P4237" i="1" s="1"/>
  <c r="P4238" i="1" s="1"/>
  <c r="P4239" i="1" s="1"/>
  <c r="P4240" i="1" s="1"/>
  <c r="P4241" i="1" s="1"/>
  <c r="P4242" i="1" s="1"/>
  <c r="P4243" i="1" s="1"/>
  <c r="P4244" i="1" s="1"/>
  <c r="P4245" i="1" s="1"/>
  <c r="P4246" i="1" s="1"/>
  <c r="P4247" i="1" s="1"/>
  <c r="P4248" i="1" s="1"/>
  <c r="P4249" i="1" s="1"/>
  <c r="P4250" i="1" s="1"/>
  <c r="P4251" i="1" s="1"/>
  <c r="P4252" i="1" s="1"/>
  <c r="P4253" i="1" s="1"/>
  <c r="P4254" i="1" s="1"/>
  <c r="P4255" i="1" s="1"/>
  <c r="P4256" i="1" s="1"/>
  <c r="P4257" i="1" s="1"/>
  <c r="P4258" i="1" s="1"/>
  <c r="P4259" i="1" s="1"/>
  <c r="P4260" i="1" s="1"/>
  <c r="P4261" i="1" s="1"/>
  <c r="P4262" i="1" s="1"/>
  <c r="P4263" i="1" s="1"/>
  <c r="P4264" i="1" s="1"/>
  <c r="P4265" i="1" s="1"/>
  <c r="P4266" i="1" s="1"/>
  <c r="P4267" i="1" s="1"/>
  <c r="P4268" i="1" s="1"/>
  <c r="P4269" i="1" s="1"/>
  <c r="P4270" i="1" s="1"/>
  <c r="P4271" i="1" s="1"/>
  <c r="P4272" i="1" s="1"/>
  <c r="P4273" i="1" s="1"/>
  <c r="P4274" i="1" s="1"/>
  <c r="P4275" i="1" s="1"/>
  <c r="P4276" i="1" s="1"/>
  <c r="P4277" i="1" s="1"/>
  <c r="P4278" i="1" s="1"/>
  <c r="P4279" i="1" s="1"/>
  <c r="P4280" i="1" s="1"/>
  <c r="P4281" i="1" s="1"/>
  <c r="P4282" i="1" s="1"/>
  <c r="P4283" i="1" s="1"/>
  <c r="P4284" i="1" s="1"/>
  <c r="P4285" i="1" s="1"/>
  <c r="P4286" i="1" s="1"/>
  <c r="P4287" i="1" s="1"/>
  <c r="P4288" i="1" s="1"/>
  <c r="P4289" i="1" s="1"/>
  <c r="P4290" i="1" s="1"/>
  <c r="P4291" i="1" s="1"/>
  <c r="P4292" i="1" s="1"/>
  <c r="P4293" i="1" s="1"/>
  <c r="P4294" i="1" s="1"/>
  <c r="P4295" i="1" s="1"/>
  <c r="P4296" i="1" s="1"/>
  <c r="P4297" i="1" s="1"/>
  <c r="P4298" i="1" s="1"/>
  <c r="P4299" i="1" s="1"/>
  <c r="P4300" i="1" s="1"/>
  <c r="P4301" i="1" s="1"/>
  <c r="P4302" i="1" s="1"/>
  <c r="P4303" i="1" s="1"/>
  <c r="P4304" i="1" s="1"/>
  <c r="P4305" i="1" s="1"/>
  <c r="P4306" i="1" s="1"/>
  <c r="P4307" i="1" s="1"/>
  <c r="P4308" i="1" s="1"/>
  <c r="P4309" i="1" s="1"/>
  <c r="P4310" i="1" s="1"/>
  <c r="P4311" i="1" s="1"/>
  <c r="P4312" i="1" s="1"/>
  <c r="P4313" i="1" s="1"/>
  <c r="P4314" i="1" s="1"/>
  <c r="P4315" i="1" s="1"/>
  <c r="P4316" i="1" s="1"/>
  <c r="P4317" i="1" s="1"/>
  <c r="P4318" i="1" s="1"/>
  <c r="P4319" i="1" s="1"/>
  <c r="P4320" i="1" s="1"/>
  <c r="P4321" i="1" s="1"/>
  <c r="P4322" i="1" s="1"/>
  <c r="P4323" i="1" s="1"/>
  <c r="P4324" i="1" s="1"/>
  <c r="P4325" i="1" s="1"/>
  <c r="P4326" i="1" s="1"/>
  <c r="P4327" i="1" s="1"/>
  <c r="P4328" i="1" s="1"/>
  <c r="P4329" i="1" s="1"/>
  <c r="P4330" i="1" s="1"/>
  <c r="P4331" i="1" s="1"/>
  <c r="P4332" i="1" s="1"/>
  <c r="P4333" i="1" s="1"/>
  <c r="P4334" i="1" s="1"/>
  <c r="P4335" i="1" s="1"/>
  <c r="P4336" i="1" s="1"/>
  <c r="P4337" i="1" s="1"/>
  <c r="P4338" i="1" s="1"/>
  <c r="P4339" i="1" s="1"/>
  <c r="P4340" i="1" s="1"/>
  <c r="P4341" i="1" s="1"/>
  <c r="P4342" i="1" s="1"/>
  <c r="P4343" i="1" s="1"/>
  <c r="P4344" i="1" s="1"/>
  <c r="P4345" i="1" s="1"/>
  <c r="P4346" i="1" s="1"/>
  <c r="P4347" i="1" s="1"/>
  <c r="P4348" i="1" s="1"/>
  <c r="P4349" i="1" s="1"/>
  <c r="P4350" i="1" s="1"/>
  <c r="P4351" i="1" s="1"/>
  <c r="P4352" i="1" s="1"/>
  <c r="P4353" i="1" s="1"/>
  <c r="P4354" i="1" s="1"/>
  <c r="P4355" i="1" s="1"/>
  <c r="P4356" i="1" s="1"/>
  <c r="P4357" i="1" s="1"/>
  <c r="P4358" i="1" s="1"/>
  <c r="P4359" i="1" s="1"/>
  <c r="P4360" i="1" s="1"/>
  <c r="P4361" i="1" s="1"/>
  <c r="P4362" i="1" s="1"/>
  <c r="P4363" i="1" s="1"/>
  <c r="P4364" i="1" s="1"/>
  <c r="P4365" i="1" s="1"/>
  <c r="P4366" i="1" s="1"/>
  <c r="P4367" i="1" s="1"/>
  <c r="P4368" i="1" s="1"/>
  <c r="P4369" i="1" s="1"/>
  <c r="P4370" i="1" s="1"/>
  <c r="P4371" i="1" s="1"/>
  <c r="P4372" i="1" s="1"/>
  <c r="P4373" i="1" s="1"/>
  <c r="P4374" i="1" s="1"/>
  <c r="P4375" i="1" s="1"/>
  <c r="P4376" i="1" s="1"/>
  <c r="P4377" i="1" s="1"/>
  <c r="P4378" i="1" s="1"/>
  <c r="P4379" i="1" s="1"/>
  <c r="P4380" i="1" s="1"/>
  <c r="P4381" i="1" s="1"/>
  <c r="P4382" i="1" s="1"/>
  <c r="P4383" i="1" s="1"/>
  <c r="P4384" i="1" s="1"/>
  <c r="P4385" i="1" s="1"/>
  <c r="P4386" i="1" s="1"/>
  <c r="P4387" i="1" s="1"/>
  <c r="P4388" i="1" s="1"/>
  <c r="P4389" i="1" s="1"/>
  <c r="P4390" i="1" s="1"/>
  <c r="P4391" i="1" s="1"/>
  <c r="P4392" i="1" s="1"/>
  <c r="P4393" i="1" s="1"/>
  <c r="P4394" i="1" s="1"/>
  <c r="P4395" i="1" s="1"/>
  <c r="P4396" i="1" s="1"/>
  <c r="P4397" i="1" s="1"/>
  <c r="P4398" i="1" s="1"/>
  <c r="P4399" i="1" s="1"/>
  <c r="P4400" i="1" s="1"/>
  <c r="P4401" i="1" s="1"/>
  <c r="P4402" i="1" s="1"/>
  <c r="P4403" i="1" s="1"/>
  <c r="P4404" i="1" s="1"/>
  <c r="P4405" i="1" s="1"/>
  <c r="P4406" i="1" s="1"/>
  <c r="P4407" i="1" s="1"/>
  <c r="P4408" i="1" s="1"/>
  <c r="P4409" i="1" s="1"/>
  <c r="P4410" i="1" s="1"/>
  <c r="P4411" i="1" s="1"/>
  <c r="P4412" i="1" s="1"/>
  <c r="P4413" i="1" s="1"/>
  <c r="P4414" i="1" s="1"/>
  <c r="P4415" i="1" s="1"/>
  <c r="P4416" i="1" s="1"/>
  <c r="P4417" i="1" s="1"/>
  <c r="P4418" i="1" s="1"/>
  <c r="P4419" i="1" s="1"/>
  <c r="P4420" i="1" s="1"/>
  <c r="P4421" i="1" s="1"/>
  <c r="P4422" i="1" s="1"/>
  <c r="P4423" i="1" s="1"/>
  <c r="P4424" i="1" s="1"/>
  <c r="P4425" i="1" s="1"/>
  <c r="P4426" i="1" s="1"/>
  <c r="P4427" i="1" s="1"/>
  <c r="P4428" i="1" s="1"/>
  <c r="P4429" i="1" s="1"/>
  <c r="P4430" i="1" s="1"/>
  <c r="P4431" i="1" s="1"/>
  <c r="P4432" i="1" s="1"/>
  <c r="P4433" i="1" s="1"/>
  <c r="P4434" i="1" s="1"/>
  <c r="P4435" i="1" s="1"/>
  <c r="P4436" i="1" s="1"/>
  <c r="P4437" i="1" s="1"/>
  <c r="P4438" i="1" s="1"/>
  <c r="P4439" i="1" s="1"/>
  <c r="P4440" i="1" s="1"/>
  <c r="P4441" i="1" s="1"/>
  <c r="P4442" i="1" s="1"/>
  <c r="P4443" i="1" s="1"/>
  <c r="P4444" i="1" s="1"/>
  <c r="P4445" i="1" s="1"/>
  <c r="P4446" i="1" s="1"/>
  <c r="P4447" i="1" s="1"/>
  <c r="P4448" i="1" s="1"/>
  <c r="P4449" i="1" s="1"/>
  <c r="P4450" i="1" s="1"/>
  <c r="P4451" i="1" s="1"/>
  <c r="P4452" i="1" s="1"/>
  <c r="P4453" i="1" s="1"/>
  <c r="P4454" i="1" s="1"/>
  <c r="P4455" i="1" s="1"/>
  <c r="P4456" i="1" s="1"/>
  <c r="P4457" i="1" s="1"/>
  <c r="P4458" i="1" s="1"/>
  <c r="P4459" i="1" s="1"/>
  <c r="P4460" i="1" s="1"/>
  <c r="P4461" i="1" s="1"/>
  <c r="P4462" i="1" s="1"/>
  <c r="P4463" i="1" s="1"/>
  <c r="P4464" i="1" s="1"/>
  <c r="P4465" i="1" s="1"/>
  <c r="P4466" i="1" s="1"/>
  <c r="P4467" i="1" s="1"/>
  <c r="P4468" i="1" s="1"/>
  <c r="P4469" i="1" s="1"/>
  <c r="P4470" i="1" s="1"/>
  <c r="P4471" i="1" s="1"/>
  <c r="P4472" i="1" s="1"/>
  <c r="P4473" i="1" s="1"/>
  <c r="P4474" i="1" s="1"/>
  <c r="P4475" i="1" s="1"/>
  <c r="P4476" i="1" s="1"/>
  <c r="P4477" i="1" s="1"/>
  <c r="P4478" i="1" s="1"/>
  <c r="P4479" i="1" s="1"/>
  <c r="P4480" i="1" s="1"/>
  <c r="P4481" i="1" s="1"/>
  <c r="P4482" i="1" s="1"/>
  <c r="P4483" i="1" s="1"/>
  <c r="P4484" i="1" s="1"/>
  <c r="P4485" i="1" s="1"/>
  <c r="P4486" i="1" s="1"/>
  <c r="P4487" i="1" s="1"/>
  <c r="P4488" i="1" s="1"/>
  <c r="P4489" i="1" s="1"/>
  <c r="P4490" i="1" s="1"/>
  <c r="P4491" i="1" s="1"/>
  <c r="P4492" i="1" s="1"/>
  <c r="P4493" i="1" s="1"/>
  <c r="P4494" i="1" s="1"/>
  <c r="P4495" i="1" s="1"/>
  <c r="P4496" i="1" s="1"/>
  <c r="P4497" i="1" s="1"/>
  <c r="P4498" i="1" s="1"/>
  <c r="P4499" i="1" s="1"/>
  <c r="P4500" i="1" s="1"/>
  <c r="P4501" i="1" s="1"/>
  <c r="P4502" i="1" s="1"/>
  <c r="P4503" i="1" s="1"/>
  <c r="P4504" i="1" s="1"/>
  <c r="P4505" i="1" s="1"/>
  <c r="P4506" i="1" s="1"/>
  <c r="P4507" i="1" s="1"/>
  <c r="P4508" i="1" s="1"/>
  <c r="P4509" i="1" s="1"/>
  <c r="P4510" i="1" s="1"/>
  <c r="P4511" i="1" s="1"/>
  <c r="P4512" i="1" s="1"/>
  <c r="P4513" i="1" s="1"/>
  <c r="P4514" i="1" s="1"/>
  <c r="P4515" i="1" s="1"/>
  <c r="P4516" i="1" s="1"/>
  <c r="P4517" i="1" s="1"/>
  <c r="P4518" i="1" s="1"/>
  <c r="P4519" i="1" s="1"/>
  <c r="P4520" i="1"/>
  <c r="P4521" i="1" s="1"/>
  <c r="P4522" i="1" s="1"/>
  <c r="P4523" i="1" s="1"/>
  <c r="P4524" i="1" s="1"/>
  <c r="P4525" i="1" s="1"/>
  <c r="P4526" i="1" s="1"/>
  <c r="P4527" i="1" s="1"/>
  <c r="P4528" i="1" s="1"/>
  <c r="P4529" i="1" s="1"/>
  <c r="P4530" i="1" s="1"/>
  <c r="P4531" i="1" s="1"/>
  <c r="P4532" i="1" s="1"/>
  <c r="P4533" i="1" s="1"/>
  <c r="P4534" i="1" s="1"/>
  <c r="P4535" i="1" s="1"/>
  <c r="P4536" i="1" s="1"/>
  <c r="P4537" i="1" s="1"/>
  <c r="P4538" i="1" s="1"/>
  <c r="P4539" i="1" s="1"/>
  <c r="P4540" i="1" s="1"/>
  <c r="P4541" i="1" s="1"/>
  <c r="P4542" i="1" s="1"/>
  <c r="P4543" i="1" s="1"/>
  <c r="P4544" i="1" s="1"/>
  <c r="P4545" i="1" s="1"/>
  <c r="P4546" i="1" s="1"/>
  <c r="P4547" i="1" s="1"/>
  <c r="P4548" i="1" s="1"/>
  <c r="P4549" i="1" s="1"/>
  <c r="P4550" i="1" s="1"/>
  <c r="P4551" i="1" s="1"/>
  <c r="P4552" i="1" s="1"/>
  <c r="P4553" i="1" s="1"/>
  <c r="P4554" i="1" s="1"/>
  <c r="P4555" i="1" s="1"/>
  <c r="P4556" i="1" s="1"/>
  <c r="P4557" i="1" s="1"/>
  <c r="P4558" i="1" s="1"/>
  <c r="P4559" i="1" s="1"/>
  <c r="P4560" i="1" s="1"/>
  <c r="P4561" i="1" s="1"/>
  <c r="P4562" i="1" s="1"/>
  <c r="P4563" i="1" s="1"/>
  <c r="P4564" i="1" s="1"/>
  <c r="P4565" i="1" s="1"/>
  <c r="P4566" i="1" s="1"/>
  <c r="P4567" i="1" s="1"/>
  <c r="P4568" i="1" s="1"/>
  <c r="P4569" i="1" s="1"/>
  <c r="P4570" i="1" s="1"/>
  <c r="P4571" i="1" s="1"/>
  <c r="P4572" i="1" s="1"/>
  <c r="P4573" i="1" s="1"/>
  <c r="P4574" i="1" s="1"/>
  <c r="P4575" i="1" s="1"/>
  <c r="P4576" i="1" s="1"/>
  <c r="P4577" i="1" s="1"/>
  <c r="P4578" i="1" s="1"/>
  <c r="P4579" i="1" s="1"/>
  <c r="P4580" i="1" s="1"/>
  <c r="P4581" i="1" s="1"/>
  <c r="P4582" i="1" s="1"/>
  <c r="P4583" i="1" s="1"/>
  <c r="P4584" i="1" s="1"/>
  <c r="P4585" i="1" s="1"/>
  <c r="P4586" i="1" s="1"/>
  <c r="P4587" i="1" s="1"/>
  <c r="P4588" i="1" s="1"/>
  <c r="P4589" i="1" s="1"/>
  <c r="P4590" i="1" s="1"/>
  <c r="P4591" i="1" s="1"/>
  <c r="P4592" i="1" s="1"/>
  <c r="P4593" i="1" s="1"/>
  <c r="P4594" i="1" s="1"/>
  <c r="P4595" i="1" s="1"/>
  <c r="P4596" i="1" s="1"/>
  <c r="P4597" i="1" s="1"/>
  <c r="P4598" i="1" s="1"/>
  <c r="P4599" i="1" s="1"/>
  <c r="P4600" i="1" s="1"/>
  <c r="P4601" i="1" s="1"/>
  <c r="P4602" i="1" s="1"/>
  <c r="P4603" i="1" s="1"/>
  <c r="P4604" i="1" s="1"/>
  <c r="P4605" i="1" s="1"/>
  <c r="P4606" i="1" s="1"/>
  <c r="P4607" i="1" s="1"/>
  <c r="P4608" i="1" s="1"/>
  <c r="P4609" i="1" s="1"/>
  <c r="P4610" i="1" s="1"/>
  <c r="P4611" i="1" s="1"/>
  <c r="P4612" i="1" s="1"/>
  <c r="P4613" i="1" s="1"/>
  <c r="P4614" i="1" s="1"/>
  <c r="P4615" i="1" s="1"/>
  <c r="P4616" i="1" s="1"/>
  <c r="P4617" i="1" s="1"/>
  <c r="P4618" i="1" s="1"/>
  <c r="P4619" i="1" s="1"/>
  <c r="P4620" i="1" s="1"/>
  <c r="P4621" i="1" s="1"/>
  <c r="P4622" i="1" s="1"/>
  <c r="P4623" i="1" s="1"/>
  <c r="P4624" i="1" s="1"/>
  <c r="P4625" i="1" s="1"/>
  <c r="P4626" i="1" s="1"/>
  <c r="P4627" i="1" s="1"/>
  <c r="P4628" i="1" s="1"/>
  <c r="P4629" i="1" s="1"/>
  <c r="P4630" i="1" s="1"/>
  <c r="P4631" i="1" s="1"/>
  <c r="P4632" i="1" s="1"/>
  <c r="P4633" i="1" s="1"/>
  <c r="P4634" i="1" s="1"/>
  <c r="P4635" i="1" s="1"/>
  <c r="P4636" i="1" s="1"/>
  <c r="P4637" i="1" s="1"/>
  <c r="P4638" i="1" s="1"/>
  <c r="P4639" i="1" s="1"/>
  <c r="P4640" i="1" s="1"/>
  <c r="P4641" i="1" s="1"/>
  <c r="P4642" i="1" s="1"/>
  <c r="P4643" i="1" s="1"/>
  <c r="P4644" i="1" s="1"/>
  <c r="P4645" i="1" s="1"/>
  <c r="P4646" i="1" s="1"/>
  <c r="P4647" i="1" s="1"/>
  <c r="P4648" i="1" s="1"/>
  <c r="P4649" i="1" s="1"/>
  <c r="P4650" i="1" s="1"/>
  <c r="P4651" i="1" s="1"/>
  <c r="P4652" i="1" s="1"/>
  <c r="P4653" i="1" s="1"/>
  <c r="P4654" i="1" s="1"/>
  <c r="P4655" i="1" s="1"/>
  <c r="P4656" i="1" s="1"/>
  <c r="P4657" i="1" s="1"/>
  <c r="P4658" i="1" s="1"/>
  <c r="P4659" i="1" s="1"/>
  <c r="P4660" i="1" s="1"/>
  <c r="P4661" i="1" s="1"/>
  <c r="P4662" i="1" s="1"/>
  <c r="P4663" i="1" s="1"/>
  <c r="P4664" i="1" s="1"/>
  <c r="P4665" i="1" s="1"/>
  <c r="P4666" i="1" s="1"/>
  <c r="P4667" i="1" s="1"/>
  <c r="P4668" i="1" s="1"/>
  <c r="P4669" i="1" s="1"/>
  <c r="P4670" i="1" s="1"/>
  <c r="P4671" i="1" s="1"/>
  <c r="P4672" i="1" s="1"/>
  <c r="P4673" i="1" s="1"/>
  <c r="P4674" i="1" s="1"/>
  <c r="P4675" i="1" s="1"/>
  <c r="P4676" i="1" s="1"/>
  <c r="P4677" i="1" s="1"/>
  <c r="P4678" i="1" s="1"/>
  <c r="P4679" i="1" s="1"/>
  <c r="P4680" i="1" s="1"/>
  <c r="P4681" i="1" s="1"/>
  <c r="P4682" i="1" s="1"/>
  <c r="P4683" i="1" s="1"/>
  <c r="P4684" i="1" s="1"/>
  <c r="P4685" i="1" s="1"/>
  <c r="P4686" i="1" s="1"/>
  <c r="P4687" i="1" s="1"/>
  <c r="P4688" i="1" s="1"/>
  <c r="P4689" i="1" s="1"/>
  <c r="P4690" i="1" s="1"/>
  <c r="P4691" i="1" s="1"/>
  <c r="P4692" i="1" s="1"/>
  <c r="P4693" i="1" s="1"/>
  <c r="P4694" i="1" s="1"/>
  <c r="P4695" i="1" s="1"/>
  <c r="P4696" i="1" s="1"/>
  <c r="P4697" i="1" s="1"/>
  <c r="P4698" i="1" s="1"/>
  <c r="P4699" i="1" s="1"/>
  <c r="P4700" i="1" s="1"/>
  <c r="P4701" i="1" s="1"/>
  <c r="P4702" i="1" s="1"/>
  <c r="P4703" i="1" s="1"/>
  <c r="P4704" i="1" s="1"/>
  <c r="P4705" i="1" s="1"/>
  <c r="P4706" i="1" s="1"/>
  <c r="P4707" i="1" s="1"/>
  <c r="P4708" i="1" s="1"/>
  <c r="P4709" i="1" s="1"/>
  <c r="P4710" i="1" s="1"/>
  <c r="P4711" i="1" s="1"/>
  <c r="P4712" i="1" s="1"/>
  <c r="P4713" i="1" s="1"/>
  <c r="P4714" i="1" s="1"/>
  <c r="P4715" i="1" s="1"/>
  <c r="P4716" i="1" s="1"/>
  <c r="P4717" i="1" s="1"/>
  <c r="P4718" i="1" s="1"/>
  <c r="P4719" i="1" s="1"/>
  <c r="P4720" i="1" s="1"/>
  <c r="P4721" i="1" s="1"/>
  <c r="P4722" i="1" s="1"/>
  <c r="P4723" i="1" s="1"/>
  <c r="P4724" i="1" s="1"/>
  <c r="P4725" i="1" s="1"/>
  <c r="P4726" i="1" s="1"/>
  <c r="P4727" i="1" s="1"/>
  <c r="P4728" i="1" s="1"/>
  <c r="P4729" i="1" s="1"/>
  <c r="P4730" i="1" s="1"/>
  <c r="P4731" i="1" s="1"/>
  <c r="P4732" i="1" s="1"/>
  <c r="P4733" i="1" s="1"/>
  <c r="P4734" i="1" s="1"/>
  <c r="P4735" i="1" s="1"/>
  <c r="P4736" i="1" s="1"/>
  <c r="P4737" i="1" s="1"/>
  <c r="P4738" i="1" s="1"/>
  <c r="P4739" i="1" s="1"/>
  <c r="P4740" i="1" s="1"/>
  <c r="P4741" i="1" s="1"/>
  <c r="P4742" i="1" s="1"/>
  <c r="P4743" i="1" s="1"/>
  <c r="P4744" i="1" s="1"/>
  <c r="P4745" i="1" s="1"/>
  <c r="P4746" i="1" s="1"/>
  <c r="P4747" i="1" s="1"/>
  <c r="P4748" i="1" s="1"/>
  <c r="P4749" i="1" s="1"/>
  <c r="P4750" i="1" s="1"/>
  <c r="P4751" i="1" s="1"/>
  <c r="P4752" i="1" s="1"/>
  <c r="P4753" i="1" s="1"/>
  <c r="P4754" i="1" s="1"/>
  <c r="P4755" i="1" s="1"/>
  <c r="P4756" i="1" s="1"/>
  <c r="P4757" i="1" s="1"/>
  <c r="P4758" i="1" s="1"/>
  <c r="P4759" i="1" s="1"/>
  <c r="P4760" i="1" s="1"/>
  <c r="P4761" i="1" s="1"/>
  <c r="P4762" i="1" s="1"/>
  <c r="P4763" i="1" s="1"/>
  <c r="P4764" i="1" s="1"/>
  <c r="P4765" i="1" s="1"/>
  <c r="P4766" i="1" s="1"/>
  <c r="P4767" i="1" s="1"/>
  <c r="P4768" i="1" s="1"/>
  <c r="P4769" i="1" s="1"/>
  <c r="P4770" i="1" s="1"/>
  <c r="P4771" i="1" s="1"/>
  <c r="P4772" i="1" s="1"/>
  <c r="P4773" i="1" s="1"/>
  <c r="P4774" i="1" s="1"/>
  <c r="P4775" i="1" s="1"/>
  <c r="P4776" i="1" s="1"/>
  <c r="P4777" i="1" s="1"/>
  <c r="P4778" i="1" s="1"/>
  <c r="P4779" i="1" s="1"/>
  <c r="P4780" i="1" s="1"/>
  <c r="P4781" i="1" s="1"/>
  <c r="P4782" i="1" s="1"/>
  <c r="P4783" i="1" s="1"/>
  <c r="P4784" i="1" s="1"/>
  <c r="P4785" i="1" s="1"/>
  <c r="P4786" i="1" s="1"/>
  <c r="P4787" i="1" s="1"/>
  <c r="P4788" i="1" s="1"/>
  <c r="P4789" i="1" s="1"/>
  <c r="P4790" i="1" s="1"/>
  <c r="P4791" i="1" s="1"/>
  <c r="P4792" i="1" s="1"/>
  <c r="P4793" i="1" s="1"/>
  <c r="P4794" i="1" s="1"/>
  <c r="P4795" i="1" s="1"/>
  <c r="P4796" i="1" s="1"/>
  <c r="P4797" i="1" s="1"/>
  <c r="P4798" i="1" s="1"/>
  <c r="P4799" i="1" s="1"/>
  <c r="P4800" i="1" s="1"/>
  <c r="P4801" i="1" s="1"/>
  <c r="P4802" i="1" s="1"/>
  <c r="P4803" i="1" s="1"/>
  <c r="P4804" i="1" s="1"/>
  <c r="P4805" i="1" s="1"/>
  <c r="P4806" i="1" s="1"/>
  <c r="P4807" i="1" s="1"/>
  <c r="P4808" i="1" s="1"/>
  <c r="P4809" i="1" s="1"/>
  <c r="P4810" i="1" s="1"/>
  <c r="P4811" i="1" s="1"/>
  <c r="P4812" i="1" s="1"/>
  <c r="P4813" i="1" s="1"/>
  <c r="P4814" i="1" s="1"/>
  <c r="P4815" i="1" s="1"/>
  <c r="P4816" i="1" s="1"/>
  <c r="P4817" i="1" s="1"/>
  <c r="P4818" i="1" s="1"/>
  <c r="P4819" i="1" s="1"/>
  <c r="P4820" i="1" s="1"/>
  <c r="P4821" i="1" s="1"/>
  <c r="P4822" i="1" s="1"/>
  <c r="P4823" i="1" s="1"/>
  <c r="P4824" i="1" s="1"/>
  <c r="P4825" i="1" s="1"/>
  <c r="P4826" i="1" s="1"/>
  <c r="P4827" i="1" s="1"/>
  <c r="P4828" i="1" s="1"/>
  <c r="P4829" i="1" s="1"/>
  <c r="P4830" i="1" s="1"/>
  <c r="P4831" i="1" s="1"/>
  <c r="P4832" i="1" s="1"/>
  <c r="P4833" i="1" s="1"/>
  <c r="P4834" i="1" s="1"/>
  <c r="P4835" i="1" s="1"/>
  <c r="P4836" i="1" s="1"/>
  <c r="P4837" i="1" s="1"/>
  <c r="P4838" i="1" s="1"/>
  <c r="P4839" i="1" s="1"/>
  <c r="P4840" i="1" s="1"/>
  <c r="P4841" i="1" s="1"/>
  <c r="P4842" i="1" s="1"/>
  <c r="P4843" i="1" s="1"/>
  <c r="P4844" i="1" s="1"/>
  <c r="P4845" i="1" s="1"/>
  <c r="P4846" i="1" s="1"/>
  <c r="P4847" i="1" s="1"/>
  <c r="P4848" i="1" s="1"/>
  <c r="P4849" i="1" s="1"/>
  <c r="P4850" i="1" s="1"/>
  <c r="P4851" i="1" s="1"/>
  <c r="P4852" i="1" s="1"/>
  <c r="P4853" i="1" s="1"/>
  <c r="P4854" i="1" s="1"/>
  <c r="P4855" i="1" s="1"/>
  <c r="P4856" i="1" s="1"/>
  <c r="P4857" i="1" s="1"/>
  <c r="P4858" i="1" s="1"/>
  <c r="P4859" i="1" s="1"/>
  <c r="P4860" i="1" s="1"/>
  <c r="P4861" i="1" s="1"/>
  <c r="P4862" i="1" s="1"/>
  <c r="P4863" i="1" s="1"/>
  <c r="P4864" i="1" s="1"/>
  <c r="P4865" i="1" s="1"/>
  <c r="P4866" i="1" s="1"/>
  <c r="P4867" i="1" s="1"/>
  <c r="P4868" i="1" s="1"/>
  <c r="P4869" i="1" s="1"/>
  <c r="P4870" i="1" s="1"/>
  <c r="P4871" i="1" s="1"/>
  <c r="P4872" i="1" s="1"/>
  <c r="P4873" i="1" s="1"/>
  <c r="P4874" i="1" s="1"/>
  <c r="P4875" i="1" s="1"/>
  <c r="P4876" i="1" s="1"/>
  <c r="P4877" i="1" s="1"/>
  <c r="P4878" i="1" s="1"/>
  <c r="P4879" i="1" s="1"/>
  <c r="P4880" i="1" s="1"/>
  <c r="P4881" i="1" s="1"/>
  <c r="P4882" i="1" s="1"/>
  <c r="P4883" i="1" s="1"/>
  <c r="P4884" i="1" s="1"/>
  <c r="P4885" i="1" s="1"/>
  <c r="P4886" i="1" s="1"/>
  <c r="P4887" i="1" s="1"/>
  <c r="P4888" i="1" s="1"/>
  <c r="P4889" i="1" s="1"/>
  <c r="P4890" i="1" s="1"/>
  <c r="P4891" i="1" s="1"/>
  <c r="P4892" i="1" s="1"/>
  <c r="P4893" i="1" s="1"/>
  <c r="P4894" i="1" s="1"/>
  <c r="P4895" i="1" s="1"/>
  <c r="P4896" i="1" s="1"/>
  <c r="P4897" i="1" s="1"/>
  <c r="P4898" i="1" s="1"/>
  <c r="P4899" i="1" s="1"/>
  <c r="P4900" i="1" s="1"/>
  <c r="P4901" i="1" s="1"/>
  <c r="P4902" i="1" s="1"/>
  <c r="P4903" i="1" s="1"/>
  <c r="P4904" i="1" s="1"/>
  <c r="P4905" i="1" s="1"/>
  <c r="P4906" i="1" s="1"/>
  <c r="P4907" i="1" s="1"/>
  <c r="P4908" i="1" s="1"/>
  <c r="P4909" i="1" s="1"/>
  <c r="P4910" i="1" s="1"/>
  <c r="P4911" i="1" s="1"/>
  <c r="P4912" i="1" s="1"/>
  <c r="P4913" i="1" s="1"/>
  <c r="P4914" i="1" s="1"/>
  <c r="P4915" i="1" s="1"/>
  <c r="P4916" i="1" s="1"/>
  <c r="P4917" i="1" s="1"/>
  <c r="P4918" i="1" s="1"/>
  <c r="P4919" i="1" s="1"/>
  <c r="P4920" i="1" s="1"/>
  <c r="P4921" i="1" s="1"/>
  <c r="P4922" i="1" s="1"/>
  <c r="P4923" i="1" s="1"/>
  <c r="P4924" i="1" s="1"/>
  <c r="P4925" i="1" s="1"/>
  <c r="P4926" i="1" s="1"/>
  <c r="P4927" i="1" s="1"/>
  <c r="P4928" i="1" s="1"/>
  <c r="P4929" i="1" s="1"/>
  <c r="P4930" i="1" s="1"/>
  <c r="P4931" i="1" s="1"/>
  <c r="P4932" i="1" s="1"/>
  <c r="P4933" i="1" s="1"/>
  <c r="P4934" i="1" s="1"/>
  <c r="P4935" i="1" s="1"/>
  <c r="P4936" i="1" s="1"/>
  <c r="P4937" i="1" s="1"/>
  <c r="P4938" i="1" s="1"/>
  <c r="P4939" i="1" s="1"/>
  <c r="P4940" i="1" s="1"/>
  <c r="P4941" i="1" s="1"/>
  <c r="P4942" i="1" s="1"/>
  <c r="P4943" i="1" s="1"/>
  <c r="P4944" i="1" s="1"/>
  <c r="P4945" i="1" s="1"/>
  <c r="P4946" i="1" s="1"/>
  <c r="P4947" i="1" s="1"/>
  <c r="P4948" i="1" s="1"/>
  <c r="P4949" i="1" s="1"/>
  <c r="P4950" i="1" s="1"/>
  <c r="P4951" i="1" s="1"/>
  <c r="P4952" i="1" s="1"/>
  <c r="P4953" i="1" s="1"/>
  <c r="P4954" i="1" s="1"/>
  <c r="P4955" i="1" s="1"/>
  <c r="P4956" i="1" s="1"/>
  <c r="P4957" i="1" s="1"/>
  <c r="P4958" i="1" s="1"/>
  <c r="P4959" i="1" s="1"/>
  <c r="P4960" i="1" s="1"/>
  <c r="P4961" i="1" s="1"/>
  <c r="P4962" i="1" s="1"/>
  <c r="P4963" i="1" s="1"/>
  <c r="P4964" i="1" s="1"/>
  <c r="P4965" i="1" s="1"/>
  <c r="P4966" i="1" s="1"/>
  <c r="P4967" i="1" s="1"/>
  <c r="P4968" i="1" s="1"/>
  <c r="P4969" i="1" s="1"/>
  <c r="P4970" i="1" s="1"/>
  <c r="P4971" i="1" s="1"/>
  <c r="P4972" i="1" s="1"/>
  <c r="P4973" i="1" s="1"/>
  <c r="P4974" i="1" s="1"/>
  <c r="P4975" i="1" s="1"/>
  <c r="P4976" i="1" s="1"/>
  <c r="P4977" i="1" s="1"/>
  <c r="P4978" i="1" s="1"/>
  <c r="P4979" i="1" s="1"/>
  <c r="P4980" i="1" s="1"/>
  <c r="P4981" i="1" s="1"/>
  <c r="P4982" i="1" s="1"/>
  <c r="P4983" i="1" s="1"/>
  <c r="P4984" i="1" s="1"/>
  <c r="P4985" i="1" s="1"/>
  <c r="P4986" i="1" s="1"/>
  <c r="P4987" i="1" s="1"/>
  <c r="P4988" i="1" s="1"/>
  <c r="P4989" i="1" s="1"/>
  <c r="P4990" i="1" s="1"/>
  <c r="P4991" i="1" s="1"/>
  <c r="P4992" i="1" s="1"/>
  <c r="P4993" i="1" s="1"/>
  <c r="P4994" i="1" s="1"/>
  <c r="P4995" i="1" s="1"/>
  <c r="P4996" i="1" s="1"/>
  <c r="P4997" i="1" s="1"/>
  <c r="P4998" i="1" s="1"/>
  <c r="P4999" i="1" s="1"/>
  <c r="P5000" i="1" s="1"/>
  <c r="P5001" i="1" s="1"/>
  <c r="P5002" i="1" s="1"/>
  <c r="P5003" i="1" s="1"/>
  <c r="P5004" i="1" s="1"/>
  <c r="P5005" i="1" s="1"/>
  <c r="P5006" i="1" s="1"/>
  <c r="P5007" i="1" s="1"/>
  <c r="P5008" i="1" s="1"/>
  <c r="P5009" i="1" s="1"/>
  <c r="P5010" i="1" s="1"/>
  <c r="P5011" i="1" s="1"/>
  <c r="P5012" i="1" s="1"/>
  <c r="P5013" i="1" s="1"/>
  <c r="P5014" i="1" s="1"/>
  <c r="P5015" i="1" s="1"/>
  <c r="P5016" i="1" s="1"/>
  <c r="P5017" i="1" s="1"/>
  <c r="P5018" i="1" s="1"/>
  <c r="P5019" i="1" s="1"/>
  <c r="P5020" i="1" s="1"/>
  <c r="P5021" i="1" s="1"/>
  <c r="P2" i="1"/>
  <c r="P3" i="1" s="1"/>
  <c r="P4" i="1" s="1"/>
  <c r="P5" i="1" s="1"/>
  <c r="P6" i="1" s="1"/>
  <c r="P7" i="1" s="1"/>
  <c r="P8" i="1" s="1"/>
  <c r="P9" i="1" s="1"/>
  <c r="P10" i="1" s="1"/>
  <c r="P11" i="1" s="1"/>
  <c r="P12" i="1" s="1"/>
  <c r="P13" i="1" s="1"/>
  <c r="P14" i="1" s="1"/>
  <c r="P15" i="1" s="1"/>
  <c r="P16" i="1" s="1"/>
  <c r="P17" i="1" s="1"/>
  <c r="P18" i="1" s="1"/>
  <c r="P19" i="1" s="1"/>
  <c r="P20" i="1" s="1"/>
  <c r="P21" i="1" s="1"/>
  <c r="P22" i="1" s="1"/>
  <c r="P23" i="1" s="1"/>
  <c r="P24" i="1" s="1"/>
  <c r="P25" i="1" s="1"/>
  <c r="P26" i="1" s="1"/>
  <c r="P27" i="1" s="1"/>
  <c r="P28" i="1" s="1"/>
  <c r="P29" i="1" s="1"/>
  <c r="P30" i="1" s="1"/>
  <c r="P31" i="1" s="1"/>
  <c r="P32" i="1" s="1"/>
  <c r="P33" i="1" s="1"/>
  <c r="P34" i="1" s="1"/>
  <c r="P35" i="1" s="1"/>
  <c r="P36" i="1" s="1"/>
  <c r="P37" i="1" s="1"/>
  <c r="P38" i="1" s="1"/>
  <c r="P39" i="1" s="1"/>
  <c r="P40" i="1" s="1"/>
  <c r="P41" i="1" s="1"/>
  <c r="P42" i="1" s="1"/>
  <c r="P43" i="1" s="1"/>
  <c r="P44" i="1" s="1"/>
  <c r="P45" i="1" s="1"/>
  <c r="P46" i="1" s="1"/>
  <c r="P47" i="1" s="1"/>
  <c r="P48" i="1" s="1"/>
  <c r="P49" i="1" s="1"/>
  <c r="P50" i="1" s="1"/>
  <c r="P51" i="1" s="1"/>
  <c r="P52" i="1" s="1"/>
  <c r="P53" i="1" s="1"/>
  <c r="P54" i="1" s="1"/>
  <c r="P55" i="1" s="1"/>
  <c r="P56" i="1" s="1"/>
  <c r="P57" i="1" s="1"/>
  <c r="P58" i="1" s="1"/>
  <c r="P59" i="1" s="1"/>
  <c r="P60" i="1" s="1"/>
  <c r="P61" i="1" s="1"/>
  <c r="P62" i="1" s="1"/>
  <c r="P63" i="1" s="1"/>
  <c r="P64" i="1" s="1"/>
  <c r="P65" i="1" s="1"/>
  <c r="P66" i="1" s="1"/>
  <c r="P67" i="1" s="1"/>
  <c r="P68" i="1" s="1"/>
  <c r="P69" i="1" s="1"/>
  <c r="P70" i="1" s="1"/>
  <c r="P71" i="1" s="1"/>
  <c r="P72" i="1" s="1"/>
  <c r="P73" i="1" s="1"/>
  <c r="P74" i="1" s="1"/>
  <c r="P75" i="1" s="1"/>
  <c r="P76" i="1" s="1"/>
  <c r="P77" i="1" s="1"/>
  <c r="P78" i="1" s="1"/>
  <c r="P79" i="1" s="1"/>
  <c r="P80" i="1" s="1"/>
  <c r="P81" i="1" s="1"/>
  <c r="P82" i="1" s="1"/>
  <c r="P83" i="1" s="1"/>
  <c r="P84" i="1" s="1"/>
  <c r="P85" i="1" s="1"/>
  <c r="P86" i="1" s="1"/>
  <c r="P87" i="1" s="1"/>
  <c r="P88" i="1" s="1"/>
  <c r="P89" i="1" s="1"/>
  <c r="P90" i="1" s="1"/>
  <c r="P91" i="1" s="1"/>
  <c r="P92" i="1" s="1"/>
  <c r="P93" i="1" s="1"/>
  <c r="P94" i="1" s="1"/>
  <c r="P95" i="1" s="1"/>
  <c r="P96" i="1" s="1"/>
  <c r="P97" i="1" s="1"/>
  <c r="P98" i="1" s="1"/>
  <c r="P99" i="1" s="1"/>
  <c r="P100" i="1" s="1"/>
  <c r="P101" i="1" s="1"/>
  <c r="P102" i="1" s="1"/>
  <c r="P103" i="1" s="1"/>
  <c r="P104" i="1" s="1"/>
  <c r="P105" i="1" s="1"/>
  <c r="P106" i="1" s="1"/>
  <c r="P107" i="1" s="1"/>
  <c r="P108" i="1" s="1"/>
  <c r="P109" i="1" s="1"/>
  <c r="P110" i="1" s="1"/>
  <c r="P111" i="1" s="1"/>
  <c r="P112" i="1" s="1"/>
  <c r="P113" i="1" s="1"/>
  <c r="P114" i="1" s="1"/>
  <c r="P115" i="1" s="1"/>
  <c r="P116" i="1" s="1"/>
  <c r="P117" i="1" s="1"/>
  <c r="P118" i="1" s="1"/>
  <c r="P119" i="1" s="1"/>
  <c r="P120" i="1" s="1"/>
  <c r="P121" i="1" s="1"/>
  <c r="P122" i="1" s="1"/>
  <c r="P123" i="1" s="1"/>
  <c r="P124" i="1" s="1"/>
  <c r="P125" i="1" s="1"/>
  <c r="P126" i="1" s="1"/>
  <c r="P127" i="1" s="1"/>
  <c r="P128" i="1" s="1"/>
  <c r="P129" i="1" s="1"/>
  <c r="P130" i="1" s="1"/>
  <c r="P131" i="1" s="1"/>
  <c r="P132" i="1" s="1"/>
  <c r="P133" i="1" s="1"/>
  <c r="P134" i="1" s="1"/>
  <c r="P135" i="1" s="1"/>
  <c r="P136" i="1" s="1"/>
  <c r="P137" i="1" s="1"/>
  <c r="P138" i="1" s="1"/>
  <c r="P139" i="1" s="1"/>
  <c r="P140" i="1" s="1"/>
  <c r="P141" i="1" s="1"/>
  <c r="P142" i="1" s="1"/>
  <c r="P143" i="1" s="1"/>
  <c r="P144" i="1" s="1"/>
  <c r="P145" i="1" s="1"/>
  <c r="P146" i="1" s="1"/>
  <c r="P147" i="1" s="1"/>
  <c r="P148" i="1" s="1"/>
  <c r="P149" i="1" s="1"/>
  <c r="P150" i="1" s="1"/>
  <c r="P151" i="1" s="1"/>
  <c r="P152" i="1" s="1"/>
  <c r="P153" i="1" s="1"/>
  <c r="P154" i="1" s="1"/>
  <c r="P155" i="1" s="1"/>
  <c r="P156" i="1" s="1"/>
  <c r="P157" i="1" s="1"/>
  <c r="P158" i="1" s="1"/>
  <c r="P159" i="1" s="1"/>
  <c r="P160" i="1" s="1"/>
  <c r="P161" i="1" s="1"/>
  <c r="P162" i="1" s="1"/>
  <c r="P163" i="1" s="1"/>
  <c r="P164" i="1" s="1"/>
  <c r="P165" i="1" s="1"/>
  <c r="P166" i="1" s="1"/>
  <c r="P167" i="1" s="1"/>
  <c r="P168" i="1" s="1"/>
  <c r="P169" i="1" s="1"/>
  <c r="P170" i="1" s="1"/>
  <c r="P171" i="1" s="1"/>
  <c r="P172" i="1" s="1"/>
  <c r="P173" i="1" s="1"/>
  <c r="P174" i="1" s="1"/>
  <c r="P175" i="1" s="1"/>
  <c r="P176" i="1" s="1"/>
  <c r="P177" i="1" s="1"/>
  <c r="P178" i="1" s="1"/>
  <c r="P179" i="1" s="1"/>
  <c r="P180" i="1" s="1"/>
  <c r="P181" i="1" s="1"/>
  <c r="P182" i="1" s="1"/>
  <c r="P183" i="1" s="1"/>
  <c r="P184" i="1" s="1"/>
  <c r="P185" i="1" s="1"/>
  <c r="P186" i="1" s="1"/>
  <c r="P187" i="1" s="1"/>
  <c r="P188" i="1" s="1"/>
  <c r="P189" i="1" s="1"/>
  <c r="P190" i="1" s="1"/>
  <c r="P191" i="1" s="1"/>
  <c r="P192" i="1" s="1"/>
  <c r="P193" i="1" s="1"/>
  <c r="P194" i="1" s="1"/>
  <c r="P195" i="1" s="1"/>
  <c r="P196" i="1" s="1"/>
  <c r="P197" i="1" s="1"/>
  <c r="P198" i="1" s="1"/>
  <c r="P199" i="1" s="1"/>
  <c r="P200" i="1" s="1"/>
  <c r="P201" i="1" s="1"/>
  <c r="P202" i="1" s="1"/>
  <c r="P203" i="1" s="1"/>
  <c r="P204" i="1" s="1"/>
  <c r="P205" i="1" s="1"/>
  <c r="P206" i="1" s="1"/>
  <c r="P207" i="1" s="1"/>
  <c r="P208" i="1" s="1"/>
  <c r="P209" i="1" s="1"/>
  <c r="P210" i="1" s="1"/>
  <c r="P211" i="1" s="1"/>
  <c r="P212" i="1" s="1"/>
  <c r="P213" i="1" s="1"/>
  <c r="P214" i="1" s="1"/>
  <c r="P215" i="1" s="1"/>
  <c r="P216" i="1" s="1"/>
  <c r="P217" i="1" s="1"/>
  <c r="P218" i="1" s="1"/>
  <c r="P219" i="1" s="1"/>
  <c r="P220" i="1" s="1"/>
  <c r="P221" i="1" s="1"/>
  <c r="P222" i="1" s="1"/>
  <c r="P223" i="1" s="1"/>
  <c r="P224" i="1" s="1"/>
  <c r="P225" i="1" s="1"/>
  <c r="P226" i="1" s="1"/>
  <c r="P227" i="1" s="1"/>
  <c r="P228" i="1" s="1"/>
  <c r="P229" i="1" s="1"/>
  <c r="P230" i="1" s="1"/>
  <c r="P231" i="1" s="1"/>
  <c r="P232" i="1" s="1"/>
  <c r="P233" i="1" s="1"/>
  <c r="P234" i="1" s="1"/>
  <c r="P235" i="1" s="1"/>
  <c r="P236" i="1" s="1"/>
  <c r="P237" i="1" s="1"/>
  <c r="P238" i="1" s="1"/>
  <c r="P239" i="1" s="1"/>
  <c r="P240" i="1" s="1"/>
  <c r="P241" i="1" s="1"/>
  <c r="P242" i="1" s="1"/>
  <c r="P243" i="1" s="1"/>
  <c r="P244" i="1" s="1"/>
  <c r="P245" i="1" s="1"/>
  <c r="P246" i="1" s="1"/>
  <c r="P247" i="1" s="1"/>
  <c r="P248" i="1" s="1"/>
  <c r="P249" i="1" s="1"/>
  <c r="P250" i="1" s="1"/>
  <c r="P251" i="1" s="1"/>
  <c r="P252" i="1" s="1"/>
  <c r="P253" i="1" s="1"/>
  <c r="P254" i="1" s="1"/>
  <c r="P255" i="1" s="1"/>
  <c r="P256" i="1" s="1"/>
  <c r="P257" i="1" s="1"/>
  <c r="P258" i="1" s="1"/>
  <c r="P259" i="1" s="1"/>
  <c r="P260" i="1" s="1"/>
  <c r="P261" i="1" s="1"/>
  <c r="P262" i="1" s="1"/>
  <c r="P263" i="1" s="1"/>
  <c r="P264" i="1" s="1"/>
  <c r="P265" i="1" s="1"/>
  <c r="P266" i="1" s="1"/>
  <c r="P267" i="1" s="1"/>
  <c r="P268" i="1" s="1"/>
  <c r="P269" i="1" s="1"/>
  <c r="P270" i="1" s="1"/>
  <c r="P271" i="1" s="1"/>
  <c r="P272" i="1" s="1"/>
  <c r="P273" i="1" s="1"/>
  <c r="P274" i="1" s="1"/>
  <c r="P275" i="1" s="1"/>
  <c r="P276" i="1" s="1"/>
  <c r="P277" i="1" s="1"/>
  <c r="P278" i="1" s="1"/>
  <c r="P279" i="1" s="1"/>
  <c r="P280" i="1" s="1"/>
  <c r="P281" i="1" s="1"/>
  <c r="P282" i="1" s="1"/>
  <c r="P283" i="1" s="1"/>
  <c r="P284" i="1" s="1"/>
  <c r="P285" i="1" s="1"/>
  <c r="P286" i="1" s="1"/>
  <c r="P287" i="1" s="1"/>
  <c r="P288" i="1" s="1"/>
  <c r="P289" i="1" s="1"/>
  <c r="P290" i="1" s="1"/>
  <c r="P291" i="1" s="1"/>
  <c r="P292" i="1" s="1"/>
  <c r="P293" i="1" s="1"/>
  <c r="P294" i="1" s="1"/>
  <c r="P295" i="1" s="1"/>
  <c r="P296" i="1" s="1"/>
  <c r="P297" i="1" s="1"/>
  <c r="P298" i="1" s="1"/>
  <c r="P299" i="1" s="1"/>
  <c r="P300" i="1" s="1"/>
  <c r="P301" i="1" s="1"/>
  <c r="P302" i="1" s="1"/>
  <c r="P303" i="1" s="1"/>
  <c r="P304" i="1" s="1"/>
  <c r="P305" i="1" s="1"/>
  <c r="P306" i="1" s="1"/>
  <c r="P307" i="1" s="1"/>
  <c r="P308" i="1" s="1"/>
  <c r="P309" i="1" s="1"/>
  <c r="P310" i="1" s="1"/>
  <c r="P311" i="1" s="1"/>
  <c r="P312" i="1" s="1"/>
  <c r="P313" i="1" s="1"/>
  <c r="P314" i="1" s="1"/>
  <c r="P315" i="1" s="1"/>
  <c r="P316" i="1" s="1"/>
  <c r="P317" i="1" s="1"/>
  <c r="P318" i="1" s="1"/>
  <c r="P319" i="1" s="1"/>
  <c r="P320" i="1" s="1"/>
  <c r="P321" i="1" s="1"/>
  <c r="P322" i="1" s="1"/>
  <c r="P323" i="1" s="1"/>
  <c r="P324" i="1" s="1"/>
  <c r="P325" i="1" s="1"/>
  <c r="P326" i="1" s="1"/>
  <c r="P327" i="1" s="1"/>
  <c r="P328" i="1" s="1"/>
  <c r="P329" i="1" s="1"/>
  <c r="P330" i="1" s="1"/>
  <c r="P331" i="1" s="1"/>
  <c r="P332" i="1" s="1"/>
  <c r="P333" i="1" s="1"/>
  <c r="P334" i="1" s="1"/>
  <c r="P335" i="1" s="1"/>
  <c r="P336" i="1" s="1"/>
  <c r="P337" i="1" s="1"/>
  <c r="P338" i="1" s="1"/>
  <c r="P339" i="1" s="1"/>
  <c r="P340" i="1" s="1"/>
  <c r="P341" i="1" s="1"/>
  <c r="P342" i="1" s="1"/>
  <c r="P343" i="1" s="1"/>
  <c r="P344" i="1" s="1"/>
  <c r="P345" i="1" s="1"/>
  <c r="P346" i="1" s="1"/>
  <c r="P347" i="1" s="1"/>
  <c r="P348" i="1" s="1"/>
  <c r="P349" i="1" s="1"/>
  <c r="P350" i="1" s="1"/>
  <c r="P351" i="1" s="1"/>
  <c r="P352" i="1" s="1"/>
  <c r="P353" i="1" s="1"/>
  <c r="P354" i="1" s="1"/>
  <c r="P355" i="1" s="1"/>
  <c r="P356" i="1" s="1"/>
  <c r="P357" i="1" s="1"/>
  <c r="P358" i="1" s="1"/>
  <c r="P359" i="1" s="1"/>
  <c r="P360" i="1" s="1"/>
  <c r="P361" i="1" s="1"/>
  <c r="P362" i="1" s="1"/>
  <c r="P363" i="1" s="1"/>
  <c r="P364" i="1" s="1"/>
  <c r="P365" i="1" s="1"/>
  <c r="P366" i="1" s="1"/>
  <c r="P367" i="1" s="1"/>
  <c r="P368" i="1" s="1"/>
  <c r="P369" i="1" s="1"/>
  <c r="P370" i="1" s="1"/>
  <c r="P371" i="1" s="1"/>
  <c r="P372" i="1" s="1"/>
  <c r="P373" i="1" s="1"/>
  <c r="P374" i="1" s="1"/>
  <c r="P375" i="1" s="1"/>
  <c r="P376" i="1" s="1"/>
  <c r="P377" i="1" s="1"/>
  <c r="P378" i="1" s="1"/>
  <c r="P379" i="1" s="1"/>
  <c r="P380" i="1" s="1"/>
  <c r="P381" i="1" s="1"/>
  <c r="P382" i="1" s="1"/>
  <c r="P383" i="1" s="1"/>
  <c r="P384" i="1" s="1"/>
  <c r="P385" i="1" s="1"/>
  <c r="P386" i="1" s="1"/>
  <c r="P387" i="1" s="1"/>
  <c r="P388" i="1" s="1"/>
  <c r="P389" i="1" s="1"/>
  <c r="P390" i="1" s="1"/>
  <c r="P391" i="1" s="1"/>
  <c r="P392" i="1" s="1"/>
  <c r="P393" i="1" s="1"/>
  <c r="P394" i="1" s="1"/>
  <c r="P395" i="1" s="1"/>
  <c r="P396" i="1" s="1"/>
  <c r="P397" i="1" s="1"/>
  <c r="P398" i="1" s="1"/>
  <c r="P399" i="1" s="1"/>
  <c r="P400" i="1" s="1"/>
  <c r="P401" i="1" s="1"/>
  <c r="P402" i="1" s="1"/>
  <c r="P403" i="1" s="1"/>
  <c r="P404" i="1" s="1"/>
  <c r="P405" i="1" s="1"/>
  <c r="P406" i="1" s="1"/>
  <c r="P407" i="1" s="1"/>
  <c r="P408" i="1" s="1"/>
  <c r="P409" i="1" s="1"/>
  <c r="P410" i="1" s="1"/>
  <c r="P411" i="1" s="1"/>
  <c r="P412" i="1" s="1"/>
  <c r="P413" i="1" s="1"/>
  <c r="P414" i="1" s="1"/>
  <c r="P415" i="1" s="1"/>
  <c r="P416" i="1" s="1"/>
  <c r="P417" i="1" s="1"/>
  <c r="P418" i="1" s="1"/>
  <c r="P419" i="1" s="1"/>
  <c r="P420" i="1" s="1"/>
  <c r="P421" i="1" s="1"/>
  <c r="P422" i="1" s="1"/>
  <c r="P423" i="1" s="1"/>
  <c r="P424" i="1" s="1"/>
  <c r="P425" i="1" s="1"/>
  <c r="P426" i="1" s="1"/>
  <c r="P427" i="1" s="1"/>
  <c r="P428" i="1" s="1"/>
  <c r="P429" i="1" s="1"/>
  <c r="P430" i="1" s="1"/>
  <c r="P431" i="1" s="1"/>
  <c r="P432" i="1" s="1"/>
  <c r="P433" i="1" s="1"/>
  <c r="P434" i="1" s="1"/>
  <c r="P435" i="1" s="1"/>
  <c r="P436" i="1" s="1"/>
  <c r="P437" i="1" s="1"/>
  <c r="P438" i="1" s="1"/>
  <c r="P439" i="1" s="1"/>
  <c r="P440" i="1" s="1"/>
  <c r="P441" i="1" s="1"/>
  <c r="P442" i="1" s="1"/>
  <c r="P443" i="1" s="1"/>
  <c r="P444" i="1" s="1"/>
  <c r="P445" i="1" s="1"/>
  <c r="P446" i="1" s="1"/>
  <c r="P447" i="1" s="1"/>
  <c r="P448" i="1" s="1"/>
  <c r="P449" i="1" s="1"/>
  <c r="P450" i="1" s="1"/>
  <c r="P451" i="1" s="1"/>
  <c r="P452" i="1" s="1"/>
  <c r="P453" i="1" s="1"/>
  <c r="P454" i="1" s="1"/>
  <c r="P455" i="1" s="1"/>
  <c r="P456" i="1" s="1"/>
  <c r="P457" i="1" s="1"/>
  <c r="P458" i="1" s="1"/>
  <c r="P459" i="1" s="1"/>
  <c r="P460" i="1" s="1"/>
  <c r="P461" i="1" s="1"/>
  <c r="P462" i="1" s="1"/>
  <c r="P463" i="1" s="1"/>
  <c r="P464" i="1" s="1"/>
  <c r="P465" i="1" s="1"/>
  <c r="P466" i="1" s="1"/>
  <c r="P467" i="1" s="1"/>
  <c r="P468" i="1" s="1"/>
  <c r="P469" i="1" s="1"/>
  <c r="P470" i="1" s="1"/>
  <c r="P471" i="1" s="1"/>
  <c r="P472" i="1" s="1"/>
  <c r="P473" i="1" s="1"/>
  <c r="P474" i="1" s="1"/>
  <c r="P475" i="1" s="1"/>
  <c r="P476" i="1" s="1"/>
  <c r="P477" i="1" s="1"/>
  <c r="P478" i="1" s="1"/>
  <c r="P479" i="1" s="1"/>
  <c r="P480" i="1" s="1"/>
  <c r="P481" i="1" s="1"/>
  <c r="P482" i="1" s="1"/>
  <c r="P483" i="1" s="1"/>
  <c r="P484" i="1" s="1"/>
  <c r="P485" i="1" s="1"/>
  <c r="P486" i="1" s="1"/>
  <c r="P487" i="1" s="1"/>
  <c r="P488" i="1" s="1"/>
  <c r="P489" i="1" s="1"/>
  <c r="P490" i="1" s="1"/>
  <c r="P491" i="1" s="1"/>
  <c r="P492" i="1" s="1"/>
  <c r="P493" i="1" s="1"/>
  <c r="P494" i="1" s="1"/>
  <c r="P495" i="1" s="1"/>
  <c r="P496" i="1" s="1"/>
  <c r="P497" i="1" s="1"/>
  <c r="P498" i="1" s="1"/>
  <c r="P499" i="1" s="1"/>
  <c r="P500" i="1" s="1"/>
  <c r="P501" i="1" s="1"/>
  <c r="P502" i="1" s="1"/>
  <c r="P503"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2" i="1"/>
</calcChain>
</file>

<file path=xl/sharedStrings.xml><?xml version="1.0" encoding="utf-8"?>
<sst xmlns="http://schemas.openxmlformats.org/spreadsheetml/2006/main" count="35267" uniqueCount="604">
  <si>
    <t>Date</t>
  </si>
  <si>
    <t>Open</t>
  </si>
  <si>
    <t>High</t>
  </si>
  <si>
    <t>Low</t>
  </si>
  <si>
    <t>Close</t>
  </si>
  <si>
    <t>Volume</t>
  </si>
  <si>
    <t>Symbol</t>
  </si>
  <si>
    <t>Company</t>
  </si>
  <si>
    <t>Sector</t>
  </si>
  <si>
    <t>Daily_Return_%</t>
  </si>
  <si>
    <t>Month_Year</t>
  </si>
  <si>
    <t>Year</t>
  </si>
  <si>
    <t>Month</t>
  </si>
  <si>
    <t>Profit_Loss</t>
  </si>
  <si>
    <t>2023-01-03</t>
  </si>
  <si>
    <t>AAPL</t>
  </si>
  <si>
    <t>Apple</t>
  </si>
  <si>
    <t>Technology</t>
  </si>
  <si>
    <t>Jan-2023</t>
  </si>
  <si>
    <t>January</t>
  </si>
  <si>
    <t>2023-01-04</t>
  </si>
  <si>
    <t>Profit</t>
  </si>
  <si>
    <t>2023-01-05</t>
  </si>
  <si>
    <t>Loss</t>
  </si>
  <si>
    <t>2023-01-06</t>
  </si>
  <si>
    <t>2023-01-09</t>
  </si>
  <si>
    <t>2023-01-10</t>
  </si>
  <si>
    <t>2023-01-11</t>
  </si>
  <si>
    <t>2023-01-12</t>
  </si>
  <si>
    <t>2023-01-13</t>
  </si>
  <si>
    <t>2023-01-17</t>
  </si>
  <si>
    <t>2023-01-18</t>
  </si>
  <si>
    <t>2023-01-19</t>
  </si>
  <si>
    <t>2023-01-20</t>
  </si>
  <si>
    <t>2023-01-23</t>
  </si>
  <si>
    <t>2023-01-24</t>
  </si>
  <si>
    <t>2023-01-25</t>
  </si>
  <si>
    <t>2023-01-26</t>
  </si>
  <si>
    <t>2023-01-27</t>
  </si>
  <si>
    <t>2023-01-30</t>
  </si>
  <si>
    <t>2023-01-31</t>
  </si>
  <si>
    <t>2023-02-01</t>
  </si>
  <si>
    <t>Feb-2023</t>
  </si>
  <si>
    <t>February</t>
  </si>
  <si>
    <t>2023-02-02</t>
  </si>
  <si>
    <t>2023-02-03</t>
  </si>
  <si>
    <t>2023-02-06</t>
  </si>
  <si>
    <t>2023-02-07</t>
  </si>
  <si>
    <t>2023-02-08</t>
  </si>
  <si>
    <t>2023-02-09</t>
  </si>
  <si>
    <t>2023-02-10</t>
  </si>
  <si>
    <t>2023-02-13</t>
  </si>
  <si>
    <t>2023-02-14</t>
  </si>
  <si>
    <t>2023-02-15</t>
  </si>
  <si>
    <t>2023-02-16</t>
  </si>
  <si>
    <t>2023-02-17</t>
  </si>
  <si>
    <t>2023-02-21</t>
  </si>
  <si>
    <t>2023-02-22</t>
  </si>
  <si>
    <t>2023-02-23</t>
  </si>
  <si>
    <t>2023-02-24</t>
  </si>
  <si>
    <t>2023-02-27</t>
  </si>
  <si>
    <t>2023-02-28</t>
  </si>
  <si>
    <t>2023-03-01</t>
  </si>
  <si>
    <t>Mar-2023</t>
  </si>
  <si>
    <t>March</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</si>
  <si>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</si>
  <si>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</si>
  <si>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</si>
  <si>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</si>
  <si>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</si>
  <si>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</si>
  <si>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</si>
  <si>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</si>
  <si>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</si>
  <si>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</si>
  <si>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</si>
  <si>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</si>
  <si>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</si>
  <si>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</si>
  <si>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</si>
  <si>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</si>
  <si>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</si>
  <si>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</si>
  <si>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</si>
  <si>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</si>
  <si>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</si>
  <si>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</si>
  <si>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</si>
  <si>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Apr-2023</t>
  </si>
  <si>
    <t>April</t>
  </si>
  <si>
    <t>2023-04-04</t>
  </si>
  <si>
    <t>2023-04-05</t>
  </si>
  <si>
    <t>2023-04-06</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</si>
  <si>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</si>
  <si>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</si>
  <si>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</si>
  <si>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</si>
  <si>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</si>
  <si>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</si>
  <si>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</si>
  <si>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</si>
  <si>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</si>
  <si>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</si>
  <si>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</si>
  <si>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</si>
  <si>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</si>
  <si>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</si>
  <si>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</si>
  <si>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</si>
  <si>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May-2023</t>
  </si>
  <si>
    <t>May</t>
  </si>
  <si>
    <t>2023-05-02</t>
  </si>
  <si>
    <t>2023-05-03</t>
  </si>
  <si>
    <t>2023-05-04</t>
  </si>
  <si>
    <t>2023-05-05</t>
  </si>
  <si>
    <t>2023-05-08</t>
  </si>
  <si>
    <t>2023-05-09</t>
  </si>
  <si>
    <t>2023-05-10</t>
  </si>
  <si>
    <t>2023-05-11</t>
  </si>
  <si>
    <t>2023-05-12</t>
  </si>
  <si>
    <t>2023-05-15</t>
  </si>
  <si>
    <t>2023-05-16</t>
  </si>
  <si>
    <t>Neutral</t>
  </si>
  <si>
    <t>2023-05-17</t>
  </si>
  <si>
    <t>2023-05-18</t>
  </si>
  <si>
    <t>2023-05-19</t>
  </si>
  <si>
    <t>2023-05-22</t>
  </si>
  <si>
    <t>2023-05-23</t>
  </si>
  <si>
    <t>2023-05-24</t>
  </si>
  <si>
    <t>2023-05-25</t>
  </si>
  <si>
    <t>2023-05-26</t>
  </si>
  <si>
    <t>2023-05-30</t>
  </si>
  <si>
    <t>2023-05-31</t>
  </si>
  <si>
    <t>2023-06-01</t>
  </si>
  <si>
    <t>Jun-2023</t>
  </si>
  <si>
    <t>June</t>
  </si>
  <si>
    <t>2023-06-02</t>
  </si>
  <si>
    <t>2023-06-05</t>
  </si>
  <si>
    <t>2023-06-06</t>
  </si>
  <si>
    <t>2023-06-07</t>
  </si>
  <si>
    <t>2023-06-08</t>
  </si>
  <si>
    <t>2023-06-09</t>
  </si>
  <si>
    <t>2023-06-12</t>
  </si>
  <si>
    <t>2023-06-13</t>
  </si>
  <si>
    <t>2023-06-14</t>
  </si>
  <si>
    <t>2023-06-15</t>
  </si>
  <si>
    <t>2023-06-16</t>
  </si>
  <si>
    <t>2023-06-20</t>
  </si>
  <si>
    <t>2023-06-21</t>
  </si>
  <si>
    <t>2023-06-22</t>
  </si>
  <si>
    <t>2023-06-23</t>
  </si>
  <si>
    <t>2023-06-26</t>
  </si>
  <si>
    <t>2023-06-27</t>
  </si>
  <si>
    <t>2023-06-28</t>
  </si>
  <si>
    <t>2023-06-29</t>
  </si>
  <si>
    <t>2023-06-30</t>
  </si>
  <si>
    <t>2023-07-03</t>
  </si>
  <si>
    <t>Jul-2023</t>
  </si>
  <si>
    <t>July</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</si>
  <si>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</si>
  <si>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</si>
  <si>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</si>
  <si>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</si>
  <si>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</si>
  <si>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</si>
  <si>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</si>
  <si>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</si>
  <si>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</si>
  <si>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</si>
  <si>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</si>
  <si>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</si>
  <si>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</si>
  <si>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</si>
  <si>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</si>
  <si>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</si>
  <si>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</si>
  <si>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</si>
  <si>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</si>
  <si>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</si>
  <si>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Aug-2023</t>
  </si>
  <si>
    <t>August</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</si>
  <si>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</si>
  <si>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</si>
  <si>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</si>
  <si>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</si>
  <si>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</si>
  <si>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</si>
  <si>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</si>
  <si>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</si>
  <si>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</si>
  <si>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</si>
  <si>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</si>
  <si>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</si>
  <si>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</si>
  <si>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</si>
  <si>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</si>
  <si>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</si>
  <si>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</si>
  <si>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</si>
  <si>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</si>
  <si>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</si>
  <si>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</si>
  <si>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</si>
  <si>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</si>
  <si>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Sep-2023</t>
  </si>
  <si>
    <t>September</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</si>
  <si>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</si>
  <si>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</si>
  <si>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</si>
  <si>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</si>
  <si>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</si>
  <si>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</si>
  <si>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</si>
  <si>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</si>
  <si>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</si>
  <si>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</si>
  <si>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</si>
  <si>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</si>
  <si>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</si>
  <si>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</si>
  <si>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</si>
  <si>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</si>
  <si>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</si>
  <si>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</si>
  <si>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</si>
  <si>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</si>
  <si>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Oct-2023</t>
  </si>
  <si>
    <t>October</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</si>
  <si>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</si>
  <si>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</si>
  <si>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</si>
  <si>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</si>
  <si>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</si>
  <si>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</si>
  <si>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</si>
  <si>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</si>
  <si>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</si>
  <si>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</si>
  <si>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</si>
  <si>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</si>
  <si>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</si>
  <si>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</si>
  <si>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</si>
  <si>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</si>
  <si>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</si>
  <si>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</si>
  <si>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</si>
  <si>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</si>
  <si>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</si>
  <si>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</si>
  <si>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Nov-2023</t>
  </si>
  <si>
    <t>November</t>
  </si>
  <si>
    <t>2023-11-02</t>
  </si>
  <si>
    <t>2023-11-03</t>
  </si>
  <si>
    <t>2023-11-06</t>
  </si>
  <si>
    <t>2023-11-07</t>
  </si>
  <si>
    <t>2023-11-08</t>
  </si>
  <si>
    <t>2023-11-09</t>
  </si>
  <si>
    <t>2023-11-10</t>
  </si>
  <si>
    <t>2023-11-13</t>
  </si>
  <si>
    <t>2023-11-14</t>
  </si>
  <si>
    <t>2023-11-15</t>
  </si>
  <si>
    <t>2023-11-16</t>
  </si>
  <si>
    <t>2023-11-17</t>
  </si>
  <si>
    <t>2023-11-20</t>
  </si>
  <si>
    <t>2023-11-21</t>
  </si>
  <si>
    <t>2023-11-22</t>
  </si>
  <si>
    <t>2023-11-24</t>
  </si>
  <si>
    <t>2023-11-27</t>
  </si>
  <si>
    <t>2023-11-28</t>
  </si>
  <si>
    <t>2023-11-29</t>
  </si>
  <si>
    <t>2023-11-30</t>
  </si>
  <si>
    <t>2023-12-01</t>
  </si>
  <si>
    <t>Dec-2023</t>
  </si>
  <si>
    <t>December</t>
  </si>
  <si>
    <t>2023-12-04</t>
  </si>
  <si>
    <t>2023-12-05</t>
  </si>
  <si>
    <t>2023-12-06</t>
  </si>
  <si>
    <t>2023-12-07</t>
  </si>
  <si>
    <t>2023-12-08</t>
  </si>
  <si>
    <t>2023-12-11</t>
  </si>
  <si>
    <t>2023-12-12</t>
  </si>
  <si>
    <t>2023-12-13</t>
  </si>
  <si>
    <t>2023-12-14</t>
  </si>
  <si>
    <t>2023-12-15</t>
  </si>
  <si>
    <t>2023-12-18</t>
  </si>
  <si>
    <t>2023-12-19</t>
  </si>
  <si>
    <t>2023-12-20</t>
  </si>
  <si>
    <t>2023-12-21</t>
  </si>
  <si>
    <t>2023-12-22</t>
  </si>
  <si>
    <t>2023-12-26</t>
  </si>
  <si>
    <t>2023-12-27</t>
  </si>
  <si>
    <t>2023-12-28</t>
  </si>
  <si>
    <t>2023-12-29</t>
  </si>
  <si>
    <t>2024-01-02</t>
  </si>
  <si>
    <t>Jan-2024</t>
  </si>
  <si>
    <t>2024-01-03</t>
  </si>
  <si>
    <t>2024-01-04</t>
  </si>
  <si>
    <t>2024-01-05</t>
  </si>
  <si>
    <t>2024-01-08</t>
  </si>
  <si>
    <t>2024-01-09</t>
  </si>
  <si>
    <t>2024-01-10</t>
  </si>
  <si>
    <t>2024-01-11</t>
  </si>
  <si>
    <t>2024-01-12</t>
  </si>
  <si>
    <t>2024-01-16</t>
  </si>
  <si>
    <t>2024-01-17</t>
  </si>
  <si>
    <t>2024-01-18</t>
  </si>
  <si>
    <t>2024-01-19</t>
  </si>
  <si>
    <t>2024-01-22</t>
  </si>
  <si>
    <t>2024-01-23</t>
  </si>
  <si>
    <t>2024-01-24</t>
  </si>
  <si>
    <t>2024-01-25</t>
  </si>
  <si>
    <t>2024-01-26</t>
  </si>
  <si>
    <t>2024-01-29</t>
  </si>
  <si>
    <t>2024-01-30</t>
  </si>
  <si>
    <t>2024-01-31</t>
  </si>
  <si>
    <t>2024-02-01</t>
  </si>
  <si>
    <t>Feb-2024</t>
  </si>
  <si>
    <t>2024-02-02</t>
  </si>
  <si>
    <t>2024-02-05</t>
  </si>
  <si>
    <t>2024-02-06</t>
  </si>
  <si>
    <t>2024-02-07</t>
  </si>
  <si>
    <t>2024-02-08</t>
  </si>
  <si>
    <t>2024-02-09</t>
  </si>
  <si>
    <t>2024-02-12</t>
  </si>
  <si>
    <t>2024-02-13</t>
  </si>
  <si>
    <t>2024-02-14</t>
  </si>
  <si>
    <t>2024-02-15</t>
  </si>
  <si>
    <t>2024-02-16</t>
  </si>
  <si>
    <t>2024-02-20</t>
  </si>
  <si>
    <t>2024-02-21</t>
  </si>
  <si>
    <t>2024-02-22</t>
  </si>
  <si>
    <t>2024-02-23</t>
  </si>
  <si>
    <t>2024-02-26</t>
  </si>
  <si>
    <t>2024-02-27</t>
  </si>
  <si>
    <t>2024-02-28</t>
  </si>
  <si>
    <t>2024-02-29</t>
  </si>
  <si>
    <t>2024-03-01</t>
  </si>
  <si>
    <t>Mar-2024</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</si>
  <si>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</si>
  <si>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</si>
  <si>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</si>
  <si>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</si>
  <si>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</si>
  <si>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</si>
  <si>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</si>
  <si>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</si>
  <si>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</si>
  <si>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</si>
  <si>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</si>
  <si>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</si>
  <si>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</si>
  <si>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</si>
  <si>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</si>
  <si>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</si>
  <si>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</si>
  <si>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</si>
  <si>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</si>
  <si>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2024-04-01</t>
  </si>
  <si>
    <t>Apr-2024</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</si>
  <si>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</si>
  <si>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</si>
  <si>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</si>
  <si>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</si>
  <si>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</si>
  <si>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</si>
  <si>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</si>
  <si>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</si>
  <si>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</si>
  <si>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</si>
  <si>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</si>
  <si>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</si>
  <si>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</si>
  <si>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</si>
  <si>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</si>
  <si>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</si>
  <si>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</si>
  <si>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</si>
  <si>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</si>
  <si>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</si>
  <si>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</si>
  <si>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</si>
  <si>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May-2024</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</si>
  <si>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</si>
  <si>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</si>
  <si>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</si>
  <si>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</si>
  <si>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</si>
  <si>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</si>
  <si>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</si>
  <si>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</si>
  <si>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</si>
  <si>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</si>
  <si>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</si>
  <si>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</si>
  <si>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</si>
  <si>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</si>
  <si>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</si>
  <si>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</si>
  <si>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</si>
  <si>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2024-05-28</t>
  </si>
  <si>
    <t>2024-05-29</t>
  </si>
  <si>
    <t>2024-05-30</t>
  </si>
  <si>
    <t>2024-05-31</t>
  </si>
  <si>
    <t>2024-06-03</t>
  </si>
  <si>
    <t>Jun-2024</t>
  </si>
  <si>
    <t>2024-06-04</t>
  </si>
  <si>
    <t>2024-06-05</t>
  </si>
  <si>
    <t>2024-06-06</t>
  </si>
  <si>
    <t>2024-06-07</t>
  </si>
  <si>
    <t>2024-06-10</t>
  </si>
  <si>
    <t>2024-06-11</t>
  </si>
  <si>
    <t>2024-06-12</t>
  </si>
  <si>
    <t>2024-06-13</t>
  </si>
  <si>
    <t>2024-06-14</t>
  </si>
  <si>
    <t>2024-06-17</t>
  </si>
  <si>
    <t>2024-06-18</t>
  </si>
  <si>
    <t>2024-06-20</t>
  </si>
  <si>
    <t>2024-06-21</t>
  </si>
  <si>
    <t>2024-06-24</t>
  </si>
  <si>
    <t>2024-06-25</t>
  </si>
  <si>
    <t>2024-06-26</t>
  </si>
  <si>
    <t>2024-06-27</t>
  </si>
  <si>
    <t>2024-06-28</t>
  </si>
  <si>
    <t>2024-07-01</t>
  </si>
  <si>
    <t>Jul-2024</t>
  </si>
  <si>
    <t>2024-07-02</t>
  </si>
  <si>
    <t>2024-07-03</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</si>
  <si>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</si>
  <si>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</si>
  <si>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</si>
  <si>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</si>
  <si>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</si>
  <si>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</si>
  <si>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</si>
  <si>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</si>
  <si>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</si>
  <si>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</si>
  <si>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</si>
  <si>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</si>
  <si>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</si>
  <si>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</si>
  <si>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</si>
  <si>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</si>
  <si>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</si>
  <si>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</si>
  <si>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</si>
  <si>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</si>
  <si>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Aug-2024</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</si>
  <si>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</si>
  <si>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</si>
  <si>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</si>
  <si>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</si>
  <si>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</si>
  <si>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</si>
  <si>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</si>
  <si>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</si>
  <si>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</si>
  <si>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</si>
  <si>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</si>
  <si>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</si>
  <si>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</si>
  <si>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</si>
  <si>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</si>
  <si>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</si>
  <si>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</si>
  <si>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</si>
  <si>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</si>
  <si>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</si>
  <si>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</si>
  <si>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2024-09-03</t>
  </si>
  <si>
    <t>Sep-2024</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</si>
  <si>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</si>
  <si>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</si>
  <si>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</si>
  <si>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</si>
  <si>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</si>
  <si>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</si>
  <si>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</si>
  <si>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</si>
  <si>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</si>
  <si>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</si>
  <si>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</si>
  <si>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</si>
  <si>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</si>
  <si>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</si>
  <si>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</si>
  <si>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</si>
  <si>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</si>
  <si>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</si>
  <si>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</si>
  <si>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</si>
  <si>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Oct-2024</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</si>
  <si>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</si>
  <si>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</si>
  <si>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</si>
  <si>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</si>
  <si>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</si>
  <si>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</si>
  <si>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</si>
  <si>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</si>
  <si>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</si>
  <si>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</si>
  <si>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</si>
  <si>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</si>
  <si>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</si>
  <si>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</si>
  <si>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</si>
  <si>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</si>
  <si>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</si>
  <si>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</si>
  <si>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</si>
  <si>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</si>
  <si>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</si>
  <si>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</si>
  <si>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</si>
  <si>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Nov-2024</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</si>
  <si>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</si>
  <si>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</si>
  <si>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</si>
  <si>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</si>
  <si>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</si>
  <si>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</si>
  <si>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</si>
  <si>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</si>
  <si>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</si>
  <si>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</si>
  <si>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</si>
  <si>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</si>
  <si>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</si>
  <si>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</si>
  <si>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</si>
  <si>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</si>
  <si>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</si>
  <si>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</si>
  <si>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2024-11-29</t>
  </si>
  <si>
    <t>2024-12-02</t>
  </si>
  <si>
    <t>Dec-2024</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</si>
  <si>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</si>
  <si>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</si>
  <si>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</si>
  <si>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</si>
  <si>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</si>
  <si>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</si>
  <si>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</si>
  <si>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</si>
  <si>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</si>
  <si>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</si>
  <si>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</si>
  <si>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</si>
  <si>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</si>
  <si>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</si>
  <si>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</si>
  <si>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</si>
  <si>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</si>
  <si>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</si>
  <si>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</si>
  <si>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2024-12-31</t>
  </si>
  <si>
    <t>AMZN</t>
  </si>
  <si>
    <t>Amazon</t>
  </si>
  <si>
    <t>Consumer</t>
  </si>
  <si>
    <t>GOOGL</t>
  </si>
  <si>
    <t>Google</t>
  </si>
  <si>
    <t>JNJ</t>
  </si>
  <si>
    <t>Johnson &amp; Johnson</t>
  </si>
  <si>
    <t>Healthcare</t>
  </si>
  <si>
    <t>JPM</t>
  </si>
  <si>
    <t>JP Morgan</t>
  </si>
  <si>
    <t>Banking</t>
  </si>
  <si>
    <t>MSFT</t>
  </si>
  <si>
    <t>Microsoft</t>
  </si>
  <si>
    <t>NVDA</t>
  </si>
  <si>
    <t>Nvidia</t>
  </si>
  <si>
    <t>TSLA</t>
  </si>
  <si>
    <t>Tesla</t>
  </si>
  <si>
    <t>Automotive</t>
  </si>
  <si>
    <t>WMT</t>
  </si>
  <si>
    <t>Walmart</t>
  </si>
  <si>
    <t>Retail</t>
  </si>
  <si>
    <t>XOM</t>
  </si>
  <si>
    <t>Exxon Mobil</t>
  </si>
  <si>
    <t>Energy</t>
  </si>
  <si>
    <t>Avg_Daily_Return</t>
  </si>
  <si>
    <t>Volatility_Risk</t>
  </si>
  <si>
    <t>Max_Return</t>
  </si>
  <si>
    <t>Min_Return</t>
  </si>
  <si>
    <t>Avg_Volume</t>
  </si>
  <si>
    <t>Avg_Close</t>
  </si>
  <si>
    <t>Total_Days</t>
  </si>
  <si>
    <t>Avg_Return</t>
  </si>
  <si>
    <t>Risk</t>
  </si>
  <si>
    <t>Stocks_Count</t>
  </si>
  <si>
    <t>Price Range</t>
  </si>
  <si>
    <t>CumulativeReturn%</t>
  </si>
  <si>
    <t>Row Labels</t>
  </si>
  <si>
    <t>Grand Total</t>
  </si>
  <si>
    <t>Average of Daily_Return_%</t>
  </si>
  <si>
    <t>Best Stock</t>
  </si>
  <si>
    <t>Worst Stock</t>
  </si>
  <si>
    <t>Best Sector</t>
  </si>
  <si>
    <t>Automative</t>
  </si>
  <si>
    <t>Return:0.330%</t>
  </si>
  <si>
    <t>Return:0.497%</t>
  </si>
  <si>
    <t>Return:-0.037%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</si>
</sst>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Arial"/>
    </font>
    <font>
      <sz val="10"/>
      <name val="Arial"/>
    </font>
    <font>
      <b/>
      <sz val="20"/>
      <color theme="1"/>
      <name val="Calibri"/>
      <family val="2"/>
      <scheme val="minor"/>
    </font>
    <font>
      <b/>
      <sz val="18"/>
      <color theme="1"/>
      <name val="Calibri"/>
      <family val="2"/>
      <scheme val="minor"/>
    </font>
  </fonts>
  <fills count="11">
    <fill>
      <patternFill patternType="none"/>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2E75B6"/>
      </patternFill>
    </fill>
    <fill>
      <patternFill patternType="solid">
        <fgColor rgb="FFC55A11"/>
      </patternFill>
    </fill>
    <fill>
      <patternFill patternType="solid">
        <fgColor rgb="FF00B050"/>
        <bgColor indexed="64"/>
      </patternFill>
    </fill>
    <fill>
      <patternFill patternType="solid">
        <fgColor theme="0" tint="-0.499984740745262"/>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2" fillId="0" borderId="1" xfId="0" applyFont="1" applyBorder="1"/>
    <xf numFmtId="0" fontId="2" fillId="3" borderId="1" xfId="0" applyFont="1" applyFill="1" applyBorder="1"/>
    <xf numFmtId="0" fontId="2" fillId="4" borderId="1" xfId="0" applyFont="1" applyFill="1" applyBorder="1"/>
    <xf numFmtId="0" fontId="2" fillId="0" borderId="1" xfId="0" applyFont="1" applyBorder="1" applyAlignment="1">
      <alignment horizontal="center"/>
    </xf>
    <xf numFmtId="0" fontId="1" fillId="6" borderId="1" xfId="0"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3" xfId="0" applyFont="1" applyBorder="1"/>
    <xf numFmtId="0" fontId="0" fillId="0" borderId="0" xfId="0" pivotButton="1"/>
    <xf numFmtId="0" fontId="0" fillId="0" borderId="0" xfId="0" applyAlignment="1">
      <alignment horizontal="left"/>
    </xf>
    <xf numFmtId="164" fontId="0" fillId="0" borderId="0" xfId="0" applyNumberFormat="1"/>
    <xf numFmtId="0" fontId="2" fillId="0" borderId="3" xfId="0" applyFont="1" applyBorder="1" applyAlignment="1">
      <alignment horizontal="center"/>
    </xf>
    <xf numFmtId="0" fontId="2" fillId="0" borderId="4" xfId="0" applyFont="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8" borderId="0" xfId="0" applyFill="1"/>
    <xf numFmtId="0" fontId="0" fillId="9" borderId="0" xfId="0" applyFill="1" applyAlignment="1">
      <alignment horizontal="center"/>
    </xf>
    <xf numFmtId="0" fontId="0" fillId="10" borderId="0" xfId="0" applyFill="1" applyAlignment="1">
      <alignment horizontal="center"/>
    </xf>
    <xf numFmtId="0" fontId="0" fillId="8" borderId="0" xfId="0" applyFill="1" applyAlignment="1">
      <alignment horizontal="center"/>
    </xf>
    <xf numFmtId="0" fontId="0" fillId="7" borderId="0" xfId="0" applyFill="1" applyAlignment="1">
      <alignment horizontal="center"/>
    </xf>
    <xf numFmtId="0" fontId="3" fillId="9" borderId="0" xfId="0" applyFont="1" applyFill="1" applyAlignment="1">
      <alignment horizontal="center"/>
    </xf>
    <xf numFmtId="0" fontId="4" fillId="10" borderId="0" xfId="0" applyFont="1" applyFill="1" applyAlignment="1">
      <alignment horizontal="center"/>
    </xf>
    <xf numFmtId="0" fontId="3" fillId="8" borderId="0" xfId="0" applyFont="1" applyFill="1" applyAlignment="1">
      <alignment horizontal="center"/>
    </xf>
    <xf numFmtId="0" fontId="4" fillId="7" borderId="0" xfId="0" applyFont="1" applyFill="1" applyAlignment="1">
      <alignment horizontal="center"/>
    </xf>
  </cellXfs>
  <cellStyles count="1">
    <cellStyle name="Normal" xfId="0" builtinId="0"/>
  </cellStyles>
  <dxfs count="52">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Arial"/>
        <scheme val="none"/>
      </font>
      <fill>
        <patternFill patternType="solid">
          <fgColor indexed="64"/>
          <bgColor rgb="FF2E75B6"/>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solid">
          <fgColor indexed="64"/>
          <bgColor rgb="FFC6EFCE"/>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horizontal/>
      </border>
    </dxf>
    <dxf>
      <border outline="0">
        <left style="thin">
          <color auto="1"/>
        </left>
      </border>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0.000"/>
    </dxf>
    <dxf>
      <numFmt numFmtId="164" formatCode="0.000"/>
    </dxf>
    <dxf>
      <numFmt numFmtId="164" formatCode="0.000"/>
    </dxf>
    <dxf>
      <numFmt numFmtId="164"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AAPL</c:v>
                </c:pt>
                <c:pt idx="1">
                  <c:v>AMZN</c:v>
                </c:pt>
                <c:pt idx="2">
                  <c:v>GOOGL</c:v>
                </c:pt>
                <c:pt idx="3">
                  <c:v>JNJ</c:v>
                </c:pt>
                <c:pt idx="4">
                  <c:v>JPM</c:v>
                </c:pt>
                <c:pt idx="5">
                  <c:v>MSFT</c:v>
                </c:pt>
                <c:pt idx="6">
                  <c:v>NVDA</c:v>
                </c:pt>
                <c:pt idx="7">
                  <c:v>TSLA</c:v>
                </c:pt>
                <c:pt idx="8">
                  <c:v>WMT</c:v>
                </c:pt>
                <c:pt idx="9">
                  <c:v>XOM</c:v>
                </c:pt>
              </c:strCache>
            </c:strRef>
          </c:cat>
          <c:val>
            <c:numRef>
              <c:f>Sheet1!$B$4:$B$14</c:f>
              <c:numCache>
                <c:formatCode>0.000</c:formatCode>
                <c:ptCount val="10"/>
                <c:pt idx="0">
                  <c:v>0.14977844311377236</c:v>
                </c:pt>
                <c:pt idx="1">
                  <c:v>0.20608183632734545</c:v>
                </c:pt>
                <c:pt idx="2">
                  <c:v>0.1680898203592813</c:v>
                </c:pt>
                <c:pt idx="3">
                  <c:v>-3.6686626746506988E-2</c:v>
                </c:pt>
                <c:pt idx="4">
                  <c:v>0.12419161676646701</c:v>
                </c:pt>
                <c:pt idx="5">
                  <c:v>0.12625548902195613</c:v>
                </c:pt>
                <c:pt idx="6">
                  <c:v>0.49712974051896203</c:v>
                </c:pt>
                <c:pt idx="7">
                  <c:v>0.32972255489021957</c:v>
                </c:pt>
                <c:pt idx="8">
                  <c:v>0.13546107784431136</c:v>
                </c:pt>
                <c:pt idx="9">
                  <c:v>1.1842315369261476E-2</c:v>
                </c:pt>
              </c:numCache>
            </c:numRef>
          </c:val>
          <c:extLst>
            <c:ext xmlns:c16="http://schemas.microsoft.com/office/drawing/2014/chart" uri="{C3380CC4-5D6E-409C-BE32-E72D297353CC}">
              <c16:uniqueId val="{00000000-A025-42C7-A024-35D528B27C51}"/>
            </c:ext>
          </c:extLst>
        </c:ser>
        <c:dLbls>
          <c:showLegendKey val="0"/>
          <c:showVal val="0"/>
          <c:showCatName val="0"/>
          <c:showSerName val="0"/>
          <c:showPercent val="0"/>
          <c:showBubbleSize val="0"/>
        </c:dLbls>
        <c:gapWidth val="182"/>
        <c:axId val="1302492095"/>
        <c:axId val="1302494975"/>
      </c:barChart>
      <c:catAx>
        <c:axId val="130249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94975"/>
        <c:crosses val="autoZero"/>
        <c:auto val="1"/>
        <c:lblAlgn val="ctr"/>
        <c:lblOffset val="100"/>
        <c:noMultiLvlLbl val="0"/>
      </c:catAx>
      <c:valAx>
        <c:axId val="130249497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9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90-4DEA-B7A3-CADED286AD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90-4DEA-B7A3-CADED286AD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90-4DEA-B7A3-CADED286AD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90-4DEA-B7A3-CADED286AD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90-4DEA-B7A3-CADED286AD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90-4DEA-B7A3-CADED286AD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90-4DEA-B7A3-CADED286AD41}"/>
              </c:ext>
            </c:extLst>
          </c:dPt>
          <c:cat>
            <c:strRef>
              <c:f>Sheet1!$A$20:$A$27</c:f>
              <c:strCache>
                <c:ptCount val="7"/>
                <c:pt idx="0">
                  <c:v>Automotive</c:v>
                </c:pt>
                <c:pt idx="1">
                  <c:v>Banking</c:v>
                </c:pt>
                <c:pt idx="2">
                  <c:v>Consumer</c:v>
                </c:pt>
                <c:pt idx="3">
                  <c:v>Energy</c:v>
                </c:pt>
                <c:pt idx="4">
                  <c:v>Healthcare</c:v>
                </c:pt>
                <c:pt idx="5">
                  <c:v>Retail</c:v>
                </c:pt>
                <c:pt idx="6">
                  <c:v>Technology</c:v>
                </c:pt>
              </c:strCache>
            </c:strRef>
          </c:cat>
          <c:val>
            <c:numRef>
              <c:f>Sheet1!$B$20:$B$27</c:f>
              <c:numCache>
                <c:formatCode>0.000</c:formatCode>
                <c:ptCount val="7"/>
                <c:pt idx="0">
                  <c:v>0.32972255489021957</c:v>
                </c:pt>
                <c:pt idx="1">
                  <c:v>0.12419161676646701</c:v>
                </c:pt>
                <c:pt idx="2">
                  <c:v>0.20608183632734545</c:v>
                </c:pt>
                <c:pt idx="3">
                  <c:v>1.1842315369261476E-2</c:v>
                </c:pt>
                <c:pt idx="4">
                  <c:v>-3.6686626746506988E-2</c:v>
                </c:pt>
                <c:pt idx="5">
                  <c:v>0.13546107784431136</c:v>
                </c:pt>
                <c:pt idx="6">
                  <c:v>0.23531337325349291</c:v>
                </c:pt>
              </c:numCache>
            </c:numRef>
          </c:val>
          <c:extLst>
            <c:ext xmlns:c16="http://schemas.microsoft.com/office/drawing/2014/chart" uri="{C3380CC4-5D6E-409C-BE32-E72D297353CC}">
              <c16:uniqueId val="{00000000-BD00-419F-906E-C770318BE8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c:f>
              <c:strCache>
                <c:ptCount val="1"/>
                <c:pt idx="0">
                  <c:v>Total</c:v>
                </c:pt>
              </c:strCache>
            </c:strRef>
          </c:tx>
          <c:spPr>
            <a:ln w="28575" cap="rnd">
              <a:solidFill>
                <a:schemeClr val="accent1"/>
              </a:solidFill>
              <a:round/>
            </a:ln>
            <a:effectLst/>
          </c:spPr>
          <c:marker>
            <c:symbol val="none"/>
          </c:marker>
          <c:cat>
            <c:strRef>
              <c:f>Sheet1!$G$3:$G$27</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Sheet1!$H$3:$H$27</c:f>
              <c:numCache>
                <c:formatCode>0.000</c:formatCode>
                <c:ptCount val="24"/>
                <c:pt idx="0">
                  <c:v>8.6289473684210583E-2</c:v>
                </c:pt>
                <c:pt idx="1">
                  <c:v>-4.9345454545454664E-2</c:v>
                </c:pt>
                <c:pt idx="2">
                  <c:v>-2.5826086956521645E-3</c:v>
                </c:pt>
                <c:pt idx="3">
                  <c:v>6.6649999999999959E-2</c:v>
                </c:pt>
                <c:pt idx="4">
                  <c:v>0.1469399999999999</c:v>
                </c:pt>
                <c:pt idx="5">
                  <c:v>7.5438095238095235E-2</c:v>
                </c:pt>
                <c:pt idx="6">
                  <c:v>7.8052631578947401E-2</c:v>
                </c:pt>
                <c:pt idx="7">
                  <c:v>0.33196500000000001</c:v>
                </c:pt>
                <c:pt idx="8">
                  <c:v>0.70771578947368496</c:v>
                </c:pt>
                <c:pt idx="9">
                  <c:v>5.5099999999999955E-2</c:v>
                </c:pt>
                <c:pt idx="10">
                  <c:v>0.1961849999999998</c:v>
                </c:pt>
                <c:pt idx="11">
                  <c:v>0.10799090909090912</c:v>
                </c:pt>
                <c:pt idx="12">
                  <c:v>0.39118571428571414</c:v>
                </c:pt>
                <c:pt idx="13">
                  <c:v>0.30027894736842092</c:v>
                </c:pt>
                <c:pt idx="14">
                  <c:v>0.29477391304347833</c:v>
                </c:pt>
                <c:pt idx="15">
                  <c:v>0.14077000000000006</c:v>
                </c:pt>
                <c:pt idx="16">
                  <c:v>0.32843181818181821</c:v>
                </c:pt>
                <c:pt idx="17">
                  <c:v>0.30094090909090898</c:v>
                </c:pt>
                <c:pt idx="18">
                  <c:v>0.38304285714285741</c:v>
                </c:pt>
                <c:pt idx="19">
                  <c:v>0.41365000000000007</c:v>
                </c:pt>
                <c:pt idx="20">
                  <c:v>-0.1619363636363636</c:v>
                </c:pt>
                <c:pt idx="21">
                  <c:v>3.7556521739130481E-2</c:v>
                </c:pt>
                <c:pt idx="22">
                  <c:v>-0.19474</c:v>
                </c:pt>
                <c:pt idx="23">
                  <c:v>0.15851499999999999</c:v>
                </c:pt>
              </c:numCache>
            </c:numRef>
          </c:val>
          <c:smooth val="0"/>
          <c:extLst>
            <c:ext xmlns:c16="http://schemas.microsoft.com/office/drawing/2014/chart" uri="{C3380CC4-5D6E-409C-BE32-E72D297353CC}">
              <c16:uniqueId val="{00000000-FB87-4810-A47C-4DDFE299BDC5}"/>
            </c:ext>
          </c:extLst>
        </c:ser>
        <c:dLbls>
          <c:showLegendKey val="0"/>
          <c:showVal val="0"/>
          <c:showCatName val="0"/>
          <c:showSerName val="0"/>
          <c:showPercent val="0"/>
          <c:showBubbleSize val="0"/>
        </c:dLbls>
        <c:smooth val="0"/>
        <c:axId val="1749863519"/>
        <c:axId val="1749865919"/>
      </c:lineChart>
      <c:catAx>
        <c:axId val="174986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65919"/>
        <c:crosses val="autoZero"/>
        <c:auto val="1"/>
        <c:lblAlgn val="ctr"/>
        <c:lblOffset val="100"/>
        <c:noMultiLvlLbl val="0"/>
      </c:catAx>
      <c:valAx>
        <c:axId val="17498659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6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Sector-wise Average Return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793083392984964E-3"/>
              <c:y val="6.254267803301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656496062992127E-3"/>
              <c:y val="-5.762347888332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1086256263421E-2"/>
              <c:y val="-5.5977093772369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226154259126701E-3"/>
              <c:y val="-2.6494436129368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705082319255548E-3"/>
              <c:y val="-3.3403613804472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023890479599088E-2"/>
              <c:y val="1.7042580421248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793083392984964E-3"/>
              <c:y val="6.254267803301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656496062992127E-3"/>
              <c:y val="-5.762347888332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1086256263421E-2"/>
              <c:y val="-5.5977093772369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226154259126701E-3"/>
              <c:y val="-2.6494436129368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705082319255548E-3"/>
              <c:y val="-3.3403613804472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023890479599088E-2"/>
              <c:y val="1.7042580421248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793083392984964E-3"/>
              <c:y val="6.254267803301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656496062992127E-3"/>
              <c:y val="-5.762347888332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611086256263421E-2"/>
              <c:y val="-5.5977093772369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226154259126701E-3"/>
              <c:y val="-2.6494436129368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705082319255548E-3"/>
              <c:y val="-3.3403613804472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023890479599088E-2"/>
              <c:y val="1.7042580421248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D22-4944-801F-15A582FA740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D22-4944-801F-15A582FA740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D22-4944-801F-15A582FA740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D22-4944-801F-15A582FA740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D22-4944-801F-15A582FA740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D22-4944-801F-15A582FA740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D22-4944-801F-15A582FA740D}"/>
              </c:ext>
            </c:extLst>
          </c:dPt>
          <c:dLbls>
            <c:dLbl>
              <c:idx val="0"/>
              <c:layout>
                <c:manualLayout>
                  <c:x val="4.9793083392984964E-3"/>
                  <c:y val="6.2542678033014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22-4944-801F-15A582FA740D}"/>
                </c:ext>
              </c:extLst>
            </c:dLbl>
            <c:dLbl>
              <c:idx val="1"/>
              <c:layout>
                <c:manualLayout>
                  <c:x val="-1.3656496062992127E-3"/>
                  <c:y val="-5.76234788833214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22-4944-801F-15A582FA740D}"/>
                </c:ext>
              </c:extLst>
            </c:dLbl>
            <c:dLbl>
              <c:idx val="2"/>
              <c:layout>
                <c:manualLayout>
                  <c:x val="2.8611086256263421E-2"/>
                  <c:y val="-5.597709377236936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22-4944-801F-15A582FA740D}"/>
                </c:ext>
              </c:extLst>
            </c:dLbl>
            <c:dLbl>
              <c:idx val="4"/>
              <c:layout>
                <c:manualLayout>
                  <c:x val="-1.0226154259126701E-3"/>
                  <c:y val="-2.64944361293681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22-4944-801F-15A582FA740D}"/>
                </c:ext>
              </c:extLst>
            </c:dLbl>
            <c:dLbl>
              <c:idx val="5"/>
              <c:layout>
                <c:manualLayout>
                  <c:x val="7.0705082319255548E-3"/>
                  <c:y val="-3.34036138044727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22-4944-801F-15A582FA740D}"/>
                </c:ext>
              </c:extLst>
            </c:dLbl>
            <c:dLbl>
              <c:idx val="6"/>
              <c:layout>
                <c:manualLayout>
                  <c:x val="2.3023890479599088E-2"/>
                  <c:y val="1.70425804212489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D22-4944-801F-15A582FA74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Sheet1!$A$20:$A$27</c:f>
              <c:strCache>
                <c:ptCount val="7"/>
                <c:pt idx="0">
                  <c:v>Automotive</c:v>
                </c:pt>
                <c:pt idx="1">
                  <c:v>Banking</c:v>
                </c:pt>
                <c:pt idx="2">
                  <c:v>Consumer</c:v>
                </c:pt>
                <c:pt idx="3">
                  <c:v>Energy</c:v>
                </c:pt>
                <c:pt idx="4">
                  <c:v>Healthcare</c:v>
                </c:pt>
                <c:pt idx="5">
                  <c:v>Retail</c:v>
                </c:pt>
                <c:pt idx="6">
                  <c:v>Technology</c:v>
                </c:pt>
              </c:strCache>
            </c:strRef>
          </c:cat>
          <c:val>
            <c:numRef>
              <c:f>Sheet1!$B$20:$B$27</c:f>
              <c:numCache>
                <c:formatCode>0.000</c:formatCode>
                <c:ptCount val="7"/>
                <c:pt idx="0">
                  <c:v>0.32972255489021957</c:v>
                </c:pt>
                <c:pt idx="1">
                  <c:v>0.12419161676646701</c:v>
                </c:pt>
                <c:pt idx="2">
                  <c:v>0.20608183632734545</c:v>
                </c:pt>
                <c:pt idx="3">
                  <c:v>1.1842315369261476E-2</c:v>
                </c:pt>
                <c:pt idx="4">
                  <c:v>-3.6686626746506988E-2</c:v>
                </c:pt>
                <c:pt idx="5">
                  <c:v>0.13546107784431136</c:v>
                </c:pt>
                <c:pt idx="6">
                  <c:v>0.23531337325349291</c:v>
                </c:pt>
              </c:numCache>
            </c:numRef>
          </c:val>
          <c:extLst>
            <c:ext xmlns:c16="http://schemas.microsoft.com/office/drawing/2014/chart" uri="{C3380CC4-5D6E-409C-BE32-E72D297353CC}">
              <c16:uniqueId val="{0000000E-0D22-4944-801F-15A582FA74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Daily Return by Stock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939107611548553E-2"/>
          <c:y val="0.20001600619594681"/>
          <c:w val="0.95212187159956474"/>
          <c:h val="0.75147286821705428"/>
        </c:manualLayout>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AAPL</c:v>
                </c:pt>
                <c:pt idx="1">
                  <c:v>AMZN</c:v>
                </c:pt>
                <c:pt idx="2">
                  <c:v>GOOGL</c:v>
                </c:pt>
                <c:pt idx="3">
                  <c:v>JNJ</c:v>
                </c:pt>
                <c:pt idx="4">
                  <c:v>JPM</c:v>
                </c:pt>
                <c:pt idx="5">
                  <c:v>MSFT</c:v>
                </c:pt>
                <c:pt idx="6">
                  <c:v>NVDA</c:v>
                </c:pt>
                <c:pt idx="7">
                  <c:v>TSLA</c:v>
                </c:pt>
                <c:pt idx="8">
                  <c:v>WMT</c:v>
                </c:pt>
                <c:pt idx="9">
                  <c:v>XOM</c:v>
                </c:pt>
              </c:strCache>
            </c:strRef>
          </c:cat>
          <c:val>
            <c:numRef>
              <c:f>Sheet1!$B$4:$B$14</c:f>
              <c:numCache>
                <c:formatCode>0.000</c:formatCode>
                <c:ptCount val="10"/>
                <c:pt idx="0">
                  <c:v>0.14977844311377236</c:v>
                </c:pt>
                <c:pt idx="1">
                  <c:v>0.20608183632734545</c:v>
                </c:pt>
                <c:pt idx="2">
                  <c:v>0.1680898203592813</c:v>
                </c:pt>
                <c:pt idx="3">
                  <c:v>-3.6686626746506988E-2</c:v>
                </c:pt>
                <c:pt idx="4">
                  <c:v>0.12419161676646701</c:v>
                </c:pt>
                <c:pt idx="5">
                  <c:v>0.12625548902195613</c:v>
                </c:pt>
                <c:pt idx="6">
                  <c:v>0.49712974051896203</c:v>
                </c:pt>
                <c:pt idx="7">
                  <c:v>0.32972255489021957</c:v>
                </c:pt>
                <c:pt idx="8">
                  <c:v>0.13546107784431136</c:v>
                </c:pt>
                <c:pt idx="9">
                  <c:v>1.1842315369261476E-2</c:v>
                </c:pt>
              </c:numCache>
            </c:numRef>
          </c:val>
          <c:extLst>
            <c:ext xmlns:c16="http://schemas.microsoft.com/office/drawing/2014/chart" uri="{C3380CC4-5D6E-409C-BE32-E72D297353CC}">
              <c16:uniqueId val="{00000000-A5CD-4D86-9E28-A4FA95B5A051}"/>
            </c:ext>
          </c:extLst>
        </c:ser>
        <c:dLbls>
          <c:dLblPos val="outEnd"/>
          <c:showLegendKey val="0"/>
          <c:showVal val="1"/>
          <c:showCatName val="0"/>
          <c:showSerName val="0"/>
          <c:showPercent val="0"/>
          <c:showBubbleSize val="0"/>
        </c:dLbls>
        <c:gapWidth val="115"/>
        <c:overlap val="-20"/>
        <c:axId val="1302492095"/>
        <c:axId val="1302494975"/>
      </c:barChart>
      <c:catAx>
        <c:axId val="1302492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94975"/>
        <c:crosses val="autoZero"/>
        <c:auto val="1"/>
        <c:lblAlgn val="ctr"/>
        <c:lblOffset val="100"/>
        <c:noMultiLvlLbl val="0"/>
      </c:catAx>
      <c:valAx>
        <c:axId val="1302494975"/>
        <c:scaling>
          <c:orientation val="minMax"/>
        </c:scaling>
        <c:delete val="1"/>
        <c:axPos val="b"/>
        <c:numFmt formatCode="0.000" sourceLinked="1"/>
        <c:majorTickMark val="none"/>
        <c:minorTickMark val="none"/>
        <c:tickLblPos val="nextTo"/>
        <c:crossAx val="130249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[sp500_master_data 2.xlsx]Sheet1!PivotTable3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Return Trend</a:t>
            </a:r>
            <a:endParaRPr lang="en-US"/>
          </a:p>
        </c:rich>
      </c:tx>
      <c:layout>
        <c:manualLayout>
          <c:xMode val="edge"/>
          <c:yMode val="edge"/>
          <c:x val="0.20413694721825965"/>
          <c:y val="0.1264261610155873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77603423680456E-2"/>
          <c:y val="0.33606901815844448"/>
          <c:w val="0.93723252496433662"/>
          <c:h val="0.5514996786116021"/>
        </c:manualLayout>
      </c:layout>
      <c:lineChart>
        <c:grouping val="standard"/>
        <c:varyColors val="0"/>
        <c:ser>
          <c:idx val="0"/>
          <c:order val="0"/>
          <c:tx>
            <c:strRef>
              <c:f>Sheet1!$H$2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Sheet1!$G$3:$G$27</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Sheet1!$H$3:$H$27</c:f>
              <c:numCache>
                <c:formatCode>0.000</c:formatCode>
                <c:ptCount val="24"/>
                <c:pt idx="0">
                  <c:v>8.6289473684210583E-2</c:v>
                </c:pt>
                <c:pt idx="1">
                  <c:v>-4.9345454545454664E-2</c:v>
                </c:pt>
                <c:pt idx="2">
                  <c:v>-2.5826086956521645E-3</c:v>
                </c:pt>
                <c:pt idx="3">
                  <c:v>6.6649999999999959E-2</c:v>
                </c:pt>
                <c:pt idx="4">
                  <c:v>0.1469399999999999</c:v>
                </c:pt>
                <c:pt idx="5">
                  <c:v>7.5438095238095235E-2</c:v>
                </c:pt>
                <c:pt idx="6">
                  <c:v>7.8052631578947401E-2</c:v>
                </c:pt>
                <c:pt idx="7">
                  <c:v>0.33196500000000001</c:v>
                </c:pt>
                <c:pt idx="8">
                  <c:v>0.70771578947368496</c:v>
                </c:pt>
                <c:pt idx="9">
                  <c:v>5.5099999999999955E-2</c:v>
                </c:pt>
                <c:pt idx="10">
                  <c:v>0.1961849999999998</c:v>
                </c:pt>
                <c:pt idx="11">
                  <c:v>0.10799090909090912</c:v>
                </c:pt>
                <c:pt idx="12">
                  <c:v>0.39118571428571414</c:v>
                </c:pt>
                <c:pt idx="13">
                  <c:v>0.30027894736842092</c:v>
                </c:pt>
                <c:pt idx="14">
                  <c:v>0.29477391304347833</c:v>
                </c:pt>
                <c:pt idx="15">
                  <c:v>0.14077000000000006</c:v>
                </c:pt>
                <c:pt idx="16">
                  <c:v>0.32843181818181821</c:v>
                </c:pt>
                <c:pt idx="17">
                  <c:v>0.30094090909090898</c:v>
                </c:pt>
                <c:pt idx="18">
                  <c:v>0.38304285714285741</c:v>
                </c:pt>
                <c:pt idx="19">
                  <c:v>0.41365000000000007</c:v>
                </c:pt>
                <c:pt idx="20">
                  <c:v>-0.1619363636363636</c:v>
                </c:pt>
                <c:pt idx="21">
                  <c:v>3.7556521739130481E-2</c:v>
                </c:pt>
                <c:pt idx="22">
                  <c:v>-0.19474</c:v>
                </c:pt>
                <c:pt idx="23">
                  <c:v>0.15851499999999999</c:v>
                </c:pt>
              </c:numCache>
            </c:numRef>
          </c:val>
          <c:smooth val="0"/>
          <c:extLst>
            <c:ext xmlns:c16="http://schemas.microsoft.com/office/drawing/2014/chart" uri="{C3380CC4-5D6E-409C-BE32-E72D297353CC}">
              <c16:uniqueId val="{00000000-8D68-43C2-B4F0-3456590FEBED}"/>
            </c:ext>
          </c:extLst>
        </c:ser>
        <c:dLbls>
          <c:dLblPos val="t"/>
          <c:showLegendKey val="0"/>
          <c:showVal val="1"/>
          <c:showCatName val="0"/>
          <c:showSerName val="0"/>
          <c:showPercent val="0"/>
          <c:showBubbleSize val="0"/>
        </c:dLbls>
        <c:marker val="1"/>
        <c:smooth val="0"/>
        <c:axId val="1749863519"/>
        <c:axId val="1749865919"/>
      </c:lineChart>
      <c:catAx>
        <c:axId val="1749863519"/>
        <c:scaling>
          <c:orientation val="minMax"/>
        </c:scaling>
        <c:delete val="1"/>
        <c:axPos val="b"/>
        <c:numFmt formatCode="General" sourceLinked="1"/>
        <c:majorTickMark val="none"/>
        <c:minorTickMark val="none"/>
        <c:tickLblPos val="nextTo"/>
        <c:crossAx val="1749865919"/>
        <c:crosses val="autoZero"/>
        <c:auto val="1"/>
        <c:lblAlgn val="ctr"/>
        <c:lblOffset val="100"/>
        <c:noMultiLvlLbl val="0"/>
      </c:catAx>
      <c:valAx>
        <c:axId val="1749865919"/>
        <c:scaling>
          <c:orientation val="minMax"/>
        </c:scaling>
        <c:delete val="1"/>
        <c:axPos val="l"/>
        <c:numFmt formatCode="0.000" sourceLinked="1"/>
        <c:majorTickMark val="none"/>
        <c:minorTickMark val="none"/>
        <c:tickLblPos val="nextTo"/>
        <c:crossAx val="174986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Risk vs Return Analysis (S&amp;P 500)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tx>
                <c:rich>
                  <a:bodyPr/>
                  <a:lstStyle/>
                  <a:p>
                    <a:fld id="{FE56913F-D403-4EFC-8312-67AE97A66598}"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E72-4226-AC08-C06A6DD1EAB0}"/>
                </c:ext>
              </c:extLst>
            </c:dLbl>
            <c:dLbl>
              <c:idx val="1"/>
              <c:tx>
                <c:rich>
                  <a:bodyPr/>
                  <a:lstStyle/>
                  <a:p>
                    <a:fld id="{7F2C4F69-151E-4A65-BD24-58B79441073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E72-4226-AC08-C06A6DD1EAB0}"/>
                </c:ext>
              </c:extLst>
            </c:dLbl>
            <c:dLbl>
              <c:idx val="2"/>
              <c:tx>
                <c:rich>
                  <a:bodyPr/>
                  <a:lstStyle/>
                  <a:p>
                    <a:fld id="{621313DE-373D-4951-9A51-93A32089609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72-4226-AC08-C06A6DD1EAB0}"/>
                </c:ext>
              </c:extLst>
            </c:dLbl>
            <c:dLbl>
              <c:idx val="3"/>
              <c:tx>
                <c:rich>
                  <a:bodyPr/>
                  <a:lstStyle/>
                  <a:p>
                    <a:fld id="{74B6494F-5529-435F-A157-ED45D12066B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72-4226-AC08-C06A6DD1EAB0}"/>
                </c:ext>
              </c:extLst>
            </c:dLbl>
            <c:dLbl>
              <c:idx val="4"/>
              <c:tx>
                <c:rich>
                  <a:bodyPr/>
                  <a:lstStyle/>
                  <a:p>
                    <a:fld id="{014A1D42-B9E5-467F-9E57-5A832F0DB75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72-4226-AC08-C06A6DD1EAB0}"/>
                </c:ext>
              </c:extLst>
            </c:dLbl>
            <c:dLbl>
              <c:idx val="5"/>
              <c:tx>
                <c:rich>
                  <a:bodyPr/>
                  <a:lstStyle/>
                  <a:p>
                    <a:fld id="{F571BDA2-C09B-4235-B6FB-E05751B96C6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72-4226-AC08-C06A6DD1EAB0}"/>
                </c:ext>
              </c:extLst>
            </c:dLbl>
            <c:dLbl>
              <c:idx val="6"/>
              <c:tx>
                <c:rich>
                  <a:bodyPr/>
                  <a:lstStyle/>
                  <a:p>
                    <a:fld id="{1BD7B848-F1F5-4F6A-A1D1-24A962A48C0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E72-4226-AC08-C06A6DD1EAB0}"/>
                </c:ext>
              </c:extLst>
            </c:dLbl>
            <c:dLbl>
              <c:idx val="7"/>
              <c:tx>
                <c:rich>
                  <a:bodyPr/>
                  <a:lstStyle/>
                  <a:p>
                    <a:fld id="{29BE5995-B174-4339-9873-E78CDE023CE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E72-4226-AC08-C06A6DD1EAB0}"/>
                </c:ext>
              </c:extLst>
            </c:dLbl>
            <c:dLbl>
              <c:idx val="8"/>
              <c:tx>
                <c:rich>
                  <a:bodyPr/>
                  <a:lstStyle/>
                  <a:p>
                    <a:fld id="{B02E4E20-2906-4E23-8E9A-9AA554586AE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E72-4226-AC08-C06A6DD1EAB0}"/>
                </c:ext>
              </c:extLst>
            </c:dLbl>
            <c:dLbl>
              <c:idx val="9"/>
              <c:tx>
                <c:rich>
                  <a:bodyPr/>
                  <a:lstStyle/>
                  <a:p>
                    <a:fld id="{788F7571-3505-4E1B-82F0-860D4076A64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E72-4226-AC08-C06A6DD1E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Summary_Stats!$E$2:$E$11</c:f>
              <c:numCache>
                <c:formatCode>General</c:formatCode>
                <c:ptCount val="10"/>
                <c:pt idx="0">
                  <c:v>1.345</c:v>
                </c:pt>
                <c:pt idx="1">
                  <c:v>1.929</c:v>
                </c:pt>
                <c:pt idx="2">
                  <c:v>1.84</c:v>
                </c:pt>
                <c:pt idx="3">
                  <c:v>0.999</c:v>
                </c:pt>
                <c:pt idx="4">
                  <c:v>1.3979999999999999</c:v>
                </c:pt>
                <c:pt idx="5">
                  <c:v>1.429</c:v>
                </c:pt>
                <c:pt idx="6">
                  <c:v>3.18</c:v>
                </c:pt>
                <c:pt idx="7">
                  <c:v>3.673</c:v>
                </c:pt>
                <c:pt idx="8">
                  <c:v>1.054</c:v>
                </c:pt>
                <c:pt idx="9">
                  <c:v>1.405</c:v>
                </c:pt>
              </c:numCache>
            </c:numRef>
          </c:xVal>
          <c:yVal>
            <c:numRef>
              <c:f>Summary_Stats!$D$2:$D$11</c:f>
              <c:numCache>
                <c:formatCode>General</c:formatCode>
                <c:ptCount val="10"/>
                <c:pt idx="0">
                  <c:v>0.15</c:v>
                </c:pt>
                <c:pt idx="1">
                  <c:v>0.20599999999999999</c:v>
                </c:pt>
                <c:pt idx="2">
                  <c:v>0.16800000000000001</c:v>
                </c:pt>
                <c:pt idx="3">
                  <c:v>-3.6999999999999998E-2</c:v>
                </c:pt>
                <c:pt idx="4">
                  <c:v>0.124</c:v>
                </c:pt>
                <c:pt idx="5">
                  <c:v>0.126</c:v>
                </c:pt>
                <c:pt idx="6">
                  <c:v>0.497</c:v>
                </c:pt>
                <c:pt idx="7">
                  <c:v>0.33</c:v>
                </c:pt>
                <c:pt idx="8">
                  <c:v>0.13500000000000001</c:v>
                </c:pt>
                <c:pt idx="9">
                  <c:v>1.2E-2</c:v>
                </c:pt>
              </c:numCache>
            </c:numRef>
          </c:yVal>
          <c:smooth val="0"/>
          <c:extLst>
            <c:ext xmlns:c15="http://schemas.microsoft.com/office/drawing/2012/chart" uri="{02D57815-91ED-43cb-92C2-25804820EDAC}">
              <c15:datalabelsRange>
                <c15:f>Summary_Stats!$A$2:$A$11</c15:f>
                <c15:dlblRangeCache>
                  <c:ptCount val="10"/>
                  <c:pt idx="0">
                    <c:v>AAPL</c:v>
                  </c:pt>
                  <c:pt idx="1">
                    <c:v>AMZN</c:v>
                  </c:pt>
                  <c:pt idx="2">
                    <c:v>GOOGL</c:v>
                  </c:pt>
                  <c:pt idx="3">
                    <c:v>JNJ</c:v>
                  </c:pt>
                  <c:pt idx="4">
                    <c:v>JPM</c:v>
                  </c:pt>
                  <c:pt idx="5">
                    <c:v>MSFT</c:v>
                  </c:pt>
                  <c:pt idx="6">
                    <c:v>NVDA</c:v>
                  </c:pt>
                  <c:pt idx="7">
                    <c:v>TSLA</c:v>
                  </c:pt>
                  <c:pt idx="8">
                    <c:v>WMT</c:v>
                  </c:pt>
                  <c:pt idx="9">
                    <c:v>XOM</c:v>
                  </c:pt>
                </c15:dlblRangeCache>
              </c15:datalabelsRange>
            </c:ext>
            <c:ext xmlns:c16="http://schemas.microsoft.com/office/drawing/2014/chart" uri="{C3380CC4-5D6E-409C-BE32-E72D297353CC}">
              <c16:uniqueId val="{0000000A-3E72-4226-AC08-C06A6DD1EAB0}"/>
            </c:ext>
          </c:extLst>
        </c:ser>
        <c:dLbls>
          <c:dLblPos val="t"/>
          <c:showLegendKey val="0"/>
          <c:showVal val="1"/>
          <c:showCatName val="0"/>
          <c:showSerName val="0"/>
          <c:showPercent val="0"/>
          <c:showBubbleSize val="0"/>
        </c:dLbls>
        <c:axId val="1749889919"/>
        <c:axId val="1749888479"/>
      </c:scatterChart>
      <c:valAx>
        <c:axId val="1749889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88479"/>
        <c:crosses val="autoZero"/>
        <c:crossBetween val="midCat"/>
      </c:valAx>
      <c:valAx>
        <c:axId val="1749888479"/>
        <c:scaling>
          <c:orientation val="minMax"/>
        </c:scaling>
        <c:delete val="1"/>
        <c:axPos val="l"/>
        <c:numFmt formatCode="General" sourceLinked="1"/>
        <c:majorTickMark val="none"/>
        <c:minorTickMark val="none"/>
        <c:tickLblPos val="nextTo"/>
        <c:crossAx val="1749889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Risk vs Return Analysis (S&amp;P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B72F14BF-4263-4DB3-9459-930ACEF083B4}"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4F7-4C19-B062-5A3238381D4B}"/>
                </c:ext>
              </c:extLst>
            </c:dLbl>
            <c:dLbl>
              <c:idx val="1"/>
              <c:tx>
                <c:rich>
                  <a:bodyPr/>
                  <a:lstStyle/>
                  <a:p>
                    <a:fld id="{2673F69D-4C32-43CE-BD50-982DADACC85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4F7-4C19-B062-5A3238381D4B}"/>
                </c:ext>
              </c:extLst>
            </c:dLbl>
            <c:dLbl>
              <c:idx val="2"/>
              <c:tx>
                <c:rich>
                  <a:bodyPr/>
                  <a:lstStyle/>
                  <a:p>
                    <a:fld id="{F9540209-9D79-45E8-8CE5-629792E8912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4F7-4C19-B062-5A3238381D4B}"/>
                </c:ext>
              </c:extLst>
            </c:dLbl>
            <c:dLbl>
              <c:idx val="3"/>
              <c:tx>
                <c:rich>
                  <a:bodyPr/>
                  <a:lstStyle/>
                  <a:p>
                    <a:fld id="{9E013844-2537-4248-9120-75FCAFFABBA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4F7-4C19-B062-5A3238381D4B}"/>
                </c:ext>
              </c:extLst>
            </c:dLbl>
            <c:dLbl>
              <c:idx val="4"/>
              <c:tx>
                <c:rich>
                  <a:bodyPr/>
                  <a:lstStyle/>
                  <a:p>
                    <a:fld id="{5FCDEB46-80A1-402F-A0CA-1EB1048A588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4F7-4C19-B062-5A3238381D4B}"/>
                </c:ext>
              </c:extLst>
            </c:dLbl>
            <c:dLbl>
              <c:idx val="5"/>
              <c:tx>
                <c:rich>
                  <a:bodyPr/>
                  <a:lstStyle/>
                  <a:p>
                    <a:fld id="{86DFF8F9-BFDC-4867-9966-91421FA0954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4F7-4C19-B062-5A3238381D4B}"/>
                </c:ext>
              </c:extLst>
            </c:dLbl>
            <c:dLbl>
              <c:idx val="6"/>
              <c:tx>
                <c:rich>
                  <a:bodyPr/>
                  <a:lstStyle/>
                  <a:p>
                    <a:fld id="{9D37E11B-F9C3-4F15-BB4F-75DE1ECD0CD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4F7-4C19-B062-5A3238381D4B}"/>
                </c:ext>
              </c:extLst>
            </c:dLbl>
            <c:dLbl>
              <c:idx val="7"/>
              <c:tx>
                <c:rich>
                  <a:bodyPr/>
                  <a:lstStyle/>
                  <a:p>
                    <a:fld id="{9D40CB77-92D3-44F9-9206-6F2D8E56A79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4F7-4C19-B062-5A3238381D4B}"/>
                </c:ext>
              </c:extLst>
            </c:dLbl>
            <c:dLbl>
              <c:idx val="8"/>
              <c:tx>
                <c:rich>
                  <a:bodyPr/>
                  <a:lstStyle/>
                  <a:p>
                    <a:fld id="{AB5CECF4-52EC-40D2-8A43-7B9F00A1F0C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4F7-4C19-B062-5A3238381D4B}"/>
                </c:ext>
              </c:extLst>
            </c:dLbl>
            <c:dLbl>
              <c:idx val="9"/>
              <c:tx>
                <c:rich>
                  <a:bodyPr/>
                  <a:lstStyle/>
                  <a:p>
                    <a:fld id="{18F11C7F-EB3B-41B9-B93D-9C38BCAD779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4F7-4C19-B062-5A3238381D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Summary_Stats!$E$2:$E$11</c:f>
              <c:numCache>
                <c:formatCode>General</c:formatCode>
                <c:ptCount val="10"/>
                <c:pt idx="0">
                  <c:v>1.345</c:v>
                </c:pt>
                <c:pt idx="1">
                  <c:v>1.929</c:v>
                </c:pt>
                <c:pt idx="2">
                  <c:v>1.84</c:v>
                </c:pt>
                <c:pt idx="3">
                  <c:v>0.999</c:v>
                </c:pt>
                <c:pt idx="4">
                  <c:v>1.3979999999999999</c:v>
                </c:pt>
                <c:pt idx="5">
                  <c:v>1.429</c:v>
                </c:pt>
                <c:pt idx="6">
                  <c:v>3.18</c:v>
                </c:pt>
                <c:pt idx="7">
                  <c:v>3.673</c:v>
                </c:pt>
                <c:pt idx="8">
                  <c:v>1.054</c:v>
                </c:pt>
                <c:pt idx="9">
                  <c:v>1.405</c:v>
                </c:pt>
              </c:numCache>
            </c:numRef>
          </c:xVal>
          <c:yVal>
            <c:numRef>
              <c:f>Summary_Stats!$D$2:$D$11</c:f>
              <c:numCache>
                <c:formatCode>General</c:formatCode>
                <c:ptCount val="10"/>
                <c:pt idx="0">
                  <c:v>0.15</c:v>
                </c:pt>
                <c:pt idx="1">
                  <c:v>0.20599999999999999</c:v>
                </c:pt>
                <c:pt idx="2">
                  <c:v>0.16800000000000001</c:v>
                </c:pt>
                <c:pt idx="3">
                  <c:v>-3.6999999999999998E-2</c:v>
                </c:pt>
                <c:pt idx="4">
                  <c:v>0.124</c:v>
                </c:pt>
                <c:pt idx="5">
                  <c:v>0.126</c:v>
                </c:pt>
                <c:pt idx="6">
                  <c:v>0.497</c:v>
                </c:pt>
                <c:pt idx="7">
                  <c:v>0.33</c:v>
                </c:pt>
                <c:pt idx="8">
                  <c:v>0.13500000000000001</c:v>
                </c:pt>
                <c:pt idx="9">
                  <c:v>1.2E-2</c:v>
                </c:pt>
              </c:numCache>
            </c:numRef>
          </c:yVal>
          <c:smooth val="0"/>
          <c:extLst>
            <c:ext xmlns:c15="http://schemas.microsoft.com/office/drawing/2012/chart" uri="{02D57815-91ED-43cb-92C2-25804820EDAC}">
              <c15:datalabelsRange>
                <c15:f>Summary_Stats!$A$2:$A$11</c15:f>
                <c15:dlblRangeCache>
                  <c:ptCount val="10"/>
                  <c:pt idx="0">
                    <c:v>AAPL</c:v>
                  </c:pt>
                  <c:pt idx="1">
                    <c:v>AMZN</c:v>
                  </c:pt>
                  <c:pt idx="2">
                    <c:v>GOOGL</c:v>
                  </c:pt>
                  <c:pt idx="3">
                    <c:v>JNJ</c:v>
                  </c:pt>
                  <c:pt idx="4">
                    <c:v>JPM</c:v>
                  </c:pt>
                  <c:pt idx="5">
                    <c:v>MSFT</c:v>
                  </c:pt>
                  <c:pt idx="6">
                    <c:v>NVDA</c:v>
                  </c:pt>
                  <c:pt idx="7">
                    <c:v>TSLA</c:v>
                  </c:pt>
                  <c:pt idx="8">
                    <c:v>WMT</c:v>
                  </c:pt>
                  <c:pt idx="9">
                    <c:v>XOM</c:v>
                  </c:pt>
                </c15:dlblRangeCache>
              </c15:datalabelsRange>
            </c:ext>
            <c:ext xmlns:c16="http://schemas.microsoft.com/office/drawing/2014/chart" uri="{C3380CC4-5D6E-409C-BE32-E72D297353CC}">
              <c16:uniqueId val="{00000000-64F7-4C19-B062-5A3238381D4B}"/>
            </c:ext>
          </c:extLst>
        </c:ser>
        <c:dLbls>
          <c:dLblPos val="t"/>
          <c:showLegendKey val="0"/>
          <c:showVal val="1"/>
          <c:showCatName val="0"/>
          <c:showSerName val="0"/>
          <c:showPercent val="0"/>
          <c:showBubbleSize val="0"/>
        </c:dLbls>
        <c:axId val="1749889919"/>
        <c:axId val="1749888479"/>
      </c:scatterChart>
      <c:valAx>
        <c:axId val="174988991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49888479"/>
        <c:crosses val="autoZero"/>
        <c:crossBetween val="midCat"/>
      </c:valAx>
      <c:valAx>
        <c:axId val="17498884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49889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0</xdr:row>
      <xdr:rowOff>123825</xdr:rowOff>
    </xdr:from>
    <xdr:to>
      <xdr:col>5</xdr:col>
      <xdr:colOff>50800</xdr:colOff>
      <xdr:row>7</xdr:row>
      <xdr:rowOff>133350</xdr:rowOff>
    </xdr:to>
    <xdr:graphicFrame macro="">
      <xdr:nvGraphicFramePr>
        <xdr:cNvPr id="3" name="Chart 2">
          <a:extLst>
            <a:ext uri="{FF2B5EF4-FFF2-40B4-BE49-F238E27FC236}">
              <a16:creationId xmlns:a16="http://schemas.microsoft.com/office/drawing/2014/main" id="{B812BA86-0548-40B2-9E88-B7424E5F2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107950</xdr:colOff>
      <xdr:row>16</xdr:row>
      <xdr:rowOff>107949</xdr:rowOff>
    </xdr:from>
    <xdr:to>
      <xdr:col>4</xdr:col>
      <xdr:colOff>501650</xdr:colOff>
      <xdr:row>25</xdr:row>
      <xdr:rowOff>165100</xdr:rowOff>
    </xdr:to>
    <xdr:graphicFrame macro="">
      <xdr:nvGraphicFramePr>
        <xdr:cNvPr id="4" name="Chart 3">
          <a:extLst>
            <a:ext uri="{FF2B5EF4-FFF2-40B4-BE49-F238E27FC236}">
              <a16:creationId xmlns:a16="http://schemas.microsoft.com/office/drawing/2014/main" id="{496F62C6-AA13-0D20-F0E1-B0D66CE9B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xdr:colOff>
      <xdr:row>1</xdr:row>
      <xdr:rowOff>155575</xdr:rowOff>
    </xdr:from>
    <xdr:to>
      <xdr:col>9</xdr:col>
      <xdr:colOff>298450</xdr:colOff>
      <xdr:row>11</xdr:row>
      <xdr:rowOff>44450</xdr:rowOff>
    </xdr:to>
    <xdr:graphicFrame macro="">
      <xdr:nvGraphicFramePr>
        <xdr:cNvPr id="5" name="Chart 4">
          <a:extLst>
            <a:ext uri="{FF2B5EF4-FFF2-40B4-BE49-F238E27FC236}">
              <a16:creationId xmlns:a16="http://schemas.microsoft.com/office/drawing/2014/main" id="{B13EA673-58B9-A4B5-1D48-3F1CC54D9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120650</xdr:colOff>
      <xdr:row>26</xdr:row>
      <xdr:rowOff>50800</xdr:rowOff>
    </xdr:from>
    <xdr:to>
      <xdr:col>7</xdr:col>
      <xdr:colOff>1085850</xdr:colOff>
      <xdr:row>39</xdr:row>
      <xdr:rowOff>180975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EA1582E8-3708-2373-16FA-E2EA362B10B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080000" y="4838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xdr:colOff>
      <xdr:row>25</xdr:row>
      <xdr:rowOff>19050</xdr:rowOff>
    </xdr:from>
    <xdr:to>
      <xdr:col>7</xdr:col>
      <xdr:colOff>412750</xdr:colOff>
      <xdr:row>38</xdr:row>
      <xdr:rowOff>149225</xdr:rowOff>
    </xdr:to>
    <mc:AlternateContent xmlns:mc="http://schemas.openxmlformats.org/markup-compatibility/2006" xmlns:a14="http://schemas.microsoft.com/office/drawing/2010/main">
      <mc:Choice Requires="a14">
        <xdr:graphicFrame macro="">
          <xdr:nvGraphicFramePr>
            <xdr:cNvPr id="6" name="Symbol">
              <a:extLst>
                <a:ext uri="{FF2B5EF4-FFF2-40B4-BE49-F238E27FC236}">
                  <a16:creationId xmlns:a16="http://schemas.microsoft.com/office/drawing/2014/main" id="{CFD52D31-FBB5-11B8-A205-A0B8ECBF6F4C}"/>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4406900" y="4622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1238250</xdr:colOff>
      <xdr:row>25</xdr:row>
      <xdr:rowOff>146050</xdr:rowOff>
    </xdr:from>
    <xdr:to>
      <xdr:col>10</xdr:col>
      <xdr:colOff>190500</xdr:colOff>
      <xdr:row>39</xdr:row>
      <xdr:rowOff>92075</xdr:rowOff>
    </xdr:to>
    <mc:AlternateContent xmlns:mc="http://schemas.openxmlformats.org/markup-compatibility/2006" xmlns:a14="http://schemas.microsoft.com/office/drawing/2010/main">
      <mc:Choice Requires="a14">
        <xdr:graphicFrame macro="">
          <xdr:nvGraphicFramePr>
            <xdr:cNvPr id="7" name="Sector">
              <a:extLst>
                <a:ext uri="{FF2B5EF4-FFF2-40B4-BE49-F238E27FC236}">
                  <a16:creationId xmlns:a16="http://schemas.microsoft.com/office/drawing/2014/main" id="{4E53499A-F073-928E-808E-11C81DACECA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7061200" y="474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63500</xdr:colOff>
      <xdr:row>6</xdr:row>
      <xdr:rowOff>19050</xdr:rowOff>
    </xdr:from>
    <xdr:to>
      <xdr:col>14</xdr:col>
      <xdr:colOff>438150</xdr:colOff>
      <xdr:row>17</xdr:row>
      <xdr:rowOff>12700</xdr:rowOff>
    </xdr:to>
    <xdr:graphicFrame macro="">
      <xdr:nvGraphicFramePr>
        <xdr:cNvPr id="2" name="Chart 1">
          <a:extLst>
            <a:ext uri="{FF2B5EF4-FFF2-40B4-BE49-F238E27FC236}">
              <a16:creationId xmlns:a16="http://schemas.microsoft.com/office/drawing/2014/main" id="{F6C793A0-12F0-4DEF-928A-A57D06204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17</xdr:row>
      <xdr:rowOff>25400</xdr:rowOff>
    </xdr:from>
    <xdr:to>
      <xdr:col>7</xdr:col>
      <xdr:colOff>31750</xdr:colOff>
      <xdr:row>27</xdr:row>
      <xdr:rowOff>120650</xdr:rowOff>
    </xdr:to>
    <xdr:graphicFrame macro="">
      <xdr:nvGraphicFramePr>
        <xdr:cNvPr id="3" name="Chart 2">
          <a:extLst>
            <a:ext uri="{FF2B5EF4-FFF2-40B4-BE49-F238E27FC236}">
              <a16:creationId xmlns:a16="http://schemas.microsoft.com/office/drawing/2014/main" id="{7448E151-43D7-4D50-82F0-33F93D46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6350</xdr:rowOff>
    </xdr:from>
    <xdr:to>
      <xdr:col>7</xdr:col>
      <xdr:colOff>44450</xdr:colOff>
      <xdr:row>17</xdr:row>
      <xdr:rowOff>25400</xdr:rowOff>
    </xdr:to>
    <xdr:graphicFrame macro="">
      <xdr:nvGraphicFramePr>
        <xdr:cNvPr id="4" name="Chart 3">
          <a:extLst>
            <a:ext uri="{FF2B5EF4-FFF2-40B4-BE49-F238E27FC236}">
              <a16:creationId xmlns:a16="http://schemas.microsoft.com/office/drawing/2014/main" id="{882797CE-2ADC-4AF4-85A5-3AE2C7B6A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0</xdr:row>
      <xdr:rowOff>25400</xdr:rowOff>
    </xdr:from>
    <xdr:to>
      <xdr:col>20</xdr:col>
      <xdr:colOff>0</xdr:colOff>
      <xdr:row>2</xdr:row>
      <xdr:rowOff>12700</xdr:rowOff>
    </xdr:to>
    <xdr:sp macro="" textlink="">
      <xdr:nvSpPr>
        <xdr:cNvPr id="5" name="TextBox 4">
          <a:extLst>
            <a:ext uri="{FF2B5EF4-FFF2-40B4-BE49-F238E27FC236}">
              <a16:creationId xmlns:a16="http://schemas.microsoft.com/office/drawing/2014/main" id="{CF6C285D-2539-4E8C-BACC-77948BF98047}"/>
            </a:ext>
          </a:extLst>
        </xdr:cNvPr>
        <xdr:cNvSpPr txBox="1"/>
      </xdr:nvSpPr>
      <xdr:spPr>
        <a:xfrm>
          <a:off x="12700" y="25400"/>
          <a:ext cx="12179300" cy="3556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S&amp;P 500 Stock Analysis 2023-2024</a:t>
          </a:r>
        </a:p>
      </xdr:txBody>
    </xdr:sp>
    <xdr:clientData/>
  </xdr:twoCellAnchor>
  <xdr:twoCellAnchor>
    <xdr:from>
      <xdr:col>7</xdr:col>
      <xdr:colOff>57150</xdr:colOff>
      <xdr:row>17</xdr:row>
      <xdr:rowOff>12700</xdr:rowOff>
    </xdr:from>
    <xdr:to>
      <xdr:col>16</xdr:col>
      <xdr:colOff>387350</xdr:colOff>
      <xdr:row>27</xdr:row>
      <xdr:rowOff>101600</xdr:rowOff>
    </xdr:to>
    <xdr:graphicFrame macro="">
      <xdr:nvGraphicFramePr>
        <xdr:cNvPr id="6" name="Chart 5">
          <a:extLst>
            <a:ext uri="{FF2B5EF4-FFF2-40B4-BE49-F238E27FC236}">
              <a16:creationId xmlns:a16="http://schemas.microsoft.com/office/drawing/2014/main" id="{ED4B557D-19A8-487B-8AD9-033ECE05F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349250</xdr:colOff>
      <xdr:row>16</xdr:row>
      <xdr:rowOff>165101</xdr:rowOff>
    </xdr:from>
    <xdr:to>
      <xdr:col>19</xdr:col>
      <xdr:colOff>349250</xdr:colOff>
      <xdr:row>30</xdr:row>
      <xdr:rowOff>111126</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BBA9CAA5-48E8-4714-8E67-E4A2D9E1533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102850" y="311150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539750</xdr:colOff>
      <xdr:row>1</xdr:row>
      <xdr:rowOff>171450</xdr:rowOff>
    </xdr:from>
    <xdr:to>
      <xdr:col>19</xdr:col>
      <xdr:colOff>539750</xdr:colOff>
      <xdr:row>16</xdr:row>
      <xdr:rowOff>171450</xdr:rowOff>
    </xdr:to>
    <mc:AlternateContent xmlns:mc="http://schemas.openxmlformats.org/markup-compatibility/2006" xmlns:a14="http://schemas.microsoft.com/office/drawing/2010/main">
      <mc:Choice Requires="a14">
        <xdr:graphicFrame macro="">
          <xdr:nvGraphicFramePr>
            <xdr:cNvPr id="11" name="Sector 1">
              <a:extLst>
                <a:ext uri="{FF2B5EF4-FFF2-40B4-BE49-F238E27FC236}">
                  <a16:creationId xmlns:a16="http://schemas.microsoft.com/office/drawing/2014/main" id="{BE929A46-AB4B-4BCC-BDFB-371EEA42BDD5}"/>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0293350" y="355600"/>
              <a:ext cx="18288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2</xdr:row>
      <xdr:rowOff>25400</xdr:rowOff>
    </xdr:from>
    <xdr:to>
      <xdr:col>16</xdr:col>
      <xdr:colOff>546100</xdr:colOff>
      <xdr:row>17</xdr:row>
      <xdr:rowOff>12700</xdr:rowOff>
    </xdr:to>
    <mc:AlternateContent xmlns:mc="http://schemas.openxmlformats.org/markup-compatibility/2006" xmlns:a14="http://schemas.microsoft.com/office/drawing/2010/main">
      <mc:Choice Requires="a14">
        <xdr:graphicFrame macro="">
          <xdr:nvGraphicFramePr>
            <xdr:cNvPr id="12" name="Symbol 1">
              <a:extLst>
                <a:ext uri="{FF2B5EF4-FFF2-40B4-BE49-F238E27FC236}">
                  <a16:creationId xmlns:a16="http://schemas.microsoft.com/office/drawing/2014/main" id="{B810883B-0413-487F-A78B-C1123BAA73DE}"/>
                </a:ext>
              </a:extLst>
            </xdr:cNvPr>
            <xdr:cNvGraphicFramePr/>
          </xdr:nvGraphicFramePr>
          <xdr:xfrm>
            <a:off x="0" y="0"/>
            <a:ext cx="0" cy="0"/>
          </xdr:xfrm>
          <a:graphic>
            <a:graphicData uri="http://schemas.microsoft.com/office/drawing/2010/slicer">
              <sle:slicer xmlns:sle="http://schemas.microsoft.com/office/drawing/2010/slicer" name="Symbol 1"/>
            </a:graphicData>
          </a:graphic>
        </xdr:graphicFrame>
      </mc:Choice>
      <mc:Fallback xmlns="">
        <xdr:sp macro="" textlink="">
          <xdr:nvSpPr>
            <xdr:cNvPr id="0" name=""/>
            <xdr:cNvSpPr>
              <a:spLocks noTextEdit="1"/>
            </xdr:cNvSpPr>
          </xdr:nvSpPr>
          <xdr:spPr>
            <a:xfrm>
              <a:off x="8972550" y="393700"/>
              <a:ext cx="1327150" cy="274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688975</xdr:colOff>
      <xdr:row>11</xdr:row>
      <xdr:rowOff>82556</xdr:rowOff>
    </xdr:from>
    <xdr:to>
      <xdr:col>6</xdr:col>
      <xdr:colOff>130175</xdr:colOff>
      <xdr:row>26</xdr:row>
      <xdr:rowOff>63506</xdr:rowOff>
    </xdr:to>
    <xdr:graphicFrame macro="">
      <xdr:nvGraphicFramePr>
        <xdr:cNvPr id="3" name="Chart 2">
          <a:extLst>
            <a:ext uri="{FF2B5EF4-FFF2-40B4-BE49-F238E27FC236}">
              <a16:creationId xmlns:a16="http://schemas.microsoft.com/office/drawing/2014/main" id="{C08D3CD4-E1E2-074C-C2B5-A539F4A7B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refreshedDate="46148.697278009262" createdVersion="8" refreshedVersion="8" minRefreshableVersion="3" recordCount="5020" xr:uid="{CC75583D-AA40-4205-8823-BEC03CBC9E86}">
  <cacheSource type="worksheet">
    <worksheetSource name="Table1"/>
  </cacheSource>
  <cacheFields count="16">
    <cacheField name="Date" numFmtId="0">
      <sharedItems/>
    </cacheField>
    <cacheField name="Open" numFmtId="0">
      <sharedItems containsSemiMixedTypes="0" containsString="0" containsNumber="1" minValue="14.462999999999999" maxValue="475.9"/>
    </cacheField>
    <cacheField name="High" numFmtId="0">
      <sharedItems containsSemiMixedTypes="0" containsString="0" containsNumber="1" minValue="14.553000000000001" maxValue="488.54" count="4744">
        <n v="128.834"/>
        <n v="126.625"/>
        <n v="125.753"/>
        <n v="128.233"/>
        <n v="131.30600000000001"/>
        <n v="129.191"/>
        <n v="131.40299999999999"/>
        <n v="132.13999999999999"/>
        <n v="132.78899999999999"/>
        <n v="135.124"/>
        <n v="136.423"/>
        <n v="134.101"/>
        <n v="135.84200000000001"/>
        <n v="141.05199999999999"/>
        <n v="140.90100000000001"/>
        <n v="140.18199999999999"/>
        <n v="141.97300000000001"/>
        <n v="144.905"/>
        <n v="143.25299999999999"/>
        <n v="142.06100000000001"/>
        <n v="144.29599999999999"/>
        <n v="148.79499999999999"/>
        <n v="154.89699999999999"/>
        <n v="150.684"/>
        <n v="152.779"/>
        <n v="152.13999999999999"/>
        <n v="151.893"/>
        <n v="149.17699999999999"/>
        <n v="152.05699999999999"/>
        <n v="151.57499999999999"/>
        <n v="153.279"/>
        <n v="154.09700000000001"/>
        <n v="150.816"/>
        <n v="149.137"/>
        <n v="147.81"/>
        <n v="148.191"/>
        <n v="145.089"/>
        <n v="147.04"/>
        <n v="146.94999999999999"/>
        <n v="145.126"/>
        <n v="144.61500000000001"/>
        <n v="148.952"/>
        <n v="154.07"/>
        <n v="151.82900000000001"/>
        <n v="151.27799999999999"/>
        <n v="152.32900000000001"/>
        <n v="148.786"/>
        <n v="150.953"/>
        <n v="151.209"/>
        <n v="151.05600000000001"/>
        <n v="154.22499999999999"/>
        <n v="154.5"/>
        <n v="155.565"/>
        <n v="157.12299999999999"/>
        <n v="159.82499999999999"/>
        <n v="159.24199999999999"/>
        <n v="158.05000000000001"/>
        <n v="158.47399999999999"/>
        <n v="156.226"/>
        <n v="158.75"/>
        <n v="160.15"/>
        <n v="162.64400000000001"/>
        <n v="163.916"/>
        <n v="164.45599999999999"/>
        <n v="162.69300000000001"/>
        <n v="162.60400000000001"/>
        <n v="159.71600000000001"/>
        <n v="160.041"/>
        <n v="159.74600000000001"/>
        <n v="163.43299999999999"/>
        <n v="163.946"/>
        <n v="163.029"/>
        <n v="165.02"/>
        <n v="165.76"/>
        <n v="165.47200000000001"/>
        <n v="164.07499999999999"/>
        <n v="163.23500000000001"/>
        <n v="163.93100000000001"/>
        <n v="162.91999999999999"/>
        <n v="166.15299999999999"/>
        <n v="167.42400000000001"/>
        <n v="168.01499999999999"/>
        <n v="167.917"/>
        <n v="168.48"/>
        <n v="164.654"/>
        <n v="171.81"/>
        <n v="171.36799999999999"/>
        <n v="171.06100000000001"/>
        <n v="171.54599999999999"/>
        <n v="172.09700000000001"/>
        <n v="171.81100000000001"/>
        <n v="170.97200000000001"/>
        <n v="170.90199999999999"/>
        <n v="170.691"/>
        <n v="172.976"/>
        <n v="174.11099999999999"/>
        <n v="172.453"/>
        <n v="171.14099999999999"/>
        <n v="170.191"/>
        <n v="171.64699999999999"/>
        <n v="173.501"/>
        <n v="176.68"/>
        <n v="177.03299999999999"/>
        <n v="177.79300000000001"/>
        <n v="179.43299999999999"/>
        <n v="182.56100000000001"/>
        <n v="178.87100000000001"/>
        <n v="178.50399999999999"/>
        <n v="179.874"/>
        <n v="181.51499999999999"/>
        <n v="181.77199999999999"/>
        <n v="182.00899999999999"/>
        <n v="184.11"/>
        <n v="184.57400000000001"/>
        <n v="183.69499999999999"/>
        <n v="183.01499999999999"/>
        <n v="184.62899999999999"/>
        <n v="185.137"/>
        <n v="185.62100000000001"/>
        <n v="185.95699999999999"/>
        <n v="187.44800000000001"/>
        <n v="187.614"/>
        <n v="191.96799999999999"/>
        <n v="191.375"/>
        <n v="190.48699999999999"/>
        <n v="189.54"/>
        <n v="190.18100000000001"/>
        <n v="187.53800000000001"/>
        <n v="186.85499999999999"/>
        <n v="189.22300000000001"/>
        <n v="188.72"/>
        <n v="188.71"/>
        <n v="191.81200000000001"/>
        <n v="191.822"/>
        <n v="195.672"/>
        <n v="193.93199999999999"/>
        <n v="192.45099999999999"/>
        <n v="192.392"/>
        <n v="191.93"/>
        <n v="193.11199999999999"/>
        <n v="194.65299999999999"/>
        <n v="194.08699999999999"/>
        <n v="193.952"/>
        <n v="194.191"/>
        <n v="192.661"/>
        <n v="189.88399999999999"/>
        <n v="184.96100000000001"/>
        <n v="180.76300000000001"/>
        <n v="177.94200000000001"/>
        <n v="178.59299999999999"/>
        <n v="178.41499999999999"/>
        <n v="176.55199999999999"/>
        <n v="177.60900000000001"/>
        <n v="177.40199999999999"/>
        <n v="176.47200000000001"/>
        <n v="175.44900000000001"/>
        <n v="173.071"/>
        <n v="174.089"/>
        <n v="175.62200000000001"/>
        <n v="179.447"/>
        <n v="179.005"/>
        <n v="177.07400000000001"/>
        <n v="178.49799999999999"/>
        <n v="182.75899999999999"/>
        <n v="185.67500000000001"/>
        <n v="186.929"/>
        <n v="187.71899999999999"/>
        <n v="187.77799999999999"/>
        <n v="186.66399999999999"/>
        <n v="176.14500000000001"/>
        <n v="178.15"/>
        <n v="178.21100000000001"/>
        <n v="178.04400000000001"/>
        <n v="175.245"/>
        <n v="174.059"/>
        <n v="174.452"/>
        <n v="177.30199999999999"/>
        <n v="177.54900000000001"/>
        <n v="177.614"/>
        <n v="174.25899999999999"/>
        <n v="175.02799999999999"/>
        <n v="174.92"/>
        <n v="173.16900000000001"/>
        <n v="171.036"/>
        <n v="170.03800000000001"/>
        <n v="171.065"/>
        <n v="172.28100000000001"/>
        <n v="171.61699999999999"/>
        <n v="172.19300000000001"/>
        <n v="173.41800000000001"/>
        <n v="175.928"/>
        <n v="176.97499999999999"/>
        <n v="177.63800000000001"/>
        <n v="177.767"/>
        <n v="180.22800000000001"/>
        <n v="179.822"/>
        <n v="177"/>
        <n v="176.35300000000001"/>
        <n v="175.518"/>
        <n v="175.78100000000001"/>
        <n v="173.38900000000001"/>
        <n v="171.995"/>
        <n v="171.65600000000001"/>
        <n v="171.05500000000001"/>
        <n v="169.392"/>
        <n v="167.00299999999999"/>
        <n v="169.18799999999999"/>
        <n v="168.91900000000001"/>
        <n v="172.21100000000001"/>
        <n v="175.721"/>
        <n v="174.77"/>
        <n v="177.352"/>
        <n v="180.328"/>
        <n v="181.32499999999999"/>
        <n v="181.988"/>
        <n v="184.64699999999999"/>
        <n v="184.11699999999999"/>
        <n v="186.17500000000001"/>
        <n v="187.55199999999999"/>
        <n v="188.99700000000001"/>
        <n v="188.422"/>
        <n v="189.93100000000001"/>
        <n v="189.55099999999999"/>
        <n v="190.947"/>
        <n v="188.93700000000001"/>
        <n v="188.709"/>
        <n v="189.11600000000001"/>
        <n v="190.11600000000001"/>
        <n v="188.364"/>
        <n v="189.59100000000001"/>
        <n v="188.096"/>
        <n v="192.40100000000001"/>
        <n v="192.75800000000001"/>
        <n v="192.995"/>
        <n v="193.97399999999999"/>
        <n v="191.5"/>
        <n v="192.71899999999999"/>
        <n v="195.965"/>
        <n v="197.56700000000001"/>
        <n v="196.36"/>
        <n v="194.608"/>
        <n v="194.92599999999999"/>
        <n v="195.649"/>
        <n v="195.053"/>
        <n v="193.40100000000001"/>
        <n v="191.89699999999999"/>
        <n v="191.51"/>
        <n v="192.66"/>
        <n v="186.50299999999999"/>
        <n v="183.96899999999999"/>
        <n v="181.20500000000001"/>
        <n v="180.88"/>
        <n v="183.691"/>
        <n v="183.24799999999999"/>
        <n v="184.482"/>
        <n v="185.126"/>
        <n v="184.821"/>
        <n v="182.36600000000001"/>
        <n v="181.05"/>
        <n v="187.19499999999999"/>
        <n v="189.976"/>
        <n v="193.322"/>
        <n v="193.738"/>
        <n v="194.36"/>
        <n v="194.24799999999999"/>
        <n v="190.22399999999999"/>
        <n v="189.828"/>
        <n v="185.17099999999999"/>
        <n v="185.02799999999999"/>
        <n v="185.404"/>
        <n v="187.30500000000001"/>
        <n v="187.36500000000001"/>
        <n v="189.08699999999999"/>
        <n v="187.58500000000001"/>
        <n v="188.27699999999999"/>
        <n v="186.96799999999999"/>
        <n v="184.53"/>
        <n v="183.858"/>
        <n v="182.827"/>
        <n v="183.184"/>
        <n v="180.78399999999999"/>
        <n v="181.24"/>
        <n v="183.286"/>
        <n v="183.37"/>
        <n v="181.11199999999999"/>
        <n v="182.26300000000001"/>
        <n v="181.46899999999999"/>
        <n v="180.923"/>
        <n v="178.90199999999999"/>
        <n v="175.304"/>
        <n v="170.488"/>
        <n v="169.69499999999999"/>
        <n v="169.191"/>
        <n v="172.13399999999999"/>
        <n v="172.80799999999999"/>
        <n v="172.46100000000001"/>
        <n v="171.62100000000001"/>
        <n v="172.73599999999999"/>
        <n v="171.06299999999999"/>
        <n v="176.107"/>
        <n v="175.012"/>
        <n v="177.05799999999999"/>
        <n v="175.88900000000001"/>
        <n v="171.49"/>
        <n v="170.39"/>
        <n v="169.874"/>
        <n v="172.035"/>
        <n v="170.67699999999999"/>
        <n v="169.70500000000001"/>
        <n v="167.81200000000001"/>
        <n v="169.142"/>
        <n v="170.37100000000001"/>
        <n v="168.85300000000001"/>
        <n v="167.67400000000001"/>
        <n v="168.54599999999999"/>
        <n v="167.565"/>
        <n v="173.876"/>
        <n v="176.751"/>
        <n v="175.03700000000001"/>
        <n v="172.19399999999999"/>
        <n v="169.11199999999999"/>
        <n v="167.119"/>
        <n v="164.9"/>
        <n v="165.75200000000001"/>
        <n v="165.54300000000001"/>
        <n v="167.773"/>
        <n v="169.072"/>
        <n v="169.79499999999999"/>
        <n v="174.44399999999999"/>
        <n v="173.41300000000001"/>
        <n v="171.148"/>
        <n v="171.851"/>
        <n v="185.31299999999999"/>
        <n v="182.53800000000001"/>
        <n v="183.23400000000001"/>
        <n v="181.41900000000001"/>
        <n v="182.995"/>
        <n v="183.66900000000001"/>
        <n v="185.66499999999999"/>
        <n v="189.18700000000001"/>
        <n v="189.62899999999999"/>
        <n v="189.346"/>
        <n v="190.446"/>
        <n v="191.25"/>
        <n v="191.34200000000001"/>
        <n v="189.53399999999999"/>
        <n v="189.11699999999999"/>
        <n v="191.51900000000001"/>
        <n v="190.77099999999999"/>
        <n v="190.70500000000001"/>
        <n v="191.09299999999999"/>
        <n v="193.49299999999999"/>
        <n v="193.822"/>
        <n v="195.38800000000001"/>
        <n v="194.99299999999999"/>
        <n v="195.428"/>
        <n v="195.785"/>
        <n v="205.571"/>
        <n v="218.511"/>
        <n v="215.08500000000001"/>
        <n v="213.518"/>
        <n v="217.27"/>
        <n v="216.95099999999999"/>
        <n v="212.595"/>
        <n v="210.26300000000001"/>
        <n v="211.06700000000001"/>
        <n v="209.75700000000001"/>
        <n v="213.21199999999999"/>
        <n v="214.084"/>
        <n v="214.411"/>
        <n v="215.84200000000001"/>
        <n v="218.68799999999999"/>
        <n v="219.85"/>
        <n v="224.71100000000001"/>
        <n v="226.102"/>
        <n v="227.64"/>
        <n v="231.29300000000001"/>
        <n v="230.60599999999999"/>
        <n v="230.85400000000001"/>
        <n v="235.41"/>
        <n v="234.458"/>
        <n v="229.68299999999999"/>
        <n v="228.67099999999999"/>
        <n v="225.059"/>
        <n v="226.03200000000001"/>
        <n v="225.19800000000001"/>
        <n v="223.07499999999999"/>
        <n v="219.15600000000001"/>
        <n v="217.80500000000001"/>
        <n v="217.61699999999999"/>
        <n v="218.63300000000001"/>
        <n v="222.101"/>
        <n v="222.75800000000001"/>
        <n v="223.869"/>
        <n v="211.86099999999999"/>
        <n v="208.37799999999999"/>
        <n v="212"/>
        <n v="212.55500000000001"/>
        <n v="215.11500000000001"/>
        <n v="218.077"/>
        <n v="220.44200000000001"/>
        <n v="221.57499999999999"/>
        <n v="223.88"/>
        <n v="225.34700000000001"/>
        <n v="224.51599999999999"/>
        <n v="225.68700000000001"/>
        <n v="226.49100000000001"/>
        <n v="226.85"/>
        <n v="226.73099999999999"/>
        <n v="225.797"/>
        <n v="227.35499999999999"/>
        <n v="228.35900000000001"/>
        <n v="231.399"/>
        <n v="228.89699999999999"/>
        <n v="227.505"/>
        <n v="220.33199999999999"/>
        <n v="224.00800000000001"/>
        <n v="223.77099999999999"/>
        <n v="219.82599999999999"/>
        <n v="220.036"/>
        <n v="221.63399999999999"/>
        <n v="222.09100000000001"/>
        <n v="222.578"/>
        <n v="215.803"/>
        <n v="215.48500000000001"/>
        <n v="221.256"/>
        <n v="228.31899999999999"/>
        <n v="231.56800000000001"/>
        <n v="227.953"/>
        <n v="227.85300000000001"/>
        <n v="225.80699999999999"/>
        <n v="227.00899999999999"/>
        <n v="228.023"/>
        <n v="231.47900000000001"/>
        <n v="228.15299999999999"/>
        <n v="225.887"/>
        <n v="225.32499999999999"/>
        <n v="226.511"/>
        <n v="224.21600000000001"/>
        <n v="224.506"/>
        <n v="228.251"/>
        <n v="228.00299999999999"/>
        <n v="227.91300000000001"/>
        <n v="230.21799999999999"/>
        <n v="235.94"/>
        <n v="230.60499999999999"/>
        <n v="232.32400000000001"/>
        <n v="234.637"/>
        <n v="235.304"/>
        <n v="234.67699999999999"/>
        <n v="233.60900000000001"/>
        <n v="229.31200000000001"/>
        <n v="231.69800000000001"/>
        <n v="233.19800000000001"/>
        <n v="232.79499999999999"/>
        <n v="231.946"/>
        <n v="228.32900000000001"/>
        <n v="221.33600000000001"/>
        <n v="222.488"/>
        <n v="224.59100000000001"/>
        <n v="226.38800000000001"/>
        <n v="227.417"/>
        <n v="224.47399999999999"/>
        <n v="224.364"/>
        <n v="225.41800000000001"/>
        <n v="227.62700000000001"/>
        <n v="228.49100000000001"/>
        <n v="228.91"/>
        <n v="228.68"/>
        <n v="228.905"/>
        <n v="229.46600000000001"/>
        <n v="231.97800000000001"/>
        <n v="234.291"/>
        <n v="234.41"/>
        <n v="236.51900000000001"/>
        <n v="239.483"/>
        <n v="241.44"/>
        <n v="242.78399999999999"/>
        <n v="243.21"/>
        <n v="243.3"/>
        <n v="245.89599999999999"/>
        <n v="246.86"/>
        <n v="249.43799999999999"/>
        <n v="247.39"/>
        <n v="247.935"/>
        <n v="250.01400000000001"/>
        <n v="252.45099999999999"/>
        <n v="252.898"/>
        <n v="250.63"/>
        <n v="253.61500000000001"/>
        <n v="254.261"/>
        <n v="256.80700000000002"/>
        <n v="258.68700000000001"/>
        <n v="257.29399999999998"/>
        <n v="252.12200000000001"/>
        <n v="251.905"/>
        <n v="86.96"/>
        <n v="86.98"/>
        <n v="85.42"/>
        <n v="86.4"/>
        <n v="89.48"/>
        <n v="90.185000000000002"/>
        <n v="95.26"/>
        <n v="97.19"/>
        <n v="98.37"/>
        <n v="98.89"/>
        <n v="99.32"/>
        <n v="95.44"/>
        <n v="97.353999999999999"/>
        <n v="97.78"/>
        <n v="98.09"/>
        <n v="97.24"/>
        <n v="99.49"/>
        <n v="103.485"/>
        <n v="101.74"/>
        <n v="103.348"/>
        <n v="106.24"/>
        <n v="114"/>
        <n v="108.78"/>
        <n v="103.94799999999999"/>
        <n v="102.41"/>
        <n v="102.67"/>
        <n v="101.78"/>
        <n v="98.816000000000003"/>
        <n v="99.68"/>
        <n v="100.92100000000001"/>
        <n v="101.17"/>
        <n v="100.63"/>
        <n v="97.94"/>
        <n v="95.605000000000004"/>
        <n v="97.01"/>
        <n v="96.43"/>
        <n v="94.14"/>
        <n v="94.78"/>
        <n v="94.69"/>
        <n v="94.68"/>
        <n v="92.23"/>
        <n v="94.94"/>
        <n v="96.545000000000002"/>
        <n v="95.09"/>
        <n v="94.165000000000006"/>
        <n v="96.21"/>
        <n v="93.57"/>
        <n v="94.02"/>
        <n v="95.07"/>
        <n v="96.67"/>
        <n v="100.99"/>
        <n v="100.66"/>
        <n v="98.48"/>
        <n v="100.845"/>
        <n v="102.1"/>
        <n v="101.06"/>
        <n v="98.3"/>
        <n v="99.34"/>
        <n v="98.44"/>
        <n v="100.422"/>
        <n v="103.04"/>
        <n v="103.49"/>
        <n v="103.29"/>
        <n v="104.2"/>
        <n v="103.91"/>
        <n v="102.38200000000001"/>
        <n v="102.2"/>
        <n v="101"/>
        <n v="100.51"/>
        <n v="102.57"/>
        <n v="103.20099999999999"/>
        <n v="103.73"/>
        <n v="105.12"/>
        <n v="105.25"/>
        <n v="108.15"/>
        <n v="109.23"/>
        <n v="105.45"/>
        <n v="106.62"/>
        <n v="110.86"/>
        <n v="109.48"/>
        <n v="105.23"/>
        <n v="103.9"/>
        <n v="105.96"/>
        <n v="105.39"/>
        <n v="105.76"/>
        <n v="106.095"/>
        <n v="106.79"/>
        <n v="110.67"/>
        <n v="113.28"/>
        <n v="112.64"/>
        <n v="112.29"/>
        <n v="114.79"/>
        <n v="115.83"/>
        <n v="118.6"/>
        <n v="118.31"/>
        <n v="116.77"/>
        <n v="117.14"/>
        <n v="117.34"/>
        <n v="116.87"/>
        <n v="121.5"/>
        <n v="122.92"/>
        <n v="122.04"/>
        <n v="123.49"/>
        <n v="126.39"/>
        <n v="125.8"/>
        <n v="127.4"/>
        <n v="127.36499999999999"/>
        <n v="125.625"/>
        <n v="126.78"/>
        <n v="128.41"/>
        <n v="126.95"/>
        <n v="127.69"/>
        <n v="127.9"/>
        <n v="127.25"/>
        <n v="126.73"/>
        <n v="130.33000000000001"/>
        <n v="130.84"/>
        <n v="131.49"/>
        <n v="130.08500000000001"/>
        <n v="131.47999999999999"/>
        <n v="129.26"/>
        <n v="131.245"/>
        <n v="131.85"/>
        <n v="131.4"/>
        <n v="128.72999999999999"/>
        <n v="130.97"/>
        <n v="129.28"/>
        <n v="129.77000000000001"/>
        <n v="131.26"/>
        <n v="134.66999999999999"/>
        <n v="136.65"/>
        <n v="135.62"/>
        <n v="133.86000000000001"/>
        <n v="135.99"/>
        <n v="134.792"/>
        <n v="131.37"/>
        <n v="131.66"/>
        <n v="129.58000000000001"/>
        <n v="129.08000000000001"/>
        <n v="132.63"/>
        <n v="133.01"/>
        <n v="133.87"/>
        <n v="133.69"/>
        <n v="130.22999999999999"/>
        <n v="129.84"/>
        <n v="143.63"/>
        <n v="142.54"/>
        <n v="140.84"/>
        <n v="140.32"/>
        <n v="140.41"/>
        <n v="139.33000000000001"/>
        <n v="140.59"/>
        <n v="141.27799999999999"/>
        <n v="137.27000000000001"/>
        <n v="136.08500000000001"/>
        <n v="134.065"/>
        <n v="135.185"/>
        <n v="135.65"/>
        <n v="135.94999999999999"/>
        <n v="136.77500000000001"/>
        <n v="133.94999999999999"/>
        <n v="135.13999999999999"/>
        <n v="135.68"/>
        <n v="138.78800000000001"/>
        <n v="139.96"/>
        <n v="137.80000000000001"/>
        <n v="137.44999999999999"/>
        <n v="138.03"/>
        <n v="138.852"/>
        <n v="143.62"/>
        <n v="143"/>
        <n v="144.97999999999999"/>
        <n v="145.86000000000001"/>
        <n v="143.57"/>
        <n v="141.75"/>
        <n v="138.84"/>
        <n v="139.37"/>
        <n v="132.24"/>
        <n v="132.03"/>
        <n v="131.78"/>
        <n v="130.38999999999999"/>
        <n v="127.48"/>
        <n v="126.58"/>
        <n v="129.15"/>
        <n v="130.47"/>
        <n v="128.52000000000001"/>
        <n v="127.36"/>
        <n v="128.44999999999999"/>
        <n v="128.79"/>
        <n v="130.74"/>
        <n v="132.05000000000001"/>
        <n v="134.47999999999999"/>
        <n v="133.315"/>
        <n v="133.07"/>
        <n v="132.58000000000001"/>
        <n v="130.66999999999999"/>
        <n v="128.16999999999999"/>
        <n v="127.88"/>
        <n v="128.80000000000001"/>
        <n v="126.34"/>
        <n v="121.639"/>
        <n v="130.02000000000001"/>
        <n v="133"/>
        <n v="133.57"/>
        <n v="137.35"/>
        <n v="138.81"/>
        <n v="139.49"/>
        <n v="140.72999999999999"/>
        <n v="143.37"/>
        <n v="143.12"/>
        <n v="142.65"/>
        <n v="143.65"/>
        <n v="143.22999999999999"/>
        <n v="147.26"/>
        <n v="147.29"/>
        <n v="143.32"/>
        <n v="145.22999999999999"/>
        <n v="146.63"/>
        <n v="144.05000000000001"/>
        <n v="147.74"/>
        <n v="147.19999999999999"/>
        <n v="149.26"/>
        <n v="147.6"/>
        <n v="148.54"/>
        <n v="146.93"/>
        <n v="147.245"/>
        <n v="145.35"/>
        <n v="148.57"/>
        <n v="147.85"/>
        <n v="147.91999999999999"/>
        <n v="147.84"/>
        <n v="146.19"/>
        <n v="147.5"/>
        <n v="149.46"/>
        <n v="150.54"/>
        <n v="150.57"/>
        <n v="154.85499999999999"/>
        <n v="155.12"/>
        <n v="155.63"/>
        <n v="153.97"/>
        <n v="154.35"/>
        <n v="153.97499999999999"/>
        <n v="154.78"/>
        <n v="154.08000000000001"/>
        <n v="153.88999999999999"/>
        <n v="152.38"/>
        <n v="151.05000000000001"/>
        <n v="147.38"/>
        <n v="146.59"/>
        <n v="149.4"/>
        <n v="151.71"/>
        <n v="154.41999999999999"/>
        <n v="157.16999999999999"/>
        <n v="156.19999999999999"/>
        <n v="154.99"/>
        <n v="152.15"/>
        <n v="153.77500000000001"/>
        <n v="155.76"/>
        <n v="157.05000000000001"/>
        <n v="156.21"/>
        <n v="158.51"/>
        <n v="158.505"/>
        <n v="160.72"/>
        <n v="161.29"/>
        <n v="161.72999999999999"/>
        <n v="159.01"/>
        <n v="159.76"/>
        <n v="172.5"/>
        <n v="170.55"/>
        <n v="170.71"/>
        <n v="170.88"/>
        <n v="171.43"/>
        <n v="175"/>
        <n v="175.39"/>
        <n v="170.95"/>
        <n v="171.21"/>
        <n v="171.17"/>
        <n v="170.42"/>
        <n v="168.71"/>
        <n v="170.23"/>
        <n v="174.8"/>
        <n v="175.75"/>
        <n v="176.37"/>
        <n v="174.62"/>
        <n v="174.05"/>
        <n v="177.22"/>
        <n v="178.72499999999999"/>
        <n v="180.14"/>
        <n v="176.93"/>
        <n v="176.46"/>
        <n v="177.99"/>
        <n v="178.785"/>
        <n v="174.47"/>
        <n v="176.76"/>
        <n v="177.62"/>
        <n v="179.53"/>
        <n v="177.93"/>
        <n v="176.69"/>
        <n v="176.09"/>
        <n v="178.53"/>
        <n v="181.41499999999999"/>
        <n v="179.255"/>
        <n v="180.99"/>
        <n v="180.45"/>
        <n v="180"/>
        <n v="181.7"/>
        <n v="183"/>
        <n v="180.79"/>
        <n v="182.87"/>
        <n v="185.1"/>
        <n v="186.27"/>
        <n v="187.29"/>
        <n v="187.34"/>
        <n v="189.77"/>
        <n v="188.38"/>
        <n v="188.69"/>
        <n v="184.83"/>
        <n v="184.57"/>
        <n v="182.39"/>
        <n v="179"/>
        <n v="178.87"/>
        <n v="179.93"/>
        <n v="180.32300000000001"/>
        <n v="173.92"/>
        <n v="180.82"/>
        <n v="183.53"/>
        <n v="182.99"/>
        <n v="185.15"/>
        <n v="187.87"/>
        <n v="188.745"/>
        <n v="189.94"/>
        <n v="188.43"/>
        <n v="191.7"/>
        <n v="189.892"/>
        <n v="188.31"/>
        <n v="187.72"/>
        <n v="186.71899999999999"/>
        <n v="187.31"/>
        <n v="185.3"/>
        <n v="186.66499999999999"/>
        <n v="183.26"/>
        <n v="185.22"/>
        <n v="184.76"/>
        <n v="182.435"/>
        <n v="182.24"/>
        <n v="184.08"/>
        <n v="181.34"/>
        <n v="179.21"/>
        <n v="178.7"/>
        <n v="179.82"/>
        <n v="181.5"/>
        <n v="185"/>
        <n v="186.28899999999999"/>
        <n v="187.23"/>
        <n v="187.77"/>
        <n v="188.35"/>
        <n v="187.67"/>
        <n v="183.72"/>
        <n v="184.29"/>
        <n v="186.51"/>
        <n v="189.27500000000001"/>
        <n v="191"/>
        <n v="188.84"/>
        <n v="194.8"/>
        <n v="199.84"/>
        <n v="198.85"/>
        <n v="198.29599999999999"/>
        <n v="200.43"/>
        <n v="200.029"/>
        <n v="200.55"/>
        <n v="201.2"/>
        <n v="200.57"/>
        <n v="200.11"/>
        <n v="200.27"/>
        <n v="196.47"/>
        <n v="196.19"/>
        <n v="196.62"/>
        <n v="191.58"/>
        <n v="189.68"/>
        <n v="184.93"/>
        <n v="185.06"/>
        <n v="189.39"/>
        <n v="185.45"/>
        <n v="183.89599999999999"/>
        <n v="183.19"/>
        <n v="184.75"/>
        <n v="185.86"/>
        <n v="187.94"/>
        <n v="190.6"/>
        <n v="168.77"/>
        <n v="162.96"/>
        <n v="165.08"/>
        <n v="167.58"/>
        <n v="166.69"/>
        <n v="168.55"/>
        <n v="171.04"/>
        <n v="172.28"/>
        <n v="177.91"/>
        <n v="178.34"/>
        <n v="178.3"/>
        <n v="179.01"/>
        <n v="182.38499999999999"/>
        <n v="181.47"/>
        <n v="178.97"/>
        <n v="177.46799999999999"/>
        <n v="174.89"/>
        <n v="173.69"/>
        <n v="174.29"/>
        <n v="178.9"/>
        <n v="178.26"/>
        <n v="175.98"/>
        <n v="179.875"/>
        <n v="178.38"/>
        <n v="175.85"/>
        <n v="180.5"/>
        <n v="184.99"/>
        <n v="187.41"/>
        <n v="188.5"/>
        <n v="185.81"/>
        <n v="189.45"/>
        <n v="188.8"/>
        <n v="190.99"/>
        <n v="191.84"/>
        <n v="194.45"/>
        <n v="195.37"/>
        <n v="193.95"/>
        <n v="194.53"/>
        <n v="190.9"/>
        <n v="188.49"/>
        <n v="186.19"/>
        <n v="186.6"/>
        <n v="183.44"/>
        <n v="187.6"/>
        <n v="183.6"/>
        <n v="183.09"/>
        <n v="185.845"/>
        <n v="188.13399999999999"/>
        <n v="189.928"/>
        <n v="189.83"/>
        <n v="188.41"/>
        <n v="187.78"/>
        <n v="188.94"/>
        <n v="190.74"/>
        <n v="189.46"/>
        <n v="191.52"/>
        <n v="189.16"/>
        <n v="187.11"/>
        <n v="190.45"/>
        <n v="190.21"/>
        <n v="191.46"/>
        <n v="195.61"/>
        <n v="200.5"/>
        <n v="197.33"/>
        <n v="199.82"/>
        <n v="207.55"/>
        <n v="212.25"/>
        <n v="209.96299999999999"/>
        <n v="209.65"/>
        <n v="209.54"/>
        <n v="215.09"/>
        <n v="215.9"/>
        <n v="207.34"/>
        <n v="204.67"/>
        <n v="205.3"/>
        <n v="203.13"/>
        <n v="203.49"/>
        <n v="199.26"/>
        <n v="201.95"/>
        <n v="208"/>
        <n v="207.64"/>
        <n v="208.2"/>
        <n v="212.99"/>
        <n v="214.02"/>
        <n v="220"/>
        <n v="222.15"/>
        <n v="227.15"/>
        <n v="230.08"/>
        <n v="229.06"/>
        <n v="231.2"/>
        <n v="231.09"/>
        <n v="230.2"/>
        <n v="233"/>
        <n v="232.73"/>
        <n v="231.4"/>
        <n v="226.09"/>
        <n v="226.21"/>
        <n v="226.88"/>
        <n v="229.14"/>
        <n v="228.5"/>
        <n v="226.03"/>
        <n v="222.99700000000001"/>
        <n v="223.23"/>
        <n v="90.721000000000004"/>
        <n v="90.322999999999993"/>
        <n v="87.254000000000005"/>
        <n v="87.373000000000005"/>
        <n v="89.724999999999994"/>
        <n v="88.35"/>
        <n v="91.269000000000005"/>
        <n v="91.537999999999997"/>
        <n v="91.856999999999999"/>
        <n v="91.917000000000002"/>
        <n v="92.465000000000003"/>
        <n v="93.266999999999996"/>
        <n v="97.944999999999993"/>
        <n v="99.679000000000002"/>
        <n v="99.25"/>
        <n v="95.814999999999998"/>
        <n v="97.218000000000004"/>
        <n v="99.956999999999994"/>
        <n v="97.935000000000002"/>
        <n v="98.522999999999996"/>
        <n v="100.824"/>
        <n v="107.46"/>
        <n v="107.42"/>
        <n v="103.983"/>
        <n v="107.789"/>
        <n v="102.767"/>
        <n v="99.668999999999997"/>
        <n v="96.4"/>
        <n v="94.855999999999995"/>
        <n v="94.501999999999995"/>
        <n v="96.769000000000005"/>
        <n v="97.326999999999998"/>
        <n v="95.215000000000003"/>
        <n v="92.763999999999996"/>
        <n v="91.777000000000001"/>
        <n v="91.608000000000004"/>
        <n v="89.564999999999998"/>
        <n v="89.834000000000003"/>
        <n v="90.9"/>
        <n v="90.700999999999993"/>
        <n v="91.941999999999993"/>
        <n v="93.391000000000005"/>
        <n v="95.623000000000005"/>
        <n v="95.325000000000003"/>
        <n v="95.608000000000004"/>
        <n v="95.185000000000002"/>
        <n v="92.454999999999998"/>
        <n v="92.236000000000004"/>
        <n v="94.019000000000005"/>
        <n v="96.58"/>
        <n v="102.464"/>
        <n v="101.38200000000001"/>
        <n v="104.721"/>
        <n v="106.205"/>
        <n v="105.916"/>
        <n v="105.10899999999999"/>
        <n v="104.381"/>
        <n v="102.08"/>
        <n v="102.12"/>
        <n v="100.789"/>
        <n v="103.514"/>
        <n v="104.15300000000001"/>
        <n v="105.19799999999999"/>
        <n v="105.717"/>
        <n v="108.77500000000001"/>
        <n v="107.202"/>
        <n v="106.345"/>
        <n v="106.36499999999999"/>
        <n v="107.102"/>
        <n v="108.547"/>
        <n v="105.776"/>
        <n v="106.155"/>
        <n v="104.601"/>
        <n v="105.866"/>
        <n v="105.617"/>
        <n v="106.245"/>
        <n v="106.30500000000001"/>
        <n v="105.96599999999999"/>
        <n v="107.979"/>
        <n v="106.962"/>
        <n v="107.6"/>
        <n v="106.813"/>
        <n v="105.218"/>
        <n v="105.498"/>
        <n v="107.57"/>
        <n v="109.752"/>
        <n v="112.533"/>
        <n v="117.494"/>
        <n v="117.604"/>
        <n v="118.05200000000001"/>
        <n v="120.31399999999999"/>
        <n v="121.23099999999999"/>
        <n v="122.86499999999999"/>
        <n v="125.515"/>
        <n v="125.974"/>
        <n v="124.175"/>
        <n v="121.47"/>
        <n v="124.867"/>
        <n v="124.807"/>
        <n v="125.20699999999999"/>
        <n v="123.61199999999999"/>
        <n v="123.97"/>
        <n v="125.694"/>
        <n v="126.96899999999999"/>
        <n v="127.827"/>
        <n v="128.57400000000001"/>
        <n v="122.78"/>
        <n v="123.30800000000001"/>
        <n v="123.602"/>
        <n v="124.708"/>
        <n v="125.00700000000001"/>
        <n v="125.652"/>
        <n v="124.12"/>
        <n v="122.217"/>
        <n v="122.795"/>
        <n v="122.34399999999999"/>
        <n v="121.56"/>
        <n v="118.649"/>
        <n v="119.956"/>
        <n v="119.626"/>
        <n v="120.643"/>
        <n v="119.756"/>
        <n v="122.167"/>
        <n v="119.866"/>
        <n v="120.613"/>
        <n v="117.877"/>
        <n v="117.285"/>
        <n v="119.896"/>
        <n v="124.379"/>
        <n v="126.31699999999999"/>
        <n v="126.64100000000001"/>
        <n v="124.23"/>
        <n v="124.727"/>
        <n v="123.642"/>
        <n v="120.553"/>
        <n v="122.556"/>
        <n v="122.7"/>
        <n v="130.50700000000001"/>
        <n v="132.75899999999999"/>
        <n v="133.25700000000001"/>
        <n v="133.04300000000001"/>
        <n v="132.15100000000001"/>
        <n v="129.62"/>
        <n v="128.91800000000001"/>
        <n v="131.035"/>
        <n v="131.13499999999999"/>
        <n v="131.56299999999999"/>
        <n v="131.57300000000001"/>
        <n v="129.46100000000001"/>
        <n v="130.89500000000001"/>
        <n v="130.94499999999999"/>
        <n v="129.81100000000001"/>
        <n v="131.51300000000001"/>
        <n v="128.78299999999999"/>
        <n v="128.26"/>
        <n v="129.80799999999999"/>
        <n v="132.928"/>
        <n v="133.76499999999999"/>
        <n v="130.28800000000001"/>
        <n v="132.06200000000001"/>
        <n v="136.07599999999999"/>
        <n v="135.78299999999999"/>
        <n v="137.501"/>
        <n v="136.958"/>
        <n v="135.92699999999999"/>
        <n v="136.036"/>
        <n v="135.09100000000001"/>
        <n v="136.166"/>
        <n v="136.983"/>
        <n v="136.376"/>
        <n v="136.40600000000001"/>
        <n v="138.19399999999999"/>
        <n v="138.02000000000001"/>
        <n v="138.65700000000001"/>
        <n v="137.91"/>
        <n v="137.58099999999999"/>
        <n v="131.75200000000001"/>
        <n v="131.548"/>
        <n v="130.696"/>
        <n v="129.893"/>
        <n v="130.423"/>
        <n v="132.81899999999999"/>
        <n v="133.566"/>
        <n v="133.935"/>
        <n v="133.77500000000001"/>
        <n v="135.08099999999999"/>
        <n v="135.001"/>
        <n v="137.65600000000001"/>
        <n v="138.43799999999999"/>
        <n v="139.215"/>
        <n v="140.6"/>
        <n v="140.71"/>
        <n v="139.495"/>
        <n v="139.126"/>
        <n v="139.39500000000001"/>
        <n v="140.21199999999999"/>
        <n v="139.15600000000001"/>
        <n v="137.37299999999999"/>
        <n v="137.16300000000001"/>
        <n v="138.857"/>
        <n v="127.846"/>
        <n v="123.88"/>
        <n v="124.947"/>
        <n v="124.917"/>
        <n v="126.03400000000001"/>
        <n v="128.51400000000001"/>
        <n v="129.05799999999999"/>
        <n v="129.869"/>
        <n v="131.43299999999999"/>
        <n v="131.732"/>
        <n v="132.072"/>
        <n v="132.32"/>
        <n v="132.11099999999999"/>
        <n v="135.209"/>
        <n v="134.542"/>
        <n v="136.72399999999999"/>
        <n v="135.56899999999999"/>
        <n v="136.684"/>
        <n v="138.916"/>
        <n v="137.631"/>
        <n v="137.91999999999999"/>
        <n v="136.75399999999999"/>
        <n v="137.78800000000001"/>
        <n v="135.06100000000001"/>
        <n v="131.63300000000001"/>
        <n v="129.56100000000001"/>
        <n v="131.66300000000001"/>
        <n v="131.363"/>
        <n v="138.06"/>
        <n v="135.90700000000001"/>
        <n v="132.85400000000001"/>
        <n v="132.52000000000001"/>
        <n v="133.018"/>
        <n v="133.23699999999999"/>
        <n v="133.02799999999999"/>
        <n v="136.65199999999999"/>
        <n v="136.97300000000001"/>
        <n v="141.18299999999999"/>
        <n v="140.17699999999999"/>
        <n v="141.477"/>
        <n v="142.16399999999999"/>
        <n v="141.56700000000001"/>
        <n v="140.63"/>
        <n v="139.85300000000001"/>
        <n v="138.946"/>
        <n v="136.66"/>
        <n v="138.50800000000001"/>
        <n v="140.97399999999999"/>
        <n v="142.48400000000001"/>
        <n v="144.696"/>
        <n v="142.67699999999999"/>
        <n v="143.82900000000001"/>
        <n v="141.327"/>
        <n v="143.68899999999999"/>
        <n v="145.92099999999999"/>
        <n v="147.85499999999999"/>
        <n v="146.65"/>
        <n v="149.31399999999999"/>
        <n v="152.49700000000001"/>
        <n v="151.98400000000001"/>
        <n v="153.22399999999999"/>
        <n v="153.066"/>
        <n v="143.47999999999999"/>
        <n v="142.54400000000001"/>
        <n v="142.10499999999999"/>
        <n v="144.94399999999999"/>
        <n v="144.83500000000001"/>
        <n v="145.80099999999999"/>
        <n v="148.9"/>
        <n v="146.14099999999999"/>
        <n v="145.99100000000001"/>
        <n v="143.001"/>
        <n v="142.672"/>
        <n v="142.17400000000001"/>
        <n v="144.476"/>
        <n v="144.15700000000001"/>
        <n v="141.92500000000001"/>
        <n v="138.74700000000001"/>
        <n v="137.511"/>
        <n v="138.358"/>
        <n v="138.36799999999999"/>
        <n v="135.16900000000001"/>
        <n v="133.09700000000001"/>
        <n v="134.452"/>
        <n v="137.58600000000001"/>
        <n v="138.59299999999999"/>
        <n v="138.87200000000001"/>
        <n v="140.58000000000001"/>
        <n v="143.066"/>
        <n v="142.66200000000001"/>
        <n v="151.601"/>
        <n v="148.25399999999999"/>
        <n v="148.322"/>
        <n v="149.827"/>
        <n v="151.03200000000001"/>
        <n v="149.83199999999999"/>
        <n v="151.70500000000001"/>
        <n v="151.08699999999999"/>
        <n v="150.88300000000001"/>
        <n v="155.17699999999999"/>
        <n v="154.14099999999999"/>
        <n v="154.52000000000001"/>
        <n v="154.21100000000001"/>
        <n v="152.86600000000001"/>
        <n v="154.709"/>
        <n v="157.98699999999999"/>
        <n v="156.04400000000001"/>
        <n v="159.10400000000001"/>
        <n v="159.64400000000001"/>
        <n v="158.66399999999999"/>
        <n v="155.08799999999999"/>
        <n v="156.51300000000001"/>
        <n v="156.37299999999999"/>
        <n v="155.79499999999999"/>
        <n v="157.07"/>
        <n v="158.39599999999999"/>
        <n v="158.989"/>
        <n v="155.92500000000001"/>
        <n v="174.07900000000001"/>
        <n v="168.93799999999999"/>
        <n v="167.49199999999999"/>
        <n v="166.51599999999999"/>
        <n v="166.12799999999999"/>
        <n v="167.35300000000001"/>
        <n v="167.53200000000001"/>
        <n v="171.14"/>
        <n v="169.536"/>
        <n v="170.07300000000001"/>
        <n v="169.23599999999999"/>
        <n v="168.66900000000001"/>
        <n v="170.631"/>
        <n v="172.02600000000001"/>
        <n v="174.482"/>
        <n v="175.62899999999999"/>
        <n v="178.124"/>
        <n v="177.50700000000001"/>
        <n v="176.511"/>
        <n v="177.60599999999999"/>
        <n v="175.13399999999999"/>
        <n v="176.63"/>
        <n v="176.197"/>
        <n v="174.58699999999999"/>
        <n v="172.435"/>
        <n v="173.89500000000001"/>
        <n v="173.21700000000001"/>
        <n v="176.006"/>
        <n v="177.22800000000001"/>
        <n v="176.62299999999999"/>
        <n v="176.404"/>
        <n v="179.965"/>
        <n v="176.304"/>
        <n v="176.626"/>
        <n v="177.92"/>
        <n v="176.947"/>
        <n v="176.852"/>
        <n v="180.40299999999999"/>
        <n v="180.44300000000001"/>
        <n v="183.83500000000001"/>
        <n v="184.054"/>
        <n v="185.59"/>
        <n v="184.673"/>
        <n v="183.42599999999999"/>
        <n v="185.11199999999999"/>
        <n v="185.63"/>
        <n v="190.38900000000001"/>
        <n v="189.70099999999999"/>
        <n v="190.887"/>
        <n v="191.27699999999999"/>
        <n v="186.648"/>
        <n v="187.77600000000001"/>
        <n v="188.214"/>
        <n v="183.09700000000001"/>
        <n v="182.04900000000001"/>
        <n v="179.845"/>
        <n v="182.249"/>
        <n v="183.15700000000001"/>
        <n v="175.756"/>
        <n v="172.99199999999999"/>
        <n v="167.67500000000001"/>
        <n v="170.00899999999999"/>
        <n v="170.80699999999999"/>
        <n v="173.815"/>
        <n v="173.62"/>
        <n v="168.09399999999999"/>
        <n v="164.024"/>
        <n v="160.173"/>
        <n v="162.578"/>
        <n v="163.286"/>
        <n v="163.386"/>
        <n v="164.49199999999999"/>
        <n v="164.32400000000001"/>
        <n v="162.81700000000001"/>
        <n v="161.23599999999999"/>
        <n v="164.65199999999999"/>
        <n v="166.27799999999999"/>
        <n v="168.22399999999999"/>
        <n v="166.43799999999999"/>
        <n v="167.17599999999999"/>
        <n v="165.77"/>
        <n v="167.136"/>
        <n v="166.03200000000001"/>
        <n v="165.19200000000001"/>
        <n v="165.56"/>
        <n v="163.256"/>
        <n v="161.45099999999999"/>
        <n v="158.607"/>
        <n v="159.05699999999999"/>
        <n v="157.441"/>
        <n v="151.09700000000001"/>
        <n v="151.327"/>
        <n v="154.643"/>
        <n v="158.19900000000001"/>
        <n v="158.06899999999999"/>
        <n v="160.36600000000001"/>
        <n v="160.316"/>
        <n v="163.60300000000001"/>
        <n v="163.54300000000001"/>
        <n v="165.30099999999999"/>
        <n v="162.624"/>
        <n v="163.892"/>
        <n v="165.51"/>
        <n v="165.96"/>
        <n v="168.96600000000001"/>
        <n v="167.328"/>
        <n v="166.44900000000001"/>
        <n v="168.03700000000001"/>
        <n v="168.28700000000001"/>
        <n v="164.536"/>
        <n v="164.65100000000001"/>
        <n v="162.88300000000001"/>
        <n v="163.71199999999999"/>
        <n v="166.036"/>
        <n v="167.488"/>
        <n v="165.61"/>
        <n v="166.18"/>
        <n v="164.52099999999999"/>
        <n v="164.31200000000001"/>
        <n v="165.58"/>
        <n v="165.63"/>
        <n v="163.143"/>
        <n v="165.4"/>
        <n v="168.55699999999999"/>
        <n v="170.185"/>
        <n v="181.81200000000001"/>
        <n v="176.61799999999999"/>
        <n v="172.12299999999999"/>
        <n v="170.535"/>
        <n v="170.33500000000001"/>
        <n v="176.73699999999999"/>
        <n v="180.87299999999999"/>
        <n v="180.69300000000001"/>
        <n v="180.33799999999999"/>
        <n v="182.28100000000001"/>
        <n v="180.75299999999999"/>
        <n v="178.61500000000001"/>
        <n v="173.941"/>
        <n v="175.23699999999999"/>
        <n v="178.66499999999999"/>
        <n v="177.47200000000001"/>
        <n v="173.93100000000001"/>
        <n v="166.26900000000001"/>
        <n v="168.43700000000001"/>
        <n v="169.626"/>
        <n v="169.28899999999999"/>
        <n v="171.87799999999999"/>
        <n v="172.482"/>
        <n v="174.71"/>
        <n v="175.858"/>
        <n v="174.88"/>
        <n v="176.26"/>
        <n v="186.36"/>
        <n v="195.18"/>
        <n v="192.73"/>
        <n v="199"/>
        <n v="201.42"/>
        <n v="197"/>
        <n v="193.03"/>
        <n v="192.89"/>
        <n v="195.1"/>
        <n v="196.11"/>
        <n v="196.74799999999999"/>
        <n v="195.32"/>
        <n v="192.55"/>
        <n v="191.96"/>
        <n v="180.19"/>
        <n v="179.99"/>
        <n v="180.93"/>
        <n v="179.76"/>
        <n v="176.14"/>
        <n v="175.72"/>
        <n v="174.70599999999999"/>
        <n v="174.01"/>
        <n v="174.58"/>
        <n v="172"/>
        <n v="171.28"/>
        <n v="170.11"/>
        <n v="169.63"/>
        <n v="169.51"/>
        <n v="169.91"/>
        <n v="168.86600000000001"/>
        <n v="168.54"/>
        <n v="163.43"/>
        <n v="165.98"/>
        <n v="166.22"/>
        <n v="166.34"/>
        <n v="164.852"/>
        <n v="163.88"/>
        <n v="164.56"/>
        <n v="164.79499999999999"/>
        <n v="162.79"/>
        <n v="162.82"/>
        <n v="162.97"/>
        <n v="161.97999999999999"/>
        <n v="159.65"/>
        <n v="161.11000000000001"/>
        <n v="160.35"/>
        <n v="158.85"/>
        <n v="158.58500000000001"/>
        <n v="156.85"/>
        <n v="156.9"/>
        <n v="155.27000000000001"/>
        <n v="153.24"/>
        <n v="152.76"/>
        <n v="154.12"/>
        <n v="155.72999999999999"/>
        <n v="156.25"/>
        <n v="154.196"/>
        <n v="153.6"/>
        <n v="153.49"/>
        <n v="155.91"/>
        <n v="154.03"/>
        <n v="154.88999999999999"/>
        <n v="154.36500000000001"/>
        <n v="154.94999999999999"/>
        <n v="154.07499999999999"/>
        <n v="154.13"/>
        <n v="154.06"/>
        <n v="151.69"/>
        <n v="154.54"/>
        <n v="153.44999999999999"/>
        <n v="153.38"/>
        <n v="153.80000000000001"/>
        <n v="155.19"/>
        <n v="157.01"/>
        <n v="158.97"/>
        <n v="165.66"/>
        <n v="167.23"/>
        <n v="164.84"/>
        <n v="165.28"/>
        <n v="166.33"/>
        <n v="166.11500000000001"/>
        <n v="166.24"/>
        <n v="164.69"/>
        <n v="162.68"/>
        <n v="163.82"/>
        <n v="164.97"/>
        <n v="163.80500000000001"/>
        <n v="165.35"/>
        <n v="164.39"/>
        <n v="163.40700000000001"/>
        <n v="163.76"/>
        <n v="164.298"/>
        <n v="165.48"/>
        <n v="162.9"/>
        <n v="163.13"/>
        <n v="162.57"/>
        <n v="162.13"/>
        <n v="161.97"/>
        <n v="162.19"/>
        <n v="161.56"/>
        <n v="161.03"/>
        <n v="160.25"/>
        <n v="160.05500000000001"/>
        <n v="158.93"/>
        <n v="159.934"/>
        <n v="159.13999999999999"/>
        <n v="158.27000000000001"/>
        <n v="157.13999999999999"/>
        <n v="156.29"/>
        <n v="155.27500000000001"/>
        <n v="155.38"/>
        <n v="155.69"/>
        <n v="155.04"/>
        <n v="157.31"/>
        <n v="158.63999999999999"/>
        <n v="159.61000000000001"/>
        <n v="158.80000000000001"/>
        <n v="160.41999999999999"/>
        <n v="160.72499999999999"/>
        <n v="160.84"/>
        <n v="162.08000000000001"/>
        <n v="163.91"/>
        <n v="164.99"/>
        <n v="165.31"/>
        <n v="164.92"/>
        <n v="165.72"/>
        <n v="166.27"/>
        <n v="164.98"/>
        <n v="163.19999999999999"/>
        <n v="164.32"/>
        <n v="165.94"/>
        <n v="163.92"/>
        <n v="162.37"/>
        <n v="161.04"/>
        <n v="160.30000000000001"/>
        <n v="158.94"/>
        <n v="159.13"/>
        <n v="160.22499999999999"/>
        <n v="159.87"/>
        <n v="160.88999999999999"/>
        <n v="160.41"/>
        <n v="169.14"/>
        <n v="170.82"/>
        <n v="173.82"/>
        <n v="172.68"/>
        <n v="173.85"/>
        <n v="175.36"/>
        <n v="170.22"/>
        <n v="169.09"/>
        <n v="171.24"/>
        <n v="171.32"/>
        <n v="173.34"/>
        <n v="173.55"/>
        <n v="174.25"/>
        <n v="175.97"/>
        <n v="173.95"/>
        <n v="175.6"/>
        <n v="174.56"/>
        <n v="174.73"/>
        <n v="173.99"/>
        <n v="169.85"/>
        <n v="167.84"/>
        <n v="166.5"/>
        <n v="166.67"/>
        <n v="167.78"/>
        <n v="166.21"/>
        <n v="165.68"/>
        <n v="165.83"/>
        <n v="163.57"/>
        <n v="162.47999999999999"/>
        <n v="160"/>
        <n v="161.06"/>
        <n v="160.68"/>
        <n v="162.69"/>
        <n v="163.92500000000001"/>
        <n v="164.95"/>
        <n v="165.27"/>
        <n v="164.82"/>
        <n v="163.14500000000001"/>
        <n v="162.85"/>
        <n v="163.535"/>
        <n v="163.5"/>
        <n v="161.4"/>
        <n v="160.36000000000001"/>
        <n v="160.08000000000001"/>
        <n v="158.76"/>
        <n v="157.96"/>
        <n v="157.6"/>
        <n v="155.41999999999999"/>
        <n v="155.495"/>
        <n v="155.93"/>
        <n v="158.04"/>
        <n v="158.30000000000001"/>
        <n v="158.88"/>
        <n v="159.27000000000001"/>
        <n v="159.05000000000001"/>
        <n v="156.56"/>
        <n v="157.36000000000001"/>
        <n v="158.25"/>
        <n v="158.94999999999999"/>
        <n v="155.94999999999999"/>
        <n v="153.10900000000001"/>
        <n v="153.87"/>
        <n v="153.5"/>
        <n v="151.96"/>
        <n v="152.16999999999999"/>
        <n v="151.97"/>
        <n v="148.66"/>
        <n v="147.24"/>
        <n v="148.54499999999999"/>
        <n v="149.76"/>
        <n v="150.4"/>
        <n v="152.27000000000001"/>
        <n v="152.42500000000001"/>
        <n v="152.25"/>
        <n v="151.83000000000001"/>
        <n v="150.5"/>
        <n v="148.5"/>
        <n v="147.9"/>
        <n v="149.41999999999999"/>
        <n v="150.16999999999999"/>
        <n v="150.785"/>
        <n v="151.29"/>
        <n v="152.04"/>
        <n v="152.679"/>
        <n v="152.32"/>
        <n v="151.81"/>
        <n v="152.19999999999999"/>
        <n v="155.13999999999999"/>
        <n v="158.46"/>
        <n v="160.02000000000001"/>
        <n v="159.63"/>
        <n v="158.65899999999999"/>
        <n v="156.58000000000001"/>
        <n v="155.85"/>
        <n v="155.47999999999999"/>
        <n v="155.32"/>
        <n v="155.94"/>
        <n v="157.16"/>
        <n v="156.69"/>
        <n v="156.44"/>
        <n v="156.5"/>
        <n v="156.66"/>
        <n v="155.13"/>
        <n v="156.53"/>
        <n v="156.35"/>
        <n v="156.52000000000001"/>
        <n v="157.24"/>
        <n v="161.63900000000001"/>
        <n v="161.44"/>
        <n v="161.34"/>
        <n v="161.66"/>
        <n v="163.28"/>
        <n v="162.62"/>
        <n v="162.19900000000001"/>
        <n v="162.47"/>
        <n v="162.25"/>
        <n v="161.30000000000001"/>
        <n v="161.37"/>
        <n v="161.923"/>
        <n v="163.58000000000001"/>
        <n v="160.50700000000001"/>
        <n v="160.6"/>
        <n v="159.62"/>
        <n v="160.74"/>
        <n v="160.07"/>
        <n v="160.62"/>
        <n v="158.49"/>
        <n v="158.31"/>
        <n v="156.88999999999999"/>
        <n v="158.72999999999999"/>
        <n v="159.37"/>
        <n v="157.34"/>
        <n v="157.19999999999999"/>
        <n v="158.41"/>
        <n v="158.44999999999999"/>
        <n v="156.46"/>
        <n v="158.47499999999999"/>
        <n v="157.255"/>
        <n v="158.61000000000001"/>
        <n v="158.69"/>
        <n v="162.01"/>
        <n v="161.61000000000001"/>
        <n v="161.24"/>
        <n v="160.93"/>
        <n v="160.38999999999999"/>
        <n v="161.32"/>
        <n v="163.11000000000001"/>
        <n v="161.54"/>
        <n v="159.19"/>
        <n v="156.86000000000001"/>
        <n v="156.94999999999999"/>
        <n v="156.36000000000001"/>
        <n v="155.98400000000001"/>
        <n v="156.22999999999999"/>
        <n v="158.22"/>
        <n v="158.15"/>
        <n v="157.83000000000001"/>
        <n v="155.5"/>
        <n v="153.01"/>
        <n v="153.035"/>
        <n v="152.53"/>
        <n v="151.82"/>
        <n v="150.87"/>
        <n v="149.065"/>
        <n v="149.49"/>
        <n v="146.25"/>
        <n v="145.41"/>
        <n v="145.80000000000001"/>
        <n v="148.13"/>
        <n v="150.27000000000001"/>
        <n v="150.49"/>
        <n v="148.99"/>
        <n v="149.58000000000001"/>
        <n v="147.17500000000001"/>
        <n v="147.22"/>
        <n v="146.88"/>
        <n v="151.85"/>
        <n v="152.33000000000001"/>
        <n v="149.88999999999999"/>
        <n v="150.05000000000001"/>
        <n v="149.72999999999999"/>
        <n v="150.1"/>
        <n v="150.09"/>
        <n v="152"/>
        <n v="152.21"/>
        <n v="152.94999999999999"/>
        <n v="154.38"/>
        <n v="154.86000000000001"/>
        <n v="153.38999999999999"/>
        <n v="152.58500000000001"/>
        <n v="152.84"/>
        <n v="149.81399999999999"/>
        <n v="146.79"/>
        <n v="145.41499999999999"/>
        <n v="145.61000000000001"/>
        <n v="147.47999999999999"/>
        <n v="148.31"/>
        <n v="147.99"/>
        <n v="147"/>
        <n v="148.30000000000001"/>
        <n v="147.56"/>
        <n v="147.16"/>
        <n v="147.21"/>
        <n v="146"/>
        <n v="145.97"/>
        <n v="146.43"/>
        <n v="146.38999999999999"/>
        <n v="148.08000000000001"/>
        <n v="149.08000000000001"/>
        <n v="149.72"/>
        <n v="149.19999999999999"/>
        <n v="147.19"/>
        <n v="147.36000000000001"/>
        <n v="147.07"/>
        <n v="148.69999999999999"/>
        <n v="147.15"/>
        <n v="146.55000000000001"/>
        <n v="147.13"/>
        <n v="149.47"/>
        <n v="150.58000000000001"/>
        <n v="150.88"/>
        <n v="150.25"/>
        <n v="151.08000000000001"/>
        <n v="157.49"/>
        <n v="156.51"/>
        <n v="155.11000000000001"/>
        <n v="156.41"/>
        <n v="160.58000000000001"/>
        <n v="161.58000000000001"/>
        <n v="161.55000000000001"/>
        <n v="160.81"/>
        <n v="164.85"/>
        <n v="165.78"/>
        <n v="161.47999999999999"/>
        <n v="160.61500000000001"/>
        <n v="160.69999999999999"/>
        <n v="161.69999999999999"/>
        <n v="160.37"/>
        <n v="159.55000000000001"/>
        <n v="159.495"/>
        <n v="159.94"/>
        <n v="160.29499999999999"/>
        <n v="162.49"/>
        <n v="164.22"/>
        <n v="165.71"/>
        <n v="164.035"/>
        <n v="165"/>
        <n v="164.72"/>
        <n v="167.81"/>
        <n v="168.85"/>
        <n v="167.37"/>
        <n v="167.405"/>
        <n v="168.46"/>
        <n v="166.79"/>
        <n v="165.1"/>
        <n v="165.75"/>
        <n v="167.25"/>
        <n v="167.72"/>
        <n v="168.35"/>
        <n v="166.37"/>
        <n v="164.87"/>
        <n v="164.5"/>
        <n v="163.49"/>
        <n v="163.315"/>
        <n v="162.18"/>
        <n v="162.75"/>
        <n v="162.12"/>
        <n v="160.5"/>
        <n v="160.86000000000001"/>
        <n v="160.245"/>
        <n v="161.215"/>
        <n v="161.38999999999999"/>
        <n v="162.66"/>
        <n v="162.13999999999999"/>
        <n v="166.75"/>
        <n v="165.29"/>
        <n v="165.25"/>
        <n v="163.72999999999999"/>
        <n v="166"/>
        <n v="162.16999999999999"/>
        <n v="161.28"/>
        <n v="160.87"/>
        <n v="160.28"/>
        <n v="158.59"/>
        <n v="160.85"/>
        <n v="157.08000000000001"/>
        <n v="157.58000000000001"/>
        <n v="153.51"/>
        <n v="153.59200000000001"/>
        <n v="154.43"/>
        <n v="155.33000000000001"/>
        <n v="153.99"/>
        <n v="153.25"/>
        <n v="156.06"/>
        <n v="157.11500000000001"/>
        <n v="157.035"/>
        <n v="155.25"/>
        <n v="156.63"/>
        <n v="155.66999999999999"/>
        <n v="155"/>
        <n v="154.80000000000001"/>
        <n v="151.56"/>
        <n v="150.38"/>
        <n v="150.88999999999999"/>
        <n v="150.83000000000001"/>
        <n v="147.77000000000001"/>
        <n v="147.25"/>
        <n v="146.66"/>
        <n v="146.74"/>
        <n v="145.22"/>
        <n v="145.47"/>
        <n v="145.33000000000001"/>
        <n v="145.85"/>
        <n v="146.37"/>
        <n v="146.6"/>
        <n v="144.88"/>
        <n v="144.66999999999999"/>
        <n v="136.74"/>
        <n v="137.68"/>
        <n v="135.71"/>
        <n v="138.38"/>
        <n v="138.88"/>
        <n v="138.72"/>
        <n v="139.75"/>
        <n v="140.86000000000001"/>
        <n v="143.49"/>
        <n v="141.54"/>
        <n v="135.9"/>
        <n v="135.49"/>
        <n v="137.96"/>
        <n v="140.29"/>
        <n v="139.12"/>
        <n v="140.06"/>
        <n v="141.255"/>
        <n v="140.09"/>
        <n v="140.07"/>
        <n v="140.875"/>
        <n v="140.46"/>
        <n v="142.33000000000001"/>
        <n v="142.24"/>
        <n v="144.34"/>
        <n v="144.04"/>
        <n v="143.34"/>
        <n v="141.28"/>
        <n v="142.72999999999999"/>
        <n v="143.81"/>
        <n v="143.88999999999999"/>
        <n v="143.38999999999999"/>
        <n v="142.83000000000001"/>
        <n v="141.34"/>
        <n v="139.43"/>
        <n v="140.16999999999999"/>
        <n v="141.36000000000001"/>
        <n v="143.31"/>
        <n v="143.76"/>
        <n v="143.458"/>
        <n v="142.43"/>
        <n v="143.74"/>
        <n v="142.31"/>
        <n v="138.59"/>
        <n v="135.26"/>
        <n v="133.88"/>
        <n v="135.53"/>
        <n v="130.99"/>
        <n v="131.94999999999999"/>
        <n v="128.47999999999999"/>
        <n v="129.47"/>
        <n v="131.72999999999999"/>
        <n v="130.655"/>
        <n v="129.53"/>
        <n v="125.68"/>
        <n v="129.38"/>
        <n v="129.34200000000001"/>
        <n v="130.22"/>
        <n v="130.12"/>
        <n v="130.34"/>
        <n v="131.44"/>
        <n v="130.59"/>
        <n v="128.15"/>
        <n v="128.08000000000001"/>
        <n v="128.22999999999999"/>
        <n v="128.94"/>
        <n v="130.43"/>
        <n v="129.04"/>
        <n v="141.78"/>
        <n v="141.5"/>
        <n v="141.43"/>
        <n v="141.11000000000001"/>
        <n v="141.1"/>
        <n v="137.809"/>
        <n v="138.32"/>
        <n v="142.41"/>
        <n v="138.66900000000001"/>
        <n v="135.72"/>
        <n v="137.88"/>
        <n v="137.97"/>
        <n v="136.94999999999999"/>
        <n v="136.81"/>
        <n v="136.99"/>
        <n v="135.66999999999999"/>
        <n v="135.93799999999999"/>
        <n v="139.72999999999999"/>
        <n v="140.49"/>
        <n v="141.63999999999999"/>
        <n v="139.03"/>
        <n v="136.35"/>
        <n v="136.27000000000001"/>
        <n v="137.6"/>
        <n v="137.72"/>
        <n v="136.84"/>
        <n v="138.22999999999999"/>
        <n v="141.47999999999999"/>
        <n v="140.11000000000001"/>
        <n v="140.1"/>
        <n v="141.27000000000001"/>
        <n v="140.88999999999999"/>
        <n v="141.80000000000001"/>
        <n v="141.32"/>
        <n v="142.87"/>
        <n v="143.61000000000001"/>
        <n v="143.4"/>
        <n v="143.965"/>
        <n v="144.02000000000001"/>
        <n v="142.6"/>
        <n v="139.18"/>
        <n v="140.01"/>
        <n v="139.84"/>
        <n v="139.21"/>
        <n v="143.56"/>
        <n v="145.43"/>
        <n v="145.84399999999999"/>
        <n v="145.99"/>
        <n v="147.82"/>
        <n v="149.87"/>
        <n v="149.37"/>
        <n v="152.88999999999999"/>
        <n v="153.75"/>
        <n v="154.4"/>
        <n v="155.20500000000001"/>
        <n v="156.59"/>
        <n v="156.13999999999999"/>
        <n v="158.785"/>
        <n v="157.72"/>
        <n v="158.78"/>
        <n v="159.38"/>
        <n v="158"/>
        <n v="156.91999999999999"/>
        <n v="157.80000000000001"/>
        <n v="157.69999999999999"/>
        <n v="155.97999999999999"/>
        <n v="155.52000000000001"/>
        <n v="155.44"/>
        <n v="154.91800000000001"/>
        <n v="153.26599999999999"/>
        <n v="150.96"/>
        <n v="151.262"/>
        <n v="149.5"/>
        <n v="150.10499999999999"/>
        <n v="149.63900000000001"/>
        <n v="147.58500000000001"/>
        <n v="149.41"/>
        <n v="148.62"/>
        <n v="148.61000000000001"/>
        <n v="148.85"/>
        <n v="149.15"/>
        <n v="148.35"/>
        <n v="148.21"/>
        <n v="145.54"/>
        <n v="145.268"/>
        <n v="144.12"/>
        <n v="145.05000000000001"/>
        <n v="147.32"/>
        <n v="147.69999999999999"/>
        <n v="149.89500000000001"/>
        <n v="149.726"/>
        <n v="149.13999999999999"/>
        <n v="148.85499999999999"/>
        <n v="147.51"/>
        <n v="146.52000000000001"/>
        <n v="145.84"/>
        <n v="146.09"/>
        <n v="148.87"/>
        <n v="148.76"/>
        <n v="145.62200000000001"/>
        <n v="143.59"/>
        <n v="143.47"/>
        <n v="143.1"/>
        <n v="145.88"/>
        <n v="145.39500000000001"/>
        <n v="146.77000000000001"/>
        <n v="147.22999999999999"/>
        <n v="146.96"/>
        <n v="153.11000000000001"/>
        <n v="149.52000000000001"/>
        <n v="149.31"/>
        <n v="147.02000000000001"/>
        <n v="145.13999999999999"/>
        <n v="143.68"/>
        <n v="141.72999999999999"/>
        <n v="141.18"/>
        <n v="141.66499999999999"/>
        <n v="139.1"/>
        <n v="138.04"/>
        <n v="139.24"/>
        <n v="140.53"/>
        <n v="143.77000000000001"/>
        <n v="144.19"/>
        <n v="144.261"/>
        <n v="144.84"/>
        <n v="145.65"/>
        <n v="146.47999999999999"/>
        <n v="149.25"/>
        <n v="150.16"/>
        <n v="151.52500000000001"/>
        <n v="152.86000000000001"/>
        <n v="153.63"/>
        <n v="153.88"/>
        <n v="154.43799999999999"/>
        <n v="153.53"/>
        <n v="155.625"/>
        <n v="156.13"/>
        <n v="157.86000000000001"/>
        <n v="158.5"/>
        <n v="159.22"/>
        <n v="159.30000000000001"/>
        <n v="160.64500000000001"/>
        <n v="162.03"/>
        <n v="167.13"/>
        <n v="168.47"/>
        <n v="169.41"/>
        <n v="168.09"/>
        <n v="168.23"/>
        <n v="168.76499999999999"/>
        <n v="169.47"/>
        <n v="170.66"/>
        <n v="170.69"/>
        <n v="172.17"/>
        <n v="172.04"/>
        <n v="173.35"/>
        <n v="173.38"/>
        <n v="172.36"/>
        <n v="171.79"/>
        <n v="171.08"/>
        <n v="170.36"/>
        <n v="176.31"/>
        <n v="169.07"/>
        <n v="167.53"/>
        <n v="170.57"/>
        <n v="171.98"/>
        <n v="169.75"/>
        <n v="171.01"/>
        <n v="172.99"/>
        <n v="173.06"/>
        <n v="172.84"/>
        <n v="174.84"/>
        <n v="175.816"/>
        <n v="175.09"/>
        <n v="175.87"/>
        <n v="175.30600000000001"/>
        <n v="175.1"/>
        <n v="176.80799999999999"/>
        <n v="176.23"/>
        <n v="176.1"/>
        <n v="180.21"/>
        <n v="179.98"/>
        <n v="180.46"/>
        <n v="183.42"/>
        <n v="185.2"/>
        <n v="184.46"/>
        <n v="183.54"/>
        <n v="186.43"/>
        <n v="186.44"/>
        <n v="187.59"/>
        <n v="189.3"/>
        <n v="190.07"/>
        <n v="190.5"/>
        <n v="190.45500000000001"/>
        <n v="188.44"/>
        <n v="190.16"/>
        <n v="191.73"/>
        <n v="191.63"/>
        <n v="190.94"/>
        <n v="192.7"/>
        <n v="193.93"/>
        <n v="196.56"/>
        <n v="199.43"/>
        <n v="200.48"/>
        <n v="196.94"/>
        <n v="196.66"/>
        <n v="199.6"/>
        <n v="200.72"/>
        <n v="200.94"/>
        <n v="199.78"/>
        <n v="199.56"/>
        <n v="199.68"/>
        <n v="198.12200000000001"/>
        <n v="198.98"/>
        <n v="198.88"/>
        <n v="197.07"/>
        <n v="196.57"/>
        <n v="188.93"/>
        <n v="187.46"/>
        <n v="183.16"/>
        <n v="182.42"/>
        <n v="183.36"/>
        <n v="185.88"/>
        <n v="190.125"/>
        <n v="192.22499999999999"/>
        <n v="193.23"/>
        <n v="193.935"/>
        <n v="194.87"/>
        <n v="194.26"/>
        <n v="194.99"/>
        <n v="194.46"/>
        <n v="193.5"/>
        <n v="192.529"/>
        <n v="192.2"/>
        <n v="192.93"/>
        <n v="196.65"/>
        <n v="197.59"/>
        <n v="199.34"/>
        <n v="199.85"/>
        <n v="201.58"/>
        <n v="202.69"/>
        <n v="204.48"/>
        <n v="205.05"/>
        <n v="205.88"/>
        <n v="199.9"/>
        <n v="200.935"/>
        <n v="198.3"/>
        <n v="200.76"/>
        <n v="200.41"/>
        <n v="198.99"/>
        <n v="203.3"/>
        <n v="202.42"/>
        <n v="201.98"/>
        <n v="198.02"/>
        <n v="200.92"/>
        <n v="200.84"/>
        <n v="197.94"/>
        <n v="196.72"/>
        <n v="194.58"/>
        <n v="194.86"/>
        <n v="195.58"/>
        <n v="197.96"/>
        <n v="199.45"/>
        <n v="197.17"/>
        <n v="199.23"/>
        <n v="200.07"/>
        <n v="199.86"/>
        <n v="202.6"/>
        <n v="207.09"/>
        <n v="208.86"/>
        <n v="210.38"/>
        <n v="207.37"/>
        <n v="206.9"/>
        <n v="209.76"/>
        <n v="207.97"/>
        <n v="208.1"/>
        <n v="207.45"/>
        <n v="211.61"/>
        <n v="213.74"/>
        <n v="217.56"/>
        <n v="216.63499999999999"/>
        <n v="212.35"/>
        <n v="212.17"/>
        <n v="211.47499999999999"/>
        <n v="212.03"/>
        <n v="210.19"/>
        <n v="213.16"/>
        <n v="213.61"/>
        <n v="215.79"/>
        <n v="216.39"/>
        <n v="213.83"/>
        <n v="196.17"/>
        <n v="205.75"/>
        <n v="204.91"/>
        <n v="206.47"/>
        <n v="207.14"/>
        <n v="208.09"/>
        <n v="210.755"/>
        <n v="213.89"/>
        <n v="214.09"/>
        <n v="215.53"/>
        <n v="216"/>
        <n v="215"/>
        <n v="216.8"/>
        <n v="219.19"/>
        <n v="219.68"/>
        <n v="220.42"/>
        <n v="222.21"/>
        <n v="222.98"/>
        <n v="225.48"/>
        <n v="224.1"/>
        <n v="222.07"/>
        <n v="220.8"/>
        <n v="218.74"/>
        <n v="218.15"/>
        <n v="218.64"/>
        <n v="207.7"/>
        <n v="208.78"/>
        <n v="207.84800000000001"/>
        <n v="208.21"/>
        <n v="209.93"/>
        <n v="211.33600000000001"/>
        <n v="211.91"/>
        <n v="211.41499999999999"/>
        <n v="211.8"/>
        <n v="212.95"/>
        <n v="212.24"/>
        <n v="211.7"/>
        <n v="212.44"/>
        <n v="210.96"/>
        <n v="209.09"/>
        <n v="208.95"/>
        <n v="206.49"/>
        <n v="211.67"/>
        <n v="213.33"/>
        <n v="211.33"/>
        <n v="214.24"/>
        <n v="214.81"/>
        <n v="224.63"/>
        <n v="223.7"/>
        <n v="225.45"/>
        <n v="223.68"/>
        <n v="225.85"/>
        <n v="225.92"/>
        <n v="225.7"/>
        <n v="225.28"/>
        <n v="224.8"/>
        <n v="225.06"/>
        <n v="225.62"/>
        <n v="225.64"/>
        <n v="226.75"/>
        <n v="226.31"/>
        <n v="225.69"/>
        <n v="226.15"/>
        <n v="223.76"/>
        <n v="221.96"/>
        <n v="248"/>
        <n v="244.57"/>
        <n v="239.34"/>
        <n v="242.1"/>
        <n v="241.46"/>
        <n v="244.09"/>
        <n v="244.29"/>
        <n v="246.42"/>
        <n v="247.93"/>
        <n v="245.15100000000001"/>
        <n v="244.61"/>
        <n v="245.49"/>
        <n v="249.15"/>
        <n v="254.31"/>
        <n v="251"/>
        <n v="251.19"/>
        <n v="251.77"/>
        <n v="250.25"/>
        <n v="249.04"/>
        <n v="245.345"/>
        <n v="247.18"/>
        <n v="247.74"/>
        <n v="247.87"/>
        <n v="247.96"/>
        <n v="244.27"/>
        <n v="244.1"/>
        <n v="242.715"/>
        <n v="240.67"/>
        <n v="239.02"/>
        <n v="239.07"/>
        <n v="236.36"/>
        <n v="239.21"/>
        <n v="238.62"/>
        <n v="242.49199999999999"/>
        <n v="243.26"/>
        <n v="243.39"/>
        <n v="240.84"/>
        <n v="241.43899999999999"/>
        <n v="241.78100000000001"/>
        <n v="229.10900000000001"/>
        <n v="223.876"/>
        <n v="222.11500000000001"/>
        <n v="227.50399999999999"/>
        <n v="227.57599999999999"/>
        <n v="232.14"/>
        <n v="236.02799999999999"/>
        <n v="235.506"/>
        <n v="237.02"/>
        <n v="238.46600000000001"/>
        <n v="231.71799999999999"/>
        <n v="236.85400000000001"/>
        <n v="241.20500000000001"/>
        <n v="240.012"/>
        <n v="239.37299999999999"/>
        <n v="244.30199999999999"/>
        <n v="245.79599999999999"/>
        <n v="241.636"/>
        <n v="243.946"/>
        <n v="251.059"/>
        <n v="260.416"/>
        <n v="259.93400000000003"/>
        <n v="254.12899999999999"/>
        <n v="264.43400000000003"/>
        <n v="272.29199999999997"/>
        <n v="269.55599999999998"/>
        <n v="259.827"/>
        <n v="270.16800000000001"/>
        <n v="270.52999999999997"/>
        <n v="267.02600000000001"/>
        <n v="263.09100000000001"/>
        <n v="256.53300000000002"/>
        <n v="251.995"/>
        <n v="250.86"/>
        <n v="253.32599999999999"/>
        <n v="247.566"/>
        <n v="249.36199999999999"/>
        <n v="248.04900000000001"/>
        <n v="247.49799999999999"/>
        <n v="247.96100000000001"/>
        <n v="256.56099999999998"/>
        <n v="254.16399999999999"/>
        <n v="251.05799999999999"/>
        <n v="256.01"/>
        <n v="249.33199999999999"/>
        <n v="254.381"/>
        <n v="257.49900000000002"/>
        <n v="262.834"/>
        <n v="272.77600000000001"/>
        <n v="279.45400000000001"/>
        <n v="273.68299999999999"/>
        <n v="271.23700000000002"/>
        <n v="277.19499999999999"/>
        <n v="277.21300000000002"/>
        <n v="276.79000000000002"/>
        <n v="277.608"/>
        <n v="272.363"/>
        <n v="277.29300000000001"/>
        <n v="280.56700000000001"/>
        <n v="285.31200000000001"/>
        <n v="284.32600000000002"/>
        <n v="286.476"/>
        <n v="283.221"/>
        <n v="288.08300000000003"/>
        <n v="285.637"/>
        <n v="282.06599999999997"/>
        <n v="283.08300000000003"/>
        <n v="285.93400000000003"/>
        <n v="284.53300000000002"/>
        <n v="287.61"/>
        <n v="287.76400000000001"/>
        <n v="285.09500000000003"/>
        <n v="285.07600000000002"/>
        <n v="282.35500000000002"/>
        <n v="281.04899999999998"/>
        <n v="277.74599999999998"/>
        <n v="295.47199999999998"/>
        <n v="301.02300000000002"/>
        <n v="304.70299999999997"/>
        <n v="304.37799999999999"/>
        <n v="304.95"/>
        <n v="304.38799999999998"/>
        <n v="303.55099999999999"/>
        <n v="307.70100000000002"/>
        <n v="305.95499999999998"/>
        <n v="305.798"/>
        <n v="308.71699999999998"/>
        <n v="306.863"/>
        <n v="306.399"/>
        <n v="305.666"/>
        <n v="309.41899999999998"/>
        <n v="310.80599999999998"/>
        <n v="315.363"/>
        <n v="315.077"/>
        <n v="318.87200000000001"/>
        <n v="319"/>
        <n v="312.85199999999998"/>
        <n v="323.13099999999997"/>
        <n v="329.55700000000002"/>
        <n v="331.87099999999998"/>
        <n v="332.06700000000001"/>
        <n v="329.68599999999998"/>
        <n v="333.61"/>
        <n v="334.65899999999999"/>
        <n v="331.50400000000002"/>
        <n v="330.63400000000001"/>
        <n v="322.87599999999998"/>
        <n v="326.18599999999998"/>
        <n v="328.27300000000002"/>
        <n v="333.096"/>
        <n v="335.13299999999998"/>
        <n v="345.80799999999999"/>
        <n v="347.42"/>
        <n v="338.137"/>
        <n v="333.83699999999999"/>
        <n v="336.2"/>
        <n v="334.065"/>
        <n v="332.23599999999999"/>
        <n v="332.27600000000001"/>
        <n v="334.08499999999998"/>
        <n v="338.78"/>
        <n v="336.971"/>
        <n v="337.71199999999999"/>
        <n v="339.03699999999998"/>
        <n v="337.851"/>
        <n v="331.36700000000002"/>
        <n v="329.02300000000002"/>
        <n v="337.714"/>
        <n v="339.77800000000002"/>
        <n v="347.38099999999997"/>
        <n v="342.99099999999999"/>
        <n v="362.553"/>
        <n v="358.28199999999998"/>
        <n v="353.84399999999999"/>
        <n v="346.26299999999998"/>
        <n v="342.92200000000003"/>
        <n v="347.83499999999998"/>
        <n v="340.697"/>
        <n v="337.39699999999999"/>
        <n v="336.09100000000001"/>
        <n v="333.803"/>
        <n v="334.63900000000001"/>
        <n v="329.78500000000003"/>
        <n v="326.07799999999997"/>
        <n v="331.27800000000002"/>
        <n v="327.29300000000001"/>
        <n v="324.96199999999999"/>
        <n v="323.34100000000001"/>
        <n v="324.47699999999998"/>
        <n v="318.69299999999998"/>
        <n v="320.32400000000001"/>
        <n v="321.34300000000002"/>
        <n v="321.36"/>
        <n v="318.834"/>
        <n v="315.37700000000001"/>
        <n v="319.72500000000002"/>
        <n v="322.99900000000002"/>
        <n v="326.09500000000003"/>
        <n v="329.84"/>
        <n v="322.291"/>
        <n v="323.07299999999998"/>
        <n v="325.88"/>
        <n v="326.69799999999998"/>
        <n v="327.78899999999999"/>
        <n v="328.85899999999998"/>
        <n v="331.69099999999997"/>
        <n v="331.30599999999998"/>
        <n v="329.93799999999999"/>
        <n v="332.98899999999998"/>
        <n v="335.22899999999998"/>
        <n v="333.613"/>
        <n v="333.67200000000003"/>
        <n v="337.64499999999998"/>
        <n v="334.214"/>
        <n v="327.28300000000002"/>
        <n v="326.28300000000002"/>
        <n v="326.48099999999999"/>
        <n v="322.28100000000001"/>
        <n v="318.41800000000001"/>
        <n v="314.67399999999998"/>
        <n v="312.89999999999998"/>
        <n v="311.334"/>
        <n v="312.50400000000002"/>
        <n v="316.45699999999999"/>
        <n v="318.85199999999998"/>
        <n v="318.35899999999998"/>
        <n v="317.02"/>
        <n v="316.96300000000002"/>
        <n v="326.08499999999998"/>
        <n v="327.185"/>
        <n v="327.97699999999998"/>
        <n v="329.68099999999998"/>
        <n v="330.48200000000003"/>
        <n v="330.68099999999998"/>
        <n v="332.97"/>
        <n v="330.315"/>
        <n v="332.42500000000001"/>
        <n v="333.702"/>
        <n v="328.79"/>
        <n v="329.58600000000001"/>
        <n v="328.71"/>
        <n v="342.935"/>
        <n v="338.40800000000002"/>
        <n v="333.54399999999998"/>
        <n v="336.24799999999999"/>
        <n v="335.803"/>
        <n v="344.142"/>
        <n v="345.53800000000001"/>
        <n v="351.04599999999999"/>
        <n v="354.16699999999997"/>
        <n v="359.041"/>
        <n v="360.43799999999999"/>
        <n v="361.34899999999999"/>
        <n v="366.608"/>
        <n v="364.99400000000003"/>
        <n v="368.44299999999998"/>
        <n v="370.36"/>
        <n v="373.55599999999998"/>
        <n v="371.59100000000001"/>
        <n v="376.05799999999999"/>
        <n v="373.43"/>
        <n v="376.97"/>
        <n v="375.16399999999999"/>
        <n v="377.815"/>
        <n v="380.15699999999998"/>
        <n v="381.447"/>
        <n v="377.26900000000001"/>
        <n v="375.35300000000001"/>
        <n v="366.77800000000002"/>
        <n v="370.30599999999998"/>
        <n v="371.40300000000002"/>
        <n v="368.69499999999999"/>
        <n v="371.68099999999998"/>
        <n v="368.84199999999998"/>
        <n v="371.64100000000002"/>
        <n v="374.83300000000003"/>
        <n v="370.98500000000001"/>
        <n v="369.63600000000002"/>
        <n v="370.23200000000003"/>
        <n v="370.48899999999998"/>
        <n v="373.23899999999998"/>
        <n v="371.63099999999997"/>
        <n v="372.39499999999998"/>
        <n v="374.142"/>
        <n v="372.27699999999999"/>
        <n v="373.66300000000001"/>
        <n v="374.36099999999999"/>
        <n v="373.10899999999998"/>
        <n v="370.48500000000001"/>
        <n v="370.33"/>
        <n v="369.298"/>
        <n v="372.41500000000002"/>
        <n v="373.19900000000001"/>
        <n v="381.31900000000002"/>
        <n v="387.78100000000001"/>
        <n v="385.79500000000002"/>
        <n v="391.10599999999999"/>
        <n v="387.21499999999997"/>
        <n v="391.06599999999997"/>
        <n v="395.71100000000001"/>
        <n v="397.64699999999999"/>
        <n v="396.416"/>
        <n v="402.61900000000003"/>
        <n v="403.98899999999998"/>
        <n v="403.15499999999997"/>
        <n v="406.93599999999998"/>
        <n v="409.98500000000001"/>
        <n v="412.23700000000002"/>
        <n v="404.97199999999998"/>
        <n v="409.58600000000001"/>
        <n v="408.108"/>
        <n v="404.94200000000001"/>
        <n v="411.22399999999999"/>
        <n v="412.47500000000002"/>
        <n v="417.697"/>
        <n v="417.61700000000002"/>
        <n v="407.02699999999999"/>
        <n v="407.55"/>
        <n v="406.84399999999999"/>
        <n v="406.00900000000001"/>
        <n v="402.23099999999999"/>
        <n v="400.04300000000001"/>
        <n v="410.524"/>
        <n v="413.536"/>
        <n v="409.858"/>
        <n v="406.03899999999999"/>
        <n v="407.01299999999998"/>
        <n v="411.88600000000002"/>
        <n v="413.54599999999999"/>
        <n v="415.01799999999997"/>
        <n v="411.935"/>
        <n v="402.89699999999999"/>
        <n v="407.49"/>
        <n v="408.12700000000001"/>
        <n v="403.41399999999999"/>
        <n v="413.24900000000002"/>
        <n v="415.84399999999999"/>
        <n v="425.43"/>
        <n v="420.23899999999998"/>
        <n v="418.37900000000002"/>
        <n v="419.31"/>
        <n v="423.58"/>
        <n v="428.41199999999998"/>
        <n v="427.45800000000003"/>
        <n v="425.02100000000002"/>
        <n v="423.61"/>
        <n v="422.07900000000001"/>
        <n v="419.512"/>
        <n v="425.5"/>
        <n v="420.02"/>
        <n v="420.89600000000002"/>
        <n v="426.27499999999998"/>
        <n v="424.12700000000001"/>
        <n v="424.89400000000001"/>
        <n v="425.351"/>
        <n v="421.661"/>
        <n v="426.971"/>
        <n v="422.80399999999997"/>
        <n v="424.435"/>
        <n v="416.06299999999999"/>
        <n v="416.54"/>
        <n v="409.58800000000002"/>
        <n v="403.125"/>
        <n v="400.6"/>
        <n v="405.91899999999998"/>
        <n v="410.16500000000002"/>
        <n v="397.65600000000001"/>
        <n v="410.69200000000001"/>
        <n v="404.04899999999998"/>
        <n v="399.91399999999999"/>
        <n v="399.476"/>
        <n v="397.69600000000003"/>
        <n v="404.87599999999998"/>
        <n v="411.61799999999999"/>
        <n v="412.35300000000001"/>
        <n v="409.92700000000002"/>
        <n v="410.41399999999999"/>
        <n v="413.05900000000003"/>
        <n v="416.01100000000002"/>
        <n v="415.15699999999998"/>
        <n v="422.202"/>
        <n v="423.80700000000002"/>
        <n v="421.31599999999997"/>
        <n v="425.15100000000001"/>
        <n v="431.32799999999997"/>
        <n v="430.77"/>
        <n v="431.95499999999998"/>
        <n v="429.41899999999998"/>
        <n v="429.18599999999998"/>
        <n v="429.30599999999998"/>
        <n v="422.69099999999997"/>
        <n v="415.16899999999998"/>
        <n v="414.851"/>
        <n v="414.86099999999999"/>
        <n v="422.471"/>
        <n v="423.697"/>
        <n v="424.66300000000001"/>
        <n v="426.45600000000002"/>
        <n v="431.178"/>
        <n v="441.71800000000002"/>
        <n v="441.70800000000003"/>
        <n v="441.45600000000002"/>
        <n v="449.23"/>
        <n v="448.43200000000002"/>
        <n v="444.83699999999999"/>
        <n v="448.87099999999998"/>
        <n v="451.03199999999998"/>
        <n v="449.70800000000003"/>
        <n v="451.87900000000002"/>
        <n v="454.43900000000002"/>
        <n v="453.65300000000002"/>
        <n v="455.63499999999999"/>
        <n v="457.84699999999998"/>
        <n v="459.27199999999999"/>
        <n v="466.57299999999998"/>
        <n v="465.92599999999999"/>
        <n v="465.55700000000002"/>
        <n v="464.69099999999997"/>
        <n v="463.017"/>
        <n v="454.62900000000002"/>
        <n v="455.52499999999998"/>
        <n v="452.577"/>
        <n v="443.16300000000001"/>
        <n v="442.96300000000002"/>
        <n v="439.46600000000001"/>
        <n v="442.91300000000001"/>
        <n v="446.68900000000002"/>
        <n v="439.80599999999998"/>
        <n v="428.17"/>
        <n v="427.28800000000001"/>
        <n v="430.51"/>
        <n v="427.42200000000003"/>
        <n v="420.17500000000001"/>
        <n v="425.839"/>
        <n v="413.42500000000001"/>
        <n v="399.51799999999997"/>
        <n v="404.13099999999997"/>
        <n v="408.524"/>
        <n v="404.32100000000003"/>
        <n v="406.50200000000001"/>
        <n v="407.21"/>
        <n v="413.37599999999998"/>
        <n v="416.13499999999999"/>
        <n v="420.26900000000001"/>
        <n v="420.49799999999999"/>
        <n v="420.90699999999998"/>
        <n v="425.00900000000001"/>
        <n v="425.548"/>
        <n v="425.93700000000001"/>
        <n v="418.42200000000003"/>
        <n v="416.44600000000003"/>
        <n v="413.53199999999998"/>
        <n v="414.17099999999999"/>
        <n v="421.20699999999999"/>
        <n v="416.65600000000001"/>
        <n v="419.041"/>
        <n v="410.41800000000001"/>
        <n v="412.27499999999998"/>
        <n v="409.83"/>
        <n v="407.834"/>
        <n v="415.49799999999999"/>
        <n v="423.14299999999997"/>
        <n v="426.51499999999999"/>
        <n v="430.96699999999998"/>
        <n v="432.66399999999999"/>
        <n v="440.96699999999998"/>
        <n v="435.15899999999999"/>
        <n v="440.61799999999999"/>
        <n v="438.363"/>
        <n v="435.58800000000002"/>
        <n v="432.48399999999998"/>
        <n v="432.25400000000002"/>
        <n v="434.43"/>
        <n v="430.98700000000002"/>
        <n v="429.56"/>
        <n v="427.62400000000002"/>
        <n v="421.97500000000002"/>
        <n v="418.71199999999999"/>
        <n v="418.911"/>
        <n v="416.27699999999999"/>
        <n v="414.83"/>
        <n v="419.54"/>
        <n v="416.51600000000002"/>
        <n v="416.29700000000003"/>
        <n v="423.19299999999998"/>
        <n v="421.63600000000002"/>
        <n v="415.52800000000002"/>
        <n v="421.65600000000001"/>
        <n v="418.81200000000001"/>
        <n v="418.12299999999999"/>
        <n v="429.71899999999999"/>
        <n v="430.21899999999999"/>
        <n v="425.12700000000001"/>
        <n v="431.65600000000001"/>
        <n v="431.077"/>
        <n v="432.30500000000001"/>
        <n v="437.62400000000002"/>
        <n v="415.32900000000001"/>
        <n v="414.67"/>
        <n v="409.59500000000003"/>
        <n v="414.07100000000003"/>
        <n v="419.61"/>
        <n v="425.99700000000001"/>
        <n v="425.64800000000002"/>
        <n v="423.96100000000001"/>
        <n v="423.59199999999998"/>
        <n v="428.46699999999998"/>
        <n v="427.315"/>
        <n v="421.95499999999998"/>
        <n v="417.56799999999998"/>
        <n v="417.10500000000002"/>
        <n v="416.45600000000002"/>
        <n v="419.78"/>
        <n v="417.4"/>
        <n v="421.08"/>
        <n v="429.041"/>
        <n v="427.23"/>
        <n v="424.88499999999999"/>
        <n v="433"/>
        <n v="432.47"/>
        <n v="439.67"/>
        <n v="444.66"/>
        <n v="446.1"/>
        <n v="448.33"/>
        <n v="449.62"/>
        <n v="450.35"/>
        <n v="456.16500000000002"/>
        <n v="451.43"/>
        <n v="452.18"/>
        <n v="455.29"/>
        <n v="452.65"/>
        <n v="443.18299999999999"/>
        <n v="443.74"/>
        <n v="437.65"/>
        <n v="439.6"/>
        <n v="440.94"/>
        <n v="435.22"/>
        <n v="427.55"/>
        <n v="426.73"/>
        <n v="14.984999999999999"/>
        <n v="14.842000000000001"/>
        <n v="14.553000000000001"/>
        <n v="14.999000000000001"/>
        <n v="16.044"/>
        <n v="15.95"/>
        <n v="16.015999999999998"/>
        <n v="16.625"/>
        <n v="16.91"/>
        <n v="17.715"/>
        <n v="17.86"/>
        <n v="17.184000000000001"/>
        <n v="17.843"/>
        <n v="19.231000000000002"/>
        <n v="19.481000000000002"/>
        <n v="19.356000000000002"/>
        <n v="20.151"/>
        <n v="20.613"/>
        <n v="20.125"/>
        <n v="19.672999999999998"/>
        <n v="21.177"/>
        <n v="21.933"/>
        <n v="21.728999999999999"/>
        <n v="21.553999999999998"/>
        <n v="22.242999999999999"/>
        <n v="22.861000000000001"/>
        <n v="23.003"/>
        <n v="22.062000000000001"/>
        <n v="22.032"/>
        <n v="23.032"/>
        <n v="22.838000000000001"/>
        <n v="22.533999999999999"/>
        <n v="21.724"/>
        <n v="21.478000000000002"/>
        <n v="21.088999999999999"/>
        <n v="23.870999999999999"/>
        <n v="23.457000000000001"/>
        <n v="23.863"/>
        <n v="23.808"/>
        <n v="23.239000000000001"/>
        <n v="23.363"/>
        <n v="23.882999999999999"/>
        <n v="24.23"/>
        <n v="24.111000000000001"/>
        <n v="24.186"/>
        <n v="24.440999999999999"/>
        <n v="23.614000000000001"/>
        <n v="23.285"/>
        <n v="24.206"/>
        <n v="24.273"/>
        <n v="25.574000000000002"/>
        <n v="26.384"/>
        <n v="26.01"/>
        <n v="26.376999999999999"/>
        <n v="27.573"/>
        <n v="27.484000000000002"/>
        <n v="27.152000000000001"/>
        <n v="26.984999999999999"/>
        <n v="26.498000000000001"/>
        <n v="27.062999999999999"/>
        <n v="27.818999999999999"/>
        <n v="27.984000000000002"/>
        <n v="26.983000000000001"/>
        <n v="27.065000000000001"/>
        <n v="27.605"/>
        <n v="27.774000000000001"/>
        <n v="27.452999999999999"/>
        <n v="26.872"/>
        <n v="26.867999999999999"/>
        <n v="26.991"/>
        <n v="28.094000000000001"/>
        <n v="28.013999999999999"/>
        <n v="27.167999999999999"/>
        <n v="27.350999999999999"/>
        <n v="27.231999999999999"/>
        <n v="27.315000000000001"/>
        <n v="27.48"/>
        <n v="27.742000000000001"/>
        <n v="29.042000000000002"/>
        <n v="28.82"/>
        <n v="28.350999999999999"/>
        <n v="27.843"/>
        <n v="28.739000000000001"/>
        <n v="29.204000000000001"/>
        <n v="28.957000000000001"/>
        <n v="29.097000000000001"/>
        <n v="28.934000000000001"/>
        <n v="28.763999999999999"/>
        <n v="28.952999999999999"/>
        <n v="29.853000000000002"/>
        <n v="30.181999999999999"/>
        <n v="31.81"/>
        <n v="31.562000000000001"/>
        <n v="31.501999999999999"/>
        <n v="31.27"/>
        <n v="30.59"/>
        <n v="39.457999999999998"/>
        <n v="39.148000000000003"/>
        <n v="41.914999999999999"/>
        <n v="40.273000000000003"/>
        <n v="40.027999999999999"/>
        <n v="40.476999999999997"/>
        <n v="39.542999999999999"/>
        <n v="39.137999999999998"/>
        <n v="39.481000000000002"/>
        <n v="38.845999999999997"/>
        <n v="39.692999999999998"/>
        <n v="39.512"/>
        <n v="41.082000000000001"/>
        <n v="42.98"/>
        <n v="43.268999999999998"/>
        <n v="43.701000000000001"/>
        <n v="43.97"/>
        <n v="43.594999999999999"/>
        <n v="43.405999999999999"/>
        <n v="42.79"/>
        <n v="42.744999999999997"/>
        <n v="41.920999999999999"/>
        <n v="41.826000000000001"/>
        <n v="41.581000000000003"/>
        <n v="42.530999999999999"/>
        <n v="42.878999999999998"/>
        <n v="43.156999999999996"/>
        <n v="42.16"/>
        <n v="43.194000000000003"/>
        <n v="42.792000000000002"/>
        <n v="42.738999999999997"/>
        <n v="43.914999999999999"/>
        <n v="46.134"/>
        <n v="48.066000000000003"/>
        <n v="46.475000000000001"/>
        <n v="47.874000000000002"/>
        <n v="47.795999999999999"/>
        <n v="47.066000000000003"/>
        <n v="45.844999999999999"/>
        <n v="45.088999999999999"/>
        <n v="46.161000000000001"/>
        <n v="46.031999999999996"/>
        <n v="47.372999999999998"/>
        <n v="47.006"/>
        <n v="47.109000000000002"/>
        <n v="46.878999999999998"/>
        <n v="45.819000000000003"/>
        <n v="45.097000000000001"/>
        <n v="45.621000000000002"/>
        <n v="45.518999999999998"/>
        <n v="45.220999999999997"/>
        <n v="44.292000000000002"/>
        <n v="43.554000000000002"/>
        <n v="41.999000000000002"/>
        <n v="43.78"/>
        <n v="45.247999999999998"/>
        <n v="44.655000000000001"/>
        <n v="44.042000000000002"/>
        <n v="43.558"/>
        <n v="47.043999999999997"/>
        <n v="48.164999999999999"/>
        <n v="47.179000000000002"/>
        <n v="50.243000000000002"/>
        <n v="47.783000000000001"/>
        <n v="46.959000000000003"/>
        <n v="49.058999999999997"/>
        <n v="49.904000000000003"/>
        <n v="49.720999999999997"/>
        <n v="49.777000000000001"/>
        <n v="48.829000000000001"/>
        <n v="48.530999999999999"/>
        <n v="46.326999999999998"/>
        <n v="46.588999999999999"/>
        <n v="46.146000000000001"/>
        <n v="45.655999999999999"/>
        <n v="45.912999999999997"/>
        <n v="45.97"/>
        <n v="45.582000000000001"/>
        <n v="44.225999999999999"/>
        <n v="43.95"/>
        <n v="43.887"/>
        <n v="42.084000000000003"/>
        <n v="42.098999999999997"/>
        <n v="42.52"/>
        <n v="42.804000000000002"/>
        <n v="42.856000000000002"/>
        <n v="43.43"/>
        <n v="44.128"/>
        <n v="45.158000000000001"/>
        <n v="45.113"/>
        <n v="44.127000000000002"/>
        <n v="44.883000000000003"/>
        <n v="45.771999999999998"/>
        <n v="45.588000000000001"/>
        <n v="46.241999999999997"/>
        <n v="46.841999999999999"/>
        <n v="47.591000000000001"/>
        <n v="47.098999999999997"/>
        <n v="46.207999999999998"/>
        <n v="44.737000000000002"/>
        <n v="43.203000000000003"/>
        <n v="43.280999999999999"/>
        <n v="42.454000000000001"/>
        <n v="43.231999999999999"/>
        <n v="43.680999999999997"/>
        <n v="43.634"/>
        <n v="42.24"/>
        <n v="41.191000000000003"/>
        <n v="41.75"/>
        <n v="40.863999999999997"/>
        <n v="42.365000000000002"/>
        <n v="43.868000000000002"/>
        <n v="45.292000000000002"/>
        <n v="45.917999999999999"/>
        <n v="46.201000000000001"/>
        <n v="46.85"/>
        <n v="48.212000000000003"/>
        <n v="48.454000000000001"/>
        <n v="49.097999999999999"/>
        <n v="49.816000000000003"/>
        <n v="49.941000000000003"/>
        <n v="49.506"/>
        <n v="49.698999999999998"/>
        <n v="50.529000000000003"/>
        <n v="50.497999999999998"/>
        <n v="50.316000000000003"/>
        <n v="48.902999999999999"/>
        <n v="48.512"/>
        <n v="48.305"/>
        <n v="48.744"/>
        <n v="48.091999999999999"/>
        <n v="47.182000000000002"/>
        <n v="46.06"/>
        <n v="46.587000000000003"/>
        <n v="46.616"/>
        <n v="47.726999999999997"/>
        <n v="47.517000000000003"/>
        <n v="47.652999999999999"/>
        <n v="48.58"/>
        <n v="48.655999999999999"/>
        <n v="49.39"/>
        <n v="50.418999999999997"/>
        <n v="49.686"/>
        <n v="49.984999999999999"/>
        <n v="49.081000000000003"/>
        <n v="49.369"/>
        <n v="49.585999999999999"/>
        <n v="49.665999999999997"/>
        <n v="49.87"/>
        <n v="49.982999999999997"/>
        <n v="49.280999999999999"/>
        <n v="48.17"/>
        <n v="48.485999999999997"/>
        <n v="49.533000000000001"/>
        <n v="52.26"/>
        <n v="54.31"/>
        <n v="54.584000000000003"/>
        <n v="55.33"/>
        <n v="54.954000000000001"/>
        <n v="56.819000000000003"/>
        <n v="56.454999999999998"/>
        <n v="57.584000000000003"/>
        <n v="59.482999999999997"/>
        <n v="60.314"/>
        <n v="59.893000000000001"/>
        <n v="62.831000000000003"/>
        <n v="62.701000000000001"/>
        <n v="61.765000000000001"/>
        <n v="62.470999999999997"/>
        <n v="63.475000000000001"/>
        <n v="62.250999999999998"/>
        <n v="63.173000000000002"/>
        <n v="66.581000000000003"/>
        <n v="69.477000000000004"/>
        <n v="69.733999999999995"/>
        <n v="70.2"/>
        <n v="70.774000000000001"/>
        <n v="72.165000000000006"/>
        <n v="74.59"/>
        <n v="73.429000000000002"/>
        <n v="74.215000000000003"/>
        <n v="73.953999999999994"/>
        <n v="74.381"/>
        <n v="71.936000000000007"/>
        <n v="68.867999999999995"/>
        <n v="78.552999999999997"/>
        <n v="82.370999999999995"/>
        <n v="80.623000000000005"/>
        <n v="79.456999999999994"/>
        <n v="78.911000000000001"/>
        <n v="79.966999999999999"/>
        <n v="82.277000000000001"/>
        <n v="87.67"/>
        <n v="86.076999999999998"/>
        <n v="89.703000000000003"/>
        <n v="92.745000000000005"/>
        <n v="97.376999999999995"/>
        <n v="88.775999999999996"/>
        <n v="91.938000000000002"/>
        <n v="91.481999999999999"/>
        <n v="90.625"/>
        <n v="89.525000000000006"/>
        <n v="92.382999999999996"/>
        <n v="90.522999999999996"/>
        <n v="90.388999999999996"/>
        <n v="92.626000000000005"/>
        <n v="94.756"/>
        <n v="96.742999999999995"/>
        <n v="96.352000000000004"/>
        <n v="93.218000000000004"/>
        <n v="91.278000000000006"/>
        <n v="92.203000000000003"/>
        <n v="90.072999999999993"/>
        <n v="90.352999999999994"/>
        <n v="90.613"/>
        <n v="88.46"/>
        <n v="88.808999999999997"/>
        <n v="87.614000000000004"/>
        <n v="87.379000000000005"/>
        <n v="90.716999999999999"/>
        <n v="90.153999999999996"/>
        <n v="90.591999999999999"/>
        <n v="88.096999999999994"/>
        <n v="88.754000000000005"/>
        <n v="86.17"/>
        <n v="84.304000000000002"/>
        <n v="80.054000000000002"/>
        <n v="82.748999999999995"/>
        <n v="84.061999999999998"/>
        <n v="83.302999999999997"/>
        <n v="88.31"/>
        <n v="87.971000000000004"/>
        <n v="88.798000000000002"/>
        <n v="85.98"/>
        <n v="86.216999999999999"/>
        <n v="89.26"/>
        <n v="92.197999999999993"/>
        <n v="91.759"/>
        <n v="91.171999999999997"/>
        <n v="91.05"/>
        <n v="91.379000000000005"/>
        <n v="90.975999999999999"/>
        <n v="91.629000000000005"/>
        <n v="94.84"/>
        <n v="95.796000000000006"/>
        <n v="94.718000000000004"/>
        <n v="95.177000000000007"/>
        <n v="95.376999999999995"/>
        <n v="95.997"/>
        <n v="106.295"/>
        <n v="106.45"/>
        <n v="114.91200000000001"/>
        <n v="115.465"/>
        <n v="115.791"/>
        <n v="112.69"/>
        <n v="114.973"/>
        <n v="116.572"/>
        <n v="122.42100000000001"/>
        <n v="125.557"/>
        <n v="121.664"/>
        <n v="123.071"/>
        <n v="122.851"/>
        <n v="126.86"/>
        <n v="129.78"/>
        <n v="132.82"/>
        <n v="133.71"/>
        <n v="136.309"/>
        <n v="140.738"/>
        <n v="130.61000000000001"/>
        <n v="124.44"/>
        <n v="126.48"/>
        <n v="128.1"/>
        <n v="124.82"/>
        <n v="123.39"/>
        <n v="128.83000000000001"/>
        <n v="130.75"/>
        <n v="133.80000000000001"/>
        <n v="135.07900000000001"/>
        <n v="136.12899999999999"/>
        <n v="131.9"/>
        <n v="129.02000000000001"/>
        <n v="121.83199999999999"/>
        <n v="122.38200000000001"/>
        <n v="121.58199999999999"/>
        <n v="124.05"/>
        <n v="124.67"/>
        <n v="119.932"/>
        <n v="116.61199999999999"/>
        <n v="116.182"/>
        <n v="116.262"/>
        <n v="111.97199999999999"/>
        <n v="118.322"/>
        <n v="120.142"/>
        <n v="108.70399999999999"/>
        <n v="103.39400000000001"/>
        <n v="107.694"/>
        <n v="108.78400000000001"/>
        <n v="105.48399999999999"/>
        <n v="106.584"/>
        <n v="111.05200000000001"/>
        <n v="116.212"/>
        <n v="118.58199999999999"/>
        <n v="123.221"/>
        <n v="124.98"/>
        <n v="129.97999999999999"/>
        <n v="129.86000000000001"/>
        <n v="129.33000000000001"/>
        <n v="130.72999999999999"/>
        <n v="131.24"/>
        <n v="129.18"/>
        <n v="128.31"/>
        <n v="124.41"/>
        <n v="121.732"/>
        <n v="116.19199999999999"/>
        <n v="113.252"/>
        <n v="109.633"/>
        <n v="108.134"/>
        <n v="106.53400000000001"/>
        <n v="109.383"/>
        <n v="117.172"/>
        <n v="120.782"/>
        <n v="119.947"/>
        <n v="118.172"/>
        <n v="118.792"/>
        <n v="117.69199999999999"/>
        <n v="119.652"/>
        <n v="118.61"/>
        <n v="116.982"/>
        <n v="121.792"/>
        <n v="124.931"/>
        <n v="127.65600000000001"/>
        <n v="124.021"/>
        <n v="121.492"/>
        <n v="122.42700000000001"/>
        <n v="119.372"/>
        <n v="124.351"/>
        <n v="125.03100000000001"/>
        <n v="130.631"/>
        <n v="133.471"/>
        <n v="134.511"/>
        <n v="134.99100000000001"/>
        <n v="135.77099999999999"/>
        <n v="139.59"/>
        <n v="138.56"/>
        <n v="136.61099999999999"/>
        <n v="140.88"/>
        <n v="138.88999999999999"/>
        <n v="143.69999999999999"/>
        <n v="144.41"/>
        <n v="142.41999999999999"/>
        <n v="143.13"/>
        <n v="142.25"/>
        <n v="137.601"/>
        <n v="137.30099999999999"/>
        <n v="138.94999999999999"/>
        <n v="140.36000000000001"/>
        <n v="148.91999999999999"/>
        <n v="148.84"/>
        <n v="149.63999999999999"/>
        <n v="149.32"/>
        <n v="147.12"/>
        <n v="147.55000000000001"/>
        <n v="152.87899999999999"/>
        <n v="142.04"/>
        <n v="139.29"/>
        <n v="137.21100000000001"/>
        <n v="139.34"/>
        <n v="140.44"/>
        <n v="145.78"/>
        <n v="146.54"/>
        <n v="145.69999999999999"/>
        <n v="139.94999999999999"/>
        <n v="141.82"/>
        <n v="138.44"/>
        <n v="139.6"/>
        <n v="134.4"/>
        <n v="131.59"/>
        <n v="136.69999999999999"/>
        <n v="134.03"/>
        <n v="135.28"/>
        <n v="139.79"/>
        <n v="141.9"/>
        <n v="140.85"/>
        <n v="139.02000000000001"/>
        <n v="140.27000000000001"/>
        <n v="138.07"/>
        <n v="118.8"/>
        <n v="114.59"/>
        <n v="111.75"/>
        <n v="114.39"/>
        <n v="123.52"/>
        <n v="122.76"/>
        <n v="125.95"/>
        <n v="124.131"/>
        <n v="122.63"/>
        <n v="131.69999999999999"/>
        <n v="136.68"/>
        <n v="129.99"/>
        <n v="133.51"/>
        <n v="145.37899999999999"/>
        <n v="146.5"/>
        <n v="146.41"/>
        <n v="161.41999999999999"/>
        <n v="180.68"/>
        <n v="179.77"/>
        <n v="174.3"/>
        <n v="183.80500000000001"/>
        <n v="196.75"/>
        <n v="198.17"/>
        <n v="197.5"/>
        <n v="203"/>
        <n v="214"/>
        <n v="206.2"/>
        <n v="196.3"/>
        <n v="209.82"/>
        <n v="214.66"/>
        <n v="217.65"/>
        <n v="208.44"/>
        <n v="209.71"/>
        <n v="201.99"/>
        <n v="205.14"/>
        <n v="197.66900000000001"/>
        <n v="209.42"/>
        <n v="211.23"/>
        <n v="207.2"/>
        <n v="193.75"/>
        <n v="198.6"/>
        <n v="194.2"/>
        <n v="186.5"/>
        <n v="185.18"/>
        <n v="178.29"/>
        <n v="177.35"/>
        <n v="183.8"/>
        <n v="182.34"/>
        <n v="186.22"/>
        <n v="198"/>
        <n v="200.66"/>
        <n v="199.31"/>
        <n v="192.36"/>
        <n v="197.39"/>
        <n v="192.35"/>
        <n v="195.29"/>
        <n v="207.79"/>
        <n v="198.745"/>
        <n v="190.68"/>
        <n v="186.39"/>
        <n v="189.19"/>
        <n v="191.58500000000001"/>
        <n v="186.28"/>
        <n v="189.69"/>
        <n v="187.69"/>
        <n v="183.5"/>
        <n v="169.7"/>
        <n v="165.65"/>
        <n v="163.47"/>
        <n v="160.66999999999999"/>
        <n v="160.47999999999999"/>
        <n v="165.49"/>
        <n v="162.94999999999999"/>
        <n v="170.79"/>
        <n v="173.8"/>
        <n v="169.82"/>
        <n v="174.43"/>
        <n v="173.57"/>
        <n v="177.38"/>
        <n v="169.76"/>
        <n v="169.518"/>
        <n v="174.5"/>
        <n v="177.06"/>
        <n v="181.95"/>
        <n v="189.32"/>
        <n v="192.96"/>
        <n v="184.22"/>
        <n v="186.78"/>
        <n v="203.95"/>
        <n v="209.8"/>
        <n v="217.25"/>
        <n v="221.29"/>
        <n v="221.91"/>
        <n v="230.83"/>
        <n v="235.23"/>
        <n v="252.42"/>
        <n v="250.97"/>
        <n v="259.68"/>
        <n v="261.57"/>
        <n v="258.95"/>
        <n v="263.60000000000002"/>
        <n v="274.75"/>
        <n v="276.99"/>
        <n v="265"/>
        <n v="262.45"/>
        <n v="258.37"/>
        <n v="250.39"/>
        <n v="259.88"/>
        <n v="260.74"/>
        <n v="264.45"/>
        <n v="284.25"/>
        <n v="283.85000000000002"/>
        <n v="279.97000000000003"/>
        <n v="280.77999999999997"/>
        <n v="277.52"/>
        <n v="270.89999999999998"/>
        <n v="276.52"/>
        <n v="279.45"/>
        <n v="285.3"/>
        <n v="292.23"/>
        <n v="295.26"/>
        <n v="299.29000000000002"/>
        <n v="280.93"/>
        <n v="268"/>
        <n v="269.85000000000002"/>
        <n v="272.89999999999998"/>
        <n v="268.04000000000002"/>
        <n v="269.13"/>
        <n v="267.25"/>
        <n v="269.08"/>
        <n v="266.47000000000003"/>
        <n v="259.52"/>
        <n v="260.49"/>
        <n v="264.77"/>
        <n v="253.65100000000001"/>
        <n v="250.92"/>
        <n v="251.1"/>
        <n v="251.8"/>
        <n v="243.79"/>
        <n v="240.66"/>
        <n v="240.5"/>
        <n v="233.97"/>
        <n v="226.74"/>
        <n v="217.58"/>
        <n v="232.13399999999999"/>
        <n v="240.82"/>
        <n v="238.98"/>
        <n v="238.92"/>
        <n v="239"/>
        <n v="244.38"/>
        <n v="257.48"/>
        <n v="260.51"/>
        <n v="261.18"/>
        <n v="259.07900000000001"/>
        <n v="258"/>
        <n v="255.39"/>
        <n v="252.81"/>
        <n v="256.52"/>
        <n v="274.85000000000002"/>
        <n v="278.39"/>
        <n v="274.98"/>
        <n v="276.709"/>
        <n v="278.98"/>
        <n v="271.44"/>
        <n v="267.85000000000002"/>
        <n v="273.93"/>
        <n v="260.86"/>
        <n v="257.78899999999999"/>
        <n v="247.1"/>
        <n v="249.55"/>
        <n v="245.33"/>
        <n v="247.55"/>
        <n v="254.77"/>
        <n v="254.28"/>
        <n v="250.02"/>
        <n v="261.86"/>
        <n v="261.64999999999998"/>
        <n v="261.36"/>
        <n v="268.94"/>
        <n v="268.60000000000002"/>
        <n v="265.41000000000003"/>
        <n v="259.60000000000002"/>
        <n v="255.4"/>
        <n v="257.18299999999999"/>
        <n v="254.63"/>
        <n v="230.61"/>
        <n v="218.86099999999999"/>
        <n v="216.98"/>
        <n v="222.05"/>
        <n v="220.1"/>
        <n v="214.8"/>
        <n v="212.41"/>
        <n v="210.88"/>
        <n v="202.8"/>
        <n v="205.99"/>
        <n v="219.2"/>
        <n v="226.37"/>
        <n v="226.32"/>
        <n v="223.12"/>
        <n v="224.15"/>
        <n v="215.38"/>
        <n v="225.4"/>
        <n v="238.13499999999999"/>
        <n v="246.7"/>
        <n v="240.88"/>
        <n v="237.39"/>
        <n v="237.1"/>
        <n v="243.62"/>
        <n v="244.01"/>
        <n v="238.75"/>
        <n v="238.33"/>
        <n v="247"/>
        <n v="252.75"/>
        <n v="245.22"/>
        <n v="240.19"/>
        <n v="246.66"/>
        <n v="246.57"/>
        <n v="244.08"/>
        <n v="245.27"/>
        <n v="243.441"/>
        <n v="238.99"/>
        <n v="240.3"/>
        <n v="253.88"/>
        <n v="254.13"/>
        <n v="258.74"/>
        <n v="258.33999999999997"/>
        <n v="259.83999999999997"/>
        <n v="254.8"/>
        <n v="258.22000000000003"/>
        <n v="257.97000000000003"/>
        <n v="263.33999999999997"/>
        <n v="265.13"/>
        <n v="255.19"/>
        <n v="251.25"/>
        <n v="245.68"/>
        <n v="242.7"/>
        <n v="240.12"/>
        <n v="241.25"/>
        <n v="238.965"/>
        <n v="235.5"/>
        <n v="230.93"/>
        <n v="225.34"/>
        <n v="223.49"/>
        <n v="215.67"/>
        <n v="217.45"/>
        <n v="213.19"/>
        <n v="217.8"/>
        <n v="215.65"/>
        <n v="212.73"/>
        <n v="193"/>
        <n v="191.48"/>
        <n v="196.35900000000001"/>
        <n v="193.97"/>
        <n v="189.88"/>
        <n v="184.68"/>
        <n v="186.49"/>
        <n v="189.79"/>
        <n v="191.61699999999999"/>
        <n v="194.12"/>
        <n v="194.73"/>
        <n v="187.26"/>
        <n v="188.89"/>
        <n v="200.88"/>
        <n v="203.17"/>
        <n v="199.44"/>
        <n v="198.32"/>
        <n v="197.57"/>
        <n v="201.78"/>
        <n v="205.6"/>
        <n v="205.28"/>
        <n v="204.52"/>
        <n v="199.75"/>
        <n v="184.59"/>
        <n v="181.57599999999999"/>
        <n v="180.04"/>
        <n v="182.73"/>
        <n v="179.43"/>
        <n v="176.05"/>
        <n v="165.185"/>
        <n v="174.72"/>
        <n v="172.82"/>
        <n v="176.25"/>
        <n v="178.18"/>
        <n v="171.2"/>
        <n v="175.24"/>
        <n v="184.25"/>
        <n v="181.91"/>
        <n v="179.57"/>
        <n v="176.75"/>
        <n v="167.69"/>
        <n v="168.82"/>
        <n v="177.19"/>
        <n v="170.86"/>
        <n v="179.22"/>
        <n v="174.93"/>
        <n v="175.88"/>
        <n v="173.81"/>
        <n v="158.19"/>
        <n v="158.33000000000001"/>
        <n v="150.94"/>
        <n v="144.44"/>
        <n v="167.97"/>
        <n v="172.12"/>
        <n v="198.87"/>
        <n v="190.95"/>
        <n v="184.6"/>
        <n v="184.78"/>
        <n v="187.56"/>
        <n v="176.06"/>
        <n v="175.62"/>
        <n v="175.4"/>
        <n v="179.49"/>
        <n v="175.79"/>
        <n v="179.63"/>
        <n v="177.75399999999999"/>
        <n v="186.875"/>
        <n v="181.9"/>
        <n v="180.08"/>
        <n v="178.25"/>
        <n v="182.67"/>
        <n v="180.32"/>
        <n v="182.63900000000001"/>
        <n v="177.755"/>
        <n v="176.15"/>
        <n v="179.73"/>
        <n v="179.35"/>
        <n v="178.57"/>
        <n v="174.75"/>
        <n v="180.55"/>
        <n v="191.08"/>
        <n v="186"/>
        <n v="188.81"/>
        <n v="187.2"/>
        <n v="185.21"/>
        <n v="183.95"/>
        <n v="187.97"/>
        <n v="197.755"/>
        <n v="198.72"/>
        <n v="203.2"/>
        <n v="213.23"/>
        <n v="231.3"/>
        <n v="248.35"/>
        <n v="252.37"/>
        <n v="259.43900000000002"/>
        <n v="265.61"/>
        <n v="267.58999999999997"/>
        <n v="271"/>
        <n v="251.84"/>
        <n v="265.60000000000002"/>
        <n v="258.62"/>
        <n v="258.47000000000003"/>
        <n v="257.14"/>
        <n v="249.44"/>
        <n v="253.21"/>
        <n v="255.75899999999999"/>
        <n v="225.99"/>
        <n v="226"/>
        <n v="222.28"/>
        <n v="234.27"/>
        <n v="232.41"/>
        <n v="234.68"/>
        <n v="231.86699999999999"/>
        <n v="216.13"/>
        <n v="203.88"/>
        <n v="202.9"/>
        <n v="200.7"/>
        <n v="208.49"/>
        <n v="215.88"/>
        <n v="219.8"/>
        <n v="228.22"/>
        <n v="224.65899999999999"/>
        <n v="221.48"/>
        <n v="219.09"/>
        <n v="215.66"/>
        <n v="211.84"/>
        <n v="214.89"/>
        <n v="214.57"/>
        <n v="219.904"/>
        <n v="222.22"/>
        <n v="235"/>
        <n v="233.6"/>
        <n v="219.87"/>
        <n v="226.4"/>
        <n v="228.47"/>
        <n v="231.45"/>
        <n v="232.67"/>
        <n v="229.96"/>
        <n v="234.57"/>
        <n v="235.68"/>
        <n v="244.24"/>
        <n v="243.99"/>
        <n v="250"/>
        <n v="257.19"/>
        <n v="257.05"/>
        <n v="261.75"/>
        <n v="260.7"/>
        <n v="264.86"/>
        <n v="263.98"/>
        <n v="251.15899999999999"/>
        <n v="249.79"/>
        <n v="250.96"/>
        <n v="249.83"/>
        <n v="246.21"/>
        <n v="247.43"/>
        <n v="242.79"/>
        <n v="223.34"/>
        <n v="224.26"/>
        <n v="222.82"/>
        <n v="222.08"/>
        <n v="220.48"/>
        <n v="218.22"/>
        <n v="218.72"/>
        <n v="262.12"/>
        <n v="269.49"/>
        <n v="273.536"/>
        <n v="264.98"/>
        <n v="263.35000000000002"/>
        <n v="259.75"/>
        <n v="254"/>
        <n v="248.9"/>
        <n v="255.28"/>
        <n v="289.58999999999997"/>
        <n v="299.75"/>
        <n v="358.64"/>
        <n v="345.84"/>
        <n v="344.6"/>
        <n v="329.98"/>
        <n v="324.68"/>
        <n v="348.55"/>
        <n v="347.38"/>
        <n v="346.6"/>
        <n v="347.99"/>
        <n v="361.53"/>
        <n v="361.93"/>
        <n v="346.96"/>
        <n v="342.55"/>
        <n v="345.45"/>
        <n v="360"/>
        <n v="355.69"/>
        <n v="358.1"/>
        <n v="375.43"/>
        <n v="389.49"/>
        <n v="404.8"/>
        <n v="409.73"/>
        <n v="424.88"/>
        <n v="429.3"/>
        <n v="436.3"/>
        <n v="463.19"/>
        <n v="483.99"/>
        <n v="488.54"/>
        <n v="456.36"/>
        <n v="447.08"/>
        <n v="434.51"/>
        <n v="462.78"/>
        <n v="465.33"/>
        <n v="450"/>
        <n v="427"/>
        <n v="427.93"/>
        <n v="47.183"/>
        <n v="47.295000000000002"/>
        <n v="47.322000000000003"/>
        <n v="48.444000000000003"/>
        <n v="48.545999999999999"/>
        <n v="47.755000000000003"/>
        <n v="47.994"/>
        <n v="48.073"/>
        <n v="47.877000000000002"/>
        <n v="47.84"/>
        <n v="47.360999999999997"/>
        <n v="46.466000000000001"/>
        <n v="46.220999999999997"/>
        <n v="46.954000000000001"/>
        <n v="52.491999999999997"/>
        <n v="46.896000000000001"/>
        <n v="47.197000000000003"/>
        <n v="47.433"/>
        <n v="46.77"/>
        <n v="47.24"/>
        <n v="47.807000000000002"/>
        <n v="47.561"/>
        <n v="47.265000000000001"/>
        <n v="46.655000000000001"/>
        <n v="46.392000000000003"/>
        <n v="46.603000000000002"/>
        <n v="47.259"/>
        <n v="47.975000000000001"/>
        <n v="48.307000000000002"/>
        <n v="48.133000000000003"/>
        <n v="47.932000000000002"/>
        <n v="48.161999999999999"/>
        <n v="48.704000000000001"/>
        <n v="48.451000000000001"/>
        <n v="47.401000000000003"/>
        <n v="46.865000000000002"/>
        <n v="46.98"/>
        <n v="46.835999999999999"/>
        <n v="46.386000000000003"/>
        <n v="46.209000000000003"/>
        <n v="46.356000000000002"/>
        <n v="46.287999999999997"/>
        <n v="46.517000000000003"/>
        <n v="45.610999999999997"/>
        <n v="45.631"/>
        <n v="45.401000000000003"/>
        <n v="45.472999999999999"/>
        <n v="45.398000000000003"/>
        <n v="45.902999999999999"/>
        <n v="46.039000000000001"/>
        <n v="45.985999999999997"/>
        <n v="46.786999999999999"/>
        <n v="46.612000000000002"/>
        <n v="46.555999999999997"/>
        <n v="46.685000000000002"/>
        <n v="46.968000000000004"/>
        <n v="47.793999999999997"/>
        <n v="47.607999999999997"/>
        <n v="47.789000000000001"/>
        <n v="48.33"/>
        <n v="48.936"/>
        <n v="49.103999999999999"/>
        <n v="49.052"/>
        <n v="49.411000000000001"/>
        <n v="49.792999999999999"/>
        <n v="49.82"/>
        <n v="49.78"/>
        <n v="49.77"/>
        <n v="49.451000000000001"/>
        <n v="49.414000000000001"/>
        <n v="49.341999999999999"/>
        <n v="49.563000000000002"/>
        <n v="49.915999999999997"/>
        <n v="49.908999999999999"/>
        <n v="50.209000000000003"/>
        <n v="50.423000000000002"/>
        <n v="50.686999999999998"/>
        <n v="50.09"/>
        <n v="50.165999999999997"/>
        <n v="50.287999999999997"/>
        <n v="49.942"/>
        <n v="50.143000000000001"/>
        <n v="49.966000000000001"/>
        <n v="50.304000000000002"/>
        <n v="50.615000000000002"/>
        <n v="50.691000000000003"/>
        <n v="51.078000000000003"/>
        <n v="50.720999999999997"/>
        <n v="50.984999999999999"/>
        <n v="50.912999999999997"/>
        <n v="50.145000000000003"/>
        <n v="50.018999999999998"/>
        <n v="51.058"/>
        <n v="50.122"/>
        <n v="49.664999999999999"/>
        <n v="49.261000000000003"/>
        <n v="49.155000000000001"/>
        <n v="48.790999999999997"/>
        <n v="48.585000000000001"/>
        <n v="48.741999999999997"/>
        <n v="48.747999999999998"/>
        <n v="48.944000000000003"/>
        <n v="49.313000000000002"/>
        <n v="50.052"/>
        <n v="49.701000000000001"/>
        <n v="49.758000000000003"/>
        <n v="50.442999999999998"/>
        <n v="50.869"/>
        <n v="51.061"/>
        <n v="51.462000000000003"/>
        <n v="52.064"/>
        <n v="52.362000000000002"/>
        <n v="52.335999999999999"/>
        <n v="51.442"/>
        <n v="51.404000000000003"/>
        <n v="51.65"/>
        <n v="51.72"/>
        <n v="51.551000000000002"/>
        <n v="51.573999999999998"/>
        <n v="51.518000000000001"/>
        <n v="51.21"/>
        <n v="52.13"/>
        <n v="52.432000000000002"/>
        <n v="52.655999999999999"/>
        <n v="52.345999999999997"/>
        <n v="51.459000000000003"/>
        <n v="51.588000000000001"/>
        <n v="51.491999999999997"/>
        <n v="51.183999999999997"/>
        <n v="51.286999999999999"/>
        <n v="51.512"/>
        <n v="51.359000000000002"/>
        <n v="52.137"/>
        <n v="52.543999999999997"/>
        <n v="52.776000000000003"/>
        <n v="53.118000000000002"/>
        <n v="53.176000000000002"/>
        <n v="53.16"/>
        <n v="53.259"/>
        <n v="53.097000000000001"/>
        <n v="53.09"/>
        <n v="52.781999999999996"/>
        <n v="53.03"/>
        <n v="53.347999999999999"/>
        <n v="53.484000000000002"/>
        <n v="53.643000000000001"/>
        <n v="53.716999999999999"/>
        <n v="53.744"/>
        <n v="54.058999999999997"/>
        <n v="53.398000000000003"/>
        <n v="53.457999999999998"/>
        <n v="53.515000000000001"/>
        <n v="53.026000000000003"/>
        <n v="52.750999999999998"/>
        <n v="52.243000000000002"/>
        <n v="52.604999999999997"/>
        <n v="52.88"/>
        <n v="52.484999999999999"/>
        <n v="52.747"/>
        <n v="53.210999999999999"/>
        <n v="53.564"/>
        <n v="54.128999999999998"/>
        <n v="54.119"/>
        <n v="54.066000000000003"/>
        <n v="53.856999999999999"/>
        <n v="54.292000000000002"/>
        <n v="54.417999999999999"/>
        <n v="54.624000000000002"/>
        <n v="54.774000000000001"/>
        <n v="55.079000000000001"/>
        <n v="55.042000000000002"/>
        <n v="55.015999999999998"/>
        <n v="54.863"/>
        <n v="54.390999999999998"/>
        <n v="54.7"/>
        <n v="54.63"/>
        <n v="54.209000000000003"/>
        <n v="54.168999999999997"/>
        <n v="54.313000000000002"/>
        <n v="53.877000000000002"/>
        <n v="54.076000000000001"/>
        <n v="54.174999999999997"/>
        <n v="53.225999999999999"/>
        <n v="53.384"/>
        <n v="53.484999999999999"/>
        <n v="53.454999999999998"/>
        <n v="52.801000000000002"/>
        <n v="51.759"/>
        <n v="52.497999999999998"/>
        <n v="52.966999999999999"/>
        <n v="52.906999999999996"/>
        <n v="53.289000000000001"/>
        <n v="53.826999999999998"/>
        <n v="53.704000000000001"/>
        <n v="53.92"/>
        <n v="53.741"/>
        <n v="53.503"/>
        <n v="53.584000000000003"/>
        <n v="54.573999999999998"/>
        <n v="54.414999999999999"/>
        <n v="53.79"/>
        <n v="54.219000000000001"/>
        <n v="54.338000000000001"/>
        <n v="54.923000000000002"/>
        <n v="55.192"/>
        <n v="55.226999999999997"/>
        <n v="55.006"/>
        <n v="55.331000000000003"/>
        <n v="55.222000000000001"/>
        <n v="54.637"/>
        <n v="55.274999999999999"/>
        <n v="55.749000000000002"/>
        <n v="56.173000000000002"/>
        <n v="56.436999999999998"/>
        <n v="52.953000000000003"/>
        <n v="52.319000000000003"/>
        <n v="51.811"/>
        <n v="52.09"/>
        <n v="51.823999999999998"/>
        <n v="51.850999999999999"/>
        <n v="52.259"/>
        <n v="52.779000000000003"/>
        <n v="52.726999999999997"/>
        <n v="51.923999999999999"/>
        <n v="51.677999999999997"/>
        <n v="51.451999999999998"/>
        <n v="51.758000000000003"/>
        <n v="51.750999999999998"/>
        <n v="51.512999999999998"/>
        <n v="50.737000000000002"/>
        <n v="50.482999999999997"/>
        <n v="50.567"/>
        <n v="51.35"/>
        <n v="51.313000000000002"/>
        <n v="51.152999999999999"/>
        <n v="51.69"/>
        <n v="51.896999999999998"/>
        <n v="52.046999999999997"/>
        <n v="51.686999999999998"/>
        <n v="52.383000000000003"/>
        <n v="52.33"/>
        <n v="52.648000000000003"/>
        <n v="52.777000000000001"/>
        <n v="52.692999999999998"/>
        <n v="53.177999999999997"/>
        <n v="53.433"/>
        <n v="53.18"/>
        <n v="52.7"/>
        <n v="52.765000000000001"/>
        <n v="53.113"/>
        <n v="53.832999999999998"/>
        <n v="53.963000000000001"/>
        <n v="53.847999999999999"/>
        <n v="54.133000000000003"/>
        <n v="53.994999999999997"/>
        <n v="54.463000000000001"/>
        <n v="54.523000000000003"/>
        <n v="54.317"/>
        <n v="54.283000000000001"/>
        <n v="54.354999999999997"/>
        <n v="54.29"/>
        <n v="54.792999999999999"/>
        <n v="55.134999999999998"/>
        <n v="55.268000000000001"/>
        <n v="55.933"/>
        <n v="56.118000000000002"/>
        <n v="56.857999999999997"/>
        <n v="56.67"/>
        <n v="56.65"/>
        <n v="56.887"/>
        <n v="56.85"/>
        <n v="56.576999999999998"/>
        <n v="56.786999999999999"/>
        <n v="57.023000000000003"/>
        <n v="56.292000000000002"/>
        <n v="56.616999999999997"/>
        <n v="57.31"/>
        <n v="60.45"/>
        <n v="58.527000000000001"/>
        <n v="58.49"/>
        <n v="59.216999999999999"/>
        <n v="59.84"/>
        <n v="59.8"/>
        <n v="59.76"/>
        <n v="59.49"/>
        <n v="58.85"/>
        <n v="59.39"/>
        <n v="60.34"/>
        <n v="60.62"/>
        <n v="61.07"/>
        <n v="60.28"/>
        <n v="60.71"/>
        <n v="61.564999999999998"/>
        <n v="61.454999999999998"/>
        <n v="61.44"/>
        <n v="61.15"/>
        <n v="60.9"/>
        <n v="61.28"/>
        <n v="61.655000000000001"/>
        <n v="61.526000000000003"/>
        <n v="60.984999999999999"/>
        <n v="60.83"/>
        <n v="61.05"/>
        <n v="60.77"/>
        <n v="60.76"/>
        <n v="60.1"/>
        <n v="59.5"/>
        <n v="59.81"/>
        <n v="60.04"/>
        <n v="59.97"/>
        <n v="60.89"/>
        <n v="60.72"/>
        <n v="60.7"/>
        <n v="60.29"/>
        <n v="60.43"/>
        <n v="59.935000000000002"/>
        <n v="59.67"/>
        <n v="60.395000000000003"/>
        <n v="60.35"/>
        <n v="60.53"/>
        <n v="60.39"/>
        <n v="60.3"/>
        <n v="59.41"/>
        <n v="59.884999999999998"/>
        <n v="59.98"/>
        <n v="60"/>
        <n v="60.8"/>
        <n v="60.844999999999999"/>
        <n v="60.58"/>
        <n v="61.344999999999999"/>
        <n v="60.55"/>
        <n v="59.94"/>
        <n v="64.415000000000006"/>
        <n v="64.88"/>
        <n v="64.760000000000005"/>
        <n v="65.19"/>
        <n v="65.69"/>
        <n v="65.515000000000001"/>
        <n v="65.47"/>
        <n v="65.209999999999994"/>
        <n v="65.171000000000006"/>
        <n v="65.900000000000006"/>
        <n v="65.84"/>
        <n v="66.635000000000005"/>
        <n v="67.150000000000006"/>
        <n v="67.44"/>
        <n v="67.564999999999998"/>
        <n v="67.33"/>
        <n v="66.959999999999994"/>
        <n v="66.94"/>
        <n v="66.760000000000005"/>
        <n v="67.11"/>
        <n v="67.87"/>
        <n v="68.13"/>
        <n v="68.55"/>
        <n v="69.040000000000006"/>
        <n v="67.59"/>
        <n v="68.599999999999994"/>
        <n v="68.58"/>
        <n v="68.097999999999999"/>
        <n v="68.239999999999995"/>
        <n v="68.084999999999994"/>
        <n v="68.25"/>
        <n v="70.150000000000006"/>
        <n v="70.14"/>
        <n v="70.25"/>
        <n v="70.44"/>
        <n v="70.45"/>
        <n v="70.03"/>
        <n v="69.974999999999994"/>
        <n v="70.239999999999995"/>
        <n v="71.099999999999994"/>
        <n v="71.19"/>
        <n v="71.33"/>
        <n v="71.260000000000005"/>
        <n v="70.7"/>
        <n v="70.84"/>
        <n v="70.77"/>
        <n v="70.234999999999999"/>
        <n v="69.900000000000006"/>
        <n v="69.844999999999999"/>
        <n v="69.25"/>
        <n v="69.8"/>
        <n v="68.63"/>
        <n v="68.010000000000005"/>
        <n v="67.92"/>
        <n v="68.22"/>
        <n v="69.224999999999994"/>
        <n v="68.61"/>
        <n v="68.790000000000006"/>
        <n v="74.44"/>
        <n v="73.605000000000004"/>
        <n v="73.98"/>
        <n v="74.75"/>
        <n v="75.58"/>
        <n v="76.22"/>
        <n v="75.81"/>
        <n v="76.204999999999998"/>
        <n v="76.45"/>
        <n v="76.430000000000007"/>
        <n v="76.47"/>
        <n v="77.474999999999994"/>
        <n v="77.81"/>
        <n v="77.48"/>
        <n v="77.45"/>
        <n v="77.319999999999993"/>
        <n v="77.47"/>
        <n v="78.900000000000006"/>
        <n v="78.92"/>
        <n v="79.905000000000001"/>
        <n v="80.685000000000002"/>
        <n v="81.02"/>
        <n v="80.260000000000005"/>
        <n v="79.41"/>
        <n v="79.09"/>
        <n v="79.61"/>
        <n v="80.436999999999998"/>
        <n v="80.91"/>
        <n v="81.599999999999994"/>
        <n v="81.2"/>
        <n v="80.287000000000006"/>
        <n v="80.94"/>
        <n v="81.53"/>
        <n v="80.989999999999995"/>
        <n v="80.575000000000003"/>
        <n v="81.114999999999995"/>
        <n v="79.819999999999993"/>
        <n v="80.5"/>
        <n v="80.319999999999993"/>
        <n v="80.13"/>
        <n v="80.510000000000005"/>
        <n v="81.819999999999993"/>
        <n v="81.66"/>
        <n v="81.5"/>
        <n v="81.69"/>
        <n v="81.55"/>
        <n v="82.224999999999994"/>
        <n v="83.34"/>
        <n v="83.314999999999998"/>
        <n v="83.3"/>
        <n v="83.08"/>
        <n v="82.86"/>
        <n v="81.83"/>
        <n v="82.44"/>
        <n v="82.53"/>
        <n v="82.905000000000001"/>
        <n v="83.77"/>
        <n v="85.54"/>
        <n v="84.39"/>
        <n v="85.41"/>
        <n v="85.53"/>
        <n v="85.79"/>
        <n v="85.76"/>
        <n v="84.78"/>
        <n v="84.85"/>
        <n v="88.29"/>
        <n v="87.2"/>
        <n v="88.64"/>
        <n v="90.91"/>
        <n v="90.95"/>
        <n v="91.88"/>
        <n v="92.25"/>
        <n v="92.64"/>
        <n v="92.989000000000004"/>
        <n v="93.59"/>
        <n v="94.515000000000001"/>
        <n v="95.6"/>
        <n v="96.18"/>
        <n v="95.94"/>
        <n v="95.24"/>
        <n v="95.69"/>
        <n v="95.715000000000003"/>
        <n v="95.704999999999998"/>
        <n v="95.49"/>
        <n v="95.894999999999996"/>
        <n v="94.564999999999998"/>
        <n v="93.748999999999995"/>
        <n v="91.5"/>
        <n v="92.68"/>
        <n v="92.875"/>
        <n v="92.35"/>
        <n v="91.07"/>
        <n v="90.94"/>
        <n v="110.02"/>
        <n v="107.155"/>
        <n v="109.95"/>
        <n v="111.99"/>
        <n v="111.64"/>
        <n v="110.33"/>
        <n v="111.45"/>
        <n v="113.74"/>
        <n v="113.49"/>
        <n v="114.08"/>
        <n v="114.12"/>
        <n v="112.13"/>
        <n v="113.44"/>
        <n v="114.02"/>
        <n v="113.65"/>
        <n v="117.78"/>
        <n v="117.67"/>
        <n v="115.49"/>
        <n v="116.4"/>
        <n v="117.38"/>
        <n v="115.07"/>
        <n v="114.11"/>
        <n v="113.09"/>
        <n v="115.31"/>
        <n v="116.24"/>
        <n v="119.63"/>
        <n v="118.18"/>
        <n v="117.81"/>
        <n v="116.09"/>
        <n v="116.78"/>
        <n v="114.19"/>
        <n v="112.38"/>
        <n v="110.97"/>
        <n v="111.83"/>
        <n v="110.96"/>
        <n v="111.26"/>
        <n v="111.36"/>
        <n v="111.86"/>
        <n v="111.69499999999999"/>
        <n v="113.37"/>
        <n v="113.84"/>
        <n v="113.17"/>
        <n v="112.42"/>
        <n v="112.23"/>
        <n v="111.035"/>
        <n v="107.86"/>
        <n v="109.01"/>
        <n v="101.68"/>
        <n v="101.61499999999999"/>
        <n v="102.48"/>
        <n v="107.28"/>
        <n v="107.175"/>
        <n v="106.34"/>
        <n v="103.85"/>
        <n v="106.48"/>
        <n v="107.65"/>
        <n v="109.16"/>
        <n v="109.57"/>
        <n v="110.17"/>
        <n v="116.85"/>
        <n v="116.7"/>
        <n v="117"/>
        <n v="117.18"/>
        <n v="116.18"/>
        <n v="116.2"/>
        <n v="116.59"/>
        <n v="115.89"/>
        <n v="116.66"/>
        <n v="116.51"/>
        <n v="117.21"/>
        <n v="116.9"/>
        <n v="115.68"/>
        <n v="116.88"/>
        <n v="118.88500000000001"/>
        <n v="117.74"/>
        <n v="117.09"/>
        <n v="117.01"/>
        <n v="119.92"/>
        <n v="117.3"/>
        <n v="113.94"/>
        <n v="109.81"/>
        <n v="108.75"/>
        <n v="109.43"/>
        <n v="110.23"/>
        <n v="110.01"/>
        <n v="106.82"/>
        <n v="107.01"/>
        <n v="105.925"/>
        <n v="104.81"/>
        <n v="105.91"/>
        <n v="107.05"/>
        <n v="107.04"/>
        <n v="108.22"/>
        <n v="108.51"/>
        <n v="106.43"/>
        <n v="106.95"/>
        <n v="104.12"/>
        <n v="105.58"/>
        <n v="106.13"/>
        <n v="107.19"/>
        <n v="106.27"/>
        <n v="108.89"/>
        <n v="109.14"/>
        <n v="108.61"/>
        <n v="107.06"/>
        <n v="108.34"/>
        <n v="108.11"/>
        <n v="107.03"/>
        <n v="106.77"/>
        <n v="104.77"/>
        <n v="104.63"/>
        <n v="103.88500000000001"/>
        <n v="102.82"/>
        <n v="104.905"/>
        <n v="104.61"/>
        <n v="105.82"/>
        <n v="106.73"/>
        <n v="107.875"/>
        <n v="108.46"/>
        <n v="107.92"/>
        <n v="105.72"/>
        <n v="104"/>
        <n v="104.75"/>
        <n v="106.16"/>
        <n v="106.23"/>
        <n v="104.05"/>
        <n v="101.66500000000001"/>
        <n v="102.4"/>
        <n v="103.66"/>
        <n v="104.38"/>
        <n v="106.09"/>
        <n v="106.99"/>
        <n v="105.16"/>
        <n v="107.32"/>
        <n v="106.375"/>
        <n v="107.88"/>
        <n v="109.24"/>
        <n v="108.42"/>
        <n v="107.75"/>
        <n v="110.41500000000001"/>
        <n v="111.63"/>
        <n v="112.07"/>
        <n v="111.98"/>
        <n v="109.33"/>
        <n v="110.145"/>
        <n v="110.19499999999999"/>
        <n v="110.979"/>
        <n v="109.72"/>
        <n v="107.3"/>
        <n v="107.765"/>
        <n v="108.93"/>
        <n v="110.04"/>
        <n v="111.14"/>
        <n v="111.417"/>
        <n v="113.82"/>
        <n v="115.825"/>
        <n v="115.85"/>
        <n v="116.05"/>
        <n v="116.68"/>
        <n v="117.66500000000001"/>
        <n v="117.96"/>
        <n v="118.66"/>
        <n v="118.51"/>
        <n v="118.24"/>
        <n v="118.84"/>
        <n v="118.02"/>
        <n v="117.37"/>
        <n v="116.645"/>
        <n v="116.73"/>
        <n v="120.5"/>
        <n v="120.7"/>
        <n v="119.18"/>
        <n v="117.79"/>
        <n v="116.44"/>
        <n v="114.09"/>
        <n v="110.9"/>
        <n v="108.27"/>
        <n v="107.17"/>
        <n v="107.84"/>
        <n v="110.2"/>
        <n v="110.68"/>
        <n v="111.8"/>
        <n v="113.39"/>
        <n v="113.965"/>
        <n v="113.32"/>
        <n v="109.82"/>
        <n v="109.5"/>
        <n v="109.86"/>
        <n v="106.42"/>
        <n v="107.16500000000001"/>
        <n v="109.19"/>
        <n v="104.86"/>
        <n v="104.9"/>
        <n v="103.97"/>
        <n v="104.41"/>
        <n v="105.13500000000001"/>
        <n v="104.815"/>
        <n v="105.15"/>
        <n v="103.27"/>
        <n v="105.43"/>
        <n v="105.88"/>
        <n v="104.69499999999999"/>
        <n v="105.465"/>
        <n v="104.4"/>
        <n v="104.91"/>
        <n v="104.58"/>
        <n v="104.47799999999999"/>
        <n v="104.22"/>
        <n v="103.36"/>
        <n v="102.34"/>
        <n v="100.72"/>
        <n v="100.83499999999999"/>
        <n v="99.787000000000006"/>
        <n v="99.86"/>
        <n v="98.68"/>
        <n v="99.03"/>
        <n v="102.13500000000001"/>
        <n v="103.11"/>
        <n v="103.19"/>
        <n v="103.94"/>
        <n v="102.005"/>
        <n v="102.94"/>
        <n v="103.03"/>
        <n v="102.55"/>
        <n v="101.61"/>
        <n v="100.59"/>
        <n v="103.1"/>
        <n v="103.62"/>
        <n v="104.57"/>
        <n v="103.399"/>
        <n v="101.04"/>
        <n v="101.29"/>
        <n v="99.8"/>
        <n v="99.5"/>
        <n v="100.65"/>
        <n v="100.01"/>
        <n v="97.96"/>
        <n v="97.09"/>
        <n v="97.016000000000005"/>
        <n v="97.094999999999999"/>
        <n v="98.5"/>
        <n v="99.65"/>
        <n v="102.18"/>
        <n v="103.08"/>
        <n v="103.2"/>
        <n v="104.88"/>
        <n v="104.01"/>
        <n v="102.38"/>
        <n v="102.73"/>
        <n v="104.42"/>
        <n v="104.84"/>
        <n v="103.4"/>
        <n v="103.09"/>
        <n v="102.61499999999999"/>
        <n v="103.935"/>
        <n v="104.98"/>
        <n v="105.41"/>
        <n v="104.09"/>
        <n v="104.935"/>
        <n v="105.07"/>
        <n v="106.39"/>
        <n v="105.85"/>
        <n v="107.98"/>
        <n v="108.4"/>
        <n v="109.12"/>
        <n v="109.28"/>
        <n v="110.35"/>
        <n v="111.55"/>
        <n v="112.3"/>
        <n v="112.86"/>
        <n v="113.485"/>
        <n v="113.4"/>
        <n v="113.91"/>
        <n v="113.685"/>
        <n v="115.77500000000001"/>
        <n v="114.98"/>
        <n v="115.06"/>
        <n v="116.45"/>
        <n v="117.24"/>
        <n v="119.6"/>
        <n v="119.748"/>
        <n v="119.88"/>
        <n v="122.15"/>
        <n v="121.735"/>
        <n v="121.649"/>
        <n v="122.47"/>
        <n v="122.69"/>
        <n v="123.75"/>
        <n v="121.69"/>
        <n v="120.22"/>
        <n v="119.35"/>
        <n v="119.72"/>
        <n v="120.925"/>
        <n v="121.565"/>
        <n v="121.06"/>
        <n v="121.255"/>
        <n v="121.76"/>
        <n v="119.1"/>
        <n v="120.05"/>
        <n v="120.2"/>
        <n v="118.47"/>
        <n v="117.26"/>
        <n v="116.07"/>
        <n v="118.34"/>
        <n v="117.58"/>
        <n v="116.95399999999999"/>
        <n v="118.53"/>
        <n v="119.04"/>
        <n v="119.3"/>
        <n v="119.83"/>
        <n v="119.89"/>
        <n v="119.45"/>
        <n v="117.46"/>
        <n v="117.51"/>
        <n v="115.08"/>
        <n v="115.11"/>
        <n v="114.545"/>
        <n v="114.13"/>
        <n v="117.49"/>
        <n v="116.36"/>
        <n v="113.19"/>
        <n v="114.04"/>
        <n v="114.895"/>
        <n v="114.22"/>
        <n v="112.67"/>
        <n v="113.3"/>
        <n v="110.20699999999999"/>
        <n v="109.46"/>
        <n v="110.72"/>
        <n v="112.62"/>
        <n v="112.69499999999999"/>
        <n v="114.52500000000001"/>
        <n v="114.55"/>
        <n v="114.815"/>
        <n v="114.99"/>
        <n v="116.54"/>
        <n v="116.74"/>
        <n v="115.94"/>
        <n v="115.66"/>
        <n v="114.63"/>
        <n v="113.55"/>
        <n v="112.54"/>
        <n v="111.96"/>
        <n v="113.315"/>
        <n v="114.15"/>
        <n v="116.16"/>
        <n v="116.35"/>
        <n v="118.175"/>
        <n v="118.879"/>
        <n v="115.17"/>
        <n v="115.2"/>
        <n v="118.03"/>
        <n v="117.39"/>
        <n v="118.595"/>
        <n v="119.76"/>
        <n v="119.49"/>
        <n v="118.87"/>
        <n v="116.03"/>
        <n v="115.63"/>
        <n v="117.119"/>
        <n v="118.105"/>
        <n v="119.31"/>
        <n v="120.17"/>
        <n v="119.9"/>
        <n v="118.48"/>
        <n v="118.65"/>
        <n v="115.57"/>
        <n v="115.01"/>
        <n v="116.72"/>
        <n v="118.94"/>
        <n v="119.41"/>
        <n v="118.79"/>
        <n v="116.15"/>
        <n v="115.28"/>
        <n v="114.18"/>
        <n v="115.4"/>
        <n v="110.95"/>
        <n v="111.33"/>
        <n v="112.47"/>
        <n v="113.08499999999999"/>
        <n v="114.37"/>
        <n v="117.575"/>
        <n v="115.51"/>
        <n v="117.79300000000001"/>
        <n v="118.16"/>
        <n v="117.05"/>
        <n v="113.48"/>
        <n v="120.6"/>
        <n v="122.82"/>
        <n v="123.17"/>
        <n v="125.19"/>
        <n v="124.02"/>
        <n v="122.58"/>
        <n v="123.70099999999999"/>
        <n v="124.03400000000001"/>
        <n v="124.26"/>
        <n v="121.95"/>
        <n v="121.435"/>
        <n v="121.58"/>
        <n v="120.64"/>
        <n v="121.48"/>
        <n v="121.19"/>
        <n v="120.75"/>
        <n v="120.44"/>
        <n v="120.43"/>
        <n v="119.01"/>
        <n v="119.172"/>
        <n v="118.27"/>
        <n v="118.67"/>
        <n v="119.95"/>
        <n v="118.7"/>
        <n v="119.21"/>
        <n v="121.91"/>
        <n v="121.42"/>
        <n v="121.62"/>
        <n v="121.31"/>
        <n v="122.05"/>
        <n v="121.88"/>
        <n v="121.24"/>
        <n v="120.62"/>
        <n v="119.75"/>
        <n v="120.47"/>
        <n v="122.55500000000001"/>
        <n v="123.21"/>
        <n v="119.68"/>
        <n v="118.73"/>
        <n v="118.5"/>
        <n v="118.2"/>
        <n v="118.72"/>
        <n v="117.55"/>
        <n v="115.62"/>
        <n v="114.77"/>
        <n v="114.94"/>
        <n v="113.88"/>
        <n v="112.39"/>
        <n v="111.899"/>
        <n v="110.4"/>
        <n v="108.17"/>
        <n v="108.83"/>
        <n v="107.67"/>
        <n v="106.13500000000001"/>
        <n v="106.6"/>
        <n v="107.99"/>
        <n v="106.56"/>
        <n v="107.9"/>
      </sharedItems>
    </cacheField>
    <cacheField name="Low" numFmtId="0">
      <sharedItems containsSemiMixedTypes="0" containsString="0" containsNumber="1" minValue="14.023999999999999" maxValue="462.69799999999998"/>
    </cacheField>
    <cacheField name="Close" numFmtId="0">
      <sharedItems containsSemiMixedTypes="0" containsString="0" containsNumber="1" minValue="14.255000000000001" maxValue="479.86"/>
    </cacheField>
    <cacheField name="Volume" numFmtId="0">
      <sharedItems containsSemiMixedTypes="0" containsString="0" containsNumber="1" containsInteger="1" minValue="3164071" maxValue="1544771272"/>
    </cacheField>
    <cacheField name="Symbol" numFmtId="0">
      <sharedItems count="10">
        <s v="AAPL"/>
        <s v="AMZN"/>
        <s v="GOOGL"/>
        <s v="JNJ"/>
        <s v="JPM"/>
        <s v="MSFT"/>
        <s v="NVDA"/>
        <s v="TSLA"/>
        <s v="WMT"/>
        <s v="XOM"/>
      </sharedItems>
    </cacheField>
    <cacheField name="Company" numFmtId="0">
      <sharedItems/>
    </cacheField>
    <cacheField name="Sector" numFmtId="0">
      <sharedItems count="7">
        <s v="Technology"/>
        <s v="Consumer"/>
        <s v="Healthcare"/>
        <s v="Banking"/>
        <s v="Automotive"/>
        <s v="Retail"/>
        <s v="Energy"/>
      </sharedItems>
    </cacheField>
    <cacheField name="Daily_Return_%" numFmtId="0">
      <sharedItems containsString="0" containsBlank="1" containsNumber="1" minValue="-12.335000000000001" maxValue="24.37"/>
    </cacheField>
    <cacheField name="Month_Year" numFmtId="0">
      <sharedItems count="24">
        <s v="Jan-2023"/>
        <s v="Feb-2023"/>
        <s v="Mar-2023"/>
        <s v="Apr-2023"/>
        <s v="May-2023"/>
        <s v="Jun-2023"/>
        <s v="Jul-2023"/>
        <s v="Aug-2023"/>
        <s v="Sep-2023"/>
        <s v="Oct-2023"/>
        <s v="Nov-2023"/>
        <s v="Dec-2023"/>
        <s v="Jan-2024"/>
        <s v="Feb-2024"/>
        <s v="Mar-2024"/>
        <s v="Apr-2024"/>
        <s v="May-2024"/>
        <s v="Jun-2024"/>
        <s v="Jul-2024"/>
        <s v="Aug-2024"/>
        <s v="Sep-2024"/>
        <s v="Oct-2024"/>
        <s v="Nov-2024"/>
        <s v="Dec-2024"/>
      </sharedItems>
    </cacheField>
    <cacheField name="Year" numFmtId="0">
      <sharedItems containsSemiMixedTypes="0" containsString="0" containsNumber="1" containsInteger="1" minValue="2023" maxValue="2024" count="2">
        <n v="2023"/>
        <n v="2024"/>
      </sharedItems>
    </cacheField>
    <cacheField name="Month" numFmtId="0">
      <sharedItems/>
    </cacheField>
    <cacheField name="Profit_Loss" numFmtId="0">
      <sharedItems containsBlank="1"/>
    </cacheField>
    <cacheField name="Price Range" numFmtId="0">
      <sharedItems containsSemiMixedTypes="0" containsString="0" containsNumber="1" minValue="0.26200000000000045" maxValue="61.53000000000003"/>
    </cacheField>
    <cacheField name="CumulativeReturn%" numFmtId="0">
      <sharedItems containsSemiMixedTypes="0" containsString="0" containsNumber="1" minValue="-19.424000000000017" maxValue="258.52199999999993"/>
    </cacheField>
  </cacheFields>
  <extLst>
    <ext xmlns:x14="http://schemas.microsoft.com/office/spreadsheetml/2009/9/main" uri="{725AE2AE-9491-48be-B2B4-4EB974FC3084}">
      <x14:pivotCacheDefinition pivotCacheId="94529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0">
  <r>
    <s v="2023-01-03"/>
    <n v="128.22300000000001"/>
    <x v="0"/>
    <n v="122.211"/>
    <n v="123.09699999999999"/>
    <n v="113915392"/>
    <x v="0"/>
    <s v="Apple"/>
    <x v="0"/>
    <m/>
    <x v="0"/>
    <x v="0"/>
    <s v="January"/>
    <m/>
    <n v="6.6230000000000047"/>
    <n v="0"/>
  </r>
  <r>
    <s v="2023-01-04"/>
    <n v="124.887"/>
    <x v="1"/>
    <n v="123.10599999999999"/>
    <n v="124.36499999999999"/>
    <n v="90542662"/>
    <x v="0"/>
    <s v="Apple"/>
    <x v="0"/>
    <n v="1.03"/>
    <x v="0"/>
    <x v="0"/>
    <s v="January"/>
    <s v="Profit"/>
    <n v="3.5190000000000055"/>
    <n v="1.03"/>
  </r>
  <r>
    <s v="2023-01-05"/>
    <n v="125.124"/>
    <x v="2"/>
    <n v="122.79"/>
    <n v="123.048"/>
    <n v="82261029"/>
    <x v="0"/>
    <s v="Apple"/>
    <x v="0"/>
    <n v="-1.0589999999999999"/>
    <x v="0"/>
    <x v="0"/>
    <s v="January"/>
    <s v="Loss"/>
    <n v="2.9629999999999939"/>
    <n v="-2.8999999999999915E-2"/>
  </r>
  <r>
    <s v="2023-01-06"/>
    <n v="124.02200000000001"/>
    <x v="3"/>
    <n v="122.919"/>
    <n v="127.574"/>
    <n v="89161952"/>
    <x v="0"/>
    <s v="Apple"/>
    <x v="0"/>
    <n v="3.6779999999999999"/>
    <x v="0"/>
    <x v="0"/>
    <s v="January"/>
    <s v="Profit"/>
    <n v="5.3140000000000072"/>
    <n v="3.649"/>
  </r>
  <r>
    <s v="2023-01-09"/>
    <n v="128.405"/>
    <x v="4"/>
    <n v="127.84"/>
    <n v="128.096"/>
    <n v="71926017"/>
    <x v="0"/>
    <s v="Apple"/>
    <x v="0"/>
    <n v="0.40899999999999997"/>
    <x v="0"/>
    <x v="0"/>
    <s v="January"/>
    <s v="Profit"/>
    <n v="3.4660000000000082"/>
    <n v="4.0579999999999998"/>
  </r>
  <r>
    <s v="2023-01-10"/>
    <n v="128.203"/>
    <x v="5"/>
    <n v="126.1"/>
    <n v="128.66800000000001"/>
    <n v="64920796"/>
    <x v="0"/>
    <s v="Apple"/>
    <x v="0"/>
    <n v="0.44700000000000001"/>
    <x v="0"/>
    <x v="0"/>
    <s v="January"/>
    <s v="Profit"/>
    <n v="3.0910000000000082"/>
    <n v="4.5049999999999999"/>
  </r>
  <r>
    <s v="2023-01-11"/>
    <n v="129.178"/>
    <x v="6"/>
    <n v="128.4"/>
    <n v="131.38399999999999"/>
    <n v="70572795"/>
    <x v="0"/>
    <s v="Apple"/>
    <x v="0"/>
    <n v="2.1110000000000002"/>
    <x v="0"/>
    <x v="0"/>
    <s v="January"/>
    <s v="Profit"/>
    <n v="3.0029999999999859"/>
    <n v="6.6159999999999997"/>
  </r>
  <r>
    <s v="2023-01-12"/>
    <n v="131.76599999999999"/>
    <x v="7"/>
    <n v="129.36500000000001"/>
    <n v="131.30600000000001"/>
    <n v="72524295"/>
    <x v="0"/>
    <s v="Apple"/>
    <x v="0"/>
    <n v="-5.8999999999999997E-2"/>
    <x v="0"/>
    <x v="0"/>
    <s v="January"/>
    <s v="Loss"/>
    <n v="2.7749999999999773"/>
    <n v="6.5569999999999995"/>
  </r>
  <r>
    <s v="2023-01-13"/>
    <n v="129.946"/>
    <x v="8"/>
    <n v="129.583"/>
    <n v="132.63300000000001"/>
    <n v="58736757"/>
    <x v="0"/>
    <s v="Apple"/>
    <x v="0"/>
    <n v="1.0109999999999999"/>
    <x v="0"/>
    <x v="0"/>
    <s v="January"/>
    <s v="Profit"/>
    <n v="3.2059999999999889"/>
    <n v="7.5679999999999996"/>
  </r>
  <r>
    <s v="2023-01-17"/>
    <n v="132.69999999999999"/>
    <x v="9"/>
    <n v="132.01300000000001"/>
    <n v="133.79499999999999"/>
    <n v="64667267"/>
    <x v="0"/>
    <s v="Apple"/>
    <x v="0"/>
    <n v="0.876"/>
    <x v="0"/>
    <x v="0"/>
    <s v="January"/>
    <s v="Profit"/>
    <n v="3.11099999999999"/>
    <n v="8.4439999999999991"/>
  </r>
  <r>
    <s v="2023-01-18"/>
    <n v="134.655"/>
    <x v="10"/>
    <n v="132.898"/>
    <n v="133.077"/>
    <n v="70790075"/>
    <x v="0"/>
    <s v="Apple"/>
    <x v="0"/>
    <n v="-0.53700000000000003"/>
    <x v="0"/>
    <x v="0"/>
    <s v="January"/>
    <s v="Loss"/>
    <n v="3.5250000000000057"/>
    <n v="7.9069999999999991"/>
  </r>
  <r>
    <s v="2023-01-19"/>
    <n v="131.964"/>
    <x v="11"/>
    <n v="131.65899999999999"/>
    <n v="133.136"/>
    <n v="59215000"/>
    <x v="0"/>
    <s v="Apple"/>
    <x v="0"/>
    <n v="4.3999999999999997E-2"/>
    <x v="0"/>
    <x v="0"/>
    <s v="January"/>
    <s v="Profit"/>
    <n v="2.4420000000000073"/>
    <n v="7.9509999999999987"/>
  </r>
  <r>
    <s v="2023-01-20"/>
    <n v="133.14599999999999"/>
    <x v="12"/>
    <n v="132.101"/>
    <n v="135.69499999999999"/>
    <n v="81510095"/>
    <x v="0"/>
    <s v="Apple"/>
    <x v="0"/>
    <n v="1.9219999999999999"/>
    <x v="0"/>
    <x v="0"/>
    <s v="January"/>
    <s v="Profit"/>
    <n v="3.7410000000000139"/>
    <n v="9.8729999999999993"/>
  </r>
  <r>
    <s v="2023-01-23"/>
    <n v="135.94"/>
    <x v="13"/>
    <n v="135.72300000000001"/>
    <n v="138.881"/>
    <n v="83071425"/>
    <x v="0"/>
    <s v="Apple"/>
    <x v="0"/>
    <n v="2.3479999999999999"/>
    <x v="0"/>
    <x v="0"/>
    <s v="January"/>
    <s v="Profit"/>
    <n v="5.3289999999999793"/>
    <n v="12.221"/>
  </r>
  <r>
    <s v="2023-01-24"/>
    <n v="138.089"/>
    <x v="14"/>
    <n v="138.084"/>
    <n v="140.279"/>
    <n v="67500498"/>
    <x v="0"/>
    <s v="Apple"/>
    <x v="0"/>
    <n v="1.0069999999999999"/>
    <x v="0"/>
    <x v="0"/>
    <s v="January"/>
    <s v="Profit"/>
    <n v="2.8170000000000073"/>
    <n v="13.228"/>
  </r>
  <r>
    <s v="2023-01-25"/>
    <n v="138.66499999999999"/>
    <x v="15"/>
    <n v="136.61799999999999"/>
    <n v="139.62"/>
    <n v="66854510"/>
    <x v="0"/>
    <s v="Apple"/>
    <x v="0"/>
    <n v="-0.47"/>
    <x v="0"/>
    <x v="0"/>
    <s v="January"/>
    <s v="Loss"/>
    <n v="3.563999999999993"/>
    <n v="12.757999999999999"/>
  </r>
  <r>
    <s v="2023-01-26"/>
    <n v="140.91"/>
    <x v="16"/>
    <n v="139.65899999999999"/>
    <n v="141.68799999999999"/>
    <n v="54972699"/>
    <x v="0"/>
    <s v="Apple"/>
    <x v="0"/>
    <n v="1.4810000000000001"/>
    <x v="0"/>
    <x v="0"/>
    <s v="January"/>
    <s v="Profit"/>
    <n v="2.3140000000000214"/>
    <n v="14.238999999999999"/>
  </r>
  <r>
    <s v="2023-01-27"/>
    <n v="140.89599999999999"/>
    <x v="17"/>
    <n v="140.82300000000001"/>
    <n v="143.62899999999999"/>
    <n v="71687279"/>
    <x v="0"/>
    <s v="Apple"/>
    <x v="0"/>
    <n v="1.37"/>
    <x v="0"/>
    <x v="0"/>
    <s v="January"/>
    <s v="Profit"/>
    <n v="4.0819999999999936"/>
    <n v="15.608999999999998"/>
  </r>
  <r>
    <s v="2023-01-30"/>
    <n v="142.667"/>
    <x v="18"/>
    <n v="140.595"/>
    <n v="140.744"/>
    <n v="65041825"/>
    <x v="0"/>
    <s v="Apple"/>
    <x v="0"/>
    <n v="-2.0089999999999999"/>
    <x v="0"/>
    <x v="0"/>
    <s v="January"/>
    <s v="Loss"/>
    <n v="2.657999999999987"/>
    <n v="13.599999999999998"/>
  </r>
  <r>
    <s v="2023-01-31"/>
    <n v="140.447"/>
    <x v="19"/>
    <n v="140.036"/>
    <n v="142.01300000000001"/>
    <n v="66930825"/>
    <x v="0"/>
    <s v="Apple"/>
    <x v="0"/>
    <n v="0.90200000000000002"/>
    <x v="0"/>
    <x v="0"/>
    <s v="January"/>
    <s v="Profit"/>
    <n v="2.0250000000000057"/>
    <n v="14.501999999999997"/>
  </r>
  <r>
    <s v="2023-02-01"/>
    <n v="141.69800000000001"/>
    <x v="20"/>
    <n v="139.09"/>
    <n v="143.13300000000001"/>
    <n v="78909050"/>
    <x v="0"/>
    <s v="Apple"/>
    <x v="0"/>
    <n v="0.78900000000000003"/>
    <x v="1"/>
    <x v="0"/>
    <s v="February"/>
    <s v="Profit"/>
    <n v="5.2059999999999889"/>
    <n v="15.290999999999997"/>
  </r>
  <r>
    <s v="2023-02-02"/>
    <n v="146.55000000000001"/>
    <x v="21"/>
    <n v="145.83199999999999"/>
    <n v="148.43899999999999"/>
    <n v="120236670"/>
    <x v="0"/>
    <s v="Apple"/>
    <x v="0"/>
    <n v="3.7069999999999999"/>
    <x v="1"/>
    <x v="0"/>
    <s v="February"/>
    <s v="Profit"/>
    <n v="2.9629999999999939"/>
    <n v="18.997999999999998"/>
  </r>
  <r>
    <s v="2023-02-03"/>
    <n v="145.69300000000001"/>
    <x v="22"/>
    <n v="145.49700000000001"/>
    <n v="152.06100000000001"/>
    <n v="156832618"/>
    <x v="0"/>
    <s v="Apple"/>
    <x v="0"/>
    <n v="2.44"/>
    <x v="1"/>
    <x v="0"/>
    <s v="February"/>
    <s v="Profit"/>
    <n v="9.3999999999999773"/>
    <n v="21.437999999999999"/>
  </r>
  <r>
    <s v="2023-02-06"/>
    <n v="150.166"/>
    <x v="23"/>
    <n v="148.399"/>
    <n v="149.33600000000001"/>
    <n v="70978557"/>
    <x v="0"/>
    <s v="Apple"/>
    <x v="0"/>
    <n v="-1.792"/>
    <x v="1"/>
    <x v="0"/>
    <s v="February"/>
    <s v="Loss"/>
    <n v="2.2849999999999966"/>
    <n v="19.645999999999997"/>
  </r>
  <r>
    <s v="2023-02-07"/>
    <n v="148.26"/>
    <x v="24"/>
    <n v="148.26"/>
    <n v="152.21"/>
    <n v="84658715"/>
    <x v="0"/>
    <s v="Apple"/>
    <x v="0"/>
    <n v="1.925"/>
    <x v="1"/>
    <x v="0"/>
    <s v="February"/>
    <s v="Profit"/>
    <n v="4.5190000000000055"/>
    <n v="21.570999999999998"/>
  </r>
  <r>
    <s v="2023-02-08"/>
    <n v="151.45099999999999"/>
    <x v="25"/>
    <n v="148.78399999999999"/>
    <n v="149.52199999999999"/>
    <n v="65148311"/>
    <x v="0"/>
    <s v="Apple"/>
    <x v="0"/>
    <n v="-1.766"/>
    <x v="1"/>
    <x v="0"/>
    <s v="February"/>
    <s v="Loss"/>
    <n v="3.3559999999999945"/>
    <n v="19.805"/>
  </r>
  <r>
    <s v="2023-02-09"/>
    <n v="151.34899999999999"/>
    <x v="26"/>
    <n v="148.047"/>
    <n v="148.489"/>
    <n v="56905275"/>
    <x v="0"/>
    <s v="Apple"/>
    <x v="0"/>
    <n v="-0.69099999999999995"/>
    <x v="1"/>
    <x v="0"/>
    <s v="February"/>
    <s v="Loss"/>
    <n v="3.8460000000000036"/>
    <n v="19.114000000000001"/>
  </r>
  <r>
    <s v="2023-02-10"/>
    <n v="147.32499999999999"/>
    <x v="27"/>
    <n v="147.09"/>
    <n v="148.85499999999999"/>
    <n v="58283001"/>
    <x v="0"/>
    <s v="Apple"/>
    <x v="0"/>
    <n v="0.246"/>
    <x v="1"/>
    <x v="0"/>
    <s v="February"/>
    <s v="Profit"/>
    <n v="2.0869999999999891"/>
    <n v="19.36"/>
  </r>
  <r>
    <s v="2023-02-13"/>
    <n v="148.797"/>
    <x v="28"/>
    <n v="148.76599999999999"/>
    <n v="151.654"/>
    <n v="63100096"/>
    <x v="0"/>
    <s v="Apple"/>
    <x v="0"/>
    <n v="1.88"/>
    <x v="1"/>
    <x v="0"/>
    <s v="February"/>
    <s v="Profit"/>
    <n v="3.2909999999999968"/>
    <n v="21.24"/>
  </r>
  <r>
    <s v="2023-02-14"/>
    <n v="149.947"/>
    <x v="29"/>
    <n v="148.70699999999999"/>
    <n v="151.012"/>
    <n v="62601536"/>
    <x v="0"/>
    <s v="Apple"/>
    <x v="0"/>
    <n v="-0.42299999999999999"/>
    <x v="1"/>
    <x v="0"/>
    <s v="February"/>
    <s v="Loss"/>
    <n v="2.867999999999995"/>
    <n v="20.817"/>
  </r>
  <r>
    <s v="2023-02-15"/>
    <n v="150.92400000000001"/>
    <x v="30"/>
    <n v="150.697"/>
    <n v="153.113"/>
    <n v="66620609"/>
    <x v="0"/>
    <s v="Apple"/>
    <x v="0"/>
    <n v="1.391"/>
    <x v="1"/>
    <x v="0"/>
    <s v="February"/>
    <s v="Profit"/>
    <n v="2.5819999999999936"/>
    <n v="22.207999999999998"/>
  </r>
  <r>
    <s v="2023-02-16"/>
    <n v="151.31800000000001"/>
    <x v="31"/>
    <n v="151.15700000000001"/>
    <n v="151.51499999999999"/>
    <n v="69155497"/>
    <x v="0"/>
    <s v="Apple"/>
    <x v="0"/>
    <n v="-1.044"/>
    <x v="1"/>
    <x v="0"/>
    <s v="February"/>
    <s v="Loss"/>
    <n v="2.9399999999999977"/>
    <n v="21.163999999999998"/>
  </r>
  <r>
    <s v="2023-02-17"/>
    <n v="150.17400000000001"/>
    <x v="32"/>
    <n v="148.69800000000001"/>
    <n v="150.37100000000001"/>
    <n v="60000945"/>
    <x v="0"/>
    <s v="Apple"/>
    <x v="0"/>
    <n v="-0.755"/>
    <x v="1"/>
    <x v="0"/>
    <s v="February"/>
    <s v="Loss"/>
    <n v="2.117999999999995"/>
    <n v="20.408999999999999"/>
  </r>
  <r>
    <s v="2023-02-21"/>
    <n v="148.05600000000001"/>
    <x v="33"/>
    <n v="146.286"/>
    <n v="146.35900000000001"/>
    <n v="59720045"/>
    <x v="0"/>
    <s v="Apple"/>
    <x v="0"/>
    <n v="-2.6680000000000001"/>
    <x v="1"/>
    <x v="0"/>
    <s v="February"/>
    <s v="Loss"/>
    <n v="2.8509999999999991"/>
    <n v="17.741"/>
  </r>
  <r>
    <s v="2023-02-22"/>
    <n v="146.745"/>
    <x v="34"/>
    <n v="145.059"/>
    <n v="146.78399999999999"/>
    <n v="51750310"/>
    <x v="0"/>
    <s v="Apple"/>
    <x v="0"/>
    <n v="0.28999999999999998"/>
    <x v="1"/>
    <x v="0"/>
    <s v="February"/>
    <s v="Profit"/>
    <n v="2.7510000000000048"/>
    <n v="18.030999999999999"/>
  </r>
  <r>
    <s v="2023-02-23"/>
    <n v="147.947"/>
    <x v="35"/>
    <n v="145.13800000000001"/>
    <n v="147.26599999999999"/>
    <n v="49095340"/>
    <x v="0"/>
    <s v="Apple"/>
    <x v="0"/>
    <n v="0.32800000000000001"/>
    <x v="1"/>
    <x v="0"/>
    <s v="February"/>
    <s v="Profit"/>
    <n v="3.0529999999999973"/>
    <n v="18.358999999999998"/>
  </r>
  <r>
    <s v="2023-02-24"/>
    <n v="145.00899999999999"/>
    <x v="36"/>
    <n v="143.64099999999999"/>
    <n v="144.61500000000001"/>
    <n v="56273199"/>
    <x v="0"/>
    <s v="Apple"/>
    <x v="0"/>
    <n v="-1.8"/>
    <x v="1"/>
    <x v="0"/>
    <s v="February"/>
    <s v="Loss"/>
    <n v="1.4480000000000075"/>
    <n v="16.558999999999997"/>
  </r>
  <r>
    <s v="2023-02-27"/>
    <n v="145.6"/>
    <x v="37"/>
    <n v="145.345"/>
    <n v="145.809"/>
    <n v="45650367"/>
    <x v="0"/>
    <s v="Apple"/>
    <x v="0"/>
    <n v="0.82599999999999996"/>
    <x v="1"/>
    <x v="0"/>
    <s v="February"/>
    <s v="Profit"/>
    <n v="1.6949999999999932"/>
    <n v="17.384999999999998"/>
  </r>
  <r>
    <s v="2023-02-28"/>
    <n v="144.94900000000001"/>
    <x v="38"/>
    <n v="144.733"/>
    <n v="145.30500000000001"/>
    <n v="51279277"/>
    <x v="0"/>
    <s v="Apple"/>
    <x v="0"/>
    <n v="-0.34599999999999997"/>
    <x v="1"/>
    <x v="0"/>
    <s v="February"/>
    <s v="Loss"/>
    <n v="2.2169999999999845"/>
    <n v="17.038999999999998"/>
  </r>
  <r>
    <s v="2023-03-01"/>
    <n v="144.733"/>
    <x v="39"/>
    <n v="142.93899999999999"/>
    <n v="143.23500000000001"/>
    <n v="56282720"/>
    <x v="0"/>
    <s v="Apple"/>
    <x v="0"/>
    <n v="-1.425"/>
    <x v="2"/>
    <x v="0"/>
    <s v="March"/>
    <s v="Loss"/>
    <n v="2.1870000000000118"/>
    <n v="15.613999999999997"/>
  </r>
  <r>
    <s v="2023-03-02"/>
    <n v="142.32"/>
    <x v="40"/>
    <n v="141.84299999999999"/>
    <n v="143.82499999999999"/>
    <n v="53037142"/>
    <x v="0"/>
    <s v="Apple"/>
    <x v="0"/>
    <n v="0.41199999999999998"/>
    <x v="2"/>
    <x v="0"/>
    <s v="March"/>
    <s v="Profit"/>
    <n v="2.7720000000000198"/>
    <n v="16.025999999999996"/>
  </r>
  <r>
    <s v="2023-03-03"/>
    <n v="145.93199999999999"/>
    <x v="41"/>
    <n v="145.227"/>
    <n v="148.875"/>
    <n v="71757002"/>
    <x v="0"/>
    <s v="Apple"/>
    <x v="0"/>
    <n v="3.5110000000000001"/>
    <x v="2"/>
    <x v="0"/>
    <s v="March"/>
    <s v="Profit"/>
    <n v="3.7249999999999943"/>
    <n v="19.536999999999995"/>
  </r>
  <r>
    <s v="2023-03-06"/>
    <n v="151.59"/>
    <x v="42"/>
    <n v="151.268"/>
    <n v="151.63499999999999"/>
    <n v="88826490"/>
    <x v="0"/>
    <s v="Apple"/>
    <x v="0"/>
    <n v="1.8540000000000001"/>
    <x v="2"/>
    <x v="0"/>
    <s v="March"/>
    <s v="Profit"/>
    <n v="2.8019999999999925"/>
    <n v="21.390999999999995"/>
  </r>
  <r>
    <s v="2023-03-07"/>
    <n v="151.505"/>
    <x v="43"/>
    <n v="148.97"/>
    <n v="149.43600000000001"/>
    <n v="56995942"/>
    <x v="0"/>
    <s v="Apple"/>
    <x v="0"/>
    <n v="-1.45"/>
    <x v="2"/>
    <x v="0"/>
    <s v="March"/>
    <s v="Loss"/>
    <n v="2.8590000000000089"/>
    <n v="19.940999999999995"/>
  </r>
  <r>
    <s v="2023-03-08"/>
    <n v="150.62799999999999"/>
    <x v="44"/>
    <n v="149.66200000000001"/>
    <n v="150.68700000000001"/>
    <n v="47888651"/>
    <x v="0"/>
    <s v="Apple"/>
    <x v="0"/>
    <n v="0.83699999999999997"/>
    <x v="2"/>
    <x v="0"/>
    <s v="March"/>
    <s v="Profit"/>
    <n v="1.6159999999999854"/>
    <n v="20.777999999999995"/>
  </r>
  <r>
    <s v="2023-03-09"/>
    <n v="151.36699999999999"/>
    <x v="45"/>
    <n v="148.078"/>
    <n v="148.43899999999999"/>
    <n v="54613474"/>
    <x v="0"/>
    <s v="Apple"/>
    <x v="0"/>
    <n v="-1.492"/>
    <x v="2"/>
    <x v="0"/>
    <s v="March"/>
    <s v="Loss"/>
    <n v="4.2510000000000048"/>
    <n v="19.285999999999994"/>
  </r>
  <r>
    <s v="2023-03-10"/>
    <n v="148.06399999999999"/>
    <x v="46"/>
    <n v="145.50200000000001"/>
    <n v="146.37899999999999"/>
    <n v="69565815"/>
    <x v="0"/>
    <s v="Apple"/>
    <x v="0"/>
    <n v="-1.3879999999999999"/>
    <x v="2"/>
    <x v="0"/>
    <s v="March"/>
    <s v="Loss"/>
    <n v="3.2839999999999918"/>
    <n v="17.897999999999996"/>
  </r>
  <r>
    <s v="2023-03-13"/>
    <n v="145.69399999999999"/>
    <x v="47"/>
    <n v="145.59"/>
    <n v="148.32"/>
    <n v="85680661"/>
    <x v="0"/>
    <s v="Apple"/>
    <x v="0"/>
    <n v="1.3260000000000001"/>
    <x v="2"/>
    <x v="0"/>
    <s v="March"/>
    <s v="Profit"/>
    <n v="5.3629999999999995"/>
    <n v="19.223999999999997"/>
  </r>
  <r>
    <s v="2023-03-14"/>
    <n v="149.11799999999999"/>
    <x v="48"/>
    <n v="147.95699999999999"/>
    <n v="150.411"/>
    <n v="74763532"/>
    <x v="0"/>
    <s v="Apple"/>
    <x v="0"/>
    <n v="1.41"/>
    <x v="2"/>
    <x v="0"/>
    <s v="March"/>
    <s v="Profit"/>
    <n v="3.2520000000000095"/>
    <n v="20.633999999999997"/>
  </r>
  <r>
    <s v="2023-03-15"/>
    <n v="149.03"/>
    <x v="49"/>
    <n v="147.78100000000001"/>
    <n v="150.80600000000001"/>
    <n v="78285805"/>
    <x v="0"/>
    <s v="Apple"/>
    <x v="0"/>
    <n v="0.26300000000000001"/>
    <x v="2"/>
    <x v="0"/>
    <s v="March"/>
    <s v="Profit"/>
    <n v="3.2750000000000057"/>
    <n v="20.896999999999998"/>
  </r>
  <r>
    <s v="2023-03-16"/>
    <n v="149.98599999999999"/>
    <x v="50"/>
    <n v="149.476"/>
    <n v="153.624"/>
    <n v="77359125"/>
    <x v="0"/>
    <s v="Apple"/>
    <x v="0"/>
    <n v="1.869"/>
    <x v="2"/>
    <x v="0"/>
    <s v="March"/>
    <s v="Profit"/>
    <n v="4.7489999999999952"/>
    <n v="22.765999999999998"/>
  </r>
  <r>
    <s v="2023-03-17"/>
    <n v="153.852"/>
    <x v="51"/>
    <n v="152.077"/>
    <n v="152.786"/>
    <n v="100378055"/>
    <x v="0"/>
    <s v="Apple"/>
    <x v="0"/>
    <n v="-0.54500000000000004"/>
    <x v="2"/>
    <x v="0"/>
    <s v="March"/>
    <s v="Loss"/>
    <n v="2.4230000000000018"/>
    <n v="22.220999999999997"/>
  </r>
  <r>
    <s v="2023-03-20"/>
    <n v="152.85599999999999"/>
    <x v="52"/>
    <n v="151.94800000000001"/>
    <n v="155.15199999999999"/>
    <n v="74708265"/>
    <x v="0"/>
    <s v="Apple"/>
    <x v="0"/>
    <n v="1.5489999999999999"/>
    <x v="2"/>
    <x v="0"/>
    <s v="March"/>
    <s v="Profit"/>
    <n v="3.6169999999999902"/>
    <n v="23.769999999999996"/>
  </r>
  <r>
    <s v="2023-03-21"/>
    <n v="155.07400000000001"/>
    <x v="53"/>
    <n v="154.30500000000001"/>
    <n v="157.005"/>
    <n v="75009437"/>
    <x v="0"/>
    <s v="Apple"/>
    <x v="0"/>
    <n v="1.194"/>
    <x v="2"/>
    <x v="0"/>
    <s v="March"/>
    <s v="Profit"/>
    <n v="2.8179999999999836"/>
    <n v="24.963999999999995"/>
  </r>
  <r>
    <s v="2023-03-22"/>
    <n v="157.024"/>
    <x v="54"/>
    <n v="155.55500000000001"/>
    <n v="155.57499999999999"/>
    <n v="76798510"/>
    <x v="0"/>
    <s v="Apple"/>
    <x v="0"/>
    <n v="-0.91100000000000003"/>
    <x v="2"/>
    <x v="0"/>
    <s v="March"/>
    <s v="Loss"/>
    <n v="4.2699999999999818"/>
    <n v="24.052999999999994"/>
  </r>
  <r>
    <s v="2023-03-23"/>
    <n v="156.56299999999999"/>
    <x v="55"/>
    <n v="155.429"/>
    <n v="156.65899999999999"/>
    <n v="68601707"/>
    <x v="0"/>
    <s v="Apple"/>
    <x v="0"/>
    <n v="0.69699999999999995"/>
    <x v="2"/>
    <x v="0"/>
    <s v="March"/>
    <s v="Profit"/>
    <n v="3.8129999999999882"/>
    <n v="24.749999999999993"/>
  </r>
  <r>
    <s v="2023-03-24"/>
    <n v="156.59200000000001"/>
    <x v="56"/>
    <n v="155.595"/>
    <n v="157.96199999999999"/>
    <n v="60114795"/>
    <x v="0"/>
    <s v="Apple"/>
    <x v="0"/>
    <n v="0.83199999999999996"/>
    <x v="2"/>
    <x v="0"/>
    <s v="March"/>
    <s v="Profit"/>
    <n v="2.4550000000000125"/>
    <n v="25.581999999999994"/>
  </r>
  <r>
    <s v="2023-03-27"/>
    <n v="157.65700000000001"/>
    <x v="57"/>
    <n v="155.61500000000001"/>
    <n v="156.02000000000001"/>
    <n v="53149249"/>
    <x v="0"/>
    <s v="Apple"/>
    <x v="0"/>
    <n v="-1.2290000000000001"/>
    <x v="2"/>
    <x v="0"/>
    <s v="March"/>
    <s v="Loss"/>
    <n v="2.8589999999999804"/>
    <n v="24.352999999999994"/>
  </r>
  <r>
    <s v="2023-03-28"/>
    <n v="155.714"/>
    <x v="58"/>
    <n v="153.75299999999999"/>
    <n v="155.399"/>
    <n v="46658445"/>
    <x v="0"/>
    <s v="Apple"/>
    <x v="0"/>
    <n v="-0.39800000000000002"/>
    <x v="2"/>
    <x v="0"/>
    <s v="March"/>
    <s v="Loss"/>
    <n v="2.4730000000000132"/>
    <n v="23.954999999999995"/>
  </r>
  <r>
    <s v="2023-03-29"/>
    <n v="157.09399999999999"/>
    <x v="59"/>
    <n v="157.07400000000001"/>
    <n v="158.47399999999999"/>
    <n v="52048961"/>
    <x v="0"/>
    <s v="Apple"/>
    <x v="0"/>
    <n v="1.9790000000000001"/>
    <x v="2"/>
    <x v="0"/>
    <s v="March"/>
    <s v="Profit"/>
    <n v="1.6759999999999877"/>
    <n v="25.933999999999994"/>
  </r>
  <r>
    <s v="2023-03-30"/>
    <n v="159.22300000000001"/>
    <x v="60"/>
    <n v="158.96700000000001"/>
    <n v="160.041"/>
    <n v="50218824"/>
    <x v="0"/>
    <s v="Apple"/>
    <x v="0"/>
    <n v="0.98899999999999999"/>
    <x v="2"/>
    <x v="0"/>
    <s v="March"/>
    <s v="Profit"/>
    <n v="1.1829999999999927"/>
    <n v="26.922999999999995"/>
  </r>
  <r>
    <s v="2023-03-31"/>
    <n v="160.12"/>
    <x v="61"/>
    <n v="159.59800000000001"/>
    <n v="162.54599999999999"/>
    <n v="69745777"/>
    <x v="0"/>
    <s v="Apple"/>
    <x v="0"/>
    <n v="1.5649999999999999"/>
    <x v="2"/>
    <x v="0"/>
    <s v="March"/>
    <s v="Profit"/>
    <n v="3.0459999999999923"/>
    <n v="28.487999999999996"/>
  </r>
  <r>
    <s v="2023-04-03"/>
    <n v="161.923"/>
    <x v="62"/>
    <n v="161.876"/>
    <n v="163.797"/>
    <n v="57801606"/>
    <x v="0"/>
    <s v="Apple"/>
    <x v="0"/>
    <n v="0.77"/>
    <x v="3"/>
    <x v="0"/>
    <s v="April"/>
    <s v="Profit"/>
    <n v="2.039999999999992"/>
    <n v="29.257999999999996"/>
  </r>
  <r>
    <s v="2023-04-04"/>
    <n v="164.21700000000001"/>
    <x v="63"/>
    <n v="162.75200000000001"/>
    <n v="163.26499999999999"/>
    <n v="46948732"/>
    <x v="0"/>
    <s v="Apple"/>
    <x v="0"/>
    <n v="-0.32500000000000001"/>
    <x v="3"/>
    <x v="0"/>
    <s v="April"/>
    <s v="Loss"/>
    <n v="1.7039999999999793"/>
    <n v="28.932999999999996"/>
  </r>
  <r>
    <s v="2023-04-05"/>
    <n v="162.386"/>
    <x v="64"/>
    <n v="159.49100000000001"/>
    <n v="161.41999999999999"/>
    <n v="52257999"/>
    <x v="0"/>
    <s v="Apple"/>
    <x v="0"/>
    <n v="-1.1299999999999999"/>
    <x v="3"/>
    <x v="0"/>
    <s v="April"/>
    <s v="Loss"/>
    <n v="3.2019999999999982"/>
    <n v="27.802999999999997"/>
  </r>
  <r>
    <s v="2023-04-06"/>
    <n v="160.11000000000001"/>
    <x v="65"/>
    <n v="159.68600000000001"/>
    <n v="162.309"/>
    <n v="46047693"/>
    <x v="0"/>
    <s v="Apple"/>
    <x v="0"/>
    <n v="0.55100000000000005"/>
    <x v="3"/>
    <x v="0"/>
    <s v="April"/>
    <s v="Profit"/>
    <n v="2.9180000000000064"/>
    <n v="28.353999999999996"/>
  </r>
  <r>
    <s v="2023-04-10"/>
    <n v="159.11600000000001"/>
    <x v="66"/>
    <n v="157.79300000000001"/>
    <n v="159.71600000000001"/>
    <n v="48408161"/>
    <x v="0"/>
    <s v="Apple"/>
    <x v="0"/>
    <n v="-1.5980000000000001"/>
    <x v="3"/>
    <x v="0"/>
    <s v="April"/>
    <s v="Loss"/>
    <n v="1.9230000000000018"/>
    <n v="26.755999999999997"/>
  </r>
  <r>
    <s v="2023-04-11"/>
    <n v="160.03200000000001"/>
    <x v="67"/>
    <n v="158.21700000000001"/>
    <n v="158.50399999999999"/>
    <n v="48334443"/>
    <x v="0"/>
    <s v="Apple"/>
    <x v="0"/>
    <n v="-0.75900000000000001"/>
    <x v="3"/>
    <x v="0"/>
    <s v="April"/>
    <s v="Loss"/>
    <n v="1.8239999999999839"/>
    <n v="25.996999999999996"/>
  </r>
  <r>
    <s v="2023-04-12"/>
    <n v="158.917"/>
    <x v="68"/>
    <n v="157.499"/>
    <n v="157.81299999999999"/>
    <n v="50859344"/>
    <x v="0"/>
    <s v="Apple"/>
    <x v="0"/>
    <n v="-0.436"/>
    <x v="3"/>
    <x v="0"/>
    <s v="April"/>
    <s v="Loss"/>
    <n v="2.2470000000000141"/>
    <n v="25.560999999999996"/>
  </r>
  <r>
    <s v="2023-04-13"/>
    <n v="159.321"/>
    <x v="69"/>
    <n v="159.11600000000001"/>
    <n v="163.19499999999999"/>
    <n v="69437228"/>
    <x v="0"/>
    <s v="Apple"/>
    <x v="0"/>
    <n v="3.41"/>
    <x v="3"/>
    <x v="0"/>
    <s v="April"/>
    <s v="Profit"/>
    <n v="4.3169999999999789"/>
    <n v="28.970999999999997"/>
  </r>
  <r>
    <s v="2023-04-14"/>
    <n v="162.24100000000001"/>
    <x v="70"/>
    <n v="161.47999999999999"/>
    <n v="162.851"/>
    <n v="50101947"/>
    <x v="0"/>
    <s v="Apple"/>
    <x v="0"/>
    <n v="-0.21099999999999999"/>
    <x v="3"/>
    <x v="0"/>
    <s v="April"/>
    <s v="Loss"/>
    <n v="2.4660000000000082"/>
    <n v="28.759999999999998"/>
  </r>
  <r>
    <s v="2023-04-17"/>
    <n v="162.732"/>
    <x v="71"/>
    <n v="161.68700000000001"/>
    <n v="162.87"/>
    <n v="42117666"/>
    <x v="0"/>
    <s v="Apple"/>
    <x v="0"/>
    <n v="1.2E-2"/>
    <x v="3"/>
    <x v="0"/>
    <s v="April"/>
    <s v="Profit"/>
    <n v="1.3419999999999845"/>
    <n v="28.771999999999998"/>
  </r>
  <r>
    <s v="2023-04-18"/>
    <n v="163.72800000000001"/>
    <x v="72"/>
    <n v="163.285"/>
    <n v="164.09299999999999"/>
    <n v="50646247"/>
    <x v="0"/>
    <s v="Apple"/>
    <x v="0"/>
    <n v="0.751"/>
    <x v="3"/>
    <x v="0"/>
    <s v="April"/>
    <s v="Profit"/>
    <n v="1.7350000000000136"/>
    <n v="29.523"/>
  </r>
  <r>
    <s v="2023-04-19"/>
    <n v="163.43299999999999"/>
    <x v="73"/>
    <n v="163.17500000000001"/>
    <n v="165.23500000000001"/>
    <n v="48411492"/>
    <x v="0"/>
    <s v="Apple"/>
    <x v="0"/>
    <n v="0.69599999999999995"/>
    <x v="3"/>
    <x v="0"/>
    <s v="April"/>
    <s v="Profit"/>
    <n v="2.5849999999999795"/>
    <n v="30.219000000000001"/>
  </r>
  <r>
    <s v="2023-04-20"/>
    <n v="163.71799999999999"/>
    <x v="74"/>
    <n v="163.19499999999999"/>
    <n v="164.27"/>
    <n v="53216318"/>
    <x v="0"/>
    <s v="Apple"/>
    <x v="0"/>
    <n v="-0.58399999999999996"/>
    <x v="3"/>
    <x v="0"/>
    <s v="April"/>
    <s v="Loss"/>
    <n v="2.2770000000000152"/>
    <n v="29.635000000000002"/>
  </r>
  <r>
    <s v="2023-04-21"/>
    <n v="162.69300000000001"/>
    <x v="75"/>
    <n v="162.14099999999999"/>
    <n v="162.66300000000001"/>
    <n v="59182480"/>
    <x v="0"/>
    <s v="Apple"/>
    <x v="0"/>
    <n v="-0.97799999999999998"/>
    <x v="3"/>
    <x v="0"/>
    <s v="April"/>
    <s v="Loss"/>
    <n v="1.9339999999999975"/>
    <n v="28.657"/>
  </r>
  <r>
    <s v="2023-04-24"/>
    <n v="162.64400000000001"/>
    <x v="76"/>
    <n v="161.55000000000001"/>
    <n v="162.97"/>
    <n v="42557308"/>
    <x v="0"/>
    <s v="Apple"/>
    <x v="0"/>
    <n v="0.189"/>
    <x v="3"/>
    <x v="0"/>
    <s v="April"/>
    <s v="Profit"/>
    <n v="1.6850000000000023"/>
    <n v="28.846"/>
  </r>
  <r>
    <s v="2023-04-25"/>
    <n v="162.83099999999999"/>
    <x v="77"/>
    <n v="161.39099999999999"/>
    <n v="161.43"/>
    <n v="49419788"/>
    <x v="0"/>
    <s v="Apple"/>
    <x v="0"/>
    <n v="-0.94499999999999995"/>
    <x v="3"/>
    <x v="0"/>
    <s v="April"/>
    <s v="Loss"/>
    <n v="2.5400000000000205"/>
    <n v="27.901"/>
  </r>
  <r>
    <s v="2023-04-26"/>
    <n v="160.727"/>
    <x v="78"/>
    <n v="160.47499999999999"/>
    <n v="161.41999999999999"/>
    <n v="46157941"/>
    <x v="0"/>
    <s v="Apple"/>
    <x v="0"/>
    <n v="-6.0000000000000001E-3"/>
    <x v="3"/>
    <x v="0"/>
    <s v="April"/>
    <s v="Loss"/>
    <n v="2.4449999999999932"/>
    <n v="27.895"/>
  </r>
  <r>
    <s v="2023-04-27"/>
    <n v="162.83099999999999"/>
    <x v="79"/>
    <n v="162.83099999999999"/>
    <n v="166.005"/>
    <n v="65842575"/>
    <x v="0"/>
    <s v="Apple"/>
    <x v="0"/>
    <n v="2.84"/>
    <x v="3"/>
    <x v="0"/>
    <s v="April"/>
    <s v="Profit"/>
    <n v="3.3220000000000027"/>
    <n v="30.734999999999999"/>
  </r>
  <r>
    <s v="2023-04-28"/>
    <n v="166.08500000000001"/>
    <x v="80"/>
    <n v="165.482"/>
    <n v="167.256"/>
    <n v="56076638"/>
    <x v="0"/>
    <s v="Apple"/>
    <x v="0"/>
    <n v="0.754"/>
    <x v="3"/>
    <x v="0"/>
    <s v="April"/>
    <s v="Profit"/>
    <n v="1.9420000000000073"/>
    <n v="31.489000000000001"/>
  </r>
  <r>
    <s v="2023-05-01"/>
    <n v="166.863"/>
    <x v="81"/>
    <n v="166.23099999999999"/>
    <n v="167.16900000000001"/>
    <n v="53233116"/>
    <x v="0"/>
    <s v="Apple"/>
    <x v="0"/>
    <n v="-5.1999999999999998E-2"/>
    <x v="4"/>
    <x v="0"/>
    <s v="May"/>
    <s v="Loss"/>
    <n v="1.7839999999999918"/>
    <n v="31.437000000000001"/>
  </r>
  <r>
    <s v="2023-05-02"/>
    <n v="167.661"/>
    <x v="82"/>
    <n v="165.14699999999999"/>
    <n v="166.13300000000001"/>
    <n v="49127243"/>
    <x v="0"/>
    <s v="Apple"/>
    <x v="0"/>
    <n v="-0.62"/>
    <x v="4"/>
    <x v="0"/>
    <s v="May"/>
    <s v="Loss"/>
    <n v="2.7700000000000102"/>
    <n v="30.817"/>
  </r>
  <r>
    <s v="2023-05-03"/>
    <n v="167.08"/>
    <x v="83"/>
    <n v="164.774"/>
    <n v="165.05799999999999"/>
    <n v="66079650"/>
    <x v="0"/>
    <s v="Apple"/>
    <x v="0"/>
    <n v="-0.64700000000000002"/>
    <x v="4"/>
    <x v="0"/>
    <s v="May"/>
    <s v="Loss"/>
    <n v="3.7059999999999889"/>
    <n v="30.17"/>
  </r>
  <r>
    <s v="2023-05-04"/>
    <n v="162.536"/>
    <x v="84"/>
    <n v="161.96299999999999"/>
    <n v="163.423"/>
    <n v="82412292"/>
    <x v="0"/>
    <s v="Apple"/>
    <x v="0"/>
    <n v="-0.99099999999999999"/>
    <x v="4"/>
    <x v="0"/>
    <s v="May"/>
    <s v="Loss"/>
    <n v="2.6910000000000025"/>
    <n v="29.179000000000002"/>
  </r>
  <r>
    <s v="2023-05-05"/>
    <n v="168.53399999999999"/>
    <x v="85"/>
    <n v="168.322"/>
    <n v="171.09100000000001"/>
    <n v="115096779"/>
    <x v="0"/>
    <s v="Apple"/>
    <x v="0"/>
    <n v="4.6920000000000002"/>
    <x v="4"/>
    <x v="0"/>
    <s v="May"/>
    <s v="Profit"/>
    <n v="3.4879999999999995"/>
    <n v="33.871000000000002"/>
  </r>
  <r>
    <s v="2023-05-08"/>
    <n v="170.018"/>
    <x v="86"/>
    <n v="169.65100000000001"/>
    <n v="171.02199999999999"/>
    <n v="56773531"/>
    <x v="0"/>
    <s v="Apple"/>
    <x v="0"/>
    <n v="-0.04"/>
    <x v="4"/>
    <x v="0"/>
    <s v="May"/>
    <s v="Loss"/>
    <n v="1.7169999999999845"/>
    <n v="33.831000000000003"/>
  </r>
  <r>
    <s v="2023-05-09"/>
    <n v="170.578"/>
    <x v="87"/>
    <n v="169.15100000000001"/>
    <n v="169.31899999999999"/>
    <n v="45983529"/>
    <x v="0"/>
    <s v="Apple"/>
    <x v="0"/>
    <n v="-0.996"/>
    <x v="4"/>
    <x v="0"/>
    <s v="May"/>
    <s v="Loss"/>
    <n v="1.9099999999999966"/>
    <n v="32.835000000000001"/>
  </r>
  <r>
    <s v="2023-05-10"/>
    <n v="170.54900000000001"/>
    <x v="88"/>
    <n v="169.446"/>
    <n v="171.07599999999999"/>
    <n v="54502812"/>
    <x v="0"/>
    <s v="Apple"/>
    <x v="0"/>
    <n v="1.038"/>
    <x v="4"/>
    <x v="0"/>
    <s v="May"/>
    <s v="Profit"/>
    <n v="2.0999999999999943"/>
    <n v="33.872999999999998"/>
  </r>
  <r>
    <s v="2023-05-11"/>
    <n v="171.36799999999999"/>
    <x v="89"/>
    <n v="169.71"/>
    <n v="171.26900000000001"/>
    <n v="50231999"/>
    <x v="0"/>
    <s v="Apple"/>
    <x v="0"/>
    <n v="0.113"/>
    <x v="4"/>
    <x v="0"/>
    <s v="May"/>
    <s v="Profit"/>
    <n v="2.3870000000000005"/>
    <n v="33.985999999999997"/>
  </r>
  <r>
    <s v="2023-05-12"/>
    <n v="171.37799999999999"/>
    <x v="90"/>
    <n v="168.79"/>
    <n v="170.34200000000001"/>
    <n v="46128975"/>
    <x v="0"/>
    <s v="Apple"/>
    <x v="0"/>
    <n v="-0.54100000000000004"/>
    <x v="4"/>
    <x v="0"/>
    <s v="May"/>
    <s v="Loss"/>
    <n v="3.021000000000015"/>
    <n v="33.445"/>
  </r>
  <r>
    <s v="2023-05-15"/>
    <n v="170.922"/>
    <x v="91"/>
    <n v="169.25700000000001"/>
    <n v="169.84700000000001"/>
    <n v="37754322"/>
    <x v="0"/>
    <s v="Apple"/>
    <x v="0"/>
    <n v="-0.29099999999999998"/>
    <x v="4"/>
    <x v="0"/>
    <s v="May"/>
    <s v="Loss"/>
    <n v="1.7150000000000034"/>
    <n v="33.154000000000003"/>
  </r>
  <r>
    <s v="2023-05-16"/>
    <n v="169.768"/>
    <x v="92"/>
    <n v="169.578"/>
    <n v="169.84700000000001"/>
    <n v="42661339"/>
    <x v="0"/>
    <s v="Apple"/>
    <x v="0"/>
    <n v="0"/>
    <x v="4"/>
    <x v="0"/>
    <s v="May"/>
    <s v="Neutral"/>
    <n v="1.3239999999999839"/>
    <n v="33.154000000000003"/>
  </r>
  <r>
    <s v="2023-05-17"/>
    <n v="169.49199999999999"/>
    <x v="93"/>
    <n v="168.21899999999999"/>
    <n v="170.459"/>
    <n v="58709946"/>
    <x v="0"/>
    <s v="Apple"/>
    <x v="0"/>
    <n v="0.36"/>
    <x v="4"/>
    <x v="0"/>
    <s v="May"/>
    <s v="Profit"/>
    <n v="2.4720000000000084"/>
    <n v="33.514000000000003"/>
  </r>
  <r>
    <s v="2023-05-18"/>
    <n v="170.76499999999999"/>
    <x v="94"/>
    <n v="170.352"/>
    <n v="172.79"/>
    <n v="66353733"/>
    <x v="0"/>
    <s v="Apple"/>
    <x v="0"/>
    <n v="1.367"/>
    <x v="4"/>
    <x v="0"/>
    <s v="May"/>
    <s v="Profit"/>
    <n v="2.6239999999999952"/>
    <n v="34.881"/>
  </r>
  <r>
    <s v="2023-05-19"/>
    <n v="174.11099999999999"/>
    <x v="95"/>
    <n v="172.68"/>
    <n v="172.898"/>
    <n v="56539786"/>
    <x v="0"/>
    <s v="Apple"/>
    <x v="0"/>
    <n v="6.3E-2"/>
    <x v="4"/>
    <x v="0"/>
    <s v="May"/>
    <s v="Profit"/>
    <n v="1.4309999999999832"/>
    <n v="34.944000000000003"/>
  </r>
  <r>
    <s v="2023-05-22"/>
    <n v="171.73099999999999"/>
    <x v="96"/>
    <n v="171.21100000000001"/>
    <n v="171.95"/>
    <n v="44141092"/>
    <x v="0"/>
    <s v="Apple"/>
    <x v="0"/>
    <n v="-0.54800000000000004"/>
    <x v="4"/>
    <x v="0"/>
    <s v="May"/>
    <s v="Loss"/>
    <n v="1.2419999999999902"/>
    <n v="34.396000000000001"/>
  </r>
  <r>
    <s v="2023-05-23"/>
    <n v="170.89400000000001"/>
    <x v="97"/>
    <n v="169.06299999999999"/>
    <n v="169.346"/>
    <n v="51411331"/>
    <x v="0"/>
    <s v="Apple"/>
    <x v="0"/>
    <n v="-1.514"/>
    <x v="4"/>
    <x v="0"/>
    <s v="May"/>
    <s v="Loss"/>
    <n v="2.078000000000003"/>
    <n v="32.881999999999998"/>
  </r>
  <r>
    <s v="2023-05-24"/>
    <n v="168.88"/>
    <x v="98"/>
    <n v="168.31899999999999"/>
    <n v="169.619"/>
    <n v="45734226"/>
    <x v="0"/>
    <s v="Apple"/>
    <x v="0"/>
    <n v="0.161"/>
    <x v="4"/>
    <x v="0"/>
    <s v="May"/>
    <s v="Profit"/>
    <n v="1.8720000000000141"/>
    <n v="33.042999999999999"/>
  </r>
  <r>
    <s v="2023-05-25"/>
    <n v="170.18199999999999"/>
    <x v="99"/>
    <n v="169.47200000000001"/>
    <n v="170.755"/>
    <n v="56791824"/>
    <x v="0"/>
    <s v="Apple"/>
    <x v="0"/>
    <n v="0.67"/>
    <x v="4"/>
    <x v="0"/>
    <s v="May"/>
    <s v="Profit"/>
    <n v="2.1749999999999829"/>
    <n v="33.713000000000001"/>
  </r>
  <r>
    <s v="2023-05-26"/>
    <n v="171.08099999999999"/>
    <x v="100"/>
    <n v="170.874"/>
    <n v="173.16200000000001"/>
    <n v="55552534"/>
    <x v="0"/>
    <s v="Apple"/>
    <x v="0"/>
    <n v="1.41"/>
    <x v="4"/>
    <x v="0"/>
    <s v="May"/>
    <s v="Profit"/>
    <n v="2.6270000000000095"/>
    <n v="35.122999999999998"/>
  </r>
  <r>
    <s v="2023-05-30"/>
    <n v="174.673"/>
    <x v="101"/>
    <n v="174.291"/>
    <n v="175.01"/>
    <n v="56696739"/>
    <x v="0"/>
    <s v="Apple"/>
    <x v="0"/>
    <n v="1.0669999999999999"/>
    <x v="4"/>
    <x v="0"/>
    <s v="May"/>
    <s v="Profit"/>
    <n v="2.38900000000001"/>
    <n v="36.19"/>
  </r>
  <r>
    <s v="2023-05-31"/>
    <n v="175.035"/>
    <x v="102"/>
    <n v="174.47900000000001"/>
    <n v="174.96"/>
    <n v="100928964"/>
    <x v="0"/>
    <s v="Apple"/>
    <x v="0"/>
    <n v="-2.9000000000000001E-2"/>
    <x v="4"/>
    <x v="0"/>
    <s v="May"/>
    <s v="Loss"/>
    <n v="2.5539999999999736"/>
    <n v="36.160999999999994"/>
  </r>
  <r>
    <s v="2023-06-01"/>
    <n v="175.405"/>
    <x v="103"/>
    <n v="174.64599999999999"/>
    <n v="177.76400000000001"/>
    <n v="69803444"/>
    <x v="0"/>
    <s v="Apple"/>
    <x v="0"/>
    <n v="1.603"/>
    <x v="5"/>
    <x v="0"/>
    <s v="June"/>
    <s v="Profit"/>
    <n v="3.1470000000000198"/>
    <n v="37.763999999999996"/>
  </r>
  <r>
    <s v="2023-06-02"/>
    <n v="178.69300000000001"/>
    <x v="104"/>
    <n v="176.94300000000001"/>
    <n v="178.613"/>
    <n v="62808192"/>
    <x v="0"/>
    <s v="Apple"/>
    <x v="0"/>
    <n v="0.47799999999999998"/>
    <x v="5"/>
    <x v="0"/>
    <s v="June"/>
    <s v="Profit"/>
    <n v="2.4899999999999807"/>
    <n v="38.241999999999997"/>
  </r>
  <r>
    <s v="2023-06-05"/>
    <n v="180.27199999999999"/>
    <x v="105"/>
    <n v="175.73599999999999"/>
    <n v="177.26"/>
    <n v="123542265"/>
    <x v="0"/>
    <s v="Apple"/>
    <x v="0"/>
    <n v="-0.75800000000000001"/>
    <x v="5"/>
    <x v="0"/>
    <s v="June"/>
    <s v="Loss"/>
    <n v="6.8250000000000171"/>
    <n v="37.483999999999995"/>
  </r>
  <r>
    <s v="2023-06-06"/>
    <n v="177.64"/>
    <x v="103"/>
    <n v="175.13900000000001"/>
    <n v="176.89400000000001"/>
    <n v="65696966"/>
    <x v="0"/>
    <s v="Apple"/>
    <x v="0"/>
    <n v="-0.20599999999999999"/>
    <x v="5"/>
    <x v="0"/>
    <s v="June"/>
    <s v="Loss"/>
    <n v="2.6539999999999964"/>
    <n v="37.277999999999992"/>
  </r>
  <r>
    <s v="2023-06-07"/>
    <n v="176.13399999999999"/>
    <x v="106"/>
    <n v="175.03"/>
    <n v="175.523"/>
    <n v="62755209"/>
    <x v="0"/>
    <s v="Apple"/>
    <x v="0"/>
    <n v="-0.77500000000000002"/>
    <x v="5"/>
    <x v="0"/>
    <s v="June"/>
    <s v="Loss"/>
    <n v="3.8410000000000082"/>
    <n v="36.502999999999993"/>
  </r>
  <r>
    <s v="2023-06-08"/>
    <n v="175.59700000000001"/>
    <x v="107"/>
    <n v="175.16900000000001"/>
    <n v="178.23599999999999"/>
    <n v="50871982"/>
    <x v="0"/>
    <s v="Apple"/>
    <x v="0"/>
    <n v="1.546"/>
    <x v="5"/>
    <x v="0"/>
    <s v="June"/>
    <s v="Profit"/>
    <n v="3.3349999999999795"/>
    <n v="38.048999999999992"/>
  </r>
  <r>
    <s v="2023-06-09"/>
    <n v="179.154"/>
    <x v="108"/>
    <n v="178.29499999999999"/>
    <n v="178.62299999999999"/>
    <n v="49539868"/>
    <x v="0"/>
    <s v="Apple"/>
    <x v="0"/>
    <n v="0.217"/>
    <x v="5"/>
    <x v="0"/>
    <s v="June"/>
    <s v="Profit"/>
    <n v="1.5790000000000077"/>
    <n v="38.265999999999991"/>
  </r>
  <r>
    <s v="2023-06-12"/>
    <n v="178.93"/>
    <x v="109"/>
    <n v="178.63300000000001"/>
    <n v="181.416"/>
    <n v="55471507"/>
    <x v="0"/>
    <s v="Apple"/>
    <x v="0"/>
    <n v="1.5640000000000001"/>
    <x v="5"/>
    <x v="0"/>
    <s v="June"/>
    <s v="Profit"/>
    <n v="2.8819999999999766"/>
    <n v="39.829999999999991"/>
  </r>
  <r>
    <s v="2023-06-13"/>
    <n v="180.43899999999999"/>
    <x v="110"/>
    <n v="180.08199999999999"/>
    <n v="180.94200000000001"/>
    <n v="55647920"/>
    <x v="0"/>
    <s v="Apple"/>
    <x v="0"/>
    <n v="-0.26100000000000001"/>
    <x v="5"/>
    <x v="0"/>
    <s v="June"/>
    <s v="Loss"/>
    <n v="1.6899999999999977"/>
    <n v="39.568999999999988"/>
  </r>
  <r>
    <s v="2023-06-14"/>
    <n v="181.00200000000001"/>
    <x v="111"/>
    <n v="179.67099999999999"/>
    <n v="181.57300000000001"/>
    <n v="58214829"/>
    <x v="0"/>
    <s v="Apple"/>
    <x v="0"/>
    <n v="0.34899999999999998"/>
    <x v="5"/>
    <x v="0"/>
    <s v="June"/>
    <s v="Profit"/>
    <n v="2.3379999999999939"/>
    <n v="39.917999999999985"/>
  </r>
  <r>
    <s v="2023-06-15"/>
    <n v="181.583"/>
    <x v="112"/>
    <n v="181.40600000000001"/>
    <n v="183.607"/>
    <n v="66289411"/>
    <x v="0"/>
    <s v="Apple"/>
    <x v="0"/>
    <n v="1.1200000000000001"/>
    <x v="5"/>
    <x v="0"/>
    <s v="June"/>
    <s v="Profit"/>
    <n v="2.7040000000000077"/>
    <n v="41.037999999999982"/>
  </r>
  <r>
    <s v="2023-06-16"/>
    <n v="184.31800000000001"/>
    <x v="113"/>
    <n v="181.89099999999999"/>
    <n v="182.53100000000001"/>
    <n v="102581243"/>
    <x v="0"/>
    <s v="Apple"/>
    <x v="0"/>
    <n v="-0.58599999999999997"/>
    <x v="5"/>
    <x v="0"/>
    <s v="June"/>
    <s v="Loss"/>
    <n v="2.6830000000000211"/>
    <n v="40.451999999999984"/>
  </r>
  <r>
    <s v="2023-06-20"/>
    <n v="182.029"/>
    <x v="114"/>
    <n v="182.029"/>
    <n v="182.62"/>
    <n v="50450752"/>
    <x v="0"/>
    <s v="Apple"/>
    <x v="0"/>
    <n v="4.9000000000000002E-2"/>
    <x v="5"/>
    <x v="0"/>
    <s v="June"/>
    <s v="Profit"/>
    <n v="1.6659999999999968"/>
    <n v="40.500999999999983"/>
  </r>
  <r>
    <s v="2023-06-21"/>
    <n v="182.511"/>
    <x v="115"/>
    <n v="180.232"/>
    <n v="181.583"/>
    <n v="50163649"/>
    <x v="0"/>
    <s v="Apple"/>
    <x v="0"/>
    <n v="-0.56799999999999995"/>
    <x v="5"/>
    <x v="0"/>
    <s v="June"/>
    <s v="Loss"/>
    <n v="2.782999999999987"/>
    <n v="39.932999999999986"/>
  </r>
  <r>
    <s v="2023-06-22"/>
    <n v="181.36600000000001"/>
    <x v="116"/>
    <n v="181.298"/>
    <n v="184.584"/>
    <n v="51915913"/>
    <x v="0"/>
    <s v="Apple"/>
    <x v="0"/>
    <n v="1.653"/>
    <x v="5"/>
    <x v="0"/>
    <s v="June"/>
    <s v="Profit"/>
    <n v="3.3309999999999889"/>
    <n v="41.585999999999984"/>
  </r>
  <r>
    <s v="2023-06-23"/>
    <n v="183.154"/>
    <x v="117"/>
    <n v="182.62"/>
    <n v="184.26900000000001"/>
    <n v="53812074"/>
    <x v="0"/>
    <s v="Apple"/>
    <x v="0"/>
    <n v="-0.17100000000000001"/>
    <x v="5"/>
    <x v="0"/>
    <s v="June"/>
    <s v="Loss"/>
    <n v="2.5169999999999959"/>
    <n v="41.414999999999985"/>
  </r>
  <r>
    <s v="2023-06-26"/>
    <n v="184.90299999999999"/>
    <x v="118"/>
    <n v="182.839"/>
    <n v="182.87799999999999"/>
    <n v="48717938"/>
    <x v="0"/>
    <s v="Apple"/>
    <x v="0"/>
    <n v="-0.755"/>
    <x v="5"/>
    <x v="0"/>
    <s v="June"/>
    <s v="Loss"/>
    <n v="2.7820000000000107"/>
    <n v="40.659999999999982"/>
  </r>
  <r>
    <s v="2023-06-27"/>
    <n v="183.488"/>
    <x v="119"/>
    <n v="183.27199999999999"/>
    <n v="185.631"/>
    <n v="51394699"/>
    <x v="0"/>
    <s v="Apple"/>
    <x v="0"/>
    <n v="1.5049999999999999"/>
    <x v="5"/>
    <x v="0"/>
    <s v="June"/>
    <s v="Profit"/>
    <n v="2.6850000000000023"/>
    <n v="42.164999999999985"/>
  </r>
  <r>
    <s v="2023-06-28"/>
    <n v="185.50200000000001"/>
    <x v="120"/>
    <n v="185.17699999999999"/>
    <n v="186.80500000000001"/>
    <n v="51887013"/>
    <x v="0"/>
    <s v="Apple"/>
    <x v="0"/>
    <n v="0.63200000000000001"/>
    <x v="5"/>
    <x v="0"/>
    <s v="June"/>
    <s v="Profit"/>
    <n v="2.271000000000015"/>
    <n v="42.796999999999983"/>
  </r>
  <r>
    <s v="2023-06-29"/>
    <n v="186.64"/>
    <x v="121"/>
    <n v="186.5"/>
    <n v="187.14"/>
    <n v="46953798"/>
    <x v="0"/>
    <s v="Apple"/>
    <x v="0"/>
    <n v="0.17899999999999999"/>
    <x v="5"/>
    <x v="0"/>
    <s v="June"/>
    <s v="Profit"/>
    <n v="1.1140000000000043"/>
    <n v="42.975999999999985"/>
  </r>
  <r>
    <s v="2023-06-30"/>
    <n v="189.154"/>
    <x v="122"/>
    <n v="188.79"/>
    <n v="191.46299999999999"/>
    <n v="86328299"/>
    <x v="0"/>
    <s v="Apple"/>
    <x v="0"/>
    <n v="2.31"/>
    <x v="5"/>
    <x v="0"/>
    <s v="June"/>
    <s v="Profit"/>
    <n v="3.1779999999999973"/>
    <n v="45.285999999999987"/>
  </r>
  <r>
    <s v="2023-07-03"/>
    <n v="191.27699999999999"/>
    <x v="123"/>
    <n v="189.28200000000001"/>
    <n v="189.97300000000001"/>
    <n v="31869853"/>
    <x v="0"/>
    <s v="Apple"/>
    <x v="0"/>
    <n v="-0.77800000000000002"/>
    <x v="6"/>
    <x v="0"/>
    <s v="July"/>
    <s v="Loss"/>
    <n v="2.0929999999999893"/>
    <n v="44.507999999999988"/>
  </r>
  <r>
    <s v="2023-07-05"/>
    <n v="189.09200000000001"/>
    <x v="124"/>
    <n v="188.15899999999999"/>
    <n v="188.85900000000001"/>
    <n v="47534249"/>
    <x v="0"/>
    <s v="Apple"/>
    <x v="0"/>
    <n v="-0.58599999999999997"/>
    <x v="6"/>
    <x v="0"/>
    <s v="July"/>
    <s v="Loss"/>
    <n v="2.328000000000003"/>
    <n v="43.92199999999999"/>
  </r>
  <r>
    <s v="2023-07-06"/>
    <n v="187.39"/>
    <x v="125"/>
    <n v="186.756"/>
    <n v="189.33199999999999"/>
    <n v="45746911"/>
    <x v="0"/>
    <s v="Apple"/>
    <x v="0"/>
    <n v="0.25"/>
    <x v="6"/>
    <x v="0"/>
    <s v="July"/>
    <s v="Profit"/>
    <n v="2.7839999999999918"/>
    <n v="44.17199999999999"/>
  </r>
  <r>
    <s v="2023-07-07"/>
    <n v="188.93700000000001"/>
    <x v="126"/>
    <n v="187.78100000000001"/>
    <n v="188.21700000000001"/>
    <n v="47427608"/>
    <x v="0"/>
    <s v="Apple"/>
    <x v="0"/>
    <n v="-0.58899999999999997"/>
    <x v="6"/>
    <x v="0"/>
    <s v="July"/>
    <s v="Loss"/>
    <n v="2.4000000000000057"/>
    <n v="43.582999999999991"/>
  </r>
  <r>
    <s v="2023-07-10"/>
    <n v="186.815"/>
    <x v="127"/>
    <n v="184.619"/>
    <n v="186.173"/>
    <n v="60706292"/>
    <x v="0"/>
    <s v="Apple"/>
    <x v="0"/>
    <n v="-1.0860000000000001"/>
    <x v="6"/>
    <x v="0"/>
    <s v="July"/>
    <s v="Loss"/>
    <n v="2.9190000000000111"/>
    <n v="42.496999999999993"/>
  </r>
  <r>
    <s v="2023-07-11"/>
    <n v="186.71600000000001"/>
    <x v="128"/>
    <n v="184.19"/>
    <n v="185.65100000000001"/>
    <n v="47248415"/>
    <x v="0"/>
    <s v="Apple"/>
    <x v="0"/>
    <n v="-0.28000000000000003"/>
    <x v="6"/>
    <x v="0"/>
    <s v="July"/>
    <s v="Loss"/>
    <n v="2.664999999999992"/>
    <n v="42.216999999999992"/>
  </r>
  <r>
    <s v="2023-07-12"/>
    <n v="187.23"/>
    <x v="129"/>
    <n v="186.03399999999999"/>
    <n v="187.32"/>
    <n v="61545213"/>
    <x v="0"/>
    <s v="Apple"/>
    <x v="0"/>
    <n v="0.89900000000000002"/>
    <x v="6"/>
    <x v="0"/>
    <s v="July"/>
    <s v="Profit"/>
    <n v="3.1890000000000214"/>
    <n v="43.115999999999993"/>
  </r>
  <r>
    <s v="2023-07-13"/>
    <n v="188.04"/>
    <x v="130"/>
    <n v="187.33"/>
    <n v="188.08"/>
    <n v="41883335"/>
    <x v="0"/>
    <s v="Apple"/>
    <x v="0"/>
    <n v="0.40600000000000003"/>
    <x v="6"/>
    <x v="0"/>
    <s v="July"/>
    <s v="Profit"/>
    <n v="1.3899999999999864"/>
    <n v="43.521999999999991"/>
  </r>
  <r>
    <s v="2023-07-14"/>
    <n v="187.77099999999999"/>
    <x v="131"/>
    <n v="187.18"/>
    <n v="188.227"/>
    <n v="42160823"/>
    <x v="0"/>
    <s v="Apple"/>
    <x v="0"/>
    <n v="7.8E-2"/>
    <x v="6"/>
    <x v="0"/>
    <s v="July"/>
    <s v="Profit"/>
    <n v="1.5300000000000011"/>
    <n v="43.599999999999994"/>
  </r>
  <r>
    <s v="2023-07-17"/>
    <n v="189.42099999999999"/>
    <x v="132"/>
    <n v="189.33199999999999"/>
    <n v="191.483"/>
    <n v="51181254"/>
    <x v="0"/>
    <s v="Apple"/>
    <x v="0"/>
    <n v="1.73"/>
    <x v="6"/>
    <x v="0"/>
    <s v="July"/>
    <s v="Profit"/>
    <n v="2.4800000000000182"/>
    <n v="45.329999999999991"/>
  </r>
  <r>
    <s v="2023-07-18"/>
    <n v="190.852"/>
    <x v="133"/>
    <n v="189.929"/>
    <n v="191.227"/>
    <n v="48986521"/>
    <x v="0"/>
    <s v="Apple"/>
    <x v="0"/>
    <n v="-0.13400000000000001"/>
    <x v="6"/>
    <x v="0"/>
    <s v="July"/>
    <s v="Loss"/>
    <n v="1.8930000000000007"/>
    <n v="45.195999999999991"/>
  </r>
  <r>
    <s v="2023-07-19"/>
    <n v="190.60599999999999"/>
    <x v="134"/>
    <n v="190.161"/>
    <n v="192.58099999999999"/>
    <n v="81560825"/>
    <x v="0"/>
    <s v="Apple"/>
    <x v="0"/>
    <n v="0.70799999999999996"/>
    <x v="6"/>
    <x v="0"/>
    <s v="July"/>
    <s v="Profit"/>
    <n v="5.5109999999999957"/>
    <n v="45.903999999999989"/>
  </r>
  <r>
    <s v="2023-07-20"/>
    <n v="192.571"/>
    <x v="135"/>
    <n v="190.00800000000001"/>
    <n v="190.63499999999999"/>
    <n v="60360863"/>
    <x v="0"/>
    <s v="Apple"/>
    <x v="0"/>
    <n v="-1.01"/>
    <x v="6"/>
    <x v="0"/>
    <s v="July"/>
    <s v="Loss"/>
    <n v="3.9239999999999782"/>
    <n v="44.893999999999991"/>
  </r>
  <r>
    <s v="2023-07-21"/>
    <n v="191.59200000000001"/>
    <x v="136"/>
    <n v="188.76"/>
    <n v="189.46100000000001"/>
    <n v="72893229"/>
    <x v="0"/>
    <s v="Apple"/>
    <x v="0"/>
    <n v="-0.61599999999999999"/>
    <x v="6"/>
    <x v="0"/>
    <s v="July"/>
    <s v="Loss"/>
    <n v="3.6910000000000025"/>
    <n v="44.277999999999992"/>
  </r>
  <r>
    <s v="2023-07-24"/>
    <n v="190.91200000000001"/>
    <x v="137"/>
    <n v="189.76599999999999"/>
    <n v="190.261"/>
    <n v="46100567"/>
    <x v="0"/>
    <s v="Apple"/>
    <x v="0"/>
    <n v="0.42199999999999999"/>
    <x v="6"/>
    <x v="0"/>
    <s v="July"/>
    <s v="Profit"/>
    <n v="2.6260000000000048"/>
    <n v="44.699999999999989"/>
  </r>
  <r>
    <s v="2023-07-25"/>
    <n v="190.83199999999999"/>
    <x v="138"/>
    <n v="190.42400000000001"/>
    <n v="191.12100000000001"/>
    <n v="37771081"/>
    <x v="0"/>
    <s v="Apple"/>
    <x v="0"/>
    <n v="0.45200000000000001"/>
    <x v="6"/>
    <x v="0"/>
    <s v="July"/>
    <s v="Profit"/>
    <n v="1.5060000000000002"/>
    <n v="45.151999999999987"/>
  </r>
  <r>
    <s v="2023-07-26"/>
    <n v="191.17099999999999"/>
    <x v="139"/>
    <n v="190.822"/>
    <n v="191.988"/>
    <n v="48093074"/>
    <x v="0"/>
    <s v="Apple"/>
    <x v="0"/>
    <n v="0.45400000000000001"/>
    <x v="6"/>
    <x v="0"/>
    <s v="July"/>
    <s v="Profit"/>
    <n v="2.289999999999992"/>
    <n v="45.605999999999987"/>
  </r>
  <r>
    <s v="2023-07-27"/>
    <n v="193.488"/>
    <x v="140"/>
    <n v="190.06299999999999"/>
    <n v="190.72300000000001"/>
    <n v="48081234"/>
    <x v="0"/>
    <s v="Apple"/>
    <x v="0"/>
    <n v="-0.65900000000000003"/>
    <x v="6"/>
    <x v="0"/>
    <s v="July"/>
    <s v="Loss"/>
    <n v="4.5900000000000034"/>
    <n v="44.946999999999989"/>
  </r>
  <r>
    <s v="2023-07-28"/>
    <n v="192.155"/>
    <x v="141"/>
    <n v="191.63200000000001"/>
    <n v="193.30099999999999"/>
    <n v="48923374"/>
    <x v="0"/>
    <s v="Apple"/>
    <x v="0"/>
    <n v="1.3520000000000001"/>
    <x v="6"/>
    <x v="0"/>
    <s v="July"/>
    <s v="Profit"/>
    <n v="2.4549999999999841"/>
    <n v="46.298999999999985"/>
  </r>
  <r>
    <s v="2023-07-31"/>
    <n v="193.52699999999999"/>
    <x v="142"/>
    <n v="192.738"/>
    <n v="193.91300000000001"/>
    <n v="39332157"/>
    <x v="0"/>
    <s v="Apple"/>
    <x v="0"/>
    <n v="0.317"/>
    <x v="6"/>
    <x v="0"/>
    <s v="July"/>
    <s v="Profit"/>
    <n v="1.2139999999999986"/>
    <n v="46.615999999999985"/>
  </r>
  <r>
    <s v="2023-08-01"/>
    <n v="193.7"/>
    <x v="143"/>
    <n v="192.75800000000001"/>
    <n v="193.077"/>
    <n v="35743110"/>
    <x v="0"/>
    <s v="Apple"/>
    <x v="0"/>
    <n v="-0.43099999999999999"/>
    <x v="7"/>
    <x v="0"/>
    <s v="August"/>
    <s v="Loss"/>
    <n v="1.4329999999999927"/>
    <n v="46.184999999999988"/>
  </r>
  <r>
    <s v="2023-08-02"/>
    <n v="192.52099999999999"/>
    <x v="144"/>
    <n v="189.37299999999999"/>
    <n v="190.09299999999999"/>
    <n v="51048711"/>
    <x v="0"/>
    <s v="Apple"/>
    <x v="0"/>
    <n v="-1.5449999999999999"/>
    <x v="7"/>
    <x v="0"/>
    <s v="August"/>
    <s v="Loss"/>
    <n v="3.2880000000000109"/>
    <n v="44.639999999999986"/>
  </r>
  <r>
    <s v="2023-08-03"/>
    <n v="189.09700000000001"/>
    <x v="145"/>
    <n v="188.227"/>
    <n v="188.7"/>
    <n v="63057784"/>
    <x v="0"/>
    <s v="Apple"/>
    <x v="0"/>
    <n v="-0.73299999999999998"/>
    <x v="7"/>
    <x v="0"/>
    <s v="August"/>
    <s v="Loss"/>
    <n v="1.6569999999999823"/>
    <n v="43.906999999999989"/>
  </r>
  <r>
    <s v="2023-08-04"/>
    <n v="183.124"/>
    <x v="146"/>
    <n v="179.572"/>
    <n v="179.64099999999999"/>
    <n v="117474229"/>
    <x v="0"/>
    <s v="Apple"/>
    <x v="0"/>
    <n v="-4.8010000000000002"/>
    <x v="7"/>
    <x v="0"/>
    <s v="August"/>
    <s v="Loss"/>
    <n v="5.38900000000001"/>
    <n v="39.105999999999987"/>
  </r>
  <r>
    <s v="2023-08-07"/>
    <n v="179.779"/>
    <x v="147"/>
    <n v="175.06"/>
    <n v="176.541"/>
    <n v="98852930"/>
    <x v="0"/>
    <s v="Apple"/>
    <x v="0"/>
    <n v="-1.726"/>
    <x v="7"/>
    <x v="0"/>
    <s v="August"/>
    <s v="Loss"/>
    <n v="5.703000000000003"/>
    <n v="37.379999999999988"/>
  </r>
  <r>
    <s v="2023-08-08"/>
    <n v="177.37"/>
    <x v="148"/>
    <n v="175.286"/>
    <n v="177.47800000000001"/>
    <n v="68710520"/>
    <x v="0"/>
    <s v="Apple"/>
    <x v="0"/>
    <n v="0.53100000000000003"/>
    <x v="7"/>
    <x v="0"/>
    <s v="August"/>
    <s v="Profit"/>
    <n v="2.6560000000000059"/>
    <n v="37.910999999999987"/>
  </r>
  <r>
    <s v="2023-08-09"/>
    <n v="178.53399999999999"/>
    <x v="149"/>
    <n v="174.72200000000001"/>
    <n v="175.88900000000001"/>
    <n v="61168592"/>
    <x v="0"/>
    <s v="Apple"/>
    <x v="0"/>
    <n v="-0.89500000000000002"/>
    <x v="7"/>
    <x v="0"/>
    <s v="August"/>
    <s v="Loss"/>
    <n v="3.8709999999999809"/>
    <n v="37.015999999999984"/>
  </r>
  <r>
    <s v="2023-08-10"/>
    <n v="177.16200000000001"/>
    <x v="150"/>
    <n v="175.30500000000001"/>
    <n v="175.672"/>
    <n v="55402471"/>
    <x v="0"/>
    <s v="Apple"/>
    <x v="0"/>
    <n v="-0.123"/>
    <x v="7"/>
    <x v="0"/>
    <s v="August"/>
    <s v="Loss"/>
    <n v="3.1099999999999852"/>
    <n v="36.892999999999986"/>
  </r>
  <r>
    <s v="2023-08-11"/>
    <n v="175.26499999999999"/>
    <x v="151"/>
    <n v="174.505"/>
    <n v="175.73099999999999"/>
    <n v="52646521"/>
    <x v="0"/>
    <s v="Apple"/>
    <x v="0"/>
    <n v="3.4000000000000002E-2"/>
    <x v="7"/>
    <x v="0"/>
    <s v="August"/>
    <s v="Profit"/>
    <n v="2.046999999999997"/>
    <n v="36.926999999999985"/>
  </r>
  <r>
    <s v="2023-08-14"/>
    <n v="175.90799999999999"/>
    <x v="152"/>
    <n v="175.25"/>
    <n v="177.38200000000001"/>
    <n v="44187488"/>
    <x v="0"/>
    <s v="Apple"/>
    <x v="0"/>
    <n v="0.94"/>
    <x v="7"/>
    <x v="0"/>
    <s v="August"/>
    <s v="Profit"/>
    <n v="2.3590000000000089"/>
    <n v="37.866999999999983"/>
  </r>
  <r>
    <s v="2023-08-15"/>
    <n v="176.80699999999999"/>
    <x v="153"/>
    <n v="174.999"/>
    <n v="175.39500000000001"/>
    <n v="44133832"/>
    <x v="0"/>
    <s v="Apple"/>
    <x v="0"/>
    <n v="-1.1200000000000001"/>
    <x v="7"/>
    <x v="0"/>
    <s v="August"/>
    <s v="Loss"/>
    <n v="2.4029999999999916"/>
    <n v="36.746999999999986"/>
  </r>
  <r>
    <s v="2023-08-16"/>
    <n v="175.07900000000001"/>
    <x v="154"/>
    <n v="174.45699999999999"/>
    <n v="174.52500000000001"/>
    <n v="47515266"/>
    <x v="0"/>
    <s v="Apple"/>
    <x v="0"/>
    <n v="-0.496"/>
    <x v="7"/>
    <x v="0"/>
    <s v="August"/>
    <s v="Loss"/>
    <n v="2.0150000000000148"/>
    <n v="36.250999999999983"/>
  </r>
  <r>
    <s v="2023-08-17"/>
    <n v="175.089"/>
    <x v="155"/>
    <n v="171.471"/>
    <n v="171.98500000000001"/>
    <n v="66837112"/>
    <x v="0"/>
    <s v="Apple"/>
    <x v="0"/>
    <n v="-1.4550000000000001"/>
    <x v="7"/>
    <x v="0"/>
    <s v="August"/>
    <s v="Loss"/>
    <n v="3.9780000000000086"/>
    <n v="34.795999999999985"/>
  </r>
  <r>
    <s v="2023-08-18"/>
    <n v="170.30500000000001"/>
    <x v="156"/>
    <n v="169.96799999999999"/>
    <n v="172.46899999999999"/>
    <n v="61889063"/>
    <x v="0"/>
    <s v="Apple"/>
    <x v="0"/>
    <n v="0.28100000000000003"/>
    <x v="7"/>
    <x v="0"/>
    <s v="August"/>
    <s v="Profit"/>
    <n v="3.1030000000000086"/>
    <n v="35.076999999999984"/>
  </r>
  <r>
    <s v="2023-08-21"/>
    <n v="173.041"/>
    <x v="157"/>
    <n v="171.721"/>
    <n v="173.80199999999999"/>
    <n v="46854635"/>
    <x v="0"/>
    <s v="Apple"/>
    <x v="0"/>
    <n v="0.77300000000000002"/>
    <x v="7"/>
    <x v="0"/>
    <s v="August"/>
    <s v="Profit"/>
    <n v="2.367999999999995"/>
    <n v="35.849999999999987"/>
  </r>
  <r>
    <s v="2023-08-22"/>
    <n v="175.00899999999999"/>
    <x v="158"/>
    <n v="174.209"/>
    <n v="175.178"/>
    <n v="42577455"/>
    <x v="0"/>
    <s v="Apple"/>
    <x v="0"/>
    <n v="0.79200000000000004"/>
    <x v="7"/>
    <x v="0"/>
    <s v="August"/>
    <s v="Profit"/>
    <n v="1.4130000000000109"/>
    <n v="36.641999999999989"/>
  </r>
  <r>
    <s v="2023-08-23"/>
    <n v="176.452"/>
    <x v="159"/>
    <n v="176.25899999999999"/>
    <n v="179.02"/>
    <n v="53340641"/>
    <x v="0"/>
    <s v="Apple"/>
    <x v="0"/>
    <n v="2.1930000000000001"/>
    <x v="7"/>
    <x v="0"/>
    <s v="August"/>
    <s v="Profit"/>
    <n v="3.1880000000000166"/>
    <n v="38.834999999999987"/>
  </r>
  <r>
    <s v="2023-08-24"/>
    <n v="178.58099999999999"/>
    <x v="160"/>
    <n v="173.97"/>
    <n v="174.33799999999999"/>
    <n v="55589740"/>
    <x v="0"/>
    <s v="Apple"/>
    <x v="0"/>
    <n v="-2.6150000000000002"/>
    <x v="7"/>
    <x v="0"/>
    <s v="August"/>
    <s v="Loss"/>
    <n v="5.0349999999999966"/>
    <n v="36.219999999999985"/>
  </r>
  <r>
    <s v="2023-08-25"/>
    <n v="175.32499999999999"/>
    <x v="161"/>
    <n v="173.78200000000001"/>
    <n v="176.542"/>
    <n v="52052563"/>
    <x v="0"/>
    <s v="Apple"/>
    <x v="0"/>
    <n v="1.264"/>
    <x v="7"/>
    <x v="0"/>
    <s v="August"/>
    <s v="Profit"/>
    <n v="3.2920000000000016"/>
    <n v="37.483999999999988"/>
  </r>
  <r>
    <s v="2023-08-28"/>
    <n v="178.00399999999999"/>
    <x v="162"/>
    <n v="176.477"/>
    <n v="178.102"/>
    <n v="44334257"/>
    <x v="0"/>
    <s v="Apple"/>
    <x v="0"/>
    <n v="0.88400000000000001"/>
    <x v="7"/>
    <x v="0"/>
    <s v="August"/>
    <s v="Profit"/>
    <n v="2.0209999999999866"/>
    <n v="38.367999999999988"/>
  </r>
  <r>
    <s v="2023-08-29"/>
    <n v="177.614"/>
    <x v="163"/>
    <n v="177.42099999999999"/>
    <n v="181.988"/>
    <n v="53625133"/>
    <x v="0"/>
    <s v="Apple"/>
    <x v="0"/>
    <n v="2.1819999999999999"/>
    <x v="7"/>
    <x v="0"/>
    <s v="August"/>
    <s v="Profit"/>
    <n v="5.3379999999999939"/>
    <n v="40.54999999999999"/>
  </r>
  <r>
    <s v="2023-08-30"/>
    <n v="182.79900000000001"/>
    <x v="164"/>
    <n v="182.59899999999999"/>
    <n v="185.47499999999999"/>
    <n v="61526603"/>
    <x v="0"/>
    <s v="Apple"/>
    <x v="0"/>
    <n v="1.9159999999999999"/>
    <x v="7"/>
    <x v="0"/>
    <s v="August"/>
    <s v="Profit"/>
    <n v="3.0760000000000218"/>
    <n v="42.465999999999987"/>
  </r>
  <r>
    <s v="2023-08-31"/>
    <n v="185.66499999999999"/>
    <x v="165"/>
    <n v="185.30699999999999"/>
    <n v="185.69499999999999"/>
    <n v="61506954"/>
    <x v="0"/>
    <s v="Apple"/>
    <x v="0"/>
    <n v="0.11899999999999999"/>
    <x v="7"/>
    <x v="0"/>
    <s v="August"/>
    <s v="Profit"/>
    <n v="1.6220000000000141"/>
    <n v="42.584999999999987"/>
  </r>
  <r>
    <s v="2023-09-01"/>
    <n v="187.291"/>
    <x v="166"/>
    <n v="186.09700000000001"/>
    <n v="187.26599999999999"/>
    <n v="46302868"/>
    <x v="0"/>
    <s v="Apple"/>
    <x v="0"/>
    <n v="0.84599999999999997"/>
    <x v="8"/>
    <x v="0"/>
    <s v="September"/>
    <s v="Profit"/>
    <n v="1.6219999999999857"/>
    <n v="43.430999999999983"/>
  </r>
  <r>
    <s v="2023-09-05"/>
    <n v="186.09700000000001"/>
    <x v="167"/>
    <n v="185.43600000000001"/>
    <n v="187.50399999999999"/>
    <n v="45810691"/>
    <x v="0"/>
    <s v="Apple"/>
    <x v="0"/>
    <n v="0.127"/>
    <x v="8"/>
    <x v="0"/>
    <s v="September"/>
    <s v="Profit"/>
    <n v="2.3419999999999845"/>
    <n v="43.557999999999986"/>
  </r>
  <r>
    <s v="2023-09-06"/>
    <n v="186.21600000000001"/>
    <x v="168"/>
    <n v="179.36799999999999"/>
    <n v="180.79"/>
    <n v="82713962"/>
    <x v="0"/>
    <s v="Apple"/>
    <x v="0"/>
    <n v="-3.581"/>
    <x v="8"/>
    <x v="0"/>
    <s v="September"/>
    <s v="Loss"/>
    <n v="7.2959999999999923"/>
    <n v="39.976999999999983"/>
  </r>
  <r>
    <s v="2023-09-07"/>
    <n v="173.15"/>
    <x v="169"/>
    <n v="171.53"/>
    <n v="175.50299999999999"/>
    <n v="113807128"/>
    <x v="0"/>
    <s v="Apple"/>
    <x v="0"/>
    <n v="-2.9239999999999999"/>
    <x v="8"/>
    <x v="0"/>
    <s v="September"/>
    <s v="Loss"/>
    <n v="4.6150000000000091"/>
    <n v="37.052999999999983"/>
  </r>
  <r>
    <s v="2023-09-08"/>
    <n v="176.28399999999999"/>
    <x v="170"/>
    <n v="175.73099999999999"/>
    <n v="176.11600000000001"/>
    <n v="66370896"/>
    <x v="0"/>
    <s v="Apple"/>
    <x v="0"/>
    <n v="0.34899999999999998"/>
    <x v="8"/>
    <x v="0"/>
    <s v="September"/>
    <s v="Profit"/>
    <n v="2.4190000000000111"/>
    <n v="37.40199999999998"/>
  </r>
  <r>
    <s v="2023-09-11"/>
    <n v="177.98400000000001"/>
    <x v="171"/>
    <n v="175.285"/>
    <n v="177.28200000000001"/>
    <n v="59643959"/>
    <x v="0"/>
    <s v="Apple"/>
    <x v="0"/>
    <n v="0.66200000000000003"/>
    <x v="8"/>
    <x v="0"/>
    <s v="September"/>
    <s v="Profit"/>
    <n v="2.9260000000000161"/>
    <n v="38.063999999999979"/>
  </r>
  <r>
    <s v="2023-09-12"/>
    <n v="177.41200000000001"/>
    <x v="172"/>
    <n v="172.79499999999999"/>
    <n v="174.25899999999999"/>
    <n v="91429295"/>
    <x v="0"/>
    <s v="Apple"/>
    <x v="0"/>
    <n v="-1.7050000000000001"/>
    <x v="8"/>
    <x v="0"/>
    <s v="September"/>
    <s v="Loss"/>
    <n v="5.2490000000000236"/>
    <n v="36.35899999999998"/>
  </r>
  <r>
    <s v="2023-09-13"/>
    <n v="174.46700000000001"/>
    <x v="173"/>
    <n v="171.965"/>
    <n v="172.19300000000001"/>
    <n v="85255514"/>
    <x v="0"/>
    <s v="Apple"/>
    <x v="0"/>
    <n v="-1.1859999999999999"/>
    <x v="8"/>
    <x v="0"/>
    <s v="September"/>
    <s v="Loss"/>
    <n v="3.2800000000000011"/>
    <n v="35.172999999999981"/>
  </r>
  <r>
    <s v="2023-09-14"/>
    <n v="171.98500000000001"/>
    <x v="174"/>
    <n v="171.56899999999999"/>
    <n v="173.70400000000001"/>
    <n v="61609431"/>
    <x v="0"/>
    <s v="Apple"/>
    <x v="0"/>
    <n v="0.878"/>
    <x v="8"/>
    <x v="0"/>
    <s v="September"/>
    <s v="Profit"/>
    <n v="2.4900000000000091"/>
    <n v="36.050999999999981"/>
  </r>
  <r>
    <s v="2023-09-15"/>
    <n v="174.43700000000001"/>
    <x v="175"/>
    <n v="171.80600000000001"/>
    <n v="172.982"/>
    <n v="110539940"/>
    <x v="0"/>
    <s v="Apple"/>
    <x v="0"/>
    <n v="-0.41599999999999998"/>
    <x v="8"/>
    <x v="0"/>
    <s v="September"/>
    <s v="Loss"/>
    <n v="2.6459999999999866"/>
    <n v="35.634999999999984"/>
  </r>
  <r>
    <s v="2023-09-18"/>
    <n v="174.43700000000001"/>
    <x v="176"/>
    <n v="174.12899999999999"/>
    <n v="175.90799999999999"/>
    <n v="68045805"/>
    <x v="0"/>
    <s v="Apple"/>
    <x v="0"/>
    <n v="1.6919999999999999"/>
    <x v="8"/>
    <x v="0"/>
    <s v="September"/>
    <s v="Profit"/>
    <n v="3.1730000000000018"/>
    <n v="37.326999999999984"/>
  </r>
  <r>
    <s v="2023-09-19"/>
    <n v="175.46299999999999"/>
    <x v="177"/>
    <n v="175.07900000000001"/>
    <n v="176.995"/>
    <n v="52434333"/>
    <x v="0"/>
    <s v="Apple"/>
    <x v="0"/>
    <n v="0.61799999999999999"/>
    <x v="8"/>
    <x v="0"/>
    <s v="September"/>
    <s v="Profit"/>
    <n v="2.4699999999999989"/>
    <n v="37.944999999999986"/>
  </r>
  <r>
    <s v="2023-09-20"/>
    <n v="177.184"/>
    <x v="178"/>
    <n v="173.369"/>
    <n v="173.458"/>
    <n v="59121030"/>
    <x v="0"/>
    <s v="Apple"/>
    <x v="0"/>
    <n v="-1.998"/>
    <x v="8"/>
    <x v="0"/>
    <s v="September"/>
    <s v="Loss"/>
    <n v="4.2450000000000045"/>
    <n v="35.946999999999989"/>
  </r>
  <r>
    <s v="2023-09-21"/>
    <n v="172.52799999999999"/>
    <x v="179"/>
    <n v="171.846"/>
    <n v="171.916"/>
    <n v="63889199"/>
    <x v="0"/>
    <s v="Apple"/>
    <x v="0"/>
    <n v="-0.88900000000000001"/>
    <x v="8"/>
    <x v="0"/>
    <s v="September"/>
    <s v="Loss"/>
    <n v="2.4129999999999825"/>
    <n v="35.057999999999986"/>
  </r>
  <r>
    <s v="2023-09-22"/>
    <n v="172.64599999999999"/>
    <x v="180"/>
    <n v="172.03399999999999"/>
    <n v="172.76599999999999"/>
    <n v="57390184"/>
    <x v="0"/>
    <s v="Apple"/>
    <x v="0"/>
    <n v="0.49399999999999999"/>
    <x v="8"/>
    <x v="0"/>
    <s v="September"/>
    <s v="Profit"/>
    <n v="2.9939999999999998"/>
    <n v="35.551999999999985"/>
  </r>
  <r>
    <s v="2023-09-25"/>
    <n v="172.18299999999999"/>
    <x v="181"/>
    <n v="172.13300000000001"/>
    <n v="174.03899999999999"/>
    <n v="46713866"/>
    <x v="0"/>
    <s v="Apple"/>
    <x v="0"/>
    <n v="0.73699999999999999"/>
    <x v="8"/>
    <x v="0"/>
    <s v="September"/>
    <s v="Profit"/>
    <n v="2.7869999999999777"/>
    <n v="36.288999999999987"/>
  </r>
  <r>
    <s v="2023-09-26"/>
    <n v="172.79499999999999"/>
    <x v="182"/>
    <n v="169.67099999999999"/>
    <n v="169.96799999999999"/>
    <n v="65345901"/>
    <x v="0"/>
    <s v="Apple"/>
    <x v="0"/>
    <n v="-2.339"/>
    <x v="8"/>
    <x v="0"/>
    <s v="September"/>
    <s v="Loss"/>
    <n v="3.4980000000000189"/>
    <n v="33.949999999999989"/>
  </r>
  <r>
    <s v="2023-09-27"/>
    <n v="170.62"/>
    <x v="183"/>
    <n v="167.09200000000001"/>
    <n v="168.45599999999999"/>
    <n v="67706104"/>
    <x v="0"/>
    <s v="Apple"/>
    <x v="0"/>
    <n v="-0.89"/>
    <x v="8"/>
    <x v="0"/>
    <s v="September"/>
    <s v="Loss"/>
    <n v="3.9439999999999884"/>
    <n v="33.059999999999988"/>
  </r>
  <r>
    <s v="2023-09-28"/>
    <n v="167.37799999999999"/>
    <x v="184"/>
    <n v="165.679"/>
    <n v="168.71100000000001"/>
    <n v="56954167"/>
    <x v="0"/>
    <s v="Apple"/>
    <x v="0"/>
    <n v="0.151"/>
    <x v="8"/>
    <x v="0"/>
    <s v="September"/>
    <s v="Profit"/>
    <n v="4.3590000000000089"/>
    <n v="33.210999999999991"/>
  </r>
  <r>
    <s v="2023-09-29"/>
    <n v="170.02799999999999"/>
    <x v="185"/>
    <n v="168.369"/>
    <n v="169.22800000000001"/>
    <n v="52468874"/>
    <x v="0"/>
    <s v="Apple"/>
    <x v="0"/>
    <n v="0.30599999999999999"/>
    <x v="8"/>
    <x v="0"/>
    <s v="September"/>
    <s v="Profit"/>
    <n v="2.695999999999998"/>
    <n v="33.516999999999989"/>
  </r>
  <r>
    <s v="2023-10-02"/>
    <n v="169.238"/>
    <x v="186"/>
    <n v="168.94900000000001"/>
    <n v="171.73599999999999"/>
    <n v="52775882"/>
    <x v="0"/>
    <s v="Apple"/>
    <x v="0"/>
    <n v="1.482"/>
    <x v="9"/>
    <x v="0"/>
    <s v="October"/>
    <s v="Profit"/>
    <n v="3.3319999999999936"/>
    <n v="34.998999999999988"/>
  </r>
  <r>
    <s v="2023-10-03"/>
    <n v="170.26"/>
    <x v="187"/>
    <n v="168.84100000000001"/>
    <n v="170.40299999999999"/>
    <n v="50175841"/>
    <x v="0"/>
    <s v="Apple"/>
    <x v="0"/>
    <n v="-0.77600000000000002"/>
    <x v="9"/>
    <x v="0"/>
    <s v="October"/>
    <s v="Loss"/>
    <n v="2.775999999999982"/>
    <n v="34.222999999999985"/>
  </r>
  <r>
    <s v="2023-10-04"/>
    <n v="169.10900000000001"/>
    <x v="188"/>
    <n v="168.989"/>
    <n v="171.64699999999999"/>
    <n v="53641662"/>
    <x v="0"/>
    <s v="Apple"/>
    <x v="0"/>
    <n v="0.73"/>
    <x v="9"/>
    <x v="0"/>
    <s v="October"/>
    <s v="Profit"/>
    <n v="3.2040000000000077"/>
    <n v="34.952999999999982"/>
  </r>
  <r>
    <s v="2023-10-05"/>
    <n v="171.77600000000001"/>
    <x v="189"/>
    <n v="170.679"/>
    <n v="172.88399999999999"/>
    <n v="49096645"/>
    <x v="0"/>
    <s v="Apple"/>
    <x v="0"/>
    <n v="0.72099999999999997"/>
    <x v="9"/>
    <x v="0"/>
    <s v="October"/>
    <s v="Profit"/>
    <n v="2.7390000000000043"/>
    <n v="35.673999999999978"/>
  </r>
  <r>
    <s v="2023-10-06"/>
    <n v="171.786"/>
    <x v="190"/>
    <n v="171.17500000000001"/>
    <n v="175.434"/>
    <n v="57937818"/>
    <x v="0"/>
    <s v="Apple"/>
    <x v="0"/>
    <n v="1.4750000000000001"/>
    <x v="9"/>
    <x v="0"/>
    <s v="October"/>
    <s v="Profit"/>
    <n v="4.7529999999999859"/>
    <n v="37.14899999999998"/>
  </r>
  <r>
    <s v="2023-10-09"/>
    <n v="174.76"/>
    <x v="191"/>
    <n v="173.762"/>
    <n v="176.91499999999999"/>
    <n v="42887575"/>
    <x v="0"/>
    <s v="Apple"/>
    <x v="0"/>
    <n v="0.84399999999999997"/>
    <x v="9"/>
    <x v="0"/>
    <s v="October"/>
    <s v="Profit"/>
    <n v="3.2129999999999939"/>
    <n v="37.992999999999981"/>
  </r>
  <r>
    <s v="2023-10-10"/>
    <n v="176.036"/>
    <x v="192"/>
    <n v="175.88900000000001"/>
    <n v="176.32400000000001"/>
    <n v="44210142"/>
    <x v="0"/>
    <s v="Apple"/>
    <x v="0"/>
    <n v="-0.33400000000000002"/>
    <x v="9"/>
    <x v="0"/>
    <s v="October"/>
    <s v="Loss"/>
    <n v="1.7489999999999952"/>
    <n v="37.658999999999978"/>
  </r>
  <r>
    <s v="2023-10-11"/>
    <n v="176.13499999999999"/>
    <x v="193"/>
    <n v="175.542"/>
    <n v="177.71700000000001"/>
    <n v="48108378"/>
    <x v="0"/>
    <s v="Apple"/>
    <x v="0"/>
    <n v="0.79"/>
    <x v="9"/>
    <x v="0"/>
    <s v="October"/>
    <s v="Profit"/>
    <n v="2.2249999999999943"/>
    <n v="38.448999999999977"/>
  </r>
  <r>
    <s v="2023-10-12"/>
    <n v="177.98400000000001"/>
    <x v="194"/>
    <n v="176.965"/>
    <n v="178.61699999999999"/>
    <n v="57408125"/>
    <x v="0"/>
    <s v="Apple"/>
    <x v="0"/>
    <n v="0.50600000000000001"/>
    <x v="9"/>
    <x v="0"/>
    <s v="October"/>
    <s v="Profit"/>
    <n v="3.2630000000000052"/>
    <n v="38.954999999999977"/>
  </r>
  <r>
    <s v="2023-10-13"/>
    <n v="179.31800000000001"/>
    <x v="195"/>
    <n v="176.07599999999999"/>
    <n v="176.77699999999999"/>
    <n v="52059126"/>
    <x v="0"/>
    <s v="Apple"/>
    <x v="0"/>
    <n v="-1.03"/>
    <x v="9"/>
    <x v="0"/>
    <s v="October"/>
    <s v="Loss"/>
    <n v="3.7460000000000093"/>
    <n v="37.924999999999976"/>
  </r>
  <r>
    <s v="2023-10-16"/>
    <n v="174.70099999999999"/>
    <x v="196"/>
    <n v="174.46700000000001"/>
    <n v="176.65199999999999"/>
    <n v="53132462"/>
    <x v="0"/>
    <s v="Apple"/>
    <x v="0"/>
    <n v="-7.0999999999999994E-2"/>
    <x v="9"/>
    <x v="0"/>
    <s v="October"/>
    <s v="Loss"/>
    <n v="2.532999999999987"/>
    <n v="37.853999999999978"/>
  </r>
  <r>
    <s v="2023-10-17"/>
    <n v="174.59899999999999"/>
    <x v="197"/>
    <n v="172.77600000000001"/>
    <n v="175.09899999999999"/>
    <n v="58223805"/>
    <x v="0"/>
    <s v="Apple"/>
    <x v="0"/>
    <n v="-0.879"/>
    <x v="9"/>
    <x v="0"/>
    <s v="October"/>
    <s v="Loss"/>
    <n v="3.5769999999999982"/>
    <n v="36.97499999999998"/>
  </r>
  <r>
    <s v="2023-10-18"/>
    <n v="173.548"/>
    <x v="198"/>
    <n v="173.08099999999999"/>
    <n v="173.80199999999999"/>
    <n v="55406192"/>
    <x v="0"/>
    <s v="Apple"/>
    <x v="0"/>
    <n v="-0.74099999999999999"/>
    <x v="9"/>
    <x v="0"/>
    <s v="October"/>
    <s v="Loss"/>
    <n v="2.4370000000000118"/>
    <n v="36.23399999999998"/>
  </r>
  <r>
    <s v="2023-10-19"/>
    <n v="174"/>
    <x v="199"/>
    <n v="173.15899999999999"/>
    <n v="173.428"/>
    <n v="59997868"/>
    <x v="0"/>
    <s v="Apple"/>
    <x v="0"/>
    <n v="-0.215"/>
    <x v="9"/>
    <x v="0"/>
    <s v="October"/>
    <s v="Loss"/>
    <n v="2.6220000000000141"/>
    <n v="36.018999999999977"/>
  </r>
  <r>
    <s v="2023-10-20"/>
    <n v="173.279"/>
    <x v="200"/>
    <n v="170.64"/>
    <n v="170.87700000000001"/>
    <n v="64996942"/>
    <x v="0"/>
    <s v="Apple"/>
    <x v="0"/>
    <n v="-1.4710000000000001"/>
    <x v="9"/>
    <x v="0"/>
    <s v="October"/>
    <s v="Loss"/>
    <n v="2.7490000000000236"/>
    <n v="34.547999999999973"/>
  </r>
  <r>
    <s v="2023-10-23"/>
    <n v="168.929"/>
    <x v="201"/>
    <n v="167.96100000000001"/>
    <n v="170.99600000000001"/>
    <n v="56636174"/>
    <x v="0"/>
    <s v="Apple"/>
    <x v="0"/>
    <n v="7.0000000000000007E-2"/>
    <x v="9"/>
    <x v="0"/>
    <s v="October"/>
    <s v="Profit"/>
    <n v="4.0339999999999918"/>
    <n v="34.617999999999974"/>
  </r>
  <r>
    <s v="2023-10-24"/>
    <n v="171.04599999999999"/>
    <x v="202"/>
    <n v="169.464"/>
    <n v="171.43199999999999"/>
    <n v="44330156"/>
    <x v="0"/>
    <s v="Apple"/>
    <x v="0"/>
    <n v="0.255"/>
    <x v="9"/>
    <x v="0"/>
    <s v="October"/>
    <s v="Profit"/>
    <n v="2.1920000000000073"/>
    <n v="34.872999999999976"/>
  </r>
  <r>
    <s v="2023-10-25"/>
    <n v="169.88900000000001"/>
    <x v="203"/>
    <n v="168.67099999999999"/>
    <n v="169.119"/>
    <n v="57826819"/>
    <x v="0"/>
    <s v="Apple"/>
    <x v="0"/>
    <n v="-1.349"/>
    <x v="9"/>
    <x v="0"/>
    <s v="October"/>
    <s v="Loss"/>
    <n v="2.3840000000000146"/>
    <n v="33.52399999999998"/>
  </r>
  <r>
    <s v="2023-10-26"/>
    <n v="168.398"/>
    <x v="204"/>
    <n v="163.751"/>
    <n v="164.958"/>
    <n v="71452958"/>
    <x v="0"/>
    <s v="Apple"/>
    <x v="0"/>
    <n v="-2.46"/>
    <x v="9"/>
    <x v="0"/>
    <s v="October"/>
    <s v="Loss"/>
    <n v="5.6409999999999911"/>
    <n v="31.063999999999979"/>
  </r>
  <r>
    <s v="2023-10-27"/>
    <n v="164.977"/>
    <x v="205"/>
    <n v="164.898"/>
    <n v="166.27099999999999"/>
    <n v="59184716"/>
    <x v="0"/>
    <s v="Apple"/>
    <x v="0"/>
    <n v="0.79600000000000004"/>
    <x v="9"/>
    <x v="0"/>
    <s v="October"/>
    <s v="Profit"/>
    <n v="2.1049999999999898"/>
    <n v="31.859999999999978"/>
  </r>
  <r>
    <s v="2023-10-30"/>
    <n v="167.06299999999999"/>
    <x v="206"/>
    <n v="166.91399999999999"/>
    <n v="168.31899999999999"/>
    <n v="51730189"/>
    <x v="0"/>
    <s v="Apple"/>
    <x v="0"/>
    <n v="1.232"/>
    <x v="9"/>
    <x v="0"/>
    <s v="October"/>
    <s v="Profit"/>
    <n v="2.2740000000000009"/>
    <n v="33.091999999999977"/>
  </r>
  <r>
    <s v="2023-10-31"/>
    <n v="167.38800000000001"/>
    <x v="207"/>
    <n v="165.95500000000001"/>
    <n v="168.791"/>
    <n v="45371594"/>
    <x v="0"/>
    <s v="Apple"/>
    <x v="0"/>
    <n v="0.28000000000000003"/>
    <x v="9"/>
    <x v="0"/>
    <s v="October"/>
    <s v="Profit"/>
    <n v="2.9639999999999986"/>
    <n v="33.371999999999979"/>
  </r>
  <r>
    <s v="2023-11-01"/>
    <n v="169.01900000000001"/>
    <x v="208"/>
    <n v="168.149"/>
    <n v="171.95500000000001"/>
    <n v="57602160"/>
    <x v="0"/>
    <s v="Apple"/>
    <x v="0"/>
    <n v="1.875"/>
    <x v="10"/>
    <x v="0"/>
    <s v="November"/>
    <s v="Profit"/>
    <n v="4.0620000000000118"/>
    <n v="35.246999999999979"/>
  </r>
  <r>
    <s v="2023-11-02"/>
    <n v="173.488"/>
    <x v="209"/>
    <n v="173.428"/>
    <n v="175.51300000000001"/>
    <n v="78241084"/>
    <x v="0"/>
    <s v="Apple"/>
    <x v="0"/>
    <n v="2.069"/>
    <x v="10"/>
    <x v="0"/>
    <s v="November"/>
    <s v="Profit"/>
    <n v="2.2930000000000064"/>
    <n v="37.315999999999981"/>
  </r>
  <r>
    <s v="2023-11-03"/>
    <n v="172.221"/>
    <x v="210"/>
    <n v="171.34200000000001"/>
    <n v="174.60400000000001"/>
    <n v="80764813"/>
    <x v="0"/>
    <s v="Apple"/>
    <x v="0"/>
    <n v="-0.51800000000000002"/>
    <x v="10"/>
    <x v="0"/>
    <s v="November"/>
    <s v="Loss"/>
    <n v="3.4279999999999973"/>
    <n v="36.797999999999981"/>
  </r>
  <r>
    <s v="2023-11-06"/>
    <n v="174.33799999999999"/>
    <x v="211"/>
    <n v="174.16900000000001"/>
    <n v="177.154"/>
    <n v="64589505"/>
    <x v="0"/>
    <s v="Apple"/>
    <x v="0"/>
    <n v="1.46"/>
    <x v="10"/>
    <x v="0"/>
    <s v="November"/>
    <s v="Profit"/>
    <n v="3.1829999999999927"/>
    <n v="38.257999999999981"/>
  </r>
  <r>
    <s v="2023-11-07"/>
    <n v="177.10400000000001"/>
    <x v="212"/>
    <n v="176.89599999999999"/>
    <n v="179.71600000000001"/>
    <n v="71356550"/>
    <x v="0"/>
    <s v="Apple"/>
    <x v="0"/>
    <n v="1.446"/>
    <x v="10"/>
    <x v="0"/>
    <s v="November"/>
    <s v="Profit"/>
    <n v="3.4320000000000164"/>
    <n v="39.703999999999979"/>
  </r>
  <r>
    <s v="2023-11-08"/>
    <n v="180.238"/>
    <x v="213"/>
    <n v="179.48699999999999"/>
    <n v="180.77"/>
    <n v="49918530"/>
    <x v="0"/>
    <s v="Apple"/>
    <x v="0"/>
    <n v="0.58599999999999997"/>
    <x v="10"/>
    <x v="0"/>
    <s v="November"/>
    <s v="Profit"/>
    <n v="1.8379999999999939"/>
    <n v="40.289999999999978"/>
  </r>
  <r>
    <s v="2023-11-09"/>
    <n v="180.84"/>
    <x v="214"/>
    <n v="179.70599999999999"/>
    <n v="180.298"/>
    <n v="54393626"/>
    <x v="0"/>
    <s v="Apple"/>
    <x v="0"/>
    <n v="-0.26100000000000001"/>
    <x v="10"/>
    <x v="0"/>
    <s v="November"/>
    <s v="Loss"/>
    <n v="2.2820000000000107"/>
    <n v="40.028999999999975"/>
  </r>
  <r>
    <s v="2023-11-10"/>
    <n v="182.08"/>
    <x v="215"/>
    <n v="181.642"/>
    <n v="184.482"/>
    <n v="66865410"/>
    <x v="0"/>
    <s v="Apple"/>
    <x v="0"/>
    <n v="2.3210000000000002"/>
    <x v="10"/>
    <x v="0"/>
    <s v="November"/>
    <s v="Profit"/>
    <n v="3.0049999999999955"/>
    <n v="42.349999999999973"/>
  </r>
  <r>
    <s v="2023-11-13"/>
    <n v="183.911"/>
    <x v="216"/>
    <n v="182.316"/>
    <n v="182.9"/>
    <n v="44080741"/>
    <x v="0"/>
    <s v="Apple"/>
    <x v="0"/>
    <n v="-0.85799999999999998"/>
    <x v="10"/>
    <x v="0"/>
    <s v="November"/>
    <s v="Loss"/>
    <n v="1.8009999999999877"/>
    <n v="41.491999999999976"/>
  </r>
  <r>
    <s v="2023-11-14"/>
    <n v="185.77099999999999"/>
    <x v="217"/>
    <n v="184.38300000000001"/>
    <n v="185.512"/>
    <n v="60732811"/>
    <x v="0"/>
    <s v="Apple"/>
    <x v="0"/>
    <n v="1.4279999999999999"/>
    <x v="10"/>
    <x v="0"/>
    <s v="November"/>
    <s v="Profit"/>
    <n v="1.7920000000000016"/>
    <n v="42.919999999999973"/>
  </r>
  <r>
    <s v="2023-11-15"/>
    <n v="185.91399999999999"/>
    <x v="218"/>
    <n v="185.85"/>
    <n v="186.07599999999999"/>
    <n v="54349299"/>
    <x v="0"/>
    <s v="Apple"/>
    <x v="0"/>
    <n v="0.30399999999999999"/>
    <x v="10"/>
    <x v="0"/>
    <s v="November"/>
    <s v="Profit"/>
    <n v="1.7019999999999982"/>
    <n v="43.223999999999975"/>
  </r>
  <r>
    <s v="2023-11-16"/>
    <n v="187.62"/>
    <x v="219"/>
    <n v="186.71"/>
    <n v="187.75899999999999"/>
    <n v="54978182"/>
    <x v="0"/>
    <s v="Apple"/>
    <x v="0"/>
    <n v="0.90400000000000003"/>
    <x v="10"/>
    <x v="0"/>
    <s v="November"/>
    <s v="Profit"/>
    <n v="2.2870000000000061"/>
    <n v="44.127999999999979"/>
  </r>
  <r>
    <s v="2023-11-17"/>
    <n v="188.29499999999999"/>
    <x v="220"/>
    <n v="186.63300000000001"/>
    <n v="187.739"/>
    <n v="51470607"/>
    <x v="0"/>
    <s v="Apple"/>
    <x v="0"/>
    <n v="-1.0999999999999999E-2"/>
    <x v="10"/>
    <x v="0"/>
    <s v="November"/>
    <s v="Loss"/>
    <n v="1.7889999999999873"/>
    <n v="44.116999999999976"/>
  </r>
  <r>
    <s v="2023-11-20"/>
    <n v="187.93700000000001"/>
    <x v="221"/>
    <n v="187.92699999999999"/>
    <n v="189.482"/>
    <n v="47022079"/>
    <x v="0"/>
    <s v="Apple"/>
    <x v="0"/>
    <n v="0.92800000000000005"/>
    <x v="10"/>
    <x v="0"/>
    <s v="November"/>
    <s v="Profit"/>
    <n v="2.0040000000000191"/>
    <n v="45.044999999999973"/>
  </r>
  <r>
    <s v="2023-11-21"/>
    <n v="189.44200000000001"/>
    <x v="222"/>
    <n v="187.78800000000001"/>
    <n v="188.679"/>
    <n v="38530643"/>
    <x v="0"/>
    <s v="Apple"/>
    <x v="0"/>
    <n v="-0.42399999999999999"/>
    <x v="10"/>
    <x v="0"/>
    <s v="November"/>
    <s v="Loss"/>
    <n v="1.7629999999999768"/>
    <n v="44.620999999999974"/>
  </r>
  <r>
    <s v="2023-11-22"/>
    <n v="189.52099999999999"/>
    <x v="223"/>
    <n v="188.863"/>
    <n v="189.34299999999999"/>
    <n v="40041705"/>
    <x v="0"/>
    <s v="Apple"/>
    <x v="0"/>
    <n v="0.35199999999999998"/>
    <x v="10"/>
    <x v="0"/>
    <s v="November"/>
    <s v="Profit"/>
    <n v="2.0840000000000032"/>
    <n v="44.972999999999971"/>
  </r>
  <r>
    <s v="2023-11-24"/>
    <n v="188.90799999999999"/>
    <x v="224"/>
    <n v="187.30500000000001"/>
    <n v="188.017"/>
    <n v="24298169"/>
    <x v="0"/>
    <s v="Apple"/>
    <x v="0"/>
    <n v="-0.7"/>
    <x v="10"/>
    <x v="0"/>
    <s v="November"/>
    <s v="Loss"/>
    <n v="1.632000000000005"/>
    <n v="44.272999999999968"/>
  </r>
  <r>
    <s v="2023-11-27"/>
    <n v="187.96700000000001"/>
    <x v="225"/>
    <n v="186.95699999999999"/>
    <n v="187.83799999999999"/>
    <n v="40973887"/>
    <x v="0"/>
    <s v="Apple"/>
    <x v="0"/>
    <n v="-9.5000000000000001E-2"/>
    <x v="10"/>
    <x v="0"/>
    <s v="November"/>
    <s v="Loss"/>
    <n v="1.7520000000000095"/>
    <n v="44.177999999999969"/>
  </r>
  <r>
    <s v="2023-11-28"/>
    <n v="187.828"/>
    <x v="226"/>
    <n v="187.45400000000001"/>
    <n v="188.44200000000001"/>
    <n v="38814495"/>
    <x v="0"/>
    <s v="Apple"/>
    <x v="0"/>
    <n v="0.32200000000000001"/>
    <x v="10"/>
    <x v="0"/>
    <s v="November"/>
    <s v="Profit"/>
    <n v="1.6620000000000061"/>
    <n v="44.499999999999972"/>
  </r>
  <r>
    <s v="2023-11-29"/>
    <n v="188.93700000000001"/>
    <x v="227"/>
    <n v="187.02600000000001"/>
    <n v="187.42400000000001"/>
    <n v="43461076"/>
    <x v="0"/>
    <s v="Apple"/>
    <x v="0"/>
    <n v="-0.54"/>
    <x v="10"/>
    <x v="0"/>
    <s v="November"/>
    <s v="Loss"/>
    <n v="3.0900000000000034"/>
    <n v="43.959999999999972"/>
  </r>
  <r>
    <s v="2023-11-30"/>
    <n v="187.88800000000001"/>
    <x v="228"/>
    <n v="186.25399999999999"/>
    <n v="187.99700000000001"/>
    <n v="49301265"/>
    <x v="0"/>
    <s v="Apple"/>
    <x v="0"/>
    <n v="0.30599999999999999"/>
    <x v="10"/>
    <x v="0"/>
    <s v="November"/>
    <s v="Profit"/>
    <n v="2.1100000000000136"/>
    <n v="44.26599999999997"/>
  </r>
  <r>
    <s v="2023-12-01"/>
    <n v="188.374"/>
    <x v="229"/>
    <n v="187.285"/>
    <n v="189.273"/>
    <n v="46179625"/>
    <x v="0"/>
    <s v="Apple"/>
    <x v="0"/>
    <n v="0.67900000000000005"/>
    <x v="11"/>
    <x v="0"/>
    <s v="December"/>
    <s v="Profit"/>
    <n v="2.3060000000000116"/>
    <n v="44.944999999999972"/>
  </r>
  <r>
    <s v="2023-12-04"/>
    <n v="188.02699999999999"/>
    <x v="230"/>
    <n v="185.523"/>
    <n v="187.48400000000001"/>
    <n v="43840269"/>
    <x v="0"/>
    <s v="Apple"/>
    <x v="0"/>
    <n v="-0.94499999999999995"/>
    <x v="11"/>
    <x v="0"/>
    <s v="December"/>
    <s v="Loss"/>
    <n v="2.5730000000000075"/>
    <n v="43.999999999999972"/>
  </r>
  <r>
    <s v="2023-12-05"/>
    <n v="188.255"/>
    <x v="231"/>
    <n v="188.22499999999999"/>
    <n v="191.43100000000001"/>
    <n v="67320564"/>
    <x v="0"/>
    <s v="Apple"/>
    <x v="0"/>
    <n v="2.105"/>
    <x v="11"/>
    <x v="0"/>
    <s v="December"/>
    <s v="Profit"/>
    <n v="4.1760000000000161"/>
    <n v="46.104999999999968"/>
  </r>
  <r>
    <s v="2023-12-06"/>
    <n v="192.45"/>
    <x v="232"/>
    <n v="190.13499999999999"/>
    <n v="190.34299999999999"/>
    <n v="41516595"/>
    <x v="0"/>
    <s v="Apple"/>
    <x v="0"/>
    <n v="-0.56799999999999995"/>
    <x v="11"/>
    <x v="0"/>
    <s v="December"/>
    <s v="Loss"/>
    <n v="2.6230000000000189"/>
    <n v="45.536999999999971"/>
  </r>
  <r>
    <s v="2023-12-07"/>
    <n v="191.63900000000001"/>
    <x v="233"/>
    <n v="191.59899999999999"/>
    <n v="192.27099999999999"/>
    <n v="47970875"/>
    <x v="0"/>
    <s v="Apple"/>
    <x v="0"/>
    <n v="1.0129999999999999"/>
    <x v="11"/>
    <x v="0"/>
    <s v="December"/>
    <s v="Profit"/>
    <n v="1.396000000000015"/>
    <n v="46.549999999999969"/>
  </r>
  <r>
    <s v="2023-12-08"/>
    <n v="192.203"/>
    <x v="234"/>
    <n v="191.679"/>
    <n v="193.69800000000001"/>
    <n v="53961168"/>
    <x v="0"/>
    <s v="Apple"/>
    <x v="0"/>
    <n v="0.74199999999999999"/>
    <x v="11"/>
    <x v="0"/>
    <s v="December"/>
    <s v="Profit"/>
    <n v="2.2949999999999875"/>
    <n v="47.291999999999966"/>
  </r>
  <r>
    <s v="2023-12-11"/>
    <n v="191.126"/>
    <x v="235"/>
    <n v="189.452"/>
    <n v="191.19399999999999"/>
    <n v="61576810"/>
    <x v="0"/>
    <s v="Apple"/>
    <x v="0"/>
    <n v="-1.2929999999999999"/>
    <x v="11"/>
    <x v="0"/>
    <s v="December"/>
    <s v="Loss"/>
    <n v="2.0480000000000018"/>
    <n v="45.998999999999967"/>
  </r>
  <r>
    <s v="2023-12-12"/>
    <n v="191.096"/>
    <x v="236"/>
    <n v="189.749"/>
    <n v="192.709"/>
    <n v="53244339"/>
    <x v="0"/>
    <s v="Apple"/>
    <x v="0"/>
    <n v="0.79200000000000004"/>
    <x v="11"/>
    <x v="0"/>
    <s v="December"/>
    <s v="Profit"/>
    <n v="2.9699999999999989"/>
    <n v="46.790999999999968"/>
  </r>
  <r>
    <s v="2023-12-13"/>
    <n v="193.083"/>
    <x v="237"/>
    <n v="192.84700000000001"/>
    <n v="195.92500000000001"/>
    <n v="71135574"/>
    <x v="0"/>
    <s v="Apple"/>
    <x v="0"/>
    <n v="1.669"/>
    <x v="11"/>
    <x v="0"/>
    <s v="December"/>
    <s v="Profit"/>
    <n v="3.117999999999995"/>
    <n v="48.459999999999965"/>
  </r>
  <r>
    <s v="2023-12-14"/>
    <n v="195.98500000000001"/>
    <x v="238"/>
    <n v="194.14400000000001"/>
    <n v="196.07400000000001"/>
    <n v="67525849"/>
    <x v="0"/>
    <s v="Apple"/>
    <x v="0"/>
    <n v="7.5999999999999998E-2"/>
    <x v="11"/>
    <x v="0"/>
    <s v="December"/>
    <s v="Profit"/>
    <n v="3.4230000000000018"/>
    <n v="48.535999999999966"/>
  </r>
  <r>
    <s v="2023-12-15"/>
    <n v="195.499"/>
    <x v="239"/>
    <n v="194.976"/>
    <n v="195.53899999999999"/>
    <n v="129873720"/>
    <x v="0"/>
    <s v="Apple"/>
    <x v="0"/>
    <n v="-0.27300000000000002"/>
    <x v="11"/>
    <x v="0"/>
    <s v="December"/>
    <s v="Loss"/>
    <n v="1.3840000000000146"/>
    <n v="48.262999999999963"/>
  </r>
  <r>
    <s v="2023-12-18"/>
    <n v="194.07400000000001"/>
    <x v="240"/>
    <n v="192.39099999999999"/>
    <n v="193.87700000000001"/>
    <n v="56331037"/>
    <x v="0"/>
    <s v="Apple"/>
    <x v="0"/>
    <n v="-0.85"/>
    <x v="11"/>
    <x v="0"/>
    <s v="December"/>
    <s v="Loss"/>
    <n v="2.217000000000013"/>
    <n v="47.412999999999961"/>
  </r>
  <r>
    <s v="2023-12-19"/>
    <n v="194.14400000000001"/>
    <x v="241"/>
    <n v="193.87700000000001"/>
    <n v="194.916"/>
    <n v="41137007"/>
    <x v="0"/>
    <s v="Apple"/>
    <x v="0"/>
    <n v="0.53600000000000003"/>
    <x v="11"/>
    <x v="0"/>
    <s v="December"/>
    <s v="Profit"/>
    <n v="1.0489999999999782"/>
    <n v="47.948999999999963"/>
  </r>
  <r>
    <s v="2023-12-20"/>
    <n v="194.876"/>
    <x v="242"/>
    <n v="192.827"/>
    <n v="192.827"/>
    <n v="52785537"/>
    <x v="0"/>
    <s v="Apple"/>
    <x v="0"/>
    <n v="-1.0720000000000001"/>
    <x v="11"/>
    <x v="0"/>
    <s v="December"/>
    <s v="Loss"/>
    <n v="2.8220000000000027"/>
    <n v="46.87699999999996"/>
  </r>
  <r>
    <s v="2023-12-21"/>
    <n v="194.084"/>
    <x v="243"/>
    <n v="191.51"/>
    <n v="192.68"/>
    <n v="46965431"/>
    <x v="0"/>
    <s v="Apple"/>
    <x v="0"/>
    <n v="-7.5999999999999998E-2"/>
    <x v="11"/>
    <x v="0"/>
    <s v="December"/>
    <s v="Loss"/>
    <n v="3.5430000000000064"/>
    <n v="46.800999999999959"/>
  </r>
  <r>
    <s v="2023-12-22"/>
    <n v="193.173"/>
    <x v="244"/>
    <n v="190.98599999999999"/>
    <n v="191.60900000000001"/>
    <n v="37535496"/>
    <x v="0"/>
    <s v="Apple"/>
    <x v="0"/>
    <n v="-0.55600000000000005"/>
    <x v="11"/>
    <x v="0"/>
    <s v="December"/>
    <s v="Loss"/>
    <n v="2.4150000000000205"/>
    <n v="46.244999999999962"/>
  </r>
  <r>
    <s v="2023-12-26"/>
    <n v="191.619"/>
    <x v="245"/>
    <n v="190.84700000000001"/>
    <n v="191.066"/>
    <n v="29219737"/>
    <x v="0"/>
    <s v="Apple"/>
    <x v="0"/>
    <n v="-0.28299999999999997"/>
    <x v="11"/>
    <x v="0"/>
    <s v="December"/>
    <s v="Loss"/>
    <n v="1.0499999999999829"/>
    <n v="45.961999999999961"/>
  </r>
  <r>
    <s v="2023-12-27"/>
    <n v="190.511"/>
    <x v="246"/>
    <n v="189.124"/>
    <n v="191.166"/>
    <n v="48587237"/>
    <x v="0"/>
    <s v="Apple"/>
    <x v="0"/>
    <n v="5.1999999999999998E-2"/>
    <x v="11"/>
    <x v="0"/>
    <s v="December"/>
    <s v="Profit"/>
    <n v="2.3859999999999957"/>
    <n v="46.01399999999996"/>
  </r>
  <r>
    <s v="2023-12-28"/>
    <n v="192.14400000000001"/>
    <x v="247"/>
    <n v="191.185"/>
    <n v="191.589"/>
    <n v="34403624"/>
    <x v="0"/>
    <s v="Apple"/>
    <x v="0"/>
    <n v="0.221"/>
    <x v="11"/>
    <x v="0"/>
    <s v="December"/>
    <s v="Profit"/>
    <n v="1.4749999999999943"/>
    <n v="46.234999999999957"/>
  </r>
  <r>
    <s v="2023-12-29"/>
    <n v="191.90700000000001"/>
    <x v="231"/>
    <n v="189.75299999999999"/>
    <n v="190.55099999999999"/>
    <n v="43115446"/>
    <x v="0"/>
    <s v="Apple"/>
    <x v="0"/>
    <n v="-0.54200000000000004"/>
    <x v="11"/>
    <x v="0"/>
    <s v="December"/>
    <s v="Loss"/>
    <n v="2.6480000000000246"/>
    <n v="45.692999999999955"/>
  </r>
  <r>
    <s v="2024-01-02"/>
    <n v="185.22399999999999"/>
    <x v="248"/>
    <n v="181.995"/>
    <n v="183.73099999999999"/>
    <n v="83345606"/>
    <x v="0"/>
    <s v="Apple"/>
    <x v="0"/>
    <n v="-3.5790000000000002"/>
    <x v="12"/>
    <x v="1"/>
    <s v="January"/>
    <s v="Loss"/>
    <n v="4.5079999999999814"/>
    <n v="42.113999999999955"/>
  </r>
  <r>
    <s v="2024-01-03"/>
    <n v="182.32599999999999"/>
    <x v="249"/>
    <n v="181.54400000000001"/>
    <n v="182.35599999999999"/>
    <n v="59021296"/>
    <x v="0"/>
    <s v="Apple"/>
    <x v="0"/>
    <n v="-0.748"/>
    <x v="12"/>
    <x v="1"/>
    <s v="January"/>
    <s v="Loss"/>
    <n v="2.4249999999999829"/>
    <n v="41.365999999999957"/>
  </r>
  <r>
    <s v="2024-01-04"/>
    <n v="180.27799999999999"/>
    <x v="250"/>
    <n v="179.018"/>
    <n v="180.03899999999999"/>
    <n v="72731369"/>
    <x v="0"/>
    <s v="Apple"/>
    <x v="0"/>
    <n v="-1.2709999999999999"/>
    <x v="12"/>
    <x v="1"/>
    <s v="January"/>
    <s v="Loss"/>
    <n v="2.1870000000000118"/>
    <n v="40.094999999999956"/>
  </r>
  <r>
    <s v="2024-01-05"/>
    <n v="180.11799999999999"/>
    <x v="251"/>
    <n v="178.316"/>
    <n v="179.31700000000001"/>
    <n v="63027690"/>
    <x v="0"/>
    <s v="Apple"/>
    <x v="0"/>
    <n v="-0.40100000000000002"/>
    <x v="12"/>
    <x v="1"/>
    <s v="January"/>
    <s v="Loss"/>
    <n v="2.563999999999993"/>
    <n v="39.693999999999953"/>
  </r>
  <r>
    <s v="2024-01-08"/>
    <n v="180.21299999999999"/>
    <x v="252"/>
    <n v="179.63499999999999"/>
    <n v="183.65199999999999"/>
    <n v="59758890"/>
    <x v="0"/>
    <s v="Apple"/>
    <x v="0"/>
    <n v="2.4180000000000001"/>
    <x v="12"/>
    <x v="1"/>
    <s v="January"/>
    <s v="Profit"/>
    <n v="4.0560000000000116"/>
    <n v="42.111999999999952"/>
  </r>
  <r>
    <s v="2024-01-09"/>
    <n v="182.03"/>
    <x v="253"/>
    <n v="180.851"/>
    <n v="183.238"/>
    <n v="43286869"/>
    <x v="0"/>
    <s v="Apple"/>
    <x v="0"/>
    <n v="-0.22500000000000001"/>
    <x v="12"/>
    <x v="1"/>
    <s v="January"/>
    <s v="Loss"/>
    <n v="2.3969999999999914"/>
    <n v="41.886999999999951"/>
  </r>
  <r>
    <s v="2024-01-10"/>
    <n v="182.45500000000001"/>
    <x v="254"/>
    <n v="182.03"/>
    <n v="184.27600000000001"/>
    <n v="47279013"/>
    <x v="0"/>
    <s v="Apple"/>
    <x v="0"/>
    <n v="0.56599999999999995"/>
    <x v="12"/>
    <x v="1"/>
    <s v="January"/>
    <s v="Profit"/>
    <n v="2.4519999999999982"/>
    <n v="42.452999999999953"/>
  </r>
  <r>
    <s v="2024-01-11"/>
    <n v="184.62200000000001"/>
    <x v="255"/>
    <n v="181.732"/>
    <n v="183.68100000000001"/>
    <n v="49638777"/>
    <x v="0"/>
    <s v="Apple"/>
    <x v="0"/>
    <n v="-0.32300000000000001"/>
    <x v="12"/>
    <x v="1"/>
    <s v="January"/>
    <s v="Loss"/>
    <n v="3.3940000000000055"/>
    <n v="42.129999999999953"/>
  </r>
  <r>
    <s v="2024-01-12"/>
    <n v="184.14699999999999"/>
    <x v="256"/>
    <n v="183.285"/>
    <n v="184.00800000000001"/>
    <n v="40898283"/>
    <x v="0"/>
    <s v="Apple"/>
    <x v="0"/>
    <n v="0.17799999999999999"/>
    <x v="12"/>
    <x v="1"/>
    <s v="January"/>
    <s v="Profit"/>
    <n v="1.5360000000000014"/>
    <n v="42.30799999999995"/>
  </r>
  <r>
    <s v="2024-01-16"/>
    <n v="180.28800000000001"/>
    <x v="257"/>
    <n v="179.071"/>
    <n v="181.74199999999999"/>
    <n v="66284556"/>
    <x v="0"/>
    <s v="Apple"/>
    <x v="0"/>
    <n v="-1.2310000000000001"/>
    <x v="12"/>
    <x v="1"/>
    <s v="January"/>
    <s v="Loss"/>
    <n v="3.2950000000000159"/>
    <n v="41.076999999999948"/>
  </r>
  <r>
    <s v="2024-01-17"/>
    <n v="179.40700000000001"/>
    <x v="258"/>
    <n v="178.446"/>
    <n v="180.80099999999999"/>
    <n v="47808989"/>
    <x v="0"/>
    <s v="Apple"/>
    <x v="0"/>
    <n v="-0.51800000000000002"/>
    <x v="12"/>
    <x v="1"/>
    <s v="January"/>
    <s v="Loss"/>
    <n v="2.6040000000000134"/>
    <n v="40.558999999999948"/>
  </r>
  <r>
    <s v="2024-01-18"/>
    <n v="184.17699999999999"/>
    <x v="259"/>
    <n v="183.92099999999999"/>
    <n v="186.69"/>
    <n v="78816115"/>
    <x v="0"/>
    <s v="Apple"/>
    <x v="0"/>
    <n v="3.2570000000000001"/>
    <x v="12"/>
    <x v="1"/>
    <s v="January"/>
    <s v="Profit"/>
    <n v="3.2740000000000009"/>
    <n v="43.815999999999946"/>
  </r>
  <r>
    <s v="2024-01-19"/>
    <n v="187.38499999999999"/>
    <x v="260"/>
    <n v="186.87899999999999"/>
    <n v="189.59100000000001"/>
    <n v="69618781"/>
    <x v="0"/>
    <s v="Apple"/>
    <x v="0"/>
    <n v="1.554"/>
    <x v="12"/>
    <x v="1"/>
    <s v="January"/>
    <s v="Profit"/>
    <n v="3.0970000000000084"/>
    <n v="45.369999999999948"/>
  </r>
  <r>
    <s v="2024-01-22"/>
    <n v="190.32300000000001"/>
    <x v="261"/>
    <n v="190.28399999999999"/>
    <n v="191.89699999999999"/>
    <n v="60758551"/>
    <x v="0"/>
    <s v="Apple"/>
    <x v="0"/>
    <n v="1.216"/>
    <x v="12"/>
    <x v="1"/>
    <s v="January"/>
    <s v="Profit"/>
    <n v="3.0380000000000109"/>
    <n v="46.585999999999949"/>
  </r>
  <r>
    <s v="2024-01-23"/>
    <n v="193.01400000000001"/>
    <x v="262"/>
    <n v="191.83699999999999"/>
    <n v="193.173"/>
    <n v="42795599"/>
    <x v="0"/>
    <s v="Apple"/>
    <x v="0"/>
    <n v="0.66500000000000004"/>
    <x v="12"/>
    <x v="1"/>
    <s v="January"/>
    <s v="Profit"/>
    <n v="1.9010000000000105"/>
    <n v="47.250999999999948"/>
  </r>
  <r>
    <s v="2024-01-24"/>
    <n v="193.411"/>
    <x v="263"/>
    <n v="192.34100000000001"/>
    <n v="192.5"/>
    <n v="54188462"/>
    <x v="0"/>
    <s v="Apple"/>
    <x v="0"/>
    <n v="-0.34799999999999998"/>
    <x v="12"/>
    <x v="1"/>
    <s v="January"/>
    <s v="Loss"/>
    <n v="2.0190000000000055"/>
    <n v="46.902999999999949"/>
  </r>
  <r>
    <s v="2024-01-25"/>
    <n v="193.21299999999999"/>
    <x v="264"/>
    <n v="191.12799999999999"/>
    <n v="192.173"/>
    <n v="55391643"/>
    <x v="0"/>
    <s v="Apple"/>
    <x v="0"/>
    <n v="-0.17"/>
    <x v="12"/>
    <x v="1"/>
    <s v="January"/>
    <s v="Loss"/>
    <n v="3.1200000000000045"/>
    <n v="46.732999999999947"/>
  </r>
  <r>
    <s v="2024-01-26"/>
    <n v="192.27099999999999"/>
    <x v="232"/>
    <n v="189.96600000000001"/>
    <n v="190.44200000000001"/>
    <n v="45057274"/>
    <x v="0"/>
    <s v="Apple"/>
    <x v="0"/>
    <n v="-0.90100000000000002"/>
    <x v="12"/>
    <x v="1"/>
    <s v="January"/>
    <s v="Loss"/>
    <n v="2.7920000000000016"/>
    <n v="45.831999999999944"/>
  </r>
  <r>
    <s v="2024-01-29"/>
    <n v="190.036"/>
    <x v="265"/>
    <n v="187.63"/>
    <n v="189.75800000000001"/>
    <n v="47635392"/>
    <x v="0"/>
    <s v="Apple"/>
    <x v="0"/>
    <n v="-0.35899999999999999"/>
    <x v="12"/>
    <x v="1"/>
    <s v="January"/>
    <s v="Loss"/>
    <n v="2.5939999999999941"/>
    <n v="45.472999999999942"/>
  </r>
  <r>
    <s v="2024-01-30"/>
    <n v="188.977"/>
    <x v="266"/>
    <n v="185.542"/>
    <n v="186.10499999999999"/>
    <n v="56439662"/>
    <x v="0"/>
    <s v="Apple"/>
    <x v="0"/>
    <n v="-1.925"/>
    <x v="12"/>
    <x v="1"/>
    <s v="January"/>
    <s v="Loss"/>
    <n v="4.2860000000000014"/>
    <n v="43.547999999999945"/>
  </r>
  <r>
    <s v="2024-01-31"/>
    <n v="185.11799999999999"/>
    <x v="267"/>
    <n v="182.45500000000001"/>
    <n v="182.50299999999999"/>
    <n v="56044027"/>
    <x v="0"/>
    <s v="Apple"/>
    <x v="0"/>
    <n v="-1.9350000000000001"/>
    <x v="12"/>
    <x v="1"/>
    <s v="January"/>
    <s v="Loss"/>
    <n v="2.7159999999999798"/>
    <n v="41.612999999999943"/>
  </r>
  <r>
    <s v="2024-02-01"/>
    <n v="182.09399999999999"/>
    <x v="268"/>
    <n v="181.93"/>
    <n v="184.94"/>
    <n v="65559469"/>
    <x v="0"/>
    <s v="Apple"/>
    <x v="0"/>
    <n v="1.335"/>
    <x v="13"/>
    <x v="1"/>
    <s v="February"/>
    <s v="Profit"/>
    <n v="3.0979999999999848"/>
    <n v="42.947999999999944"/>
  </r>
  <r>
    <s v="2024-02-02"/>
    <n v="178.011"/>
    <x v="269"/>
    <n v="177.40799999999999"/>
    <n v="183.941"/>
    <n v="103617035"/>
    <x v="0"/>
    <s v="Apple"/>
    <x v="0"/>
    <n v="-0.54"/>
    <x v="13"/>
    <x v="1"/>
    <s v="February"/>
    <s v="Loss"/>
    <n v="7.9960000000000093"/>
    <n v="42.407999999999944"/>
  </r>
  <r>
    <s v="2024-02-05"/>
    <n v="186.214"/>
    <x v="270"/>
    <n v="183.93100000000001"/>
    <n v="185.75200000000001"/>
    <n v="70392573"/>
    <x v="0"/>
    <s v="Apple"/>
    <x v="0"/>
    <n v="0.98499999999999999"/>
    <x v="13"/>
    <x v="1"/>
    <s v="February"/>
    <s v="Profit"/>
    <n v="3.3739999999999952"/>
    <n v="43.392999999999944"/>
  </r>
  <r>
    <s v="2024-02-06"/>
    <n v="184.94"/>
    <x v="271"/>
    <n v="184.85"/>
    <n v="187.35499999999999"/>
    <n v="43942561"/>
    <x v="0"/>
    <s v="Apple"/>
    <x v="0"/>
    <n v="0.86299999999999999"/>
    <x v="13"/>
    <x v="1"/>
    <s v="February"/>
    <s v="Profit"/>
    <n v="2.5150000000000148"/>
    <n v="44.255999999999943"/>
  </r>
  <r>
    <s v="2024-02-07"/>
    <n v="188.679"/>
    <x v="272"/>
    <n v="186.672"/>
    <n v="187.464"/>
    <n v="53994104"/>
    <x v="0"/>
    <s v="Apple"/>
    <x v="0"/>
    <n v="5.8000000000000003E-2"/>
    <x v="13"/>
    <x v="1"/>
    <s v="February"/>
    <s v="Profit"/>
    <n v="2.414999999999992"/>
    <n v="44.313999999999943"/>
  </r>
  <r>
    <s v="2024-02-08"/>
    <n v="187.43899999999999"/>
    <x v="273"/>
    <n v="185.423"/>
    <n v="186.38399999999999"/>
    <n v="41387579"/>
    <x v="0"/>
    <s v="Apple"/>
    <x v="0"/>
    <n v="-0.57599999999999996"/>
    <x v="13"/>
    <x v="1"/>
    <s v="February"/>
    <s v="Loss"/>
    <n v="2.1620000000000061"/>
    <n v="43.737999999999943"/>
  </r>
  <r>
    <s v="2024-02-09"/>
    <n v="186.94800000000001"/>
    <x v="274"/>
    <n v="186.304"/>
    <n v="187.14599999999999"/>
    <n v="45566164"/>
    <x v="0"/>
    <s v="Apple"/>
    <x v="0"/>
    <n v="0.40899999999999997"/>
    <x v="13"/>
    <x v="1"/>
    <s v="February"/>
    <s v="Profit"/>
    <n v="1.9729999999999848"/>
    <n v="44.146999999999942"/>
  </r>
  <r>
    <s v="2024-02-12"/>
    <n v="186.715"/>
    <x v="275"/>
    <n v="185.10599999999999"/>
    <n v="185.46199999999999"/>
    <n v="42162182"/>
    <x v="0"/>
    <s v="Apple"/>
    <x v="0"/>
    <n v="-0.9"/>
    <x v="13"/>
    <x v="1"/>
    <s v="February"/>
    <s v="Loss"/>
    <n v="1.8619999999999948"/>
    <n v="43.246999999999943"/>
  </r>
  <r>
    <s v="2024-02-13"/>
    <n v="184.095"/>
    <x v="276"/>
    <n v="181.858"/>
    <n v="183.37"/>
    <n v="57043993"/>
    <x v="0"/>
    <s v="Apple"/>
    <x v="0"/>
    <n v="-1.1279999999999999"/>
    <x v="13"/>
    <x v="1"/>
    <s v="February"/>
    <s v="Loss"/>
    <n v="2.671999999999997"/>
    <n v="42.118999999999943"/>
  </r>
  <r>
    <s v="2024-02-14"/>
    <n v="183.648"/>
    <x v="277"/>
    <n v="180.79400000000001"/>
    <n v="182.488"/>
    <n v="55127699"/>
    <x v="0"/>
    <s v="Apple"/>
    <x v="0"/>
    <n v="-0.48099999999999998"/>
    <x v="13"/>
    <x v="1"/>
    <s v="February"/>
    <s v="Loss"/>
    <n v="3.063999999999993"/>
    <n v="41.637999999999941"/>
  </r>
  <r>
    <s v="2024-02-15"/>
    <n v="181.89500000000001"/>
    <x v="278"/>
    <n v="179.71600000000001"/>
    <n v="182.202"/>
    <n v="66030003"/>
    <x v="0"/>
    <s v="Apple"/>
    <x v="0"/>
    <n v="-0.157"/>
    <x v="13"/>
    <x v="1"/>
    <s v="February"/>
    <s v="Loss"/>
    <n v="3.11099999999999"/>
    <n v="41.480999999999945"/>
  </r>
  <r>
    <s v="2024-02-16"/>
    <n v="181.76599999999999"/>
    <x v="279"/>
    <n v="180.02600000000001"/>
    <n v="180.666"/>
    <n v="50205252"/>
    <x v="0"/>
    <s v="Apple"/>
    <x v="0"/>
    <n v="-0.84299999999999997"/>
    <x v="13"/>
    <x v="1"/>
    <s v="February"/>
    <s v="Loss"/>
    <n v="3.157999999999987"/>
    <n v="40.637999999999948"/>
  </r>
  <r>
    <s v="2024-02-20"/>
    <n v="180.15"/>
    <x v="280"/>
    <n v="178.376"/>
    <n v="179.92099999999999"/>
    <n v="54153952"/>
    <x v="0"/>
    <s v="Apple"/>
    <x v="0"/>
    <n v="-0.41199999999999998"/>
    <x v="13"/>
    <x v="1"/>
    <s v="February"/>
    <s v="Loss"/>
    <n v="2.407999999999987"/>
    <n v="40.225999999999949"/>
  </r>
  <r>
    <s v="2024-02-21"/>
    <n v="180.3"/>
    <x v="281"/>
    <n v="179.029"/>
    <n v="180.67599999999999"/>
    <n v="41907627"/>
    <x v="0"/>
    <s v="Apple"/>
    <x v="0"/>
    <n v="0.42"/>
    <x v="13"/>
    <x v="1"/>
    <s v="February"/>
    <s v="Profit"/>
    <n v="2.2110000000000127"/>
    <n v="40.645999999999951"/>
  </r>
  <r>
    <s v="2024-02-22"/>
    <n v="181.82499999999999"/>
    <x v="282"/>
    <n v="180.81399999999999"/>
    <n v="182.70699999999999"/>
    <n v="52768109"/>
    <x v="0"/>
    <s v="Apple"/>
    <x v="0"/>
    <n v="1.1240000000000001"/>
    <x v="13"/>
    <x v="1"/>
    <s v="February"/>
    <s v="Profit"/>
    <n v="2.4720000000000084"/>
    <n v="41.769999999999953"/>
  </r>
  <r>
    <s v="2024-02-23"/>
    <n v="183.34100000000001"/>
    <x v="283"/>
    <n v="180.58699999999999"/>
    <n v="180.87299999999999"/>
    <n v="45530302"/>
    <x v="0"/>
    <s v="Apple"/>
    <x v="0"/>
    <n v="-1.004"/>
    <x v="13"/>
    <x v="1"/>
    <s v="February"/>
    <s v="Loss"/>
    <n v="2.7830000000000155"/>
    <n v="40.765999999999956"/>
  </r>
  <r>
    <s v="2024-02-26"/>
    <n v="180.59700000000001"/>
    <x v="284"/>
    <n v="179.01900000000001"/>
    <n v="179.52699999999999"/>
    <n v="41239346"/>
    <x v="0"/>
    <s v="Apple"/>
    <x v="0"/>
    <n v="-0.74399999999999999"/>
    <x v="13"/>
    <x v="1"/>
    <s v="February"/>
    <s v="Loss"/>
    <n v="2.0929999999999893"/>
    <n v="40.021999999999956"/>
  </r>
  <r>
    <s v="2024-02-27"/>
    <n v="179.46700000000001"/>
    <x v="285"/>
    <n v="177.941"/>
    <n v="180.983"/>
    <n v="54813196"/>
    <x v="0"/>
    <s v="Apple"/>
    <x v="0"/>
    <n v="0.81100000000000005"/>
    <x v="13"/>
    <x v="1"/>
    <s v="February"/>
    <s v="Profit"/>
    <n v="4.3220000000000027"/>
    <n v="40.832999999999956"/>
  </r>
  <r>
    <s v="2024-02-28"/>
    <n v="180.864"/>
    <x v="286"/>
    <n v="178.506"/>
    <n v="179.785"/>
    <n v="49399458"/>
    <x v="0"/>
    <s v="Apple"/>
    <x v="0"/>
    <n v="-0.66200000000000003"/>
    <x v="13"/>
    <x v="1"/>
    <s v="February"/>
    <s v="Loss"/>
    <n v="2.9629999999999939"/>
    <n v="40.170999999999957"/>
  </r>
  <r>
    <s v="2024-02-29"/>
    <n v="179.636"/>
    <x v="287"/>
    <n v="177.91200000000001"/>
    <n v="179.11799999999999"/>
    <n v="137926520"/>
    <x v="0"/>
    <s v="Apple"/>
    <x v="0"/>
    <n v="-0.371"/>
    <x v="13"/>
    <x v="1"/>
    <s v="February"/>
    <s v="Loss"/>
    <n v="3.0109999999999957"/>
    <n v="39.799999999999955"/>
  </r>
  <r>
    <s v="2024-03-01"/>
    <n v="177.93199999999999"/>
    <x v="288"/>
    <n v="175.78100000000001"/>
    <n v="178.04"/>
    <n v="74232566"/>
    <x v="0"/>
    <s v="Apple"/>
    <x v="0"/>
    <n v="-0.60199999999999998"/>
    <x v="14"/>
    <x v="1"/>
    <s v="March"/>
    <s v="Loss"/>
    <n v="3.1209999999999809"/>
    <n v="39.197999999999958"/>
  </r>
  <r>
    <s v="2024-03-04"/>
    <n v="174.56200000000001"/>
    <x v="289"/>
    <n v="172.22200000000001"/>
    <n v="173.52199999999999"/>
    <n v="82251909"/>
    <x v="0"/>
    <s v="Apple"/>
    <x v="0"/>
    <n v="-2.5379999999999998"/>
    <x v="14"/>
    <x v="1"/>
    <s v="March"/>
    <s v="Loss"/>
    <n v="3.0819999999999936"/>
    <n v="36.659999999999961"/>
  </r>
  <r>
    <s v="2024-03-05"/>
    <n v="169.221"/>
    <x v="290"/>
    <n v="168.09"/>
    <n v="168.58600000000001"/>
    <n v="95998136"/>
    <x v="0"/>
    <s v="Apple"/>
    <x v="0"/>
    <n v="-2.8450000000000002"/>
    <x v="14"/>
    <x v="1"/>
    <s v="March"/>
    <s v="Loss"/>
    <n v="2.3979999999999961"/>
    <n v="33.814999999999962"/>
  </r>
  <r>
    <s v="2024-03-06"/>
    <n v="169.517"/>
    <x v="291"/>
    <n v="167.15899999999999"/>
    <n v="167.595"/>
    <n v="69211910"/>
    <x v="0"/>
    <s v="Apple"/>
    <x v="0"/>
    <n v="-0.58799999999999997"/>
    <x v="14"/>
    <x v="1"/>
    <s v="March"/>
    <s v="Loss"/>
    <n v="2.5360000000000014"/>
    <n v="33.226999999999961"/>
  </r>
  <r>
    <s v="2024-03-07"/>
    <n v="167.625"/>
    <x v="292"/>
    <n v="166.97"/>
    <n v="167.476"/>
    <n v="72418181"/>
    <x v="0"/>
    <s v="Apple"/>
    <x v="0"/>
    <n v="-7.0999999999999994E-2"/>
    <x v="14"/>
    <x v="1"/>
    <s v="March"/>
    <s v="Loss"/>
    <n v="2.2210000000000036"/>
    <n v="33.155999999999963"/>
  </r>
  <r>
    <s v="2024-03-08"/>
    <n v="167.476"/>
    <x v="293"/>
    <n v="167.417"/>
    <n v="169.191"/>
    <n v="76961132"/>
    <x v="0"/>
    <s v="Apple"/>
    <x v="0"/>
    <n v="1.024"/>
    <x v="14"/>
    <x v="1"/>
    <s v="March"/>
    <s v="Profit"/>
    <n v="4.7169999999999845"/>
    <n v="34.179999999999964"/>
  </r>
  <r>
    <s v="2024-03-11"/>
    <n v="171.381"/>
    <x v="294"/>
    <n v="170.49799999999999"/>
    <n v="171.19300000000001"/>
    <n v="60686790"/>
    <x v="0"/>
    <s v="Apple"/>
    <x v="0"/>
    <n v="1.1830000000000001"/>
    <x v="14"/>
    <x v="1"/>
    <s v="March"/>
    <s v="Profit"/>
    <n v="2.3100000000000023"/>
    <n v="35.362999999999964"/>
  </r>
  <r>
    <s v="2024-03-12"/>
    <n v="171.58799999999999"/>
    <x v="295"/>
    <n v="169.46799999999999"/>
    <n v="171.666"/>
    <n v="60369830"/>
    <x v="0"/>
    <s v="Apple"/>
    <x v="0"/>
    <n v="0.27600000000000002"/>
    <x v="14"/>
    <x v="1"/>
    <s v="March"/>
    <s v="Profit"/>
    <n v="2.9930000000000234"/>
    <n v="35.638999999999967"/>
  </r>
  <r>
    <s v="2024-03-13"/>
    <n v="171.21299999999999"/>
    <x v="296"/>
    <n v="169.221"/>
    <n v="169.58500000000001"/>
    <n v="52966381"/>
    <x v="0"/>
    <s v="Apple"/>
    <x v="0"/>
    <n v="-1.212"/>
    <x v="14"/>
    <x v="1"/>
    <s v="March"/>
    <s v="Loss"/>
    <n v="2.4000000000000057"/>
    <n v="34.426999999999964"/>
  </r>
  <r>
    <s v="2024-03-14"/>
    <n v="171.351"/>
    <x v="297"/>
    <n v="170.49799999999999"/>
    <n v="171.44"/>
    <n v="73577079"/>
    <x v="0"/>
    <s v="Apple"/>
    <x v="0"/>
    <n v="1.0940000000000001"/>
    <x v="14"/>
    <x v="1"/>
    <s v="March"/>
    <s v="Profit"/>
    <n v="2.2379999999999995"/>
    <n v="35.520999999999965"/>
  </r>
  <r>
    <s v="2024-03-15"/>
    <n v="169.625"/>
    <x v="298"/>
    <n v="168.74799999999999"/>
    <n v="171.06299999999999"/>
    <n v="122860748"/>
    <x v="0"/>
    <s v="Apple"/>
    <x v="0"/>
    <n v="-0.22"/>
    <x v="14"/>
    <x v="1"/>
    <s v="March"/>
    <s v="Loss"/>
    <n v="2.3149999999999977"/>
    <n v="35.300999999999966"/>
  </r>
  <r>
    <s v="2024-03-18"/>
    <n v="173.98599999999999"/>
    <x v="299"/>
    <n v="171.95500000000001"/>
    <n v="172.154"/>
    <n v="76292242"/>
    <x v="0"/>
    <s v="Apple"/>
    <x v="0"/>
    <n v="0.63800000000000001"/>
    <x v="14"/>
    <x v="1"/>
    <s v="March"/>
    <s v="Profit"/>
    <n v="4.1519999999999868"/>
    <n v="35.938999999999965"/>
  </r>
  <r>
    <s v="2024-03-19"/>
    <n v="172.768"/>
    <x v="300"/>
    <n v="171.47"/>
    <n v="174.49199999999999"/>
    <n v="55717747"/>
    <x v="0"/>
    <s v="Apple"/>
    <x v="0"/>
    <n v="1.3580000000000001"/>
    <x v="14"/>
    <x v="1"/>
    <s v="March"/>
    <s v="Profit"/>
    <n v="3.5420000000000016"/>
    <n v="37.296999999999962"/>
  </r>
  <r>
    <s v="2024-03-20"/>
    <n v="174.13499999999999"/>
    <x v="301"/>
    <n v="173.512"/>
    <n v="177.05799999999999"/>
    <n v="53909295"/>
    <x v="0"/>
    <s v="Apple"/>
    <x v="0"/>
    <n v="1.4710000000000001"/>
    <x v="14"/>
    <x v="1"/>
    <s v="March"/>
    <s v="Profit"/>
    <n v="3.5459999999999923"/>
    <n v="38.767999999999958"/>
  </r>
  <r>
    <s v="2024-03-21"/>
    <n v="175.453"/>
    <x v="302"/>
    <n v="169.3"/>
    <n v="169.82400000000001"/>
    <n v="107147605"/>
    <x v="0"/>
    <s v="Apple"/>
    <x v="0"/>
    <n v="-4.0860000000000003"/>
    <x v="14"/>
    <x v="1"/>
    <s v="March"/>
    <s v="Loss"/>
    <n v="6.5889999999999986"/>
    <n v="34.68199999999996"/>
  </r>
  <r>
    <s v="2024-03-22"/>
    <n v="170.21100000000001"/>
    <x v="303"/>
    <n v="168.52600000000001"/>
    <n v="170.72499999999999"/>
    <n v="71807753"/>
    <x v="0"/>
    <s v="Apple"/>
    <x v="0"/>
    <n v="0.53100000000000003"/>
    <x v="14"/>
    <x v="1"/>
    <s v="March"/>
    <s v="Profit"/>
    <n v="2.9639999999999986"/>
    <n v="35.212999999999958"/>
  </r>
  <r>
    <s v="2024-03-25"/>
    <n v="169.02699999999999"/>
    <x v="304"/>
    <n v="167.92099999999999"/>
    <n v="169.31"/>
    <n v="54782395"/>
    <x v="0"/>
    <s v="Apple"/>
    <x v="0"/>
    <n v="-0.82899999999999996"/>
    <x v="14"/>
    <x v="1"/>
    <s v="March"/>
    <s v="Loss"/>
    <n v="2.4689999999999941"/>
    <n v="34.383999999999958"/>
  </r>
  <r>
    <s v="2024-03-26"/>
    <n v="168.46700000000001"/>
    <x v="305"/>
    <n v="168.05"/>
    <n v="168.18"/>
    <n v="57910729"/>
    <x v="0"/>
    <s v="Apple"/>
    <x v="0"/>
    <n v="-0.66700000000000004"/>
    <x v="14"/>
    <x v="1"/>
    <s v="March"/>
    <s v="Loss"/>
    <n v="1.8239999999999839"/>
    <n v="33.716999999999956"/>
  </r>
  <r>
    <s v="2024-03-27"/>
    <n v="168.87299999999999"/>
    <x v="306"/>
    <n v="168.57599999999999"/>
    <n v="171.74600000000001"/>
    <n v="60821800"/>
    <x v="0"/>
    <s v="Apple"/>
    <x v="0"/>
    <n v="2.12"/>
    <x v="14"/>
    <x v="1"/>
    <s v="March"/>
    <s v="Profit"/>
    <n v="3.4590000000000032"/>
    <n v="35.836999999999954"/>
  </r>
  <r>
    <s v="2024-03-28"/>
    <n v="170.20099999999999"/>
    <x v="307"/>
    <n v="168.97200000000001"/>
    <n v="169.93299999999999"/>
    <n v="66270364"/>
    <x v="0"/>
    <s v="Apple"/>
    <x v="0"/>
    <n v="-1.056"/>
    <x v="14"/>
    <x v="1"/>
    <s v="March"/>
    <s v="Loss"/>
    <n v="1.7049999999999841"/>
    <n v="34.780999999999956"/>
  </r>
  <r>
    <s v="2024-04-01"/>
    <n v="169.64500000000001"/>
    <x v="308"/>
    <n v="167.946"/>
    <n v="168.49700000000001"/>
    <n v="46661325"/>
    <x v="0"/>
    <s v="Apple"/>
    <x v="0"/>
    <n v="-0.84499999999999997"/>
    <x v="15"/>
    <x v="1"/>
    <s v="April"/>
    <s v="Loss"/>
    <n v="1.7590000000000146"/>
    <n v="33.935999999999957"/>
  </r>
  <r>
    <s v="2024-04-02"/>
    <n v="167.55500000000001"/>
    <x v="309"/>
    <n v="166.71299999999999"/>
    <n v="167.31700000000001"/>
    <n v="49778419"/>
    <x v="0"/>
    <s v="Apple"/>
    <x v="0"/>
    <n v="-0.7"/>
    <x v="15"/>
    <x v="1"/>
    <s v="April"/>
    <s v="Loss"/>
    <n v="1.099000000000018"/>
    <n v="33.235999999999954"/>
  </r>
  <r>
    <s v="2024-04-03"/>
    <n v="167.267"/>
    <x v="310"/>
    <n v="167.06"/>
    <n v="168.12"/>
    <n v="48125747"/>
    <x v="0"/>
    <s v="Apple"/>
    <x v="0"/>
    <n v="0.48"/>
    <x v="15"/>
    <x v="1"/>
    <s v="April"/>
    <s v="Profit"/>
    <n v="2.0819999999999936"/>
    <n v="33.715999999999951"/>
  </r>
  <r>
    <s v="2024-04-04"/>
    <n v="168.75299999999999"/>
    <x v="311"/>
    <n v="167.297"/>
    <n v="167.297"/>
    <n v="54193139"/>
    <x v="0"/>
    <s v="Apple"/>
    <x v="0"/>
    <n v="-0.49"/>
    <x v="15"/>
    <x v="1"/>
    <s v="April"/>
    <s v="Loss"/>
    <n v="3.0740000000000123"/>
    <n v="33.225999999999949"/>
  </r>
  <r>
    <s v="2024-04-05"/>
    <n v="168.06"/>
    <x v="312"/>
    <n v="167.42699999999999"/>
    <n v="168.05"/>
    <n v="42488013"/>
    <x v="0"/>
    <s v="Apple"/>
    <x v="0"/>
    <n v="0.45"/>
    <x v="15"/>
    <x v="1"/>
    <s v="April"/>
    <s v="Profit"/>
    <n v="1.4260000000000161"/>
    <n v="33.675999999999952"/>
  </r>
  <r>
    <s v="2024-04-08"/>
    <n v="167.506"/>
    <x v="313"/>
    <n v="166.72300000000001"/>
    <n v="166.93100000000001"/>
    <n v="37766114"/>
    <x v="0"/>
    <s v="Apple"/>
    <x v="0"/>
    <n v="-0.66600000000000004"/>
    <x v="15"/>
    <x v="1"/>
    <s v="April"/>
    <s v="Loss"/>
    <n v="0.95099999999999341"/>
    <n v="33.009999999999955"/>
  </r>
  <r>
    <s v="2024-04-09"/>
    <n v="167.178"/>
    <x v="314"/>
    <n v="166.83199999999999"/>
    <n v="168.14"/>
    <n v="42837549"/>
    <x v="0"/>
    <s v="Apple"/>
    <x v="0"/>
    <n v="0.72399999999999998"/>
    <x v="15"/>
    <x v="1"/>
    <s v="April"/>
    <s v="Profit"/>
    <n v="1.7139999999999986"/>
    <n v="33.733999999999952"/>
  </r>
  <r>
    <s v="2024-04-10"/>
    <n v="167.27699999999999"/>
    <x v="315"/>
    <n v="165.60300000000001"/>
    <n v="166.26599999999999"/>
    <n v="50161730"/>
    <x v="0"/>
    <s v="Apple"/>
    <x v="0"/>
    <n v="-1.115"/>
    <x v="15"/>
    <x v="1"/>
    <s v="April"/>
    <s v="Loss"/>
    <n v="1.9619999999999891"/>
    <n v="32.61899999999995"/>
  </r>
  <r>
    <s v="2024-04-11"/>
    <n v="166.822"/>
    <x v="316"/>
    <n v="166.64400000000001"/>
    <n v="173.46199999999999"/>
    <n v="91899087"/>
    <x v="0"/>
    <s v="Apple"/>
    <x v="0"/>
    <n v="4.3280000000000003"/>
    <x v="15"/>
    <x v="1"/>
    <s v="April"/>
    <s v="Profit"/>
    <n v="7.2319999999999993"/>
    <n v="36.946999999999953"/>
  </r>
  <r>
    <s v="2024-04-12"/>
    <n v="172.68799999999999"/>
    <x v="317"/>
    <n v="172.63800000000001"/>
    <n v="174.95699999999999"/>
    <n v="102596173"/>
    <x v="0"/>
    <s v="Apple"/>
    <x v="0"/>
    <n v="0.86199999999999999"/>
    <x v="15"/>
    <x v="1"/>
    <s v="April"/>
    <s v="Profit"/>
    <n v="4.1129999999999995"/>
    <n v="37.808999999999955"/>
  </r>
  <r>
    <s v="2024-04-15"/>
    <n v="173.77699999999999"/>
    <x v="318"/>
    <n v="170.94399999999999"/>
    <n v="171.13300000000001"/>
    <n v="74200971"/>
    <x v="0"/>
    <s v="Apple"/>
    <x v="0"/>
    <n v="-2.1859999999999999"/>
    <x v="15"/>
    <x v="1"/>
    <s v="April"/>
    <s v="Loss"/>
    <n v="4.0930000000000177"/>
    <n v="35.622999999999955"/>
  </r>
  <r>
    <s v="2024-04-16"/>
    <n v="170.20099999999999"/>
    <x v="319"/>
    <n v="166.75299999999999"/>
    <n v="167.852"/>
    <n v="74382066"/>
    <x v="0"/>
    <s v="Apple"/>
    <x v="0"/>
    <n v="-1.917"/>
    <x v="15"/>
    <x v="1"/>
    <s v="April"/>
    <s v="Loss"/>
    <n v="5.4410000000000025"/>
    <n v="33.705999999999953"/>
  </r>
  <r>
    <s v="2024-04-17"/>
    <n v="168.08"/>
    <x v="320"/>
    <n v="166.48400000000001"/>
    <n v="166.48400000000001"/>
    <n v="51364451"/>
    <x v="0"/>
    <s v="Apple"/>
    <x v="0"/>
    <n v="-0.81499999999999995"/>
    <x v="15"/>
    <x v="1"/>
    <s v="April"/>
    <s v="Loss"/>
    <n v="2.6279999999999859"/>
    <n v="32.890999999999956"/>
  </r>
  <r>
    <s v="2024-04-18"/>
    <n v="166.51400000000001"/>
    <x v="321"/>
    <n v="165.048"/>
    <n v="165.53299999999999"/>
    <n v="43515355"/>
    <x v="0"/>
    <s v="Apple"/>
    <x v="0"/>
    <n v="-0.57099999999999995"/>
    <x v="15"/>
    <x v="1"/>
    <s v="April"/>
    <s v="Loss"/>
    <n v="2.070999999999998"/>
    <n v="32.319999999999958"/>
  </r>
  <r>
    <s v="2024-04-19"/>
    <n v="164.71100000000001"/>
    <x v="322"/>
    <n v="162.595"/>
    <n v="163.44300000000001"/>
    <n v="68384561"/>
    <x v="0"/>
    <s v="Apple"/>
    <x v="0"/>
    <n v="-1.2629999999999999"/>
    <x v="15"/>
    <x v="1"/>
    <s v="April"/>
    <s v="Loss"/>
    <n v="2.3050000000000068"/>
    <n v="31.05699999999996"/>
  </r>
  <r>
    <s v="2024-04-22"/>
    <n v="164.023"/>
    <x v="323"/>
    <n v="163.28399999999999"/>
    <n v="164.345"/>
    <n v="48554340"/>
    <x v="0"/>
    <s v="Apple"/>
    <x v="0"/>
    <n v="0.55200000000000005"/>
    <x v="15"/>
    <x v="1"/>
    <s v="April"/>
    <s v="Profit"/>
    <n v="2.4680000000000177"/>
    <n v="31.608999999999959"/>
  </r>
  <r>
    <s v="2024-04-23"/>
    <n v="163.85900000000001"/>
    <x v="324"/>
    <n v="163.43299999999999"/>
    <n v="165.39400000000001"/>
    <n v="49988594"/>
    <x v="0"/>
    <s v="Apple"/>
    <x v="0"/>
    <n v="0.63800000000000001"/>
    <x v="15"/>
    <x v="1"/>
    <s v="April"/>
    <s v="Profit"/>
    <n v="2.1100000000000136"/>
    <n v="32.246999999999957"/>
  </r>
  <r>
    <s v="2024-04-24"/>
    <n v="165.03800000000001"/>
    <x v="325"/>
    <n v="164.71100000000001"/>
    <n v="167.49600000000001"/>
    <n v="48690965"/>
    <x v="0"/>
    <s v="Apple"/>
    <x v="0"/>
    <n v="1.2709999999999999"/>
    <x v="15"/>
    <x v="1"/>
    <s v="April"/>
    <s v="Profit"/>
    <n v="3.0619999999999834"/>
    <n v="33.517999999999958"/>
  </r>
  <r>
    <s v="2024-04-25"/>
    <n v="167.995"/>
    <x v="326"/>
    <n v="166.63499999999999"/>
    <n v="168.35900000000001"/>
    <n v="51018450"/>
    <x v="0"/>
    <s v="Apple"/>
    <x v="0"/>
    <n v="0.51500000000000001"/>
    <x v="15"/>
    <x v="1"/>
    <s v="April"/>
    <s v="Profit"/>
    <n v="2.4370000000000118"/>
    <n v="34.032999999999959"/>
  </r>
  <r>
    <s v="2024-04-26"/>
    <n v="168.34899999999999"/>
    <x v="327"/>
    <n v="167.654"/>
    <n v="167.773"/>
    <n v="45246418"/>
    <x v="0"/>
    <s v="Apple"/>
    <x v="0"/>
    <n v="-0.34799999999999998"/>
    <x v="15"/>
    <x v="1"/>
    <s v="April"/>
    <s v="Loss"/>
    <n v="2.1409999999999911"/>
    <n v="33.68499999999996"/>
  </r>
  <r>
    <s v="2024-04-29"/>
    <n v="171.80600000000001"/>
    <x v="328"/>
    <n v="171.53899999999999"/>
    <n v="171.935"/>
    <n v="68789816"/>
    <x v="0"/>
    <s v="Apple"/>
    <x v="0"/>
    <n v="2.4809999999999999"/>
    <x v="15"/>
    <x v="1"/>
    <s v="April"/>
    <s v="Profit"/>
    <n v="2.9050000000000011"/>
    <n v="36.165999999999961"/>
  </r>
  <r>
    <s v="2024-04-30"/>
    <n v="171.76599999999999"/>
    <x v="329"/>
    <n v="168.46700000000001"/>
    <n v="168.79300000000001"/>
    <n v="66534834"/>
    <x v="0"/>
    <s v="Apple"/>
    <x v="0"/>
    <n v="-1.827"/>
    <x v="15"/>
    <x v="1"/>
    <s v="April"/>
    <s v="Loss"/>
    <n v="4.945999999999998"/>
    <n v="34.338999999999963"/>
  </r>
  <r>
    <s v="2024-05-01"/>
    <n v="168.05"/>
    <x v="330"/>
    <n v="167.58500000000001"/>
    <n v="167.773"/>
    <n v="50841674"/>
    <x v="0"/>
    <s v="Apple"/>
    <x v="0"/>
    <n v="-0.60399999999999998"/>
    <x v="16"/>
    <x v="1"/>
    <s v="May"/>
    <s v="Loss"/>
    <n v="3.5629999999999882"/>
    <n v="33.734999999999964"/>
  </r>
  <r>
    <s v="2024-05-02"/>
    <n v="170.95400000000001"/>
    <x v="331"/>
    <n v="169.35"/>
    <n v="171.47"/>
    <n v="95072347"/>
    <x v="0"/>
    <s v="Apple"/>
    <x v="0"/>
    <n v="2.2040000000000002"/>
    <x v="16"/>
    <x v="1"/>
    <s v="May"/>
    <s v="Profit"/>
    <n v="2.5010000000000048"/>
    <n v="35.938999999999965"/>
  </r>
  <r>
    <s v="2024-05-03"/>
    <n v="184.96299999999999"/>
    <x v="332"/>
    <n v="181.01300000000001"/>
    <n v="181.726"/>
    <n v="164709581"/>
    <x v="0"/>
    <s v="Apple"/>
    <x v="0"/>
    <n v="5.9809999999999999"/>
    <x v="16"/>
    <x v="1"/>
    <s v="May"/>
    <s v="Profit"/>
    <n v="4.2999999999999829"/>
    <n v="41.919999999999966"/>
  </r>
  <r>
    <s v="2024-05-06"/>
    <n v="180.709"/>
    <x v="333"/>
    <n v="178.79499999999999"/>
    <n v="180.071"/>
    <n v="79284715"/>
    <x v="0"/>
    <s v="Apple"/>
    <x v="0"/>
    <n v="-0.91100000000000003"/>
    <x v="16"/>
    <x v="1"/>
    <s v="May"/>
    <s v="Loss"/>
    <n v="3.7430000000000234"/>
    <n v="41.008999999999965"/>
  </r>
  <r>
    <s v="2024-05-07"/>
    <n v="181.79599999999999"/>
    <x v="334"/>
    <n v="179.68600000000001"/>
    <n v="180.75399999999999"/>
    <n v="78009315"/>
    <x v="0"/>
    <s v="Apple"/>
    <x v="0"/>
    <n v="0.379"/>
    <x v="16"/>
    <x v="1"/>
    <s v="May"/>
    <s v="Profit"/>
    <n v="3.5480000000000018"/>
    <n v="41.387999999999963"/>
  </r>
  <r>
    <s v="2024-05-08"/>
    <n v="181.20099999999999"/>
    <x v="335"/>
    <n v="179.81399999999999"/>
    <n v="181.09200000000001"/>
    <n v="45467142"/>
    <x v="0"/>
    <s v="Apple"/>
    <x v="0"/>
    <n v="0.187"/>
    <x v="16"/>
    <x v="1"/>
    <s v="May"/>
    <s v="Profit"/>
    <n v="1.6050000000000182"/>
    <n v="41.57499999999996"/>
  </r>
  <r>
    <s v="2024-05-09"/>
    <n v="180.91300000000001"/>
    <x v="336"/>
    <n v="180.46799999999999"/>
    <n v="182.90600000000001"/>
    <n v="49428756"/>
    <x v="0"/>
    <s v="Apple"/>
    <x v="0"/>
    <n v="1.002"/>
    <x v="16"/>
    <x v="1"/>
    <s v="May"/>
    <s v="Profit"/>
    <n v="2.5270000000000152"/>
    <n v="42.576999999999963"/>
  </r>
  <r>
    <s v="2024-05-10"/>
    <n v="183.48"/>
    <x v="337"/>
    <n v="180.73099999999999"/>
    <n v="181.64400000000001"/>
    <n v="51152068"/>
    <x v="0"/>
    <s v="Apple"/>
    <x v="0"/>
    <n v="-0.69"/>
    <x v="16"/>
    <x v="1"/>
    <s v="May"/>
    <s v="Loss"/>
    <n v="2.9380000000000166"/>
    <n v="41.886999999999965"/>
  </r>
  <r>
    <s v="2024-05-13"/>
    <n v="184.012"/>
    <x v="338"/>
    <n v="183.20400000000001"/>
    <n v="184.852"/>
    <n v="72602001"/>
    <x v="0"/>
    <s v="Apple"/>
    <x v="0"/>
    <n v="1.766"/>
    <x v="16"/>
    <x v="1"/>
    <s v="May"/>
    <s v="Profit"/>
    <n v="2.4609999999999843"/>
    <n v="43.652999999999963"/>
  </r>
  <r>
    <s v="2024-05-14"/>
    <n v="186.07"/>
    <x v="128"/>
    <n v="184.86199999999999"/>
    <n v="185.99199999999999"/>
    <n v="52798830"/>
    <x v="0"/>
    <s v="Apple"/>
    <x v="0"/>
    <n v="0.61699999999999999"/>
    <x v="16"/>
    <x v="1"/>
    <s v="May"/>
    <s v="Profit"/>
    <n v="1.992999999999995"/>
    <n v="44.26999999999996"/>
  </r>
  <r>
    <s v="2024-05-15"/>
    <n v="186.46899999999999"/>
    <x v="339"/>
    <n v="185.93199999999999"/>
    <n v="188.26400000000001"/>
    <n v="70944460"/>
    <x v="0"/>
    <s v="Apple"/>
    <x v="0"/>
    <n v="1.222"/>
    <x v="16"/>
    <x v="1"/>
    <s v="May"/>
    <s v="Profit"/>
    <n v="3.2550000000000239"/>
    <n v="45.491999999999962"/>
  </r>
  <r>
    <s v="2024-05-16"/>
    <n v="189.00800000000001"/>
    <x v="340"/>
    <n v="188.20400000000001"/>
    <n v="188.38399999999999"/>
    <n v="53253933"/>
    <x v="0"/>
    <s v="Apple"/>
    <x v="0"/>
    <n v="6.4000000000000001E-2"/>
    <x v="16"/>
    <x v="1"/>
    <s v="May"/>
    <s v="Profit"/>
    <n v="1.4249999999999829"/>
    <n v="45.555999999999962"/>
  </r>
  <r>
    <s v="2024-05-17"/>
    <n v="188.05600000000001"/>
    <x v="341"/>
    <n v="187.72800000000001"/>
    <n v="188.41300000000001"/>
    <n v="41602206"/>
    <x v="0"/>
    <s v="Apple"/>
    <x v="0"/>
    <n v="1.4999999999999999E-2"/>
    <x v="16"/>
    <x v="1"/>
    <s v="May"/>
    <s v="Profit"/>
    <n v="1.617999999999995"/>
    <n v="45.570999999999962"/>
  </r>
  <r>
    <s v="2024-05-20"/>
    <n v="187.87200000000001"/>
    <x v="342"/>
    <n v="187.559"/>
    <n v="189.57400000000001"/>
    <n v="44704364"/>
    <x v="0"/>
    <s v="Apple"/>
    <x v="0"/>
    <n v="0.61599999999999999"/>
    <x v="16"/>
    <x v="1"/>
    <s v="May"/>
    <s v="Profit"/>
    <n v="2.8870000000000005"/>
    <n v="46.186999999999962"/>
  </r>
  <r>
    <s v="2024-05-21"/>
    <n v="189.624"/>
    <x v="343"/>
    <n v="189.45500000000001"/>
    <n v="190.874"/>
    <n v="42636620"/>
    <x v="0"/>
    <s v="Apple"/>
    <x v="0"/>
    <n v="0.68600000000000005"/>
    <x v="16"/>
    <x v="1"/>
    <s v="May"/>
    <s v="Profit"/>
    <n v="1.7949999999999875"/>
    <n v="46.872999999999962"/>
  </r>
  <r>
    <s v="2024-05-22"/>
    <n v="190.78899999999999"/>
    <x v="344"/>
    <n v="188.81"/>
    <n v="189.435"/>
    <n v="34916517"/>
    <x v="0"/>
    <s v="Apple"/>
    <x v="0"/>
    <n v="-0.754"/>
    <x v="16"/>
    <x v="1"/>
    <s v="May"/>
    <s v="Loss"/>
    <n v="2.5320000000000107"/>
    <n v="46.118999999999964"/>
  </r>
  <r>
    <s v="2024-05-23"/>
    <n v="189.51499999999999"/>
    <x v="345"/>
    <n v="185.191"/>
    <n v="185.44499999999999"/>
    <n v="51400402"/>
    <x v="0"/>
    <s v="Apple"/>
    <x v="0"/>
    <n v="-2.1059999999999999"/>
    <x v="16"/>
    <x v="1"/>
    <s v="May"/>
    <s v="Loss"/>
    <n v="4.3429999999999893"/>
    <n v="44.012999999999963"/>
  </r>
  <r>
    <s v="2024-05-24"/>
    <n v="187.37200000000001"/>
    <x v="346"/>
    <n v="186.59800000000001"/>
    <n v="188.52199999999999"/>
    <n v="36607926"/>
    <x v="0"/>
    <s v="Apple"/>
    <x v="0"/>
    <n v="1.659"/>
    <x v="16"/>
    <x v="1"/>
    <s v="May"/>
    <s v="Profit"/>
    <n v="2.518999999999977"/>
    <n v="45.671999999999962"/>
  </r>
  <r>
    <s v="2024-05-28"/>
    <n v="190.041"/>
    <x v="347"/>
    <n v="187.648"/>
    <n v="188.53200000000001"/>
    <n v="52684383"/>
    <x v="0"/>
    <s v="Apple"/>
    <x v="0"/>
    <n v="5.0000000000000001E-3"/>
    <x v="16"/>
    <x v="1"/>
    <s v="May"/>
    <s v="Profit"/>
    <n v="3.8710000000000093"/>
    <n v="45.676999999999964"/>
  </r>
  <r>
    <s v="2024-05-29"/>
    <n v="188.155"/>
    <x v="348"/>
    <n v="188.05600000000001"/>
    <n v="188.82900000000001"/>
    <n v="53478442"/>
    <x v="0"/>
    <s v="Apple"/>
    <x v="0"/>
    <n v="0.158"/>
    <x v="16"/>
    <x v="1"/>
    <s v="May"/>
    <s v="Profit"/>
    <n v="2.714999999999975"/>
    <n v="45.834999999999965"/>
  </r>
  <r>
    <s v="2024-05-30"/>
    <n v="189.29599999999999"/>
    <x v="349"/>
    <n v="189.167"/>
    <n v="189.821"/>
    <n v="50334236"/>
    <x v="0"/>
    <s v="Apple"/>
    <x v="0"/>
    <n v="0.52500000000000002"/>
    <x v="16"/>
    <x v="1"/>
    <s v="May"/>
    <s v="Profit"/>
    <n v="1.5380000000000109"/>
    <n v="46.359999999999964"/>
  </r>
  <r>
    <s v="2024-05-31"/>
    <n v="189.971"/>
    <x v="350"/>
    <n v="188.453"/>
    <n v="190.774"/>
    <n v="75739548"/>
    <x v="0"/>
    <s v="Apple"/>
    <x v="0"/>
    <n v="0.502"/>
    <x v="16"/>
    <x v="1"/>
    <s v="May"/>
    <s v="Profit"/>
    <n v="2.6399999999999864"/>
    <n v="46.861999999999966"/>
  </r>
  <r>
    <s v="2024-06-03"/>
    <n v="191.41900000000001"/>
    <x v="351"/>
    <n v="191.04300000000001"/>
    <n v="192.541"/>
    <n v="50467859"/>
    <x v="0"/>
    <s v="Apple"/>
    <x v="0"/>
    <n v="0.92600000000000005"/>
    <x v="17"/>
    <x v="1"/>
    <s v="June"/>
    <s v="Profit"/>
    <n v="2.4499999999999886"/>
    <n v="47.787999999999968"/>
  </r>
  <r>
    <s v="2024-06-04"/>
    <n v="193.14099999999999"/>
    <x v="352"/>
    <n v="191.55199999999999"/>
    <n v="192.85900000000001"/>
    <n v="47838588"/>
    <x v="0"/>
    <s v="Apple"/>
    <x v="0"/>
    <n v="0.16500000000000001"/>
    <x v="17"/>
    <x v="1"/>
    <s v="June"/>
    <s v="Profit"/>
    <n v="2.2700000000000102"/>
    <n v="47.952999999999967"/>
  </r>
  <r>
    <s v="2024-06-05"/>
    <n v="193.90199999999999"/>
    <x v="353"/>
    <n v="193.374"/>
    <n v="194.36600000000001"/>
    <n v="54575631"/>
    <x v="0"/>
    <s v="Apple"/>
    <x v="0"/>
    <n v="0.78100000000000003"/>
    <x v="17"/>
    <x v="1"/>
    <s v="June"/>
    <s v="Profit"/>
    <n v="2.01400000000001"/>
    <n v="48.733999999999966"/>
  </r>
  <r>
    <s v="2024-06-06"/>
    <n v="194.184"/>
    <x v="354"/>
    <n v="192.68100000000001"/>
    <n v="192.988"/>
    <n v="41500251"/>
    <x v="0"/>
    <s v="Apple"/>
    <x v="0"/>
    <n v="-0.70899999999999996"/>
    <x v="17"/>
    <x v="1"/>
    <s v="June"/>
    <s v="Loss"/>
    <n v="2.3119999999999834"/>
    <n v="48.024999999999963"/>
  </r>
  <r>
    <s v="2024-06-07"/>
    <n v="193.15600000000001"/>
    <x v="355"/>
    <n v="192.65100000000001"/>
    <n v="195.37799999999999"/>
    <n v="53514617"/>
    <x v="0"/>
    <s v="Apple"/>
    <x v="0"/>
    <n v="1.238"/>
    <x v="17"/>
    <x v="1"/>
    <s v="June"/>
    <s v="Profit"/>
    <n v="2.7769999999999868"/>
    <n v="49.262999999999963"/>
  </r>
  <r>
    <s v="2024-06-10"/>
    <n v="195.38800000000001"/>
    <x v="356"/>
    <n v="190.67500000000001"/>
    <n v="191.63800000000001"/>
    <n v="98014300"/>
    <x v="0"/>
    <s v="Apple"/>
    <x v="0"/>
    <n v="-1.9139999999999999"/>
    <x v="17"/>
    <x v="1"/>
    <s v="June"/>
    <s v="Loss"/>
    <n v="5.1099999999999852"/>
    <n v="47.348999999999961"/>
  </r>
  <r>
    <s v="2024-06-11"/>
    <n v="192.16300000000001"/>
    <x v="357"/>
    <n v="192.14400000000001"/>
    <n v="205.56200000000001"/>
    <n v="173706429"/>
    <x v="0"/>
    <s v="Apple"/>
    <x v="0"/>
    <n v="7.266"/>
    <x v="17"/>
    <x v="1"/>
    <s v="June"/>
    <s v="Profit"/>
    <n v="13.426999999999992"/>
    <n v="54.614999999999959"/>
  </r>
  <r>
    <s v="2024-06-12"/>
    <n v="205.77699999999999"/>
    <x v="358"/>
    <n v="205.31299999999999"/>
    <n v="211.43600000000001"/>
    <n v="199666662"/>
    <x v="0"/>
    <s v="Apple"/>
    <x v="0"/>
    <n v="2.8580000000000001"/>
    <x v="17"/>
    <x v="1"/>
    <s v="June"/>
    <s v="Profit"/>
    <n v="13.198000000000008"/>
    <n v="57.472999999999956"/>
  </r>
  <r>
    <s v="2024-06-13"/>
    <n v="213.09299999999999"/>
    <x v="359"/>
    <n v="209.976"/>
    <n v="212.595"/>
    <n v="98619598"/>
    <x v="0"/>
    <s v="Apple"/>
    <x v="0"/>
    <n v="0.54800000000000004"/>
    <x v="17"/>
    <x v="1"/>
    <s v="June"/>
    <s v="Profit"/>
    <n v="5.1090000000000089"/>
    <n v="58.020999999999958"/>
  </r>
  <r>
    <s v="2024-06-14"/>
    <n v="212.209"/>
    <x v="360"/>
    <n v="209.679"/>
    <n v="210.85900000000001"/>
    <n v="70665075"/>
    <x v="0"/>
    <s v="Apple"/>
    <x v="0"/>
    <n v="-0.81699999999999995"/>
    <x v="17"/>
    <x v="1"/>
    <s v="June"/>
    <s v="Loss"/>
    <n v="3.8389999999999986"/>
    <n v="57.203999999999958"/>
  </r>
  <r>
    <s v="2024-06-17"/>
    <n v="211.733"/>
    <x v="361"/>
    <n v="211.08600000000001"/>
    <n v="215.00800000000001"/>
    <n v="94453192"/>
    <x v="0"/>
    <s v="Apple"/>
    <x v="0"/>
    <n v="1.968"/>
    <x v="17"/>
    <x v="1"/>
    <s v="June"/>
    <s v="Profit"/>
    <n v="6.1839999999999975"/>
    <n v="59.171999999999954"/>
  </r>
  <r>
    <s v="2024-06-18"/>
    <n v="215.91900000000001"/>
    <x v="362"/>
    <n v="211.36600000000001"/>
    <n v="212.64500000000001"/>
    <n v="80561533"/>
    <x v="0"/>
    <s v="Apple"/>
    <x v="0"/>
    <n v="-1.099"/>
    <x v="17"/>
    <x v="1"/>
    <s v="June"/>
    <s v="Loss"/>
    <n v="5.5849999999999795"/>
    <n v="58.072999999999958"/>
  </r>
  <r>
    <s v="2024-06-20"/>
    <n v="212.28899999999999"/>
    <x v="363"/>
    <n v="207.24700000000001"/>
    <n v="208.07"/>
    <n v="86838907"/>
    <x v="0"/>
    <s v="Apple"/>
    <x v="0"/>
    <n v="-2.1509999999999998"/>
    <x v="17"/>
    <x v="1"/>
    <s v="June"/>
    <s v="Loss"/>
    <n v="5.3479999999999848"/>
    <n v="55.921999999999954"/>
  </r>
  <r>
    <s v="2024-06-21"/>
    <n v="208.77500000000001"/>
    <x v="364"/>
    <n v="205.52199999999999"/>
    <n v="205.89699999999999"/>
    <n v="248327173"/>
    <x v="0"/>
    <s v="Apple"/>
    <x v="0"/>
    <n v="-1.044"/>
    <x v="17"/>
    <x v="1"/>
    <s v="June"/>
    <s v="Loss"/>
    <n v="4.7410000000000139"/>
    <n v="54.877999999999957"/>
  </r>
  <r>
    <s v="2024-06-24"/>
    <n v="206.126"/>
    <x v="365"/>
    <n v="205.00399999999999"/>
    <n v="206.54300000000001"/>
    <n v="81351347"/>
    <x v="0"/>
    <s v="Apple"/>
    <x v="0"/>
    <n v="0.314"/>
    <x v="17"/>
    <x v="1"/>
    <s v="June"/>
    <s v="Profit"/>
    <n v="6.0630000000000166"/>
    <n v="55.191999999999958"/>
  </r>
  <r>
    <s v="2024-06-25"/>
    <n v="207.54499999999999"/>
    <x v="366"/>
    <n v="207.00899999999999"/>
    <n v="207.465"/>
    <n v="57152490"/>
    <x v="0"/>
    <s v="Apple"/>
    <x v="0"/>
    <n v="0.44600000000000001"/>
    <x v="17"/>
    <x v="1"/>
    <s v="June"/>
    <s v="Profit"/>
    <n v="2.7480000000000189"/>
    <n v="55.637999999999955"/>
  </r>
  <r>
    <s v="2024-06-26"/>
    <n v="209.876"/>
    <x v="367"/>
    <n v="209.02199999999999"/>
    <n v="211.613"/>
    <n v="66725278"/>
    <x v="0"/>
    <s v="Apple"/>
    <x v="0"/>
    <n v="1.9990000000000001"/>
    <x v="17"/>
    <x v="1"/>
    <s v="June"/>
    <s v="Profit"/>
    <n v="4.1899999999999977"/>
    <n v="57.636999999999958"/>
  </r>
  <r>
    <s v="2024-06-27"/>
    <n v="213.04300000000001"/>
    <x v="368"/>
    <n v="210.72"/>
    <n v="212.45599999999999"/>
    <n v="50157647"/>
    <x v="0"/>
    <s v="Apple"/>
    <x v="0"/>
    <n v="0.39800000000000002"/>
    <x v="17"/>
    <x v="1"/>
    <s v="June"/>
    <s v="Profit"/>
    <n v="3.3640000000000043"/>
    <n v="58.034999999999961"/>
  </r>
  <r>
    <s v="2024-06-28"/>
    <n v="214.11500000000001"/>
    <x v="369"/>
    <n v="208.68799999999999"/>
    <n v="209.00200000000001"/>
    <n v="83181102"/>
    <x v="0"/>
    <s v="Apple"/>
    <x v="0"/>
    <n v="-1.6259999999999999"/>
    <x v="17"/>
    <x v="1"/>
    <s v="June"/>
    <s v="Loss"/>
    <n v="5.7230000000000132"/>
    <n v="56.408999999999963"/>
  </r>
  <r>
    <s v="2024-07-01"/>
    <n v="210.46299999999999"/>
    <x v="370"/>
    <n v="210.29300000000001"/>
    <n v="215.08500000000001"/>
    <n v="60870084"/>
    <x v="0"/>
    <s v="Apple"/>
    <x v="0"/>
    <n v="2.91"/>
    <x v="18"/>
    <x v="1"/>
    <s v="July"/>
    <s v="Profit"/>
    <n v="5.5490000000000066"/>
    <n v="59.31899999999996"/>
  </r>
  <r>
    <s v="2024-07-02"/>
    <n v="214.49100000000001"/>
    <x v="371"/>
    <n v="213.44800000000001"/>
    <n v="218.578"/>
    <n v="58495106"/>
    <x v="0"/>
    <s v="Apple"/>
    <x v="0"/>
    <n v="1.6240000000000001"/>
    <x v="18"/>
    <x v="1"/>
    <s v="July"/>
    <s v="Profit"/>
    <n v="5.2399999999999807"/>
    <n v="60.942999999999962"/>
  </r>
  <r>
    <s v="2024-07-03"/>
    <n v="218.31200000000001"/>
    <x v="372"/>
    <n v="217.35"/>
    <n v="219.85"/>
    <n v="37658818"/>
    <x v="0"/>
    <s v="Apple"/>
    <x v="0"/>
    <n v="0.58199999999999996"/>
    <x v="18"/>
    <x v="1"/>
    <s v="July"/>
    <s v="Profit"/>
    <n v="2.5"/>
    <n v="61.524999999999963"/>
  </r>
  <r>
    <s v="2024-07-05"/>
    <n v="219.95"/>
    <x v="373"/>
    <n v="219.95"/>
    <n v="224.60400000000001"/>
    <n v="60879636"/>
    <x v="0"/>
    <s v="Apple"/>
    <x v="0"/>
    <n v="2.1619999999999999"/>
    <x v="18"/>
    <x v="1"/>
    <s v="July"/>
    <s v="Profit"/>
    <n v="4.7610000000000241"/>
    <n v="63.686999999999962"/>
  </r>
  <r>
    <s v="2024-07-08"/>
    <n v="225.34700000000001"/>
    <x v="374"/>
    <n v="221.53700000000001"/>
    <n v="226.072"/>
    <n v="59542830"/>
    <x v="0"/>
    <s v="Apple"/>
    <x v="0"/>
    <n v="0.65400000000000003"/>
    <x v="18"/>
    <x v="1"/>
    <s v="July"/>
    <s v="Profit"/>
    <n v="4.5649999999999977"/>
    <n v="64.340999999999966"/>
  </r>
  <r>
    <s v="2024-07-09"/>
    <n v="226.18"/>
    <x v="375"/>
    <n v="224.636"/>
    <n v="226.92599999999999"/>
    <n v="48542366"/>
    <x v="0"/>
    <s v="Apple"/>
    <x v="0"/>
    <n v="0.378"/>
    <x v="18"/>
    <x v="1"/>
    <s v="July"/>
    <s v="Profit"/>
    <n v="3.0039999999999907"/>
    <n v="64.718999999999966"/>
  </r>
  <r>
    <s v="2024-07-10"/>
    <n v="227.54"/>
    <x v="376"/>
    <n v="227.49"/>
    <n v="231.19300000000001"/>
    <n v="63112048"/>
    <x v="0"/>
    <s v="Apple"/>
    <x v="0"/>
    <n v="1.88"/>
    <x v="18"/>
    <x v="1"/>
    <s v="July"/>
    <s v="Profit"/>
    <n v="3.8029999999999973"/>
    <n v="66.598999999999961"/>
  </r>
  <r>
    <s v="2024-07-11"/>
    <n v="229.613"/>
    <x v="377"/>
    <n v="224.03700000000001"/>
    <n v="225.82400000000001"/>
    <n v="65211087"/>
    <x v="0"/>
    <s v="Apple"/>
    <x v="0"/>
    <n v="-2.3220000000000001"/>
    <x v="18"/>
    <x v="1"/>
    <s v="July"/>
    <s v="Loss"/>
    <n v="6.5689999999999884"/>
    <n v="64.276999999999958"/>
  </r>
  <r>
    <s v="2024-07-12"/>
    <n v="227.16300000000001"/>
    <x v="378"/>
    <n v="226.92599999999999"/>
    <n v="228.77"/>
    <n v="53456787"/>
    <x v="0"/>
    <s v="Apple"/>
    <x v="0"/>
    <n v="1.3049999999999999"/>
    <x v="18"/>
    <x v="1"/>
    <s v="July"/>
    <s v="Profit"/>
    <n v="3.9280000000000257"/>
    <n v="65.581999999999965"/>
  </r>
  <r>
    <s v="2024-07-15"/>
    <n v="234.66399999999999"/>
    <x v="379"/>
    <n v="231.303"/>
    <n v="232.601"/>
    <n v="63115640"/>
    <x v="0"/>
    <s v="Apple"/>
    <x v="0"/>
    <n v="1.675"/>
    <x v="18"/>
    <x v="1"/>
    <s v="July"/>
    <s v="Profit"/>
    <n v="4.1069999999999993"/>
    <n v="67.256999999999962"/>
  </r>
  <r>
    <s v="2024-07-16"/>
    <n v="233.196"/>
    <x v="380"/>
    <n v="230.54599999999999"/>
    <n v="233.01900000000001"/>
    <n v="43568651"/>
    <x v="0"/>
    <s v="Apple"/>
    <x v="0"/>
    <n v="0.18"/>
    <x v="18"/>
    <x v="1"/>
    <s v="July"/>
    <s v="Profit"/>
    <n v="3.9120000000000061"/>
    <n v="67.436999999999969"/>
  </r>
  <r>
    <s v="2024-07-17"/>
    <n v="227.69"/>
    <x v="381"/>
    <n v="224.90100000000001"/>
    <n v="227.12299999999999"/>
    <n v="57789396"/>
    <x v="0"/>
    <s v="Apple"/>
    <x v="0"/>
    <n v="-2.5299999999999998"/>
    <x v="18"/>
    <x v="1"/>
    <s v="July"/>
    <s v="Loss"/>
    <n v="4.7819999999999823"/>
    <n v="64.906999999999968"/>
  </r>
  <r>
    <s v="2024-07-18"/>
    <n v="228.512"/>
    <x v="382"/>
    <n v="220.56399999999999"/>
    <n v="222.459"/>
    <n v="66545295"/>
    <x v="0"/>
    <s v="Apple"/>
    <x v="0"/>
    <n v="-2.0539999999999998"/>
    <x v="18"/>
    <x v="1"/>
    <s v="July"/>
    <s v="Loss"/>
    <n v="8.1069999999999993"/>
    <n v="62.852999999999966"/>
  </r>
  <r>
    <s v="2024-07-19"/>
    <n v="223.095"/>
    <x v="383"/>
    <n v="221.56200000000001"/>
    <n v="222.589"/>
    <n v="49531589"/>
    <x v="0"/>
    <s v="Apple"/>
    <x v="0"/>
    <n v="5.8000000000000003E-2"/>
    <x v="18"/>
    <x v="1"/>
    <s v="July"/>
    <s v="Profit"/>
    <n v="3.4969999999999857"/>
    <n v="62.910999999999966"/>
  </r>
  <r>
    <s v="2024-07-22"/>
    <n v="225.268"/>
    <x v="384"/>
    <n v="221.37799999999999"/>
    <n v="222.24100000000001"/>
    <n v="48574626"/>
    <x v="0"/>
    <s v="Apple"/>
    <x v="0"/>
    <n v="-0.156"/>
    <x v="18"/>
    <x v="1"/>
    <s v="July"/>
    <s v="Loss"/>
    <n v="4.6540000000000248"/>
    <n v="62.754999999999967"/>
  </r>
  <r>
    <s v="2024-07-23"/>
    <n v="222.64400000000001"/>
    <x v="385"/>
    <n v="220.97200000000001"/>
    <n v="223.28200000000001"/>
    <n v="40269311"/>
    <x v="0"/>
    <s v="Apple"/>
    <x v="0"/>
    <n v="0.46800000000000003"/>
    <x v="18"/>
    <x v="1"/>
    <s v="July"/>
    <s v="Profit"/>
    <n v="4.2259999999999991"/>
    <n v="63.222999999999971"/>
  </r>
  <r>
    <s v="2024-07-24"/>
    <n v="222.28100000000001"/>
    <x v="386"/>
    <n v="215.464"/>
    <n v="216.863"/>
    <n v="62255362"/>
    <x v="0"/>
    <s v="Apple"/>
    <x v="0"/>
    <n v="-2.875"/>
    <x v="18"/>
    <x v="1"/>
    <s v="July"/>
    <s v="Loss"/>
    <n v="7.61099999999999"/>
    <n v="60.347999999999971"/>
  </r>
  <r>
    <s v="2024-07-25"/>
    <n v="217.25"/>
    <x v="387"/>
    <n v="212.97300000000001"/>
    <n v="215.822"/>
    <n v="51788656"/>
    <x v="0"/>
    <s v="Apple"/>
    <x v="0"/>
    <n v="-0.48"/>
    <x v="18"/>
    <x v="1"/>
    <s v="July"/>
    <s v="Loss"/>
    <n v="6.1829999999999927"/>
    <n v="59.867999999999974"/>
  </r>
  <r>
    <s v="2024-07-26"/>
    <n v="217.02099999999999"/>
    <x v="388"/>
    <n v="214.351"/>
    <n v="216.28800000000001"/>
    <n v="41923088"/>
    <x v="0"/>
    <s v="Apple"/>
    <x v="0"/>
    <n v="0.216"/>
    <x v="18"/>
    <x v="1"/>
    <s v="July"/>
    <s v="Profit"/>
    <n v="3.4540000000000077"/>
    <n v="60.083999999999975"/>
  </r>
  <r>
    <s v="2024-07-29"/>
    <n v="215.29499999999999"/>
    <x v="389"/>
    <n v="214.095"/>
    <n v="216.565"/>
    <n v="36592612"/>
    <x v="0"/>
    <s v="Apple"/>
    <x v="0"/>
    <n v="0.128"/>
    <x v="18"/>
    <x v="1"/>
    <s v="July"/>
    <s v="Profit"/>
    <n v="3.5219999999999914"/>
    <n v="60.211999999999975"/>
  </r>
  <r>
    <s v="2024-07-30"/>
    <n v="217.50800000000001"/>
    <x v="390"/>
    <n v="214.46100000000001"/>
    <n v="217.12"/>
    <n v="41965912"/>
    <x v="0"/>
    <s v="Apple"/>
    <x v="0"/>
    <n v="0.25600000000000001"/>
    <x v="18"/>
    <x v="1"/>
    <s v="July"/>
    <s v="Profit"/>
    <n v="4.171999999999997"/>
    <n v="60.467999999999975"/>
  </r>
  <r>
    <s v="2024-07-31"/>
    <n v="219.74"/>
    <x v="391"/>
    <n v="218.93700000000001"/>
    <n v="220.375"/>
    <n v="50423241"/>
    <x v="0"/>
    <s v="Apple"/>
    <x v="0"/>
    <n v="1.4990000000000001"/>
    <x v="18"/>
    <x v="1"/>
    <s v="July"/>
    <s v="Profit"/>
    <n v="3.1639999999999873"/>
    <n v="61.966999999999977"/>
  </r>
  <r>
    <s v="2024-08-01"/>
    <n v="222.649"/>
    <x v="392"/>
    <n v="215.35400000000001"/>
    <n v="216.685"/>
    <n v="62984376"/>
    <x v="0"/>
    <s v="Apple"/>
    <x v="0"/>
    <n v="-1.6739999999999999"/>
    <x v="19"/>
    <x v="1"/>
    <s v="August"/>
    <s v="Loss"/>
    <n v="7.4039999999999964"/>
    <n v="60.292999999999978"/>
  </r>
  <r>
    <s v="2024-08-02"/>
    <n v="217.46899999999999"/>
    <x v="393"/>
    <n v="216.03800000000001"/>
    <n v="218.173"/>
    <n v="106385024"/>
    <x v="0"/>
    <s v="Apple"/>
    <x v="0"/>
    <n v="0.68700000000000006"/>
    <x v="19"/>
    <x v="1"/>
    <s v="August"/>
    <s v="Profit"/>
    <n v="7.8309999999999889"/>
    <n v="60.979999999999976"/>
  </r>
  <r>
    <s v="2024-08-05"/>
    <n v="197.56100000000001"/>
    <x v="394"/>
    <n v="194.495"/>
    <n v="207.66499999999999"/>
    <n v="120473176"/>
    <x v="0"/>
    <s v="Apple"/>
    <x v="0"/>
    <n v="-4.8159999999999998"/>
    <x v="19"/>
    <x v="1"/>
    <s v="August"/>
    <s v="Loss"/>
    <n v="17.365999999999985"/>
    <n v="56.163999999999973"/>
  </r>
  <r>
    <s v="2024-08-06"/>
    <n v="203.72399999999999"/>
    <x v="395"/>
    <n v="199.52699999999999"/>
    <n v="205.64"/>
    <n v="70199240"/>
    <x v="0"/>
    <s v="Apple"/>
    <x v="0"/>
    <n v="-0.97499999999999998"/>
    <x v="19"/>
    <x v="1"/>
    <s v="August"/>
    <s v="Loss"/>
    <n v="8.8509999999999991"/>
    <n v="55.188999999999972"/>
  </r>
  <r>
    <s v="2024-08-07"/>
    <n v="205.31299999999999"/>
    <x v="396"/>
    <n v="204.80500000000001"/>
    <n v="208.209"/>
    <n v="64007651"/>
    <x v="0"/>
    <s v="Apple"/>
    <x v="0"/>
    <n v="1.2490000000000001"/>
    <x v="19"/>
    <x v="1"/>
    <s v="August"/>
    <s v="Profit"/>
    <n v="7.1949999999999932"/>
    <n v="56.437999999999974"/>
  </r>
  <r>
    <s v="2024-08-08"/>
    <n v="211.47499999999999"/>
    <x v="397"/>
    <n v="207.227"/>
    <n v="211.673"/>
    <n v="47525892"/>
    <x v="0"/>
    <s v="Apple"/>
    <x v="0"/>
    <n v="1.6639999999999999"/>
    <x v="19"/>
    <x v="1"/>
    <s v="August"/>
    <s v="Profit"/>
    <n v="5.328000000000003"/>
    <n v="58.101999999999975"/>
  </r>
  <r>
    <s v="2024-08-09"/>
    <n v="210.47300000000001"/>
    <x v="398"/>
    <n v="210.34299999999999"/>
    <n v="214.58099999999999"/>
    <n v="42528032"/>
    <x v="0"/>
    <s v="Apple"/>
    <x v="0"/>
    <n v="1.3740000000000001"/>
    <x v="19"/>
    <x v="1"/>
    <s v="August"/>
    <s v="Profit"/>
    <n v="4.7720000000000198"/>
    <n v="59.475999999999978"/>
  </r>
  <r>
    <s v="2024-08-12"/>
    <n v="214.661"/>
    <x v="399"/>
    <n v="214.19200000000001"/>
    <n v="216.11"/>
    <n v="38277894"/>
    <x v="0"/>
    <s v="Apple"/>
    <x v="0"/>
    <n v="0.71299999999999997"/>
    <x v="19"/>
    <x v="1"/>
    <s v="August"/>
    <s v="Profit"/>
    <n v="3.8849999999999909"/>
    <n v="60.188999999999979"/>
  </r>
  <r>
    <s v="2024-08-13"/>
    <n v="217.58099999999999"/>
    <x v="400"/>
    <n v="217.58099999999999"/>
    <n v="219.82599999999999"/>
    <n v="44445383"/>
    <x v="0"/>
    <s v="Apple"/>
    <x v="0"/>
    <n v="1.7190000000000001"/>
    <x v="19"/>
    <x v="1"/>
    <s v="August"/>
    <s v="Profit"/>
    <n v="2.8610000000000184"/>
    <n v="61.90799999999998"/>
  </r>
  <r>
    <s v="2024-08-14"/>
    <n v="219.131"/>
    <x v="401"/>
    <n v="218.267"/>
    <n v="220.273"/>
    <n v="42236208"/>
    <x v="0"/>
    <s v="Apple"/>
    <x v="0"/>
    <n v="0.20300000000000001"/>
    <x v="19"/>
    <x v="1"/>
    <s v="August"/>
    <s v="Profit"/>
    <n v="3.3079999999999927"/>
    <n v="62.110999999999983"/>
  </r>
  <r>
    <s v="2024-08-15"/>
    <n v="223.13399999999999"/>
    <x v="402"/>
    <n v="221.30600000000001"/>
    <n v="223.25200000000001"/>
    <n v="46718902"/>
    <x v="0"/>
    <s v="Apple"/>
    <x v="0"/>
    <n v="1.3520000000000001"/>
    <x v="19"/>
    <x v="1"/>
    <s v="August"/>
    <s v="Profit"/>
    <n v="2.5739999999999839"/>
    <n v="63.46299999999998"/>
  </r>
  <r>
    <s v="2024-08-16"/>
    <n v="222.458"/>
    <x v="403"/>
    <n v="222.19"/>
    <n v="224.57599999999999"/>
    <n v="44631506"/>
    <x v="0"/>
    <s v="Apple"/>
    <x v="0"/>
    <n v="0.59299999999999997"/>
    <x v="19"/>
    <x v="1"/>
    <s v="August"/>
    <s v="Profit"/>
    <n v="3.1570000000000107"/>
    <n v="64.055999999999983"/>
  </r>
  <r>
    <s v="2024-08-19"/>
    <n v="224.24600000000001"/>
    <x v="404"/>
    <n v="221.58500000000001"/>
    <n v="224.416"/>
    <n v="40955086"/>
    <x v="0"/>
    <s v="Apple"/>
    <x v="0"/>
    <n v="-7.0999999999999994E-2"/>
    <x v="19"/>
    <x v="1"/>
    <s v="August"/>
    <s v="Loss"/>
    <n v="2.9309999999999832"/>
    <n v="63.984999999999985"/>
  </r>
  <r>
    <s v="2024-08-20"/>
    <n v="224.29599999999999"/>
    <x v="405"/>
    <n v="223.97800000000001"/>
    <n v="225.03200000000001"/>
    <n v="30498065"/>
    <x v="0"/>
    <s v="Apple"/>
    <x v="0"/>
    <n v="0.27400000000000002"/>
    <x v="19"/>
    <x v="1"/>
    <s v="August"/>
    <s v="Profit"/>
    <n v="1.7090000000000032"/>
    <n v="64.258999999999986"/>
  </r>
  <r>
    <s v="2024-08-21"/>
    <n v="225.041"/>
    <x v="406"/>
    <n v="223.58199999999999"/>
    <n v="224.923"/>
    <n v="34993850"/>
    <x v="0"/>
    <s v="Apple"/>
    <x v="0"/>
    <n v="-4.8000000000000001E-2"/>
    <x v="19"/>
    <x v="1"/>
    <s v="August"/>
    <s v="Loss"/>
    <n v="2.9090000000000202"/>
    <n v="64.210999999999984"/>
  </r>
  <r>
    <s v="2024-08-22"/>
    <n v="226.303"/>
    <x v="407"/>
    <n v="222.43799999999999"/>
    <n v="223.065"/>
    <n v="43982350"/>
    <x v="0"/>
    <s v="Apple"/>
    <x v="0"/>
    <n v="-0.82599999999999996"/>
    <x v="19"/>
    <x v="1"/>
    <s v="August"/>
    <s v="Loss"/>
    <n v="4.4120000000000061"/>
    <n v="63.384999999999984"/>
  </r>
  <r>
    <s v="2024-08-23"/>
    <n v="224.185"/>
    <x v="408"/>
    <n v="222.86600000000001"/>
    <n v="225.36"/>
    <n v="38931316"/>
    <x v="0"/>
    <s v="Apple"/>
    <x v="0"/>
    <n v="1.0289999999999999"/>
    <x v="19"/>
    <x v="1"/>
    <s v="August"/>
    <s v="Profit"/>
    <n v="3.8649999999999807"/>
    <n v="64.413999999999987"/>
  </r>
  <r>
    <s v="2024-08-26"/>
    <n v="225.28"/>
    <x v="409"/>
    <n v="222.428"/>
    <n v="225.697"/>
    <n v="30803231"/>
    <x v="0"/>
    <s v="Apple"/>
    <x v="0"/>
    <n v="0.15"/>
    <x v="19"/>
    <x v="1"/>
    <s v="August"/>
    <s v="Profit"/>
    <n v="3.3689999999999998"/>
    <n v="64.563999999999993"/>
  </r>
  <r>
    <s v="2024-08-27"/>
    <n v="224.52099999999999"/>
    <x v="410"/>
    <n v="223.422"/>
    <n v="226.541"/>
    <n v="36170610"/>
    <x v="0"/>
    <s v="Apple"/>
    <x v="0"/>
    <n v="0.374"/>
    <x v="19"/>
    <x v="1"/>
    <s v="August"/>
    <s v="Profit"/>
    <n v="3.9329999999999927"/>
    <n v="64.937999999999988"/>
  </r>
  <r>
    <s v="2024-08-28"/>
    <n v="226.43299999999999"/>
    <x v="411"/>
    <n v="224.20599999999999"/>
    <n v="225.012"/>
    <n v="38302127"/>
    <x v="0"/>
    <s v="Apple"/>
    <x v="0"/>
    <n v="-0.67500000000000004"/>
    <x v="19"/>
    <x v="1"/>
    <s v="August"/>
    <s v="Loss"/>
    <n v="4.15300000000002"/>
    <n v="64.262999999999991"/>
  </r>
  <r>
    <s v="2024-08-29"/>
    <n v="228.59800000000001"/>
    <x v="412"/>
    <n v="227.38499999999999"/>
    <n v="228.28899999999999"/>
    <n v="52247265"/>
    <x v="0"/>
    <s v="Apple"/>
    <x v="0"/>
    <n v="1.456"/>
    <x v="19"/>
    <x v="1"/>
    <s v="August"/>
    <s v="Profit"/>
    <n v="4.01400000000001"/>
    <n v="65.718999999999994"/>
  </r>
  <r>
    <s v="2024-08-30"/>
    <n v="228.68700000000001"/>
    <x v="413"/>
    <n v="225.99600000000001"/>
    <n v="227.505"/>
    <n v="53338861"/>
    <x v="0"/>
    <s v="Apple"/>
    <x v="0"/>
    <n v="-0.34300000000000003"/>
    <x v="19"/>
    <x v="1"/>
    <s v="August"/>
    <s v="Loss"/>
    <n v="2.900999999999982"/>
    <n v="65.375999999999991"/>
  </r>
  <r>
    <s v="2024-09-03"/>
    <n v="227.059"/>
    <x v="414"/>
    <n v="219.726"/>
    <n v="221.316"/>
    <n v="50520271"/>
    <x v="0"/>
    <s v="Apple"/>
    <x v="0"/>
    <n v="-2.72"/>
    <x v="20"/>
    <x v="1"/>
    <s v="September"/>
    <s v="Loss"/>
    <n v="7.7789999999999964"/>
    <n v="62.655999999999992"/>
  </r>
  <r>
    <s v="2024-09-04"/>
    <n v="220.21299999999999"/>
    <x v="415"/>
    <n v="216.06"/>
    <n v="219.40899999999999"/>
    <n v="44128178"/>
    <x v="0"/>
    <s v="Apple"/>
    <x v="0"/>
    <n v="-0.86199999999999999"/>
    <x v="20"/>
    <x v="1"/>
    <s v="September"/>
    <s v="Loss"/>
    <n v="4.2719999999999914"/>
    <n v="61.79399999999999"/>
  </r>
  <r>
    <s v="2024-09-05"/>
    <n v="220.178"/>
    <x v="416"/>
    <n v="220.07499999999999"/>
    <n v="220.929"/>
    <n v="36855920"/>
    <x v="0"/>
    <s v="Apple"/>
    <x v="0"/>
    <n v="0.69299999999999995"/>
    <x v="20"/>
    <x v="1"/>
    <s v="September"/>
    <s v="Profit"/>
    <n v="3.9330000000000211"/>
    <n v="62.486999999999988"/>
  </r>
  <r>
    <s v="2024-09-06"/>
    <n v="222.488"/>
    <x v="417"/>
    <n v="218.33600000000001"/>
    <n v="219.37899999999999"/>
    <n v="48741097"/>
    <x v="0"/>
    <s v="Apple"/>
    <x v="0"/>
    <n v="-0.70199999999999996"/>
    <x v="20"/>
    <x v="1"/>
    <s v="September"/>
    <s v="Loss"/>
    <n v="5.4349999999999739"/>
    <n v="61.784999999999989"/>
  </r>
  <r>
    <s v="2024-09-09"/>
    <n v="219.37899999999999"/>
    <x v="418"/>
    <n v="215.29599999999999"/>
    <n v="219.46799999999999"/>
    <n v="67621264"/>
    <x v="0"/>
    <s v="Apple"/>
    <x v="0"/>
    <n v="4.1000000000000002E-2"/>
    <x v="20"/>
    <x v="1"/>
    <s v="September"/>
    <s v="Profit"/>
    <n v="4.5300000000000011"/>
    <n v="61.825999999999986"/>
  </r>
  <r>
    <s v="2024-09-10"/>
    <n v="217.49100000000001"/>
    <x v="419"/>
    <n v="215.316"/>
    <n v="218.673"/>
    <n v="51929929"/>
    <x v="0"/>
    <s v="Apple"/>
    <x v="0"/>
    <n v="-0.36199999999999999"/>
    <x v="20"/>
    <x v="1"/>
    <s v="September"/>
    <s v="Loss"/>
    <n v="4.7199999999999989"/>
    <n v="61.463999999999984"/>
  </r>
  <r>
    <s v="2024-09-11"/>
    <n v="220.011"/>
    <x v="420"/>
    <n v="216.46799999999999"/>
    <n v="221.20599999999999"/>
    <n v="44879959"/>
    <x v="0"/>
    <s v="Apple"/>
    <x v="0"/>
    <n v="1.1579999999999999"/>
    <x v="20"/>
    <x v="1"/>
    <s v="September"/>
    <s v="Profit"/>
    <n v="5.1659999999999968"/>
    <n v="62.621999999999986"/>
  </r>
  <r>
    <s v="2024-09-12"/>
    <n v="221.048"/>
    <x v="421"/>
    <n v="218.386"/>
    <n v="221.316"/>
    <n v="37744547"/>
    <x v="0"/>
    <s v="Apple"/>
    <x v="0"/>
    <n v="0.05"/>
    <x v="20"/>
    <x v="1"/>
    <s v="September"/>
    <s v="Profit"/>
    <n v="3.7050000000000125"/>
    <n v="62.671999999999983"/>
  </r>
  <r>
    <s v="2024-09-13"/>
    <n v="222.12"/>
    <x v="422"/>
    <n v="220.46199999999999"/>
    <n v="221.048"/>
    <n v="37008134"/>
    <x v="0"/>
    <s v="Apple"/>
    <x v="0"/>
    <n v="-0.121"/>
    <x v="20"/>
    <x v="1"/>
    <s v="September"/>
    <s v="Loss"/>
    <n v="2.1160000000000139"/>
    <n v="62.550999999999981"/>
  </r>
  <r>
    <s v="2024-09-16"/>
    <n v="215.126"/>
    <x v="423"/>
    <n v="212.523"/>
    <n v="214.90799999999999"/>
    <n v="59747340"/>
    <x v="0"/>
    <s v="Apple"/>
    <x v="0"/>
    <n v="-2.778"/>
    <x v="20"/>
    <x v="1"/>
    <s v="September"/>
    <s v="Loss"/>
    <n v="3.2800000000000011"/>
    <n v="59.772999999999982"/>
  </r>
  <r>
    <s v="2024-09-17"/>
    <n v="214.34100000000001"/>
    <x v="424"/>
    <n v="213.101"/>
    <n v="215.375"/>
    <n v="45818351"/>
    <x v="0"/>
    <s v="Apple"/>
    <x v="0"/>
    <n v="0.217"/>
    <x v="20"/>
    <x v="1"/>
    <s v="September"/>
    <s v="Profit"/>
    <n v="2.3840000000000146"/>
    <n v="59.989999999999981"/>
  </r>
  <r>
    <s v="2024-09-18"/>
    <n v="216.13"/>
    <x v="425"/>
    <n v="216.12"/>
    <n v="219.25"/>
    <n v="60288372"/>
    <x v="0"/>
    <s v="Apple"/>
    <x v="0"/>
    <n v="1.7989999999999999"/>
    <x v="20"/>
    <x v="1"/>
    <s v="September"/>
    <s v="Profit"/>
    <n v="5.1359999999999957"/>
    <n v="61.78899999999998"/>
  </r>
  <r>
    <s v="2024-09-19"/>
    <n v="223.52199999999999"/>
    <x v="426"/>
    <n v="223.16300000000001"/>
    <n v="227.375"/>
    <n v="67219995"/>
    <x v="0"/>
    <s v="Apple"/>
    <x v="0"/>
    <n v="3.706"/>
    <x v="20"/>
    <x v="1"/>
    <s v="September"/>
    <s v="Profit"/>
    <n v="5.1559999999999775"/>
    <n v="65.494999999999976"/>
  </r>
  <r>
    <s v="2024-09-20"/>
    <n v="228.46799999999999"/>
    <x v="427"/>
    <n v="226.13499999999999"/>
    <n v="226.71100000000001"/>
    <n v="320773273"/>
    <x v="0"/>
    <s v="Apple"/>
    <x v="0"/>
    <n v="-0.29199999999999998"/>
    <x v="20"/>
    <x v="1"/>
    <s v="September"/>
    <s v="Loss"/>
    <n v="5.4330000000000211"/>
    <n v="65.202999999999975"/>
  </r>
  <r>
    <s v="2024-09-23"/>
    <n v="225.857"/>
    <x v="428"/>
    <n v="224.33600000000001"/>
    <n v="224.99199999999999"/>
    <n v="54501702"/>
    <x v="0"/>
    <s v="Apple"/>
    <x v="0"/>
    <n v="-0.75800000000000001"/>
    <x v="20"/>
    <x v="1"/>
    <s v="September"/>
    <s v="Loss"/>
    <n v="3.6169999999999902"/>
    <n v="64.444999999999979"/>
  </r>
  <r>
    <s v="2024-09-24"/>
    <n v="227.15299999999999"/>
    <x v="429"/>
    <n v="224.256"/>
    <n v="225.887"/>
    <n v="43842183"/>
    <x v="0"/>
    <s v="Apple"/>
    <x v="0"/>
    <n v="0.39800000000000002"/>
    <x v="20"/>
    <x v="1"/>
    <s v="September"/>
    <s v="Profit"/>
    <n v="3.5970000000000084"/>
    <n v="64.842999999999975"/>
  </r>
  <r>
    <s v="2024-09-25"/>
    <n v="223.46199999999999"/>
    <x v="430"/>
    <n v="222.55799999999999"/>
    <n v="224.893"/>
    <n v="42586637"/>
    <x v="0"/>
    <s v="Apple"/>
    <x v="0"/>
    <n v="-0.44"/>
    <x v="20"/>
    <x v="1"/>
    <s v="September"/>
    <s v="Loss"/>
    <n v="3.2489999999999952"/>
    <n v="64.402999999999977"/>
  </r>
  <r>
    <s v="2024-09-26"/>
    <n v="225.81700000000001"/>
    <x v="431"/>
    <n v="223.93799999999999"/>
    <n v="226.035"/>
    <n v="36877369"/>
    <x v="0"/>
    <s v="Apple"/>
    <x v="0"/>
    <n v="0.50800000000000001"/>
    <x v="20"/>
    <x v="1"/>
    <s v="September"/>
    <s v="Profit"/>
    <n v="3.070999999999998"/>
    <n v="64.910999999999973"/>
  </r>
  <r>
    <s v="2024-09-27"/>
    <n v="226.96899999999999"/>
    <x v="432"/>
    <n v="225.81700000000001"/>
    <n v="226.303"/>
    <n v="34249480"/>
    <x v="0"/>
    <s v="Apple"/>
    <x v="0"/>
    <n v="0.11899999999999999"/>
    <x v="20"/>
    <x v="1"/>
    <s v="September"/>
    <s v="Profit"/>
    <n v="2.2059999999999889"/>
    <n v="65.029999999999973"/>
  </r>
  <r>
    <s v="2024-09-30"/>
    <n v="228.53800000000001"/>
    <x v="433"/>
    <n v="228.15299999999999"/>
    <n v="231.47900000000001"/>
    <n v="55153323"/>
    <x v="0"/>
    <s v="Apple"/>
    <x v="0"/>
    <n v="2.2869999999999999"/>
    <x v="20"/>
    <x v="1"/>
    <s v="September"/>
    <s v="Profit"/>
    <n v="3.3260000000000218"/>
    <n v="67.316999999999979"/>
  </r>
  <r>
    <s v="2024-10-01"/>
    <n v="228.023"/>
    <x v="434"/>
    <n v="222.28"/>
    <n v="224.733"/>
    <n v="63700761"/>
    <x v="0"/>
    <s v="Apple"/>
    <x v="0"/>
    <n v="-2.9140000000000001"/>
    <x v="21"/>
    <x v="1"/>
    <s v="October"/>
    <s v="Loss"/>
    <n v="5.8729999999999905"/>
    <n v="64.402999999999977"/>
  </r>
  <r>
    <s v="2024-10-02"/>
    <n v="224.416"/>
    <x v="435"/>
    <n v="221.565"/>
    <n v="225.3"/>
    <n v="33096594"/>
    <x v="0"/>
    <s v="Apple"/>
    <x v="0"/>
    <n v="0.252"/>
    <x v="21"/>
    <x v="1"/>
    <s v="October"/>
    <s v="Profit"/>
    <n v="4.3220000000000027"/>
    <n v="64.654999999999973"/>
  </r>
  <r>
    <s v="2024-10-03"/>
    <n v="223.672"/>
    <x v="436"/>
    <n v="221.863"/>
    <n v="224.196"/>
    <n v="34267790"/>
    <x v="0"/>
    <s v="Apple"/>
    <x v="0"/>
    <n v="-0.49"/>
    <x v="21"/>
    <x v="1"/>
    <s v="October"/>
    <s v="Loss"/>
    <n v="3.4619999999999891"/>
    <n v="64.164999999999978"/>
  </r>
  <r>
    <s v="2024-10-04"/>
    <n v="226.41300000000001"/>
    <x v="437"/>
    <n v="222.66800000000001"/>
    <n v="225.32"/>
    <n v="37590414"/>
    <x v="0"/>
    <s v="Apple"/>
    <x v="0"/>
    <n v="0.501"/>
    <x v="21"/>
    <x v="1"/>
    <s v="October"/>
    <s v="Profit"/>
    <n v="3.8429999999999893"/>
    <n v="64.665999999999983"/>
  </r>
  <r>
    <s v="2024-10-07"/>
    <n v="223.035"/>
    <x v="438"/>
    <n v="219.886"/>
    <n v="220.24299999999999"/>
    <n v="39764861"/>
    <x v="0"/>
    <s v="Apple"/>
    <x v="0"/>
    <n v="-2.2530000000000001"/>
    <x v="21"/>
    <x v="1"/>
    <s v="October"/>
    <s v="Loss"/>
    <n v="4.3300000000000125"/>
    <n v="62.412999999999982"/>
  </r>
  <r>
    <s v="2024-10-08"/>
    <n v="222.83600000000001"/>
    <x v="439"/>
    <n v="221.79300000000001"/>
    <n v="224.29599999999999"/>
    <n v="32064949"/>
    <x v="0"/>
    <s v="Apple"/>
    <x v="0"/>
    <n v="1.84"/>
    <x v="21"/>
    <x v="1"/>
    <s v="October"/>
    <s v="Profit"/>
    <n v="2.7129999999999939"/>
    <n v="64.252999999999986"/>
  </r>
  <r>
    <s v="2024-10-09"/>
    <n v="223.761"/>
    <x v="440"/>
    <n v="223.36199999999999"/>
    <n v="228.04300000000001"/>
    <n v="33811747"/>
    <x v="0"/>
    <s v="Apple"/>
    <x v="0"/>
    <n v="1.671"/>
    <x v="21"/>
    <x v="1"/>
    <s v="October"/>
    <s v="Profit"/>
    <n v="4.88900000000001"/>
    <n v="65.923999999999992"/>
  </r>
  <r>
    <s v="2024-10-10"/>
    <n v="226.29300000000001"/>
    <x v="441"/>
    <n v="225.68700000000001"/>
    <n v="227.54499999999999"/>
    <n v="28368679"/>
    <x v="0"/>
    <s v="Apple"/>
    <x v="0"/>
    <n v="-0.218"/>
    <x v="21"/>
    <x v="1"/>
    <s v="October"/>
    <s v="Loss"/>
    <n v="2.3159999999999741"/>
    <n v="65.705999999999989"/>
  </r>
  <r>
    <s v="2024-10-11"/>
    <n v="227.803"/>
    <x v="442"/>
    <n v="225.857"/>
    <n v="226.065"/>
    <n v="31967811"/>
    <x v="0"/>
    <s v="Apple"/>
    <x v="0"/>
    <n v="-0.65"/>
    <x v="21"/>
    <x v="1"/>
    <s v="October"/>
    <s v="Loss"/>
    <n v="2.0560000000000116"/>
    <n v="65.055999999999983"/>
  </r>
  <r>
    <s v="2024-10-14"/>
    <n v="227.208"/>
    <x v="443"/>
    <n v="227.108"/>
    <n v="229.791"/>
    <n v="40144066"/>
    <x v="0"/>
    <s v="Apple"/>
    <x v="0"/>
    <n v="1.6479999999999999"/>
    <x v="21"/>
    <x v="1"/>
    <s v="October"/>
    <s v="Profit"/>
    <n v="3.1099999999999852"/>
    <n v="66.703999999999979"/>
  </r>
  <r>
    <s v="2024-10-15"/>
    <n v="232.08600000000001"/>
    <x v="444"/>
    <n v="230.85300000000001"/>
    <n v="232.32400000000001"/>
    <n v="65176713"/>
    <x v="0"/>
    <s v="Apple"/>
    <x v="0"/>
    <n v="1.1020000000000001"/>
    <x v="21"/>
    <x v="1"/>
    <s v="October"/>
    <s v="Profit"/>
    <n v="5.0869999999999891"/>
    <n v="67.805999999999983"/>
  </r>
  <r>
    <s v="2024-10-16"/>
    <n v="230.08799999999999"/>
    <x v="445"/>
    <n v="228.339"/>
    <n v="230.268"/>
    <n v="34306123"/>
    <x v="0"/>
    <s v="Apple"/>
    <x v="0"/>
    <n v="-0.88500000000000001"/>
    <x v="21"/>
    <x v="1"/>
    <s v="October"/>
    <s v="Loss"/>
    <n v="2.2659999999999911"/>
    <n v="66.920999999999978"/>
  </r>
  <r>
    <s v="2024-10-17"/>
    <n v="231.90600000000001"/>
    <x v="446"/>
    <n v="229.017"/>
    <n v="230.63499999999999"/>
    <n v="33210542"/>
    <x v="0"/>
    <s v="Apple"/>
    <x v="0"/>
    <n v="0.159"/>
    <x v="21"/>
    <x v="1"/>
    <s v="October"/>
    <s v="Profit"/>
    <n v="3.3070000000000164"/>
    <n v="67.079999999999984"/>
  </r>
  <r>
    <s v="2024-10-18"/>
    <n v="234.637"/>
    <x v="447"/>
    <n v="232.482"/>
    <n v="233.46700000000001"/>
    <n v="46736475"/>
    <x v="0"/>
    <s v="Apple"/>
    <x v="0"/>
    <n v="1.228"/>
    <x v="21"/>
    <x v="1"/>
    <s v="October"/>
    <s v="Profit"/>
    <n v="2.1550000000000011"/>
    <n v="68.307999999999979"/>
  </r>
  <r>
    <s v="2024-10-21"/>
    <n v="232.92"/>
    <x v="448"/>
    <n v="232.92"/>
    <n v="234.93700000000001"/>
    <n v="36492622"/>
    <x v="0"/>
    <s v="Apple"/>
    <x v="0"/>
    <n v="0.63"/>
    <x v="21"/>
    <x v="1"/>
    <s v="October"/>
    <s v="Profit"/>
    <n v="2.3840000000000146"/>
    <n v="68.937999999999974"/>
  </r>
  <r>
    <s v="2024-10-22"/>
    <n v="232.35900000000001"/>
    <x v="449"/>
    <n v="231.08199999999999"/>
    <n v="234.322"/>
    <n v="39101757"/>
    <x v="0"/>
    <s v="Apple"/>
    <x v="0"/>
    <n v="-0.26200000000000001"/>
    <x v="21"/>
    <x v="1"/>
    <s v="October"/>
    <s v="Loss"/>
    <n v="3.5949999999999989"/>
    <n v="68.675999999999974"/>
  </r>
  <r>
    <s v="2024-10-23"/>
    <n v="232.55199999999999"/>
    <x v="450"/>
    <n v="226.273"/>
    <n v="229.25299999999999"/>
    <n v="52630447"/>
    <x v="0"/>
    <s v="Apple"/>
    <x v="0"/>
    <n v="-2.1629999999999998"/>
    <x v="21"/>
    <x v="1"/>
    <s v="October"/>
    <s v="Loss"/>
    <n v="7.3360000000000127"/>
    <n v="66.512999999999977"/>
  </r>
  <r>
    <s v="2024-10-24"/>
    <n v="228.47800000000001"/>
    <x v="451"/>
    <n v="226.92"/>
    <n v="229.06700000000001"/>
    <n v="31313857"/>
    <x v="0"/>
    <s v="Apple"/>
    <x v="0"/>
    <n v="-8.1000000000000003E-2"/>
    <x v="21"/>
    <x v="1"/>
    <s v="October"/>
    <s v="Loss"/>
    <n v="2.3920000000000243"/>
    <n v="66.431999999999974"/>
  </r>
  <r>
    <s v="2024-10-25"/>
    <n v="228.24100000000001"/>
    <x v="452"/>
    <n v="228.07300000000001"/>
    <n v="229.90100000000001"/>
    <n v="39057192"/>
    <x v="0"/>
    <s v="Apple"/>
    <x v="0"/>
    <n v="0.36399999999999999"/>
    <x v="21"/>
    <x v="1"/>
    <s v="October"/>
    <s v="Profit"/>
    <n v="3.625"/>
    <n v="66.795999999999978"/>
  </r>
  <r>
    <s v="2024-10-28"/>
    <n v="231.797"/>
    <x v="453"/>
    <n v="231.03200000000001"/>
    <n v="231.876"/>
    <n v="36324187"/>
    <x v="0"/>
    <s v="Apple"/>
    <x v="0"/>
    <n v="0.85899999999999999"/>
    <x v="21"/>
    <x v="1"/>
    <s v="October"/>
    <s v="Profit"/>
    <n v="2.1659999999999968"/>
    <n v="67.654999999999973"/>
  </r>
  <r>
    <s v="2024-10-29"/>
    <n v="231.578"/>
    <x v="454"/>
    <n v="230.804"/>
    <n v="232.14599999999999"/>
    <n v="35649899"/>
    <x v="0"/>
    <s v="Apple"/>
    <x v="0"/>
    <n v="0.11600000000000001"/>
    <x v="21"/>
    <x v="1"/>
    <s v="October"/>
    <s v="Profit"/>
    <n v="1.9909999999999854"/>
    <n v="67.770999999999972"/>
  </r>
  <r>
    <s v="2024-10-30"/>
    <n v="231.09200000000001"/>
    <x v="455"/>
    <n v="228.053"/>
    <n v="228.59800000000001"/>
    <n v="47380112"/>
    <x v="0"/>
    <s v="Apple"/>
    <x v="0"/>
    <n v="-1.528"/>
    <x v="21"/>
    <x v="1"/>
    <s v="October"/>
    <s v="Loss"/>
    <n v="3.8930000000000007"/>
    <n v="66.242999999999967"/>
  </r>
  <r>
    <s v="2024-10-31"/>
    <n v="227.84299999999999"/>
    <x v="456"/>
    <n v="223.898"/>
    <n v="224.43600000000001"/>
    <n v="64792927"/>
    <x v="0"/>
    <s v="Apple"/>
    <x v="0"/>
    <n v="-1.821"/>
    <x v="21"/>
    <x v="1"/>
    <s v="October"/>
    <s v="Loss"/>
    <n v="4.4310000000000116"/>
    <n v="64.421999999999969"/>
  </r>
  <r>
    <s v="2024-11-01"/>
    <n v="219.523"/>
    <x v="402"/>
    <n v="218.83199999999999"/>
    <n v="221.45500000000001"/>
    <n v="65705538"/>
    <x v="0"/>
    <s v="Apple"/>
    <x v="0"/>
    <n v="-1.3280000000000001"/>
    <x v="22"/>
    <x v="1"/>
    <s v="November"/>
    <s v="Loss"/>
    <n v="5.0480000000000018"/>
    <n v="63.093999999999966"/>
  </r>
  <r>
    <s v="2024-11-04"/>
    <n v="219.548"/>
    <x v="457"/>
    <n v="218.27699999999999"/>
    <n v="220.56100000000001"/>
    <n v="45239704"/>
    <x v="0"/>
    <s v="Apple"/>
    <x v="0"/>
    <n v="-0.40400000000000003"/>
    <x v="22"/>
    <x v="1"/>
    <s v="November"/>
    <s v="Loss"/>
    <n v="3.0590000000000259"/>
    <n v="62.689999999999962"/>
  </r>
  <r>
    <s v="2024-11-05"/>
    <n v="220.34700000000001"/>
    <x v="458"/>
    <n v="219.696"/>
    <n v="221.99199999999999"/>
    <n v="28295998"/>
    <x v="0"/>
    <s v="Apple"/>
    <x v="0"/>
    <n v="0.64900000000000002"/>
    <x v="22"/>
    <x v="1"/>
    <s v="November"/>
    <s v="Profit"/>
    <n v="2.7920000000000016"/>
    <n v="63.338999999999963"/>
  </r>
  <r>
    <s v="2024-11-06"/>
    <n v="221.15700000000001"/>
    <x v="459"/>
    <n v="219.74600000000001"/>
    <n v="221.26599999999999"/>
    <n v="54919528"/>
    <x v="0"/>
    <s v="Apple"/>
    <x v="0"/>
    <n v="-0.32700000000000001"/>
    <x v="22"/>
    <x v="1"/>
    <s v="November"/>
    <s v="Loss"/>
    <n v="4.8449999999999989"/>
    <n v="63.011999999999965"/>
  </r>
  <r>
    <s v="2024-11-07"/>
    <n v="223.15799999999999"/>
    <x v="460"/>
    <n v="223.10499999999999"/>
    <n v="225.99600000000001"/>
    <n v="42414489"/>
    <x v="0"/>
    <s v="Apple"/>
    <x v="0"/>
    <n v="2.1379999999999999"/>
    <x v="22"/>
    <x v="1"/>
    <s v="November"/>
    <s v="Profit"/>
    <n v="3.2830000000000155"/>
    <n v="65.149999999999963"/>
  </r>
  <r>
    <s v="2024-11-08"/>
    <n v="225.93700000000001"/>
    <x v="461"/>
    <n v="225.17500000000001"/>
    <n v="225.727"/>
    <n v="38538202"/>
    <x v="0"/>
    <s v="Apple"/>
    <x v="0"/>
    <n v="-0.11899999999999999"/>
    <x v="22"/>
    <x v="1"/>
    <s v="November"/>
    <s v="Loss"/>
    <n v="2.2419999999999902"/>
    <n v="65.030999999999963"/>
  </r>
  <r>
    <s v="2024-11-11"/>
    <n v="223.779"/>
    <x v="462"/>
    <n v="220.297"/>
    <n v="223.012"/>
    <n v="42235065"/>
    <x v="0"/>
    <s v="Apple"/>
    <x v="0"/>
    <n v="-1.2030000000000001"/>
    <x v="22"/>
    <x v="1"/>
    <s v="November"/>
    <s v="Loss"/>
    <n v="4.1769999999999925"/>
    <n v="63.82799999999996"/>
  </r>
  <r>
    <s v="2024-11-12"/>
    <n v="223.32900000000001"/>
    <x v="463"/>
    <n v="222.14099999999999"/>
    <n v="223.012"/>
    <n v="40618982"/>
    <x v="0"/>
    <s v="Apple"/>
    <x v="0"/>
    <n v="0"/>
    <x v="22"/>
    <x v="1"/>
    <s v="November"/>
    <s v="Neutral"/>
    <n v="2.2230000000000132"/>
    <n v="63.82799999999996"/>
  </r>
  <r>
    <s v="2024-11-13"/>
    <n v="222.79400000000001"/>
    <x v="464"/>
    <n v="221.55"/>
    <n v="223.89699999999999"/>
    <n v="48831519"/>
    <x v="0"/>
    <s v="Apple"/>
    <x v="0"/>
    <n v="0.39700000000000002"/>
    <x v="22"/>
    <x v="1"/>
    <s v="November"/>
    <s v="Profit"/>
    <n v="3.867999999999995"/>
    <n v="64.224999999999966"/>
  </r>
  <r>
    <s v="2024-11-14"/>
    <n v="223.79900000000001"/>
    <x v="465"/>
    <n v="223.779"/>
    <n v="226.98"/>
    <n v="45169347"/>
    <x v="0"/>
    <s v="Apple"/>
    <x v="0"/>
    <n v="1.377"/>
    <x v="22"/>
    <x v="1"/>
    <s v="November"/>
    <s v="Profit"/>
    <n v="3.8480000000000132"/>
    <n v="65.601999999999961"/>
  </r>
  <r>
    <s v="2024-11-15"/>
    <n v="225.17"/>
    <x v="405"/>
    <n v="223.05199999999999"/>
    <n v="223.779"/>
    <n v="48185489"/>
    <x v="0"/>
    <s v="Apple"/>
    <x v="0"/>
    <n v="-1.41"/>
    <x v="22"/>
    <x v="1"/>
    <s v="November"/>
    <s v="Loss"/>
    <n v="2.6350000000000193"/>
    <n v="64.191999999999965"/>
  </r>
  <r>
    <s v="2024-11-18"/>
    <n v="224.02600000000001"/>
    <x v="466"/>
    <n v="223.946"/>
    <n v="226.78200000000001"/>
    <n v="44930125"/>
    <x v="0"/>
    <s v="Apple"/>
    <x v="0"/>
    <n v="1.3420000000000001"/>
    <x v="22"/>
    <x v="1"/>
    <s v="November"/>
    <s v="Profit"/>
    <n v="4.5450000000000159"/>
    <n v="65.533999999999963"/>
  </r>
  <r>
    <s v="2024-11-19"/>
    <n v="225.74700000000001"/>
    <x v="467"/>
    <n v="225.428"/>
    <n v="227.04"/>
    <n v="36409587"/>
    <x v="0"/>
    <s v="Apple"/>
    <x v="0"/>
    <n v="0.114"/>
    <x v="22"/>
    <x v="1"/>
    <s v="November"/>
    <s v="Profit"/>
    <n v="3.4819999999999993"/>
    <n v="65.647999999999968"/>
  </r>
  <r>
    <s v="2024-11-20"/>
    <n v="226.822"/>
    <x v="468"/>
    <n v="224.66300000000001"/>
    <n v="227.755"/>
    <n v="35361686"/>
    <x v="0"/>
    <s v="Apple"/>
    <x v="0"/>
    <n v="0.315"/>
    <x v="22"/>
    <x v="1"/>
    <s v="November"/>
    <s v="Profit"/>
    <n v="4.0169999999999959"/>
    <n v="65.962999999999965"/>
  </r>
  <r>
    <s v="2024-11-21"/>
    <n v="227.637"/>
    <x v="469"/>
    <n v="224.48400000000001"/>
    <n v="227.27799999999999"/>
    <n v="42338351"/>
    <x v="0"/>
    <s v="Apple"/>
    <x v="0"/>
    <n v="-0.20899999999999999"/>
    <x v="22"/>
    <x v="1"/>
    <s v="November"/>
    <s v="Loss"/>
    <n v="4.4209999999999923"/>
    <n v="65.753999999999962"/>
  </r>
  <r>
    <s v="2024-11-22"/>
    <n v="226.822"/>
    <x v="470"/>
    <n v="226.822"/>
    <n v="228.62100000000001"/>
    <n v="38376753"/>
    <x v="0"/>
    <s v="Apple"/>
    <x v="0"/>
    <n v="0.59099999999999997"/>
    <x v="22"/>
    <x v="1"/>
    <s v="November"/>
    <s v="Profit"/>
    <n v="2.6440000000000055"/>
    <n v="66.344999999999956"/>
  </r>
  <r>
    <s v="2024-11-25"/>
    <n v="230.203"/>
    <x v="471"/>
    <n v="228.49100000000001"/>
    <n v="231.60400000000001"/>
    <n v="90645310"/>
    <x v="0"/>
    <s v="Apple"/>
    <x v="0"/>
    <n v="1.3049999999999999"/>
    <x v="22"/>
    <x v="1"/>
    <s v="November"/>
    <s v="Profit"/>
    <n v="3.4869999999999948"/>
    <n v="67.649999999999963"/>
  </r>
  <r>
    <s v="2024-11-26"/>
    <n v="232.06299999999999"/>
    <x v="472"/>
    <n v="232.06299999999999"/>
    <n v="233.78200000000001"/>
    <n v="46237396"/>
    <x v="0"/>
    <s v="Apple"/>
    <x v="0"/>
    <n v="0.94"/>
    <x v="22"/>
    <x v="1"/>
    <s v="November"/>
    <s v="Profit"/>
    <n v="2.2280000000000086"/>
    <n v="68.589999999999961"/>
  </r>
  <r>
    <s v="2024-11-27"/>
    <n v="233.191"/>
    <x v="473"/>
    <n v="232.53899999999999"/>
    <n v="233.65299999999999"/>
    <n v="33681430"/>
    <x v="0"/>
    <s v="Apple"/>
    <x v="0"/>
    <n v="-5.5E-2"/>
    <x v="22"/>
    <x v="1"/>
    <s v="November"/>
    <s v="Loss"/>
    <n v="1.8710000000000093"/>
    <n v="68.534999999999954"/>
  </r>
  <r>
    <s v="2024-11-29"/>
    <n v="233.52799999999999"/>
    <x v="474"/>
    <n v="232.69800000000001"/>
    <n v="236.041"/>
    <n v="28636961"/>
    <x v="0"/>
    <s v="Apple"/>
    <x v="0"/>
    <n v="1.022"/>
    <x v="22"/>
    <x v="1"/>
    <s v="November"/>
    <s v="Profit"/>
    <n v="3.820999999999998"/>
    <n v="69.55699999999996"/>
  </r>
  <r>
    <s v="2024-12-02"/>
    <n v="235.98099999999999"/>
    <x v="475"/>
    <n v="235.87200000000001"/>
    <n v="238.28899999999999"/>
    <n v="48400060"/>
    <x v="0"/>
    <s v="Apple"/>
    <x v="0"/>
    <n v="0.95199999999999996"/>
    <x v="23"/>
    <x v="1"/>
    <s v="December"/>
    <s v="Profit"/>
    <n v="3.61099999999999"/>
    <n v="70.508999999999958"/>
  </r>
  <r>
    <s v="2024-12-03"/>
    <n v="238.50800000000001"/>
    <x v="476"/>
    <n v="237.602"/>
    <n v="241.333"/>
    <n v="39073302"/>
    <x v="0"/>
    <s v="Apple"/>
    <x v="0"/>
    <n v="1.2769999999999999"/>
    <x v="23"/>
    <x v="1"/>
    <s v="December"/>
    <s v="Profit"/>
    <n v="3.8379999999999939"/>
    <n v="71.785999999999959"/>
  </r>
  <r>
    <s v="2024-12-04"/>
    <n v="241.55"/>
    <x v="477"/>
    <n v="239.93799999999999"/>
    <n v="241.68899999999999"/>
    <n v="44626390"/>
    <x v="0"/>
    <s v="Apple"/>
    <x v="0"/>
    <n v="0.14799999999999999"/>
    <x v="23"/>
    <x v="1"/>
    <s v="December"/>
    <s v="Profit"/>
    <n v="2.8460000000000036"/>
    <n v="71.933999999999955"/>
  </r>
  <r>
    <s v="2024-12-05"/>
    <n v="242.66499999999999"/>
    <x v="478"/>
    <n v="240.81399999999999"/>
    <n v="241.71899999999999"/>
    <n v="40252571"/>
    <x v="0"/>
    <s v="Apple"/>
    <x v="0"/>
    <n v="1.2E-2"/>
    <x v="23"/>
    <x v="1"/>
    <s v="December"/>
    <s v="Profit"/>
    <n v="2.396000000000015"/>
    <n v="71.945999999999955"/>
  </r>
  <r>
    <s v="2024-12-06"/>
    <n v="241.58500000000001"/>
    <x v="479"/>
    <n v="240.76400000000001"/>
    <n v="241.52"/>
    <n v="37072031"/>
    <x v="0"/>
    <s v="Apple"/>
    <x v="0"/>
    <n v="-8.2000000000000003E-2"/>
    <x v="23"/>
    <x v="1"/>
    <s v="December"/>
    <s v="Loss"/>
    <n v="2.5360000000000014"/>
    <n v="71.863999999999962"/>
  </r>
  <r>
    <s v="2024-12-09"/>
    <n v="240.517"/>
    <x v="480"/>
    <n v="240.43700000000001"/>
    <n v="245.40899999999999"/>
    <n v="44893136"/>
    <x v="0"/>
    <s v="Apple"/>
    <x v="0"/>
    <n v="1.61"/>
    <x v="23"/>
    <x v="1"/>
    <s v="December"/>
    <s v="Profit"/>
    <n v="5.4589999999999748"/>
    <n v="73.473999999999961"/>
  </r>
  <r>
    <s v="2024-12-10"/>
    <n v="245.54900000000001"/>
    <x v="481"/>
    <n v="244.00800000000001"/>
    <n v="246.42400000000001"/>
    <n v="37116460"/>
    <x v="0"/>
    <s v="Apple"/>
    <x v="0"/>
    <n v="0.41399999999999998"/>
    <x v="23"/>
    <x v="1"/>
    <s v="December"/>
    <s v="Profit"/>
    <n v="2.8520000000000039"/>
    <n v="73.887999999999963"/>
  </r>
  <r>
    <s v="2024-12-11"/>
    <n v="246.614"/>
    <x v="482"/>
    <n v="244.923"/>
    <n v="245.15100000000001"/>
    <n v="45452759"/>
    <x v="0"/>
    <s v="Apple"/>
    <x v="0"/>
    <n v="-0.51700000000000002"/>
    <x v="23"/>
    <x v="1"/>
    <s v="December"/>
    <s v="Loss"/>
    <n v="4.5149999999999864"/>
    <n v="73.370999999999967"/>
  </r>
  <r>
    <s v="2024-12-12"/>
    <n v="245.54900000000001"/>
    <x v="483"/>
    <n v="244.345"/>
    <n v="246.614"/>
    <n v="32956585"/>
    <x v="0"/>
    <s v="Apple"/>
    <x v="0"/>
    <n v="0.59699999999999998"/>
    <x v="23"/>
    <x v="1"/>
    <s v="December"/>
    <s v="Profit"/>
    <n v="3.0449999999999875"/>
    <n v="73.967999999999961"/>
  </r>
  <r>
    <s v="2024-12-13"/>
    <n v="246.46899999999999"/>
    <x v="484"/>
    <n v="244.90299999999999"/>
    <n v="246.78100000000001"/>
    <n v="33336406"/>
    <x v="0"/>
    <s v="Apple"/>
    <x v="0"/>
    <n v="6.8000000000000005E-2"/>
    <x v="23"/>
    <x v="1"/>
    <s v="December"/>
    <s v="Profit"/>
    <n v="3.0320000000000107"/>
    <n v="74.035999999999959"/>
  </r>
  <r>
    <s v="2024-12-16"/>
    <n v="246.64400000000001"/>
    <x v="485"/>
    <n v="246.30500000000001"/>
    <n v="249.67599999999999"/>
    <n v="51977145"/>
    <x v="0"/>
    <s v="Apple"/>
    <x v="0"/>
    <n v="1.173"/>
    <x v="23"/>
    <x v="1"/>
    <s v="December"/>
    <s v="Profit"/>
    <n v="3.7090000000000032"/>
    <n v="75.208999999999961"/>
  </r>
  <r>
    <s v="2024-12-17"/>
    <n v="248.721"/>
    <x v="486"/>
    <n v="248.42400000000001"/>
    <n v="252.102"/>
    <n v="51636904"/>
    <x v="0"/>
    <s v="Apple"/>
    <x v="0"/>
    <n v="0.97199999999999998"/>
    <x v="23"/>
    <x v="1"/>
    <s v="December"/>
    <s v="Profit"/>
    <n v="4.0269999999999868"/>
    <n v="76.180999999999955"/>
  </r>
  <r>
    <s v="2024-12-18"/>
    <n v="250.79"/>
    <x v="487"/>
    <n v="246.39400000000001"/>
    <n v="246.703"/>
    <n v="57084241"/>
    <x v="0"/>
    <s v="Apple"/>
    <x v="0"/>
    <n v="-2.1419999999999999"/>
    <x v="23"/>
    <x v="1"/>
    <s v="December"/>
    <s v="Loss"/>
    <n v="6.5039999999999907"/>
    <n v="74.038999999999959"/>
  </r>
  <r>
    <s v="2024-12-19"/>
    <n v="246.155"/>
    <x v="488"/>
    <n v="245.75399999999999"/>
    <n v="248.434"/>
    <n v="61214844"/>
    <x v="0"/>
    <s v="Apple"/>
    <x v="0"/>
    <n v="0.70199999999999996"/>
    <x v="23"/>
    <x v="1"/>
    <s v="December"/>
    <s v="Profit"/>
    <n v="4.8760000000000048"/>
    <n v="74.740999999999957"/>
  </r>
  <r>
    <s v="2024-12-20"/>
    <n v="246.69300000000001"/>
    <x v="489"/>
    <n v="244.35499999999999"/>
    <n v="253.107"/>
    <n v="148300990"/>
    <x v="0"/>
    <s v="Apple"/>
    <x v="0"/>
    <n v="1.881"/>
    <x v="23"/>
    <x v="1"/>
    <s v="December"/>
    <s v="Profit"/>
    <n v="9.2600000000000193"/>
    <n v="76.621999999999957"/>
  </r>
  <r>
    <s v="2024-12-23"/>
    <n v="253.386"/>
    <x v="490"/>
    <n v="252.072"/>
    <n v="253.88300000000001"/>
    <n v="41081972"/>
    <x v="0"/>
    <s v="Apple"/>
    <x v="0"/>
    <n v="0.307"/>
    <x v="23"/>
    <x v="1"/>
    <s v="December"/>
    <s v="Profit"/>
    <n v="2.188999999999993"/>
    <n v="76.928999999999959"/>
  </r>
  <r>
    <s v="2024-12-24"/>
    <n v="254.101"/>
    <x v="491"/>
    <n v="253.90299999999999"/>
    <n v="256.79700000000003"/>
    <n v="23361628"/>
    <x v="0"/>
    <s v="Apple"/>
    <x v="0"/>
    <n v="1.1479999999999999"/>
    <x v="23"/>
    <x v="1"/>
    <s v="December"/>
    <s v="Profit"/>
    <n v="2.9040000000000248"/>
    <n v="78.076999999999956"/>
  </r>
  <r>
    <s v="2024-12-26"/>
    <n v="256.78699999999998"/>
    <x v="492"/>
    <n v="256.23"/>
    <n v="257.613"/>
    <n v="27411911"/>
    <x v="0"/>
    <s v="Apple"/>
    <x v="0"/>
    <n v="0.318"/>
    <x v="23"/>
    <x v="1"/>
    <s v="December"/>
    <s v="Profit"/>
    <n v="2.4569999999999936"/>
    <n v="78.394999999999953"/>
  </r>
  <r>
    <s v="2024-12-27"/>
    <n v="256.42899999999997"/>
    <x v="493"/>
    <n v="251.685"/>
    <n v="254.20099999999999"/>
    <n v="42586695"/>
    <x v="0"/>
    <s v="Apple"/>
    <x v="0"/>
    <n v="-1.3240000000000001"/>
    <x v="23"/>
    <x v="1"/>
    <s v="December"/>
    <s v="Loss"/>
    <n v="5.6089999999999804"/>
    <n v="77.070999999999955"/>
  </r>
  <r>
    <s v="2024-12-30"/>
    <n v="250.86"/>
    <x v="494"/>
    <n v="249.38800000000001"/>
    <n v="250.83"/>
    <n v="35751781"/>
    <x v="0"/>
    <s v="Apple"/>
    <x v="0"/>
    <n v="-1.3260000000000001"/>
    <x v="23"/>
    <x v="1"/>
    <s v="December"/>
    <s v="Loss"/>
    <n v="2.7340000000000089"/>
    <n v="75.744999999999962"/>
  </r>
  <r>
    <s v="2024-12-31"/>
    <n v="251.06899999999999"/>
    <x v="495"/>
    <n v="248.07499999999999"/>
    <n v="249.059"/>
    <n v="39696389"/>
    <x v="0"/>
    <s v="Apple"/>
    <x v="0"/>
    <n v="-0.70599999999999996"/>
    <x v="23"/>
    <x v="1"/>
    <s v="December"/>
    <s v="Loss"/>
    <n v="3.8300000000000125"/>
    <n v="75.038999999999959"/>
  </r>
  <r>
    <s v="2023-01-03"/>
    <n v="85.46"/>
    <x v="496"/>
    <n v="84.204999999999998"/>
    <n v="85.82"/>
    <n v="76706040"/>
    <x v="1"/>
    <s v="Amazon"/>
    <x v="1"/>
    <m/>
    <x v="0"/>
    <x v="0"/>
    <s v="January"/>
    <m/>
    <n v="2.7549999999999955"/>
    <n v="0"/>
  </r>
  <r>
    <s v="2023-01-04"/>
    <n v="86.55"/>
    <x v="497"/>
    <n v="83.36"/>
    <n v="85.14"/>
    <n v="68885123"/>
    <x v="1"/>
    <s v="Amazon"/>
    <x v="1"/>
    <n v="-0.79200000000000004"/>
    <x v="0"/>
    <x v="0"/>
    <s v="January"/>
    <s v="Loss"/>
    <n v="3.6200000000000045"/>
    <n v="-0.79200000000000004"/>
  </r>
  <r>
    <s v="2023-01-05"/>
    <n v="85.33"/>
    <x v="498"/>
    <n v="83.07"/>
    <n v="83.12"/>
    <n v="67930825"/>
    <x v="1"/>
    <s v="Amazon"/>
    <x v="1"/>
    <n v="-2.3730000000000002"/>
    <x v="0"/>
    <x v="0"/>
    <s v="January"/>
    <s v="Loss"/>
    <n v="2.3500000000000085"/>
    <n v="-3.165"/>
  </r>
  <r>
    <s v="2023-01-06"/>
    <n v="83.03"/>
    <x v="499"/>
    <n v="81.430000000000007"/>
    <n v="86.08"/>
    <n v="83303361"/>
    <x v="1"/>
    <s v="Amazon"/>
    <x v="1"/>
    <n v="3.5609999999999999"/>
    <x v="0"/>
    <x v="0"/>
    <s v="January"/>
    <s v="Profit"/>
    <n v="4.9699999999999989"/>
    <n v="0.39599999999999991"/>
  </r>
  <r>
    <s v="2023-01-09"/>
    <n v="87.46"/>
    <x v="500"/>
    <n v="87.08"/>
    <n v="87.36"/>
    <n v="65266056"/>
    <x v="1"/>
    <s v="Amazon"/>
    <x v="1"/>
    <n v="1.4870000000000001"/>
    <x v="0"/>
    <x v="0"/>
    <s v="January"/>
    <s v="Profit"/>
    <n v="2.4000000000000057"/>
    <n v="1.883"/>
  </r>
  <r>
    <s v="2023-01-10"/>
    <n v="87.57"/>
    <x v="501"/>
    <n v="87.29"/>
    <n v="89.87"/>
    <n v="67756601"/>
    <x v="1"/>
    <s v="Amazon"/>
    <x v="1"/>
    <n v="2.8730000000000002"/>
    <x v="0"/>
    <x v="0"/>
    <s v="January"/>
    <s v="Profit"/>
    <n v="2.894999999999996"/>
    <n v="4.7560000000000002"/>
  </r>
  <r>
    <s v="2023-01-11"/>
    <n v="90.93"/>
    <x v="502"/>
    <n v="90.93"/>
    <n v="95.09"/>
    <n v="103126183"/>
    <x v="1"/>
    <s v="Amazon"/>
    <x v="1"/>
    <n v="5.8079999999999998"/>
    <x v="0"/>
    <x v="0"/>
    <s v="January"/>
    <s v="Profit"/>
    <n v="4.3299999999999983"/>
    <n v="10.564"/>
  </r>
  <r>
    <s v="2023-01-12"/>
    <n v="96.93"/>
    <x v="503"/>
    <n v="93.5"/>
    <n v="95.27"/>
    <n v="85254781"/>
    <x v="1"/>
    <s v="Amazon"/>
    <x v="1"/>
    <n v="0.189"/>
    <x v="0"/>
    <x v="0"/>
    <s v="January"/>
    <s v="Profit"/>
    <n v="3.6899999999999977"/>
    <n v="10.753"/>
  </r>
  <r>
    <s v="2023-01-13"/>
    <n v="94.18"/>
    <x v="504"/>
    <n v="94.12"/>
    <n v="98.12"/>
    <n v="85549432"/>
    <x v="1"/>
    <s v="Amazon"/>
    <x v="1"/>
    <n v="2.9910000000000001"/>
    <x v="0"/>
    <x v="0"/>
    <s v="January"/>
    <s v="Profit"/>
    <n v="4.25"/>
    <n v="13.744"/>
  </r>
  <r>
    <s v="2023-01-17"/>
    <n v="98.68"/>
    <x v="505"/>
    <n v="95.73"/>
    <n v="96.05"/>
    <n v="72755001"/>
    <x v="1"/>
    <s v="Amazon"/>
    <x v="1"/>
    <n v="-2.11"/>
    <x v="0"/>
    <x v="0"/>
    <s v="January"/>
    <s v="Loss"/>
    <n v="3.1599999999999966"/>
    <n v="11.634"/>
  </r>
  <r>
    <s v="2023-01-18"/>
    <n v="97.25"/>
    <x v="506"/>
    <n v="95.38"/>
    <n v="95.46"/>
    <n v="79570370"/>
    <x v="1"/>
    <s v="Amazon"/>
    <x v="1"/>
    <n v="-0.61399999999999999"/>
    <x v="0"/>
    <x v="0"/>
    <s v="January"/>
    <s v="Loss"/>
    <n v="3.9399999999999977"/>
    <n v="11.02"/>
  </r>
  <r>
    <s v="2023-01-19"/>
    <n v="94.74"/>
    <x v="507"/>
    <n v="92.86"/>
    <n v="93.68"/>
    <n v="69002663"/>
    <x v="1"/>
    <s v="Amazon"/>
    <x v="1"/>
    <n v="-1.865"/>
    <x v="0"/>
    <x v="0"/>
    <s v="January"/>
    <s v="Loss"/>
    <n v="2.5799999999999983"/>
    <n v="9.1549999999999994"/>
  </r>
  <r>
    <s v="2023-01-20"/>
    <n v="93.86"/>
    <x v="508"/>
    <n v="93.203000000000003"/>
    <n v="97.25"/>
    <n v="67481539"/>
    <x v="1"/>
    <s v="Amazon"/>
    <x v="1"/>
    <n v="3.8109999999999999"/>
    <x v="0"/>
    <x v="0"/>
    <s v="January"/>
    <s v="Profit"/>
    <n v="4.1509999999999962"/>
    <n v="12.965999999999999"/>
  </r>
  <r>
    <s v="2023-01-23"/>
    <n v="97.56"/>
    <x v="509"/>
    <n v="95.86"/>
    <n v="97.52"/>
    <n v="76501103"/>
    <x v="1"/>
    <s v="Amazon"/>
    <x v="1"/>
    <n v="0.27800000000000002"/>
    <x v="0"/>
    <x v="0"/>
    <s v="January"/>
    <s v="Profit"/>
    <n v="1.9200000000000017"/>
    <n v="13.244"/>
  </r>
  <r>
    <s v="2023-01-24"/>
    <n v="96.93"/>
    <x v="510"/>
    <n v="96"/>
    <n v="96.32"/>
    <n v="66929452"/>
    <x v="1"/>
    <s v="Amazon"/>
    <x v="1"/>
    <n v="-1.2310000000000001"/>
    <x v="0"/>
    <x v="0"/>
    <s v="January"/>
    <s v="Loss"/>
    <n v="2.0900000000000034"/>
    <n v="12.013"/>
  </r>
  <r>
    <s v="2023-01-25"/>
    <n v="92.56"/>
    <x v="511"/>
    <n v="91.52"/>
    <n v="97.18"/>
    <n v="94261570"/>
    <x v="1"/>
    <s v="Amazon"/>
    <x v="1"/>
    <n v="0.89300000000000002"/>
    <x v="0"/>
    <x v="0"/>
    <s v="January"/>
    <s v="Profit"/>
    <n v="5.7199999999999989"/>
    <n v="12.906000000000001"/>
  </r>
  <r>
    <s v="2023-01-26"/>
    <n v="98.234999999999999"/>
    <x v="512"/>
    <n v="96.92"/>
    <n v="99.22"/>
    <n v="68523557"/>
    <x v="1"/>
    <s v="Amazon"/>
    <x v="1"/>
    <n v="2.0990000000000002"/>
    <x v="0"/>
    <x v="0"/>
    <s v="January"/>
    <s v="Profit"/>
    <n v="2.5699999999999932"/>
    <n v="15.005000000000001"/>
  </r>
  <r>
    <s v="2023-01-27"/>
    <n v="99.53"/>
    <x v="513"/>
    <n v="99.53"/>
    <n v="102.24"/>
    <n v="87775614"/>
    <x v="1"/>
    <s v="Amazon"/>
    <x v="1"/>
    <n v="3.044"/>
    <x v="0"/>
    <x v="0"/>
    <s v="January"/>
    <s v="Profit"/>
    <n v="3.9549999999999983"/>
    <n v="18.048999999999999"/>
  </r>
  <r>
    <s v="2023-01-30"/>
    <n v="101.09"/>
    <x v="514"/>
    <n v="99.01"/>
    <n v="100.55"/>
    <n v="70691860"/>
    <x v="1"/>
    <s v="Amazon"/>
    <x v="1"/>
    <n v="-1.653"/>
    <x v="0"/>
    <x v="0"/>
    <s v="January"/>
    <s v="Loss"/>
    <n v="2.7299999999999898"/>
    <n v="16.396000000000001"/>
  </r>
  <r>
    <s v="2023-01-31"/>
    <n v="101.155"/>
    <x v="515"/>
    <n v="101.14"/>
    <n v="103.13"/>
    <n v="66527253"/>
    <x v="1"/>
    <s v="Amazon"/>
    <x v="1"/>
    <n v="2.5659999999999998"/>
    <x v="0"/>
    <x v="0"/>
    <s v="January"/>
    <s v="Profit"/>
    <n v="2.2079999999999984"/>
    <n v="18.962"/>
  </r>
  <r>
    <s v="2023-02-01"/>
    <n v="102.53"/>
    <x v="516"/>
    <n v="101.24"/>
    <n v="105.15"/>
    <n v="80450121"/>
    <x v="1"/>
    <s v="Amazon"/>
    <x v="1"/>
    <n v="1.9590000000000001"/>
    <x v="1"/>
    <x v="0"/>
    <s v="February"/>
    <s v="Profit"/>
    <n v="5"/>
    <n v="20.920999999999999"/>
  </r>
  <r>
    <s v="2023-02-02"/>
    <n v="110.245"/>
    <x v="517"/>
    <n v="108.88"/>
    <n v="112.91"/>
    <n v="158154243"/>
    <x v="1"/>
    <s v="Amazon"/>
    <x v="1"/>
    <n v="7.38"/>
    <x v="1"/>
    <x v="0"/>
    <s v="February"/>
    <s v="Profit"/>
    <n v="5.1200000000000045"/>
    <n v="28.300999999999998"/>
  </r>
  <r>
    <s v="2023-02-03"/>
    <n v="105.26"/>
    <x v="518"/>
    <n v="102.52"/>
    <n v="103.39"/>
    <n v="144374828"/>
    <x v="1"/>
    <s v="Amazon"/>
    <x v="1"/>
    <n v="-8.4309999999999992"/>
    <x v="1"/>
    <x v="0"/>
    <s v="February"/>
    <s v="Loss"/>
    <n v="6.2600000000000051"/>
    <n v="19.869999999999997"/>
  </r>
  <r>
    <s v="2023-02-06"/>
    <n v="102.925"/>
    <x v="519"/>
    <n v="100.65"/>
    <n v="102.18"/>
    <n v="81945199"/>
    <x v="1"/>
    <s v="Amazon"/>
    <x v="1"/>
    <n v="-1.17"/>
    <x v="1"/>
    <x v="0"/>
    <s v="February"/>
    <s v="Loss"/>
    <n v="3.2979999999999876"/>
    <n v="18.699999999999996"/>
  </r>
  <r>
    <s v="2023-02-07"/>
    <n v="101.17"/>
    <x v="520"/>
    <n v="98.08"/>
    <n v="102.11"/>
    <n v="119501301"/>
    <x v="1"/>
    <s v="Amazon"/>
    <x v="1"/>
    <n v="-6.9000000000000006E-2"/>
    <x v="1"/>
    <x v="0"/>
    <s v="February"/>
    <s v="Loss"/>
    <n v="4.3299999999999983"/>
    <n v="18.630999999999997"/>
  </r>
  <r>
    <s v="2023-02-08"/>
    <n v="102.04"/>
    <x v="521"/>
    <n v="98.775000000000006"/>
    <n v="100.05"/>
    <n v="75878304"/>
    <x v="1"/>
    <s v="Amazon"/>
    <x v="1"/>
    <n v="-2.0169999999999999"/>
    <x v="1"/>
    <x v="0"/>
    <s v="February"/>
    <s v="Loss"/>
    <n v="3.894999999999996"/>
    <n v="16.613999999999997"/>
  </r>
  <r>
    <s v="2023-02-09"/>
    <n v="101.32"/>
    <x v="522"/>
    <n v="97.57"/>
    <n v="98.24"/>
    <n v="64622489"/>
    <x v="1"/>
    <s v="Amazon"/>
    <x v="1"/>
    <n v="-1.8089999999999999"/>
    <x v="1"/>
    <x v="0"/>
    <s v="February"/>
    <s v="Loss"/>
    <n v="4.210000000000008"/>
    <n v="14.804999999999998"/>
  </r>
  <r>
    <s v="2023-02-10"/>
    <n v="97.56"/>
    <x v="523"/>
    <n v="96.23"/>
    <n v="97.61"/>
    <n v="52740133"/>
    <x v="1"/>
    <s v="Amazon"/>
    <x v="1"/>
    <n v="-0.64100000000000001"/>
    <x v="1"/>
    <x v="0"/>
    <s v="February"/>
    <s v="Loss"/>
    <n v="2.5859999999999985"/>
    <n v="14.163999999999998"/>
  </r>
  <r>
    <s v="2023-02-13"/>
    <n v="97.85"/>
    <x v="524"/>
    <n v="96.91"/>
    <n v="99.54"/>
    <n v="52841464"/>
    <x v="1"/>
    <s v="Amazon"/>
    <x v="1"/>
    <n v="1.9770000000000001"/>
    <x v="1"/>
    <x v="0"/>
    <s v="February"/>
    <s v="Profit"/>
    <n v="2.7700000000000102"/>
    <n v="16.140999999999998"/>
  </r>
  <r>
    <s v="2023-02-14"/>
    <n v="98.41"/>
    <x v="525"/>
    <n v="97.52"/>
    <n v="99.7"/>
    <n v="56202898"/>
    <x v="1"/>
    <s v="Amazon"/>
    <x v="1"/>
    <n v="0.161"/>
    <x v="1"/>
    <x v="0"/>
    <s v="February"/>
    <s v="Profit"/>
    <n v="3.4010000000000105"/>
    <n v="16.302"/>
  </r>
  <r>
    <s v="2023-02-15"/>
    <n v="99.09"/>
    <x v="526"/>
    <n v="98.45"/>
    <n v="101.16"/>
    <n v="48053879"/>
    <x v="1"/>
    <s v="Amazon"/>
    <x v="1"/>
    <n v="1.464"/>
    <x v="1"/>
    <x v="0"/>
    <s v="February"/>
    <s v="Profit"/>
    <n v="2.7199999999999989"/>
    <n v="17.765999999999998"/>
  </r>
  <r>
    <s v="2023-02-16"/>
    <n v="99.21"/>
    <x v="527"/>
    <n v="98.1"/>
    <n v="98.15"/>
    <n v="56339173"/>
    <x v="1"/>
    <s v="Amazon"/>
    <x v="1"/>
    <n v="-2.9750000000000001"/>
    <x v="1"/>
    <x v="0"/>
    <s v="February"/>
    <s v="Loss"/>
    <n v="2.5300000000000011"/>
    <n v="14.790999999999999"/>
  </r>
  <r>
    <s v="2023-02-17"/>
    <n v="97.8"/>
    <x v="528"/>
    <n v="95.65"/>
    <n v="97.2"/>
    <n v="60029405"/>
    <x v="1"/>
    <s v="Amazon"/>
    <x v="1"/>
    <n v="-0.96799999999999997"/>
    <x v="1"/>
    <x v="0"/>
    <s v="February"/>
    <s v="Loss"/>
    <n v="2.289999999999992"/>
    <n v="13.822999999999999"/>
  </r>
  <r>
    <s v="2023-02-21"/>
    <n v="95.334999999999994"/>
    <x v="529"/>
    <n v="94.27"/>
    <n v="94.58"/>
    <n v="56580360"/>
    <x v="1"/>
    <s v="Amazon"/>
    <x v="1"/>
    <n v="-2.6949999999999998"/>
    <x v="1"/>
    <x v="0"/>
    <s v="February"/>
    <s v="Loss"/>
    <n v="1.335000000000008"/>
    <n v="11.127999999999998"/>
  </r>
  <r>
    <s v="2023-02-22"/>
    <n v="95.1"/>
    <x v="530"/>
    <n v="94.8"/>
    <n v="95.79"/>
    <n v="59534094"/>
    <x v="1"/>
    <s v="Amazon"/>
    <x v="1"/>
    <n v="1.2789999999999999"/>
    <x v="1"/>
    <x v="0"/>
    <s v="February"/>
    <s v="Profit"/>
    <n v="2.210000000000008"/>
    <n v="12.406999999999998"/>
  </r>
  <r>
    <s v="2023-02-23"/>
    <n v="96.12"/>
    <x v="531"/>
    <n v="93.67"/>
    <n v="95.82"/>
    <n v="48466994"/>
    <x v="1"/>
    <s v="Amazon"/>
    <x v="1"/>
    <n v="3.1E-2"/>
    <x v="1"/>
    <x v="0"/>
    <s v="February"/>
    <s v="Profit"/>
    <n v="2.7600000000000051"/>
    <n v="12.437999999999999"/>
  </r>
  <r>
    <s v="2023-02-24"/>
    <n v="93.53"/>
    <x v="532"/>
    <n v="92.319000000000003"/>
    <n v="93.5"/>
    <n v="57053812"/>
    <x v="1"/>
    <s v="Amazon"/>
    <x v="1"/>
    <n v="-2.4209999999999998"/>
    <x v="1"/>
    <x v="0"/>
    <s v="February"/>
    <s v="Loss"/>
    <n v="1.820999999999998"/>
    <n v="10.016999999999999"/>
  </r>
  <r>
    <s v="2023-02-27"/>
    <n v="94.28"/>
    <x v="533"/>
    <n v="93.14"/>
    <n v="93.76"/>
    <n v="47470321"/>
    <x v="1"/>
    <s v="Amazon"/>
    <x v="1"/>
    <n v="0.27800000000000002"/>
    <x v="1"/>
    <x v="0"/>
    <s v="February"/>
    <s v="Profit"/>
    <n v="1.6400000000000006"/>
    <n v="10.295"/>
  </r>
  <r>
    <s v="2023-02-28"/>
    <n v="93.14"/>
    <x v="534"/>
    <n v="92.92"/>
    <n v="94.23"/>
    <n v="43959290"/>
    <x v="1"/>
    <s v="Amazon"/>
    <x v="1"/>
    <n v="0.501"/>
    <x v="1"/>
    <x v="0"/>
    <s v="February"/>
    <s v="Profit"/>
    <n v="1.769999999999996"/>
    <n v="10.795999999999999"/>
  </r>
  <r>
    <s v="2023-03-01"/>
    <n v="93.87"/>
    <x v="535"/>
    <n v="91.59"/>
    <n v="92.17"/>
    <n v="52299524"/>
    <x v="1"/>
    <s v="Amazon"/>
    <x v="1"/>
    <n v="-2.1859999999999999"/>
    <x v="2"/>
    <x v="0"/>
    <s v="March"/>
    <s v="Loss"/>
    <n v="3.0900000000000034"/>
    <n v="8.61"/>
  </r>
  <r>
    <s v="2023-03-02"/>
    <n v="91.41"/>
    <x v="536"/>
    <n v="90.39"/>
    <n v="92.13"/>
    <n v="55574820"/>
    <x v="1"/>
    <s v="Amazon"/>
    <x v="1"/>
    <n v="-4.2999999999999997E-2"/>
    <x v="2"/>
    <x v="0"/>
    <s v="March"/>
    <s v="Loss"/>
    <n v="1.8400000000000034"/>
    <n v="8.5670000000000002"/>
  </r>
  <r>
    <s v="2023-03-03"/>
    <n v="92.74"/>
    <x v="537"/>
    <n v="92.66"/>
    <n v="94.9"/>
    <n v="55759609"/>
    <x v="1"/>
    <s v="Amazon"/>
    <x v="1"/>
    <n v="3.0070000000000001"/>
    <x v="2"/>
    <x v="0"/>
    <s v="March"/>
    <s v="Profit"/>
    <n v="2.2800000000000011"/>
    <n v="11.574"/>
  </r>
  <r>
    <s v="2023-03-06"/>
    <n v="95.19"/>
    <x v="538"/>
    <n v="93.74"/>
    <n v="93.75"/>
    <n v="52112355"/>
    <x v="1"/>
    <s v="Amazon"/>
    <x v="1"/>
    <n v="-1.212"/>
    <x v="2"/>
    <x v="0"/>
    <s v="March"/>
    <s v="Loss"/>
    <n v="2.8050000000000068"/>
    <n v="10.362"/>
  </r>
  <r>
    <s v="2023-03-07"/>
    <n v="94.06"/>
    <x v="539"/>
    <n v="92.78"/>
    <n v="93.55"/>
    <n v="49100668"/>
    <x v="1"/>
    <s v="Amazon"/>
    <x v="1"/>
    <n v="-0.21299999999999999"/>
    <x v="2"/>
    <x v="0"/>
    <s v="March"/>
    <s v="Loss"/>
    <n v="2.3100000000000023"/>
    <n v="10.149000000000001"/>
  </r>
  <r>
    <s v="2023-03-08"/>
    <n v="93.6"/>
    <x v="540"/>
    <n v="92.18"/>
    <n v="93.92"/>
    <n v="44899128"/>
    <x v="1"/>
    <s v="Amazon"/>
    <x v="1"/>
    <n v="0.39600000000000002"/>
    <x v="2"/>
    <x v="0"/>
    <s v="March"/>
    <s v="Profit"/>
    <n v="1.9849999999999994"/>
    <n v="10.545000000000002"/>
  </r>
  <r>
    <s v="2023-03-09"/>
    <n v="93.68"/>
    <x v="541"/>
    <n v="92.18"/>
    <n v="92.25"/>
    <n v="56218705"/>
    <x v="1"/>
    <s v="Amazon"/>
    <x v="1"/>
    <n v="-1.778"/>
    <x v="2"/>
    <x v="0"/>
    <s v="March"/>
    <s v="Loss"/>
    <n v="4.0299999999999869"/>
    <n v="8.7670000000000012"/>
  </r>
  <r>
    <s v="2023-03-10"/>
    <n v="92.67"/>
    <x v="542"/>
    <n v="90.245000000000005"/>
    <n v="90.73"/>
    <n v="69827490"/>
    <x v="1"/>
    <s v="Amazon"/>
    <x v="1"/>
    <n v="-1.6479999999999999"/>
    <x v="2"/>
    <x v="0"/>
    <s v="March"/>
    <s v="Loss"/>
    <n v="3.3249999999999886"/>
    <n v="7.1190000000000015"/>
  </r>
  <r>
    <s v="2023-03-13"/>
    <n v="89.97"/>
    <x v="543"/>
    <n v="88.12"/>
    <n v="92.43"/>
    <n v="72397053"/>
    <x v="1"/>
    <s v="Amazon"/>
    <x v="1"/>
    <n v="1.8740000000000001"/>
    <x v="2"/>
    <x v="0"/>
    <s v="March"/>
    <s v="Profit"/>
    <n v="5.8999999999999915"/>
    <n v="8.9930000000000021"/>
  </r>
  <r>
    <s v="2023-03-14"/>
    <n v="93.83"/>
    <x v="544"/>
    <n v="92.71"/>
    <n v="94.88"/>
    <n v="60912674"/>
    <x v="1"/>
    <s v="Amazon"/>
    <x v="1"/>
    <n v="2.6509999999999998"/>
    <x v="2"/>
    <x v="0"/>
    <s v="March"/>
    <s v="Profit"/>
    <n v="2.3599999999999994"/>
    <n v="11.644000000000002"/>
  </r>
  <r>
    <s v="2023-03-15"/>
    <n v="93.22"/>
    <x v="545"/>
    <n v="93.07"/>
    <n v="96.2"/>
    <n v="70731792"/>
    <x v="1"/>
    <s v="Amazon"/>
    <x v="1"/>
    <n v="1.391"/>
    <x v="2"/>
    <x v="0"/>
    <s v="March"/>
    <s v="Profit"/>
    <n v="3.6000000000000085"/>
    <n v="13.035000000000002"/>
  </r>
  <r>
    <s v="2023-03-16"/>
    <n v="95.75"/>
    <x v="546"/>
    <n v="95.61"/>
    <n v="100.04"/>
    <n v="84558934"/>
    <x v="1"/>
    <s v="Amazon"/>
    <x v="1"/>
    <n v="3.992"/>
    <x v="2"/>
    <x v="0"/>
    <s v="March"/>
    <s v="Profit"/>
    <n v="5.3799999999999955"/>
    <n v="17.027000000000001"/>
  </r>
  <r>
    <s v="2023-03-17"/>
    <n v="99.79"/>
    <x v="547"/>
    <n v="97.454999999999998"/>
    <n v="98.95"/>
    <n v="87300242"/>
    <x v="1"/>
    <s v="Amazon"/>
    <x v="1"/>
    <n v="-1.0900000000000001"/>
    <x v="2"/>
    <x v="0"/>
    <s v="March"/>
    <s v="Loss"/>
    <n v="3.2049999999999983"/>
    <n v="15.937000000000001"/>
  </r>
  <r>
    <s v="2023-03-20"/>
    <n v="98.41"/>
    <x v="548"/>
    <n v="95.7"/>
    <n v="97.71"/>
    <n v="62388911"/>
    <x v="1"/>
    <s v="Amazon"/>
    <x v="1"/>
    <n v="-1.2529999999999999"/>
    <x v="2"/>
    <x v="0"/>
    <s v="March"/>
    <s v="Loss"/>
    <n v="2.7800000000000011"/>
    <n v="14.684000000000001"/>
  </r>
  <r>
    <s v="2023-03-21"/>
    <n v="98.14"/>
    <x v="549"/>
    <n v="98"/>
    <n v="100.61"/>
    <n v="58597275"/>
    <x v="1"/>
    <s v="Amazon"/>
    <x v="1"/>
    <n v="2.968"/>
    <x v="2"/>
    <x v="0"/>
    <s v="March"/>
    <s v="Profit"/>
    <n v="2.8449999999999989"/>
    <n v="17.652000000000001"/>
  </r>
  <r>
    <s v="2023-03-22"/>
    <n v="100.45"/>
    <x v="550"/>
    <n v="98.61"/>
    <n v="98.7"/>
    <n v="57475365"/>
    <x v="1"/>
    <s v="Amazon"/>
    <x v="1"/>
    <n v="-1.8979999999999999"/>
    <x v="2"/>
    <x v="0"/>
    <s v="March"/>
    <s v="Loss"/>
    <n v="3.4899999999999949"/>
    <n v="15.754000000000001"/>
  </r>
  <r>
    <s v="2023-03-23"/>
    <n v="100.43"/>
    <x v="551"/>
    <n v="97.62"/>
    <n v="98.71"/>
    <n v="57559310"/>
    <x v="1"/>
    <s v="Amazon"/>
    <x v="1"/>
    <n v="0.01"/>
    <x v="2"/>
    <x v="0"/>
    <s v="March"/>
    <s v="Profit"/>
    <n v="3.4399999999999977"/>
    <n v="15.764000000000001"/>
  </r>
  <r>
    <s v="2023-03-24"/>
    <n v="98.064999999999998"/>
    <x v="552"/>
    <n v="96.4"/>
    <n v="98.13"/>
    <n v="56144801"/>
    <x v="1"/>
    <s v="Amazon"/>
    <x v="1"/>
    <n v="-0.58799999999999997"/>
    <x v="2"/>
    <x v="0"/>
    <s v="March"/>
    <s v="Loss"/>
    <n v="1.8999999999999915"/>
    <n v="15.176000000000002"/>
  </r>
  <r>
    <s v="2023-03-27"/>
    <n v="99.07"/>
    <x v="553"/>
    <n v="97.08"/>
    <n v="98.04"/>
    <n v="46721296"/>
    <x v="1"/>
    <s v="Amazon"/>
    <x v="1"/>
    <n v="-9.1999999999999998E-2"/>
    <x v="2"/>
    <x v="0"/>
    <s v="March"/>
    <s v="Loss"/>
    <n v="2.2600000000000051"/>
    <n v="15.084000000000001"/>
  </r>
  <r>
    <s v="2023-03-28"/>
    <n v="98.11"/>
    <x v="554"/>
    <n v="96.29"/>
    <n v="97.24"/>
    <n v="38720050"/>
    <x v="1"/>
    <s v="Amazon"/>
    <x v="1"/>
    <n v="-0.81599999999999995"/>
    <x v="2"/>
    <x v="0"/>
    <s v="March"/>
    <s v="Loss"/>
    <n v="2.1499999999999915"/>
    <n v="14.268000000000001"/>
  </r>
  <r>
    <s v="2023-03-29"/>
    <n v="98.69"/>
    <x v="555"/>
    <n v="98.56"/>
    <n v="100.25"/>
    <n v="49783279"/>
    <x v="1"/>
    <s v="Amazon"/>
    <x v="1"/>
    <n v="3.0950000000000002"/>
    <x v="2"/>
    <x v="0"/>
    <s v="March"/>
    <s v="Profit"/>
    <n v="1.8619999999999948"/>
    <n v="17.363"/>
  </r>
  <r>
    <s v="2023-03-30"/>
    <n v="101.55"/>
    <x v="556"/>
    <n v="101.01"/>
    <n v="102"/>
    <n v="53633398"/>
    <x v="1"/>
    <s v="Amazon"/>
    <x v="1"/>
    <n v="1.746"/>
    <x v="2"/>
    <x v="0"/>
    <s v="March"/>
    <s v="Profit"/>
    <n v="2.0300000000000011"/>
    <n v="19.108999999999998"/>
  </r>
  <r>
    <s v="2023-03-31"/>
    <n v="102.16"/>
    <x v="557"/>
    <n v="101.95"/>
    <n v="103.29"/>
    <n v="56750317"/>
    <x v="1"/>
    <s v="Amazon"/>
    <x v="1"/>
    <n v="1.2649999999999999"/>
    <x v="2"/>
    <x v="0"/>
    <s v="March"/>
    <s v="Profit"/>
    <n v="1.539999999999992"/>
    <n v="20.373999999999999"/>
  </r>
  <r>
    <s v="2023-04-03"/>
    <n v="102.3"/>
    <x v="558"/>
    <n v="101.43"/>
    <n v="102.41"/>
    <n v="41135733"/>
    <x v="1"/>
    <s v="Amazon"/>
    <x v="1"/>
    <n v="-0.85199999999999998"/>
    <x v="3"/>
    <x v="0"/>
    <s v="April"/>
    <s v="Loss"/>
    <n v="1.8599999999999994"/>
    <n v="19.521999999999998"/>
  </r>
  <r>
    <s v="2023-04-04"/>
    <n v="102.75"/>
    <x v="559"/>
    <n v="102.11"/>
    <n v="103.95"/>
    <n v="48662496"/>
    <x v="1"/>
    <s v="Amazon"/>
    <x v="1"/>
    <n v="1.504"/>
    <x v="3"/>
    <x v="0"/>
    <s v="April"/>
    <s v="Profit"/>
    <n v="2.0900000000000034"/>
    <n v="21.026"/>
  </r>
  <r>
    <s v="2023-04-05"/>
    <n v="103.91"/>
    <x v="560"/>
    <n v="100.751"/>
    <n v="101.1"/>
    <n v="45175393"/>
    <x v="1"/>
    <s v="Amazon"/>
    <x v="1"/>
    <n v="-2.742"/>
    <x v="3"/>
    <x v="0"/>
    <s v="April"/>
    <s v="Loss"/>
    <n v="3.1589999999999918"/>
    <n v="18.283999999999999"/>
  </r>
  <r>
    <s v="2023-04-06"/>
    <n v="100.75"/>
    <x v="561"/>
    <n v="99.801000000000002"/>
    <n v="102.06"/>
    <n v="43808020"/>
    <x v="1"/>
    <s v="Amazon"/>
    <x v="1"/>
    <n v="0.95"/>
    <x v="3"/>
    <x v="0"/>
    <s v="April"/>
    <s v="Profit"/>
    <n v="2.5810000000000031"/>
    <n v="19.233999999999998"/>
  </r>
  <r>
    <s v="2023-04-10"/>
    <n v="100.96"/>
    <x v="562"/>
    <n v="99.57"/>
    <n v="102.17"/>
    <n v="37261185"/>
    <x v="1"/>
    <s v="Amazon"/>
    <x v="1"/>
    <n v="0.108"/>
    <x v="3"/>
    <x v="0"/>
    <s v="April"/>
    <s v="Profit"/>
    <n v="2.6300000000000097"/>
    <n v="19.341999999999999"/>
  </r>
  <r>
    <s v="2023-04-11"/>
    <n v="100.8"/>
    <x v="563"/>
    <n v="99.01"/>
    <n v="99.92"/>
    <n v="60417847"/>
    <x v="1"/>
    <s v="Amazon"/>
    <x v="1"/>
    <n v="-2.202"/>
    <x v="3"/>
    <x v="0"/>
    <s v="April"/>
    <s v="Loss"/>
    <n v="1.9899999999999949"/>
    <n v="17.14"/>
  </r>
  <r>
    <s v="2023-04-12"/>
    <n v="100.4"/>
    <x v="564"/>
    <n v="97.704999999999998"/>
    <n v="97.83"/>
    <n v="56735007"/>
    <x v="1"/>
    <s v="Amazon"/>
    <x v="1"/>
    <n v="-2.0920000000000001"/>
    <x v="3"/>
    <x v="0"/>
    <s v="April"/>
    <s v="Loss"/>
    <n v="2.8050000000000068"/>
    <n v="15.048"/>
  </r>
  <r>
    <s v="2023-04-13"/>
    <n v="98.95"/>
    <x v="565"/>
    <n v="98.71"/>
    <n v="102.4"/>
    <n v="67925138"/>
    <x v="1"/>
    <s v="Amazon"/>
    <x v="1"/>
    <n v="4.6710000000000003"/>
    <x v="3"/>
    <x v="0"/>
    <s v="April"/>
    <s v="Profit"/>
    <n v="3.8599999999999994"/>
    <n v="19.719000000000001"/>
  </r>
  <r>
    <s v="2023-04-14"/>
    <n v="102.07"/>
    <x v="566"/>
    <n v="101.11"/>
    <n v="102.51"/>
    <n v="51450522"/>
    <x v="1"/>
    <s v="Amazon"/>
    <x v="1"/>
    <n v="0.107"/>
    <x v="3"/>
    <x v="0"/>
    <s v="April"/>
    <s v="Profit"/>
    <n v="2.090999999999994"/>
    <n v="19.826000000000001"/>
  </r>
  <r>
    <s v="2023-04-17"/>
    <n v="103.16"/>
    <x v="567"/>
    <n v="101.59"/>
    <n v="102.74"/>
    <n v="39919457"/>
    <x v="1"/>
    <s v="Amazon"/>
    <x v="1"/>
    <n v="0.224"/>
    <x v="3"/>
    <x v="0"/>
    <s v="April"/>
    <s v="Profit"/>
    <n v="2.1400000000000006"/>
    <n v="20.05"/>
  </r>
  <r>
    <s v="2023-04-18"/>
    <n v="103.95"/>
    <x v="559"/>
    <n v="101.52"/>
    <n v="102.3"/>
    <n v="39790518"/>
    <x v="1"/>
    <s v="Amazon"/>
    <x v="1"/>
    <n v="-0.42799999999999999"/>
    <x v="3"/>
    <x v="0"/>
    <s v="April"/>
    <s v="Loss"/>
    <n v="2.6800000000000068"/>
    <n v="19.622"/>
  </r>
  <r>
    <s v="2023-04-19"/>
    <n v="101.58"/>
    <x v="568"/>
    <n v="101.39"/>
    <n v="104.3"/>
    <n v="58398890"/>
    <x v="1"/>
    <s v="Amazon"/>
    <x v="1"/>
    <n v="1.9550000000000001"/>
    <x v="3"/>
    <x v="0"/>
    <s v="April"/>
    <s v="Profit"/>
    <n v="3.730000000000004"/>
    <n v="21.576999999999998"/>
  </r>
  <r>
    <s v="2023-04-20"/>
    <n v="103.53"/>
    <x v="569"/>
    <n v="103.21"/>
    <n v="103.81"/>
    <n v="57696866"/>
    <x v="1"/>
    <s v="Amazon"/>
    <x v="1"/>
    <n v="-0.47"/>
    <x v="3"/>
    <x v="0"/>
    <s v="April"/>
    <s v="Loss"/>
    <n v="2.0400000000000063"/>
    <n v="21.106999999999999"/>
  </r>
  <r>
    <s v="2023-04-21"/>
    <n v="106.1"/>
    <x v="570"/>
    <n v="105.08"/>
    <n v="106.96"/>
    <n v="86774185"/>
    <x v="1"/>
    <s v="Amazon"/>
    <x v="1"/>
    <n v="3.0339999999999998"/>
    <x v="3"/>
    <x v="0"/>
    <s v="April"/>
    <s v="Profit"/>
    <n v="3.0700000000000074"/>
    <n v="24.140999999999998"/>
  </r>
  <r>
    <s v="2023-04-24"/>
    <n v="107.655"/>
    <x v="571"/>
    <n v="105.07"/>
    <n v="106.21"/>
    <n v="69575610"/>
    <x v="1"/>
    <s v="Amazon"/>
    <x v="1"/>
    <n v="-0.70099999999999996"/>
    <x v="3"/>
    <x v="0"/>
    <s v="April"/>
    <s v="Loss"/>
    <n v="4.1600000000000108"/>
    <n v="23.439999999999998"/>
  </r>
  <r>
    <s v="2023-04-25"/>
    <n v="104.91"/>
    <x v="572"/>
    <n v="102.45"/>
    <n v="102.57"/>
    <n v="65026818"/>
    <x v="1"/>
    <s v="Amazon"/>
    <x v="1"/>
    <n v="-3.427"/>
    <x v="3"/>
    <x v="0"/>
    <s v="April"/>
    <s v="Loss"/>
    <n v="3"/>
    <n v="20.012999999999998"/>
  </r>
  <r>
    <s v="2023-04-26"/>
    <n v="105.04"/>
    <x v="573"/>
    <n v="104.1"/>
    <n v="104.98"/>
    <n v="73803790"/>
    <x v="1"/>
    <s v="Amazon"/>
    <x v="1"/>
    <n v="2.35"/>
    <x v="3"/>
    <x v="0"/>
    <s v="April"/>
    <s v="Profit"/>
    <n v="2.5200000000000102"/>
    <n v="22.363"/>
  </r>
  <r>
    <s v="2023-04-27"/>
    <n v="108.16"/>
    <x v="574"/>
    <n v="106.8"/>
    <n v="109.82"/>
    <n v="149961167"/>
    <x v="1"/>
    <s v="Amazon"/>
    <x v="1"/>
    <n v="4.6100000000000003"/>
    <x v="3"/>
    <x v="0"/>
    <s v="April"/>
    <s v="Profit"/>
    <n v="4.0600000000000023"/>
    <n v="26.972999999999999"/>
  </r>
  <r>
    <s v="2023-04-28"/>
    <n v="107.73"/>
    <x v="575"/>
    <n v="104.33"/>
    <n v="105.45"/>
    <n v="130715946"/>
    <x v="1"/>
    <s v="Amazon"/>
    <x v="1"/>
    <n v="-3.9790000000000001"/>
    <x v="3"/>
    <x v="0"/>
    <s v="April"/>
    <s v="Loss"/>
    <n v="5.1500000000000057"/>
    <n v="22.994"/>
  </r>
  <r>
    <s v="2023-05-01"/>
    <n v="104.95"/>
    <x v="576"/>
    <n v="101.82"/>
    <n v="102.05"/>
    <n v="74728096"/>
    <x v="1"/>
    <s v="Amazon"/>
    <x v="1"/>
    <n v="-3.2240000000000002"/>
    <x v="4"/>
    <x v="0"/>
    <s v="May"/>
    <s v="Loss"/>
    <n v="3.4100000000000108"/>
    <n v="19.77"/>
  </r>
  <r>
    <s v="2023-05-02"/>
    <n v="101.47"/>
    <x v="577"/>
    <n v="101.15"/>
    <n v="103.63"/>
    <n v="73469350"/>
    <x v="1"/>
    <s v="Amazon"/>
    <x v="1"/>
    <n v="1.548"/>
    <x v="4"/>
    <x v="0"/>
    <s v="May"/>
    <s v="Profit"/>
    <n v="2.75"/>
    <n v="21.317999999999998"/>
  </r>
  <r>
    <s v="2023-05-03"/>
    <n v="103.735"/>
    <x v="578"/>
    <n v="103.28"/>
    <n v="103.65"/>
    <n v="65051925"/>
    <x v="1"/>
    <s v="Amazon"/>
    <x v="1"/>
    <n v="1.9E-2"/>
    <x v="4"/>
    <x v="0"/>
    <s v="May"/>
    <s v="Profit"/>
    <n v="2.6799999999999926"/>
    <n v="21.336999999999996"/>
  </r>
  <r>
    <s v="2023-05-04"/>
    <n v="104.04"/>
    <x v="579"/>
    <n v="103.312"/>
    <n v="104"/>
    <n v="45345523"/>
    <x v="1"/>
    <s v="Amazon"/>
    <x v="1"/>
    <n v="0.33800000000000002"/>
    <x v="4"/>
    <x v="0"/>
    <s v="May"/>
    <s v="Profit"/>
    <n v="2.078000000000003"/>
    <n v="21.674999999999997"/>
  </r>
  <r>
    <s v="2023-05-05"/>
    <n v="104.27"/>
    <x v="580"/>
    <n v="103.55"/>
    <n v="105.655"/>
    <n v="56951744"/>
    <x v="1"/>
    <s v="Amazon"/>
    <x v="1"/>
    <n v="1.591"/>
    <x v="4"/>
    <x v="0"/>
    <s v="May"/>
    <s v="Profit"/>
    <n v="2.210000000000008"/>
    <n v="23.265999999999998"/>
  </r>
  <r>
    <s v="2023-05-08"/>
    <n v="105.04"/>
    <x v="581"/>
    <n v="104.7"/>
    <n v="105.83"/>
    <n v="49430909"/>
    <x v="1"/>
    <s v="Amazon"/>
    <x v="1"/>
    <n v="0.16600000000000001"/>
    <x v="4"/>
    <x v="0"/>
    <s v="May"/>
    <s v="Profit"/>
    <n v="1.394999999999996"/>
    <n v="23.431999999999999"/>
  </r>
  <r>
    <s v="2023-05-09"/>
    <n v="105.48"/>
    <x v="582"/>
    <n v="105.157"/>
    <n v="106.62"/>
    <n v="44089359"/>
    <x v="1"/>
    <s v="Amazon"/>
    <x v="1"/>
    <n v="0.746"/>
    <x v="4"/>
    <x v="0"/>
    <s v="May"/>
    <s v="Profit"/>
    <n v="1.6330000000000098"/>
    <n v="24.177999999999997"/>
  </r>
  <r>
    <s v="2023-05-10"/>
    <n v="108.1"/>
    <x v="583"/>
    <n v="108.05"/>
    <n v="110.19"/>
    <n v="78627616"/>
    <x v="1"/>
    <s v="Amazon"/>
    <x v="1"/>
    <n v="3.3479999999999999"/>
    <x v="4"/>
    <x v="0"/>
    <s v="May"/>
    <s v="Profit"/>
    <n v="2.6200000000000045"/>
    <n v="27.525999999999996"/>
  </r>
  <r>
    <s v="2023-05-11"/>
    <n v="111.03"/>
    <x v="584"/>
    <n v="110.49"/>
    <n v="112.18"/>
    <n v="74924841"/>
    <x v="1"/>
    <s v="Amazon"/>
    <x v="1"/>
    <n v="1.806"/>
    <x v="4"/>
    <x v="0"/>
    <s v="May"/>
    <s v="Profit"/>
    <n v="2.7900000000000063"/>
    <n v="29.331999999999997"/>
  </r>
  <r>
    <s v="2023-05-12"/>
    <n v="112.16"/>
    <x v="585"/>
    <n v="109.319"/>
    <n v="110.26"/>
    <n v="49852671"/>
    <x v="1"/>
    <s v="Amazon"/>
    <x v="1"/>
    <n v="-1.712"/>
    <x v="4"/>
    <x v="0"/>
    <s v="May"/>
    <s v="Loss"/>
    <n v="3.320999999999998"/>
    <n v="27.619999999999997"/>
  </r>
  <r>
    <s v="2023-05-15"/>
    <n v="111.15"/>
    <x v="586"/>
    <n v="109.25"/>
    <n v="111.2"/>
    <n v="53011145"/>
    <x v="1"/>
    <s v="Amazon"/>
    <x v="1"/>
    <n v="0.85299999999999998"/>
    <x v="4"/>
    <x v="0"/>
    <s v="May"/>
    <s v="Profit"/>
    <n v="3.0400000000000063"/>
    <n v="28.472999999999999"/>
  </r>
  <r>
    <s v="2023-05-16"/>
    <n v="111.05"/>
    <x v="587"/>
    <n v="111.05"/>
    <n v="113.4"/>
    <n v="71472908"/>
    <x v="1"/>
    <s v="Amazon"/>
    <x v="1"/>
    <n v="1.978"/>
    <x v="4"/>
    <x v="0"/>
    <s v="May"/>
    <s v="Profit"/>
    <n v="3.7400000000000091"/>
    <n v="30.451000000000001"/>
  </r>
  <r>
    <s v="2023-05-17"/>
    <n v="114.89"/>
    <x v="588"/>
    <n v="114.22"/>
    <n v="115.5"/>
    <n v="65655177"/>
    <x v="1"/>
    <s v="Amazon"/>
    <x v="1"/>
    <n v="1.8520000000000001"/>
    <x v="4"/>
    <x v="0"/>
    <s v="May"/>
    <s v="Profit"/>
    <n v="1.6099999999999994"/>
    <n v="32.302999999999997"/>
  </r>
  <r>
    <s v="2023-05-18"/>
    <n v="116.69"/>
    <x v="589"/>
    <n v="116.33499999999999"/>
    <n v="118.15"/>
    <n v="73174087"/>
    <x v="1"/>
    <s v="Amazon"/>
    <x v="1"/>
    <n v="2.294"/>
    <x v="4"/>
    <x v="0"/>
    <s v="May"/>
    <s v="Profit"/>
    <n v="2.2650000000000006"/>
    <n v="34.596999999999994"/>
  </r>
  <r>
    <s v="2023-05-19"/>
    <n v="118.16"/>
    <x v="590"/>
    <n v="115.7"/>
    <n v="116.25"/>
    <n v="55056307"/>
    <x v="1"/>
    <s v="Amazon"/>
    <x v="1"/>
    <n v="-1.6080000000000001"/>
    <x v="4"/>
    <x v="0"/>
    <s v="May"/>
    <s v="Loss"/>
    <n v="2.6099999999999994"/>
    <n v="32.988999999999997"/>
  </r>
  <r>
    <s v="2023-05-22"/>
    <n v="116.77"/>
    <x v="591"/>
    <n v="114.25"/>
    <n v="115.01"/>
    <n v="70741123"/>
    <x v="1"/>
    <s v="Amazon"/>
    <x v="1"/>
    <n v="-1.0669999999999999"/>
    <x v="4"/>
    <x v="0"/>
    <s v="May"/>
    <s v="Loss"/>
    <n v="2.519999999999996"/>
    <n v="31.921999999999997"/>
  </r>
  <r>
    <s v="2023-05-23"/>
    <n v="114.27"/>
    <x v="592"/>
    <n v="113.78"/>
    <n v="114.99"/>
    <n v="67576262"/>
    <x v="1"/>
    <s v="Amazon"/>
    <x v="1"/>
    <n v="-1.7000000000000001E-2"/>
    <x v="4"/>
    <x v="0"/>
    <s v="May"/>
    <s v="Loss"/>
    <n v="3.3599999999999994"/>
    <n v="31.904999999999998"/>
  </r>
  <r>
    <s v="2023-05-24"/>
    <n v="115.35"/>
    <x v="593"/>
    <n v="115.02"/>
    <n v="116.75"/>
    <n v="63487938"/>
    <x v="1"/>
    <s v="Amazon"/>
    <x v="1"/>
    <n v="1.5309999999999999"/>
    <x v="4"/>
    <x v="0"/>
    <s v="May"/>
    <s v="Profit"/>
    <n v="2.3200000000000074"/>
    <n v="33.436"/>
  </r>
  <r>
    <s v="2023-05-25"/>
    <n v="116.63"/>
    <x v="594"/>
    <n v="114.31"/>
    <n v="115"/>
    <n v="66496681"/>
    <x v="1"/>
    <s v="Amazon"/>
    <x v="1"/>
    <n v="-1.4990000000000001"/>
    <x v="4"/>
    <x v="0"/>
    <s v="May"/>
    <s v="Loss"/>
    <n v="2.5600000000000023"/>
    <n v="31.937000000000001"/>
  </r>
  <r>
    <s v="2023-05-26"/>
    <n v="116.04"/>
    <x v="595"/>
    <n v="116.02"/>
    <n v="120.11"/>
    <n v="96779889"/>
    <x v="1"/>
    <s v="Amazon"/>
    <x v="1"/>
    <n v="4.4429999999999996"/>
    <x v="4"/>
    <x v="0"/>
    <s v="May"/>
    <s v="Profit"/>
    <n v="5.480000000000004"/>
    <n v="36.380000000000003"/>
  </r>
  <r>
    <s v="2023-05-30"/>
    <n v="122.37"/>
    <x v="596"/>
    <n v="119.855"/>
    <n v="121.66"/>
    <n v="64314808"/>
    <x v="1"/>
    <s v="Amazon"/>
    <x v="1"/>
    <n v="1.29"/>
    <x v="4"/>
    <x v="0"/>
    <s v="May"/>
    <s v="Profit"/>
    <n v="3.0649999999999977"/>
    <n v="37.67"/>
  </r>
  <r>
    <s v="2023-05-31"/>
    <n v="121.45"/>
    <x v="597"/>
    <n v="119.17"/>
    <n v="120.58"/>
    <n v="72800787"/>
    <x v="1"/>
    <s v="Amazon"/>
    <x v="1"/>
    <n v="-0.88800000000000001"/>
    <x v="4"/>
    <x v="0"/>
    <s v="May"/>
    <s v="Loss"/>
    <n v="2.8700000000000045"/>
    <n v="36.782000000000004"/>
  </r>
  <r>
    <s v="2023-06-01"/>
    <n v="120.69"/>
    <x v="598"/>
    <n v="119.93"/>
    <n v="122.77"/>
    <n v="54375131"/>
    <x v="1"/>
    <s v="Amazon"/>
    <x v="1"/>
    <n v="1.8160000000000001"/>
    <x v="5"/>
    <x v="0"/>
    <s v="June"/>
    <s v="Profit"/>
    <n v="3.5599999999999881"/>
    <n v="38.598000000000006"/>
  </r>
  <r>
    <s v="2023-06-02"/>
    <n v="124.92"/>
    <x v="599"/>
    <n v="124.015"/>
    <n v="124.25"/>
    <n v="61264414"/>
    <x v="1"/>
    <s v="Amazon"/>
    <x v="1"/>
    <n v="1.206"/>
    <x v="5"/>
    <x v="0"/>
    <s v="June"/>
    <s v="Profit"/>
    <n v="2.375"/>
    <n v="39.804000000000009"/>
  </r>
  <r>
    <s v="2023-06-05"/>
    <n v="123.36"/>
    <x v="600"/>
    <n v="123.03"/>
    <n v="125.3"/>
    <n v="47950128"/>
    <x v="1"/>
    <s v="Amazon"/>
    <x v="1"/>
    <n v="0.84499999999999997"/>
    <x v="5"/>
    <x v="0"/>
    <s v="June"/>
    <s v="Profit"/>
    <n v="2.769999999999996"/>
    <n v="40.649000000000008"/>
  </r>
  <r>
    <s v="2023-06-06"/>
    <n v="125.07"/>
    <x v="601"/>
    <n v="125"/>
    <n v="126.61"/>
    <n v="45695212"/>
    <x v="1"/>
    <s v="Amazon"/>
    <x v="1"/>
    <n v="1.0449999999999999"/>
    <x v="5"/>
    <x v="0"/>
    <s v="June"/>
    <s v="Profit"/>
    <n v="2.4000000000000057"/>
    <n v="41.69400000000001"/>
  </r>
  <r>
    <s v="2023-06-07"/>
    <n v="127.01"/>
    <x v="602"/>
    <n v="120.63"/>
    <n v="121.23"/>
    <n v="95663275"/>
    <x v="1"/>
    <s v="Amazon"/>
    <x v="1"/>
    <n v="-4.2489999999999997"/>
    <x v="5"/>
    <x v="0"/>
    <s v="June"/>
    <s v="Loss"/>
    <n v="6.7349999999999994"/>
    <n v="37.445000000000007"/>
  </r>
  <r>
    <s v="2023-06-08"/>
    <n v="123.01"/>
    <x v="603"/>
    <n v="122.258"/>
    <n v="124.25"/>
    <n v="62159270"/>
    <x v="1"/>
    <s v="Amazon"/>
    <x v="1"/>
    <n v="2.4910000000000001"/>
    <x v="5"/>
    <x v="0"/>
    <s v="June"/>
    <s v="Profit"/>
    <n v="3.3670000000000044"/>
    <n v="39.936000000000007"/>
  </r>
  <r>
    <s v="2023-06-09"/>
    <n v="124.08"/>
    <x v="600"/>
    <n v="123.19"/>
    <n v="123.43"/>
    <n v="51396018"/>
    <x v="1"/>
    <s v="Amazon"/>
    <x v="1"/>
    <n v="-0.66"/>
    <x v="5"/>
    <x v="0"/>
    <s v="June"/>
    <s v="Loss"/>
    <n v="2.6099999999999994"/>
    <n v="39.27600000000001"/>
  </r>
  <r>
    <s v="2023-06-12"/>
    <n v="124.02"/>
    <x v="604"/>
    <n v="123.53"/>
    <n v="126.57"/>
    <n v="51473376"/>
    <x v="1"/>
    <s v="Amazon"/>
    <x v="1"/>
    <n v="2.544"/>
    <x v="5"/>
    <x v="0"/>
    <s v="June"/>
    <s v="Profit"/>
    <n v="3.25"/>
    <n v="41.820000000000007"/>
  </r>
  <r>
    <s v="2023-06-13"/>
    <n v="128.12"/>
    <x v="605"/>
    <n v="125.18"/>
    <n v="126.66"/>
    <n v="50564785"/>
    <x v="1"/>
    <s v="Amazon"/>
    <x v="1"/>
    <n v="7.0999999999999994E-2"/>
    <x v="5"/>
    <x v="0"/>
    <s v="June"/>
    <s v="Profit"/>
    <n v="3.2299999999999898"/>
    <n v="41.891000000000005"/>
  </r>
  <r>
    <s v="2023-06-14"/>
    <n v="126.7"/>
    <x v="606"/>
    <n v="124.12"/>
    <n v="126.42"/>
    <n v="52422463"/>
    <x v="1"/>
    <s v="Amazon"/>
    <x v="1"/>
    <n v="-0.189"/>
    <x v="5"/>
    <x v="0"/>
    <s v="June"/>
    <s v="Loss"/>
    <n v="2.8299999999999983"/>
    <n v="41.702000000000005"/>
  </r>
  <r>
    <s v="2023-06-15"/>
    <n v="125.21"/>
    <x v="607"/>
    <n v="124.32"/>
    <n v="127.11"/>
    <n v="60458471"/>
    <x v="1"/>
    <s v="Amazon"/>
    <x v="1"/>
    <n v="0.54600000000000004"/>
    <x v="5"/>
    <x v="0"/>
    <s v="June"/>
    <s v="Profit"/>
    <n v="3.3700000000000045"/>
    <n v="42.248000000000005"/>
  </r>
  <r>
    <s v="2023-06-16"/>
    <n v="127.71"/>
    <x v="608"/>
    <n v="125.3"/>
    <n v="125.49"/>
    <n v="84247104"/>
    <x v="1"/>
    <s v="Amazon"/>
    <x v="1"/>
    <n v="-1.274"/>
    <x v="5"/>
    <x v="0"/>
    <s v="June"/>
    <s v="Loss"/>
    <n v="2.6000000000000085"/>
    <n v="40.974000000000004"/>
  </r>
  <r>
    <s v="2023-06-20"/>
    <n v="124.97"/>
    <x v="609"/>
    <n v="124.5"/>
    <n v="125.78"/>
    <n v="56930122"/>
    <x v="1"/>
    <s v="Amazon"/>
    <x v="1"/>
    <n v="0.23100000000000001"/>
    <x v="5"/>
    <x v="0"/>
    <s v="June"/>
    <s v="Profit"/>
    <n v="2.75"/>
    <n v="41.205000000000005"/>
  </r>
  <r>
    <s v="2023-06-21"/>
    <n v="125.64"/>
    <x v="610"/>
    <n v="123.85"/>
    <n v="124.83"/>
    <n v="52137670"/>
    <x v="1"/>
    <s v="Amazon"/>
    <x v="1"/>
    <n v="-0.755"/>
    <x v="5"/>
    <x v="0"/>
    <s v="June"/>
    <s v="Loss"/>
    <n v="2.8800000000000097"/>
    <n v="40.450000000000003"/>
  </r>
  <r>
    <s v="2023-06-22"/>
    <n v="125.31"/>
    <x v="611"/>
    <n v="125.14"/>
    <n v="130.15"/>
    <n v="90354572"/>
    <x v="1"/>
    <s v="Amazon"/>
    <x v="1"/>
    <n v="4.2619999999999996"/>
    <x v="5"/>
    <x v="0"/>
    <s v="June"/>
    <s v="Profit"/>
    <n v="5.1900000000000119"/>
    <n v="44.712000000000003"/>
  </r>
  <r>
    <s v="2023-06-23"/>
    <n v="129.11000000000001"/>
    <x v="612"/>
    <n v="128.28"/>
    <n v="129.33000000000001"/>
    <n v="71927776"/>
    <x v="1"/>
    <s v="Amazon"/>
    <x v="1"/>
    <n v="-0.63"/>
    <x v="5"/>
    <x v="0"/>
    <s v="June"/>
    <s v="Loss"/>
    <n v="2.5600000000000023"/>
    <n v="44.082000000000001"/>
  </r>
  <r>
    <s v="2023-06-26"/>
    <n v="130.27000000000001"/>
    <x v="613"/>
    <n v="127.1"/>
    <n v="127.33"/>
    <n v="59989317"/>
    <x v="1"/>
    <s v="Amazon"/>
    <x v="1"/>
    <n v="-1.546"/>
    <x v="5"/>
    <x v="0"/>
    <s v="June"/>
    <s v="Loss"/>
    <n v="4.3900000000000148"/>
    <n v="42.536000000000001"/>
  </r>
  <r>
    <s v="2023-06-27"/>
    <n v="128.63"/>
    <x v="614"/>
    <n v="127.55"/>
    <n v="129.18"/>
    <n v="46801008"/>
    <x v="1"/>
    <s v="Amazon"/>
    <x v="1"/>
    <n v="1.4530000000000001"/>
    <x v="5"/>
    <x v="0"/>
    <s v="June"/>
    <s v="Profit"/>
    <n v="2.5350000000000108"/>
    <n v="43.989000000000004"/>
  </r>
  <r>
    <s v="2023-06-28"/>
    <n v="128.94"/>
    <x v="615"/>
    <n v="128.44"/>
    <n v="129.04"/>
    <n v="52149512"/>
    <x v="1"/>
    <s v="Amazon"/>
    <x v="1"/>
    <n v="-0.108"/>
    <x v="5"/>
    <x v="0"/>
    <s v="June"/>
    <s v="Loss"/>
    <n v="3.039999999999992"/>
    <n v="43.881000000000007"/>
  </r>
  <r>
    <s v="2023-06-29"/>
    <n v="128.77000000000001"/>
    <x v="616"/>
    <n v="127.255"/>
    <n v="127.9"/>
    <n v="40760959"/>
    <x v="1"/>
    <s v="Amazon"/>
    <x v="1"/>
    <n v="-0.88300000000000001"/>
    <x v="5"/>
    <x v="0"/>
    <s v="June"/>
    <s v="Loss"/>
    <n v="2.0049999999999955"/>
    <n v="42.998000000000005"/>
  </r>
  <r>
    <s v="2023-06-30"/>
    <n v="129.47"/>
    <x v="617"/>
    <n v="128.94999999999999"/>
    <n v="130.36000000000001"/>
    <n v="54350684"/>
    <x v="1"/>
    <s v="Amazon"/>
    <x v="1"/>
    <n v="1.923"/>
    <x v="5"/>
    <x v="0"/>
    <s v="June"/>
    <s v="Profit"/>
    <n v="2.2950000000000159"/>
    <n v="44.921000000000006"/>
  </r>
  <r>
    <s v="2023-07-03"/>
    <n v="130.82"/>
    <x v="618"/>
    <n v="130.065"/>
    <n v="130.22"/>
    <n v="28264785"/>
    <x v="1"/>
    <s v="Amazon"/>
    <x v="1"/>
    <n v="-0.107"/>
    <x v="6"/>
    <x v="0"/>
    <s v="July"/>
    <s v="Loss"/>
    <n v="1.7849999999999966"/>
    <n v="44.814000000000007"/>
  </r>
  <r>
    <s v="2023-07-05"/>
    <n v="130.24"/>
    <x v="619"/>
    <n v="129.63999999999999"/>
    <n v="130.38"/>
    <n v="35895409"/>
    <x v="1"/>
    <s v="Amazon"/>
    <x v="1"/>
    <n v="0.123"/>
    <x v="6"/>
    <x v="0"/>
    <s v="July"/>
    <s v="Profit"/>
    <n v="1.7600000000000193"/>
    <n v="44.937000000000005"/>
  </r>
  <r>
    <s v="2023-07-06"/>
    <n v="128.25"/>
    <x v="620"/>
    <n v="127.37"/>
    <n v="128.36000000000001"/>
    <n v="40697848"/>
    <x v="1"/>
    <s v="Amazon"/>
    <x v="1"/>
    <n v="-1.5489999999999999"/>
    <x v="6"/>
    <x v="0"/>
    <s v="July"/>
    <s v="Loss"/>
    <n v="1.3599999999999852"/>
    <n v="43.388000000000005"/>
  </r>
  <r>
    <s v="2023-07-07"/>
    <n v="128.59"/>
    <x v="621"/>
    <n v="128.12899999999999"/>
    <n v="129.78"/>
    <n v="41992251"/>
    <x v="1"/>
    <s v="Amazon"/>
    <x v="1"/>
    <n v="1.1060000000000001"/>
    <x v="6"/>
    <x v="0"/>
    <s v="July"/>
    <s v="Profit"/>
    <n v="2.8410000000000082"/>
    <n v="44.494000000000007"/>
  </r>
  <r>
    <s v="2023-07-10"/>
    <n v="129.07"/>
    <x v="622"/>
    <n v="125.91500000000001"/>
    <n v="127.13"/>
    <n v="61889289"/>
    <x v="1"/>
    <s v="Amazon"/>
    <x v="1"/>
    <n v="-2.0419999999999998"/>
    <x v="6"/>
    <x v="0"/>
    <s v="July"/>
    <s v="Loss"/>
    <n v="3.3649999999999949"/>
    <n v="42.452000000000005"/>
  </r>
  <r>
    <s v="2023-07-11"/>
    <n v="127.75"/>
    <x v="623"/>
    <n v="127.35"/>
    <n v="128.78"/>
    <n v="49951460"/>
    <x v="1"/>
    <s v="Amazon"/>
    <x v="1"/>
    <n v="1.298"/>
    <x v="6"/>
    <x v="0"/>
    <s v="July"/>
    <s v="Profit"/>
    <n v="2.4200000000000159"/>
    <n v="43.750000000000007"/>
  </r>
  <r>
    <s v="2023-07-12"/>
    <n v="130.31"/>
    <x v="624"/>
    <n v="128.83000000000001"/>
    <n v="130.80000000000001"/>
    <n v="54022847"/>
    <x v="1"/>
    <s v="Amazon"/>
    <x v="1"/>
    <n v="1.569"/>
    <x v="6"/>
    <x v="0"/>
    <s v="July"/>
    <s v="Profit"/>
    <n v="2.4299999999999784"/>
    <n v="45.31900000000001"/>
  </r>
  <r>
    <s v="2023-07-13"/>
    <n v="134.04"/>
    <x v="625"/>
    <n v="132.71"/>
    <n v="134.30000000000001"/>
    <n v="61170883"/>
    <x v="1"/>
    <s v="Amazon"/>
    <x v="1"/>
    <n v="2.6760000000000002"/>
    <x v="6"/>
    <x v="0"/>
    <s v="July"/>
    <s v="Profit"/>
    <n v="1.9599999999999795"/>
    <n v="47.995000000000012"/>
  </r>
  <r>
    <s v="2023-07-14"/>
    <n v="134.06"/>
    <x v="626"/>
    <n v="134.06"/>
    <n v="134.68"/>
    <n v="54487090"/>
    <x v="1"/>
    <s v="Amazon"/>
    <x v="1"/>
    <n v="0.28299999999999997"/>
    <x v="6"/>
    <x v="0"/>
    <s v="July"/>
    <s v="Profit"/>
    <n v="2.5900000000000034"/>
    <n v="48.278000000000013"/>
  </r>
  <r>
    <s v="2023-07-17"/>
    <n v="134.56"/>
    <x v="627"/>
    <n v="133.21"/>
    <n v="133.56"/>
    <n v="48450198"/>
    <x v="1"/>
    <s v="Amazon"/>
    <x v="1"/>
    <n v="-0.83199999999999996"/>
    <x v="6"/>
    <x v="0"/>
    <s v="July"/>
    <s v="Loss"/>
    <n v="2.4099999999999966"/>
    <n v="47.446000000000012"/>
  </r>
  <r>
    <s v="2023-07-18"/>
    <n v="132.71"/>
    <x v="628"/>
    <n v="131.35499999999999"/>
    <n v="132.83000000000001"/>
    <n v="54969133"/>
    <x v="1"/>
    <s v="Amazon"/>
    <x v="1"/>
    <n v="-0.54700000000000004"/>
    <x v="6"/>
    <x v="0"/>
    <s v="July"/>
    <s v="Loss"/>
    <n v="2.5050000000000239"/>
    <n v="46.899000000000015"/>
  </r>
  <r>
    <s v="2023-07-19"/>
    <n v="133.38999999999999"/>
    <x v="629"/>
    <n v="132.53"/>
    <n v="135.36000000000001"/>
    <n v="54531037"/>
    <x v="1"/>
    <s v="Amazon"/>
    <x v="1"/>
    <n v="1.905"/>
    <x v="6"/>
    <x v="0"/>
    <s v="July"/>
    <s v="Profit"/>
    <n v="3.460000000000008"/>
    <n v="48.804000000000016"/>
  </r>
  <r>
    <s v="2023-07-20"/>
    <n v="134.07"/>
    <x v="630"/>
    <n v="129.33000000000001"/>
    <n v="129.96"/>
    <n v="59820579"/>
    <x v="1"/>
    <s v="Amazon"/>
    <x v="1"/>
    <n v="-3.9889999999999999"/>
    <x v="6"/>
    <x v="0"/>
    <s v="July"/>
    <s v="Loss"/>
    <n v="5.4619999999999891"/>
    <n v="44.815000000000019"/>
  </r>
  <r>
    <s v="2023-07-21"/>
    <n v="131.34"/>
    <x v="631"/>
    <n v="128.41499999999999"/>
    <n v="130"/>
    <n v="133307294"/>
    <x v="1"/>
    <s v="Amazon"/>
    <x v="1"/>
    <n v="3.1E-2"/>
    <x v="6"/>
    <x v="0"/>
    <s v="July"/>
    <s v="Profit"/>
    <n v="2.9550000000000125"/>
    <n v="44.846000000000018"/>
  </r>
  <r>
    <s v="2023-07-24"/>
    <n v="130.30500000000001"/>
    <x v="632"/>
    <n v="128.35"/>
    <n v="128.80000000000001"/>
    <n v="45671535"/>
    <x v="1"/>
    <s v="Amazon"/>
    <x v="1"/>
    <n v="-0.92300000000000004"/>
    <x v="6"/>
    <x v="0"/>
    <s v="July"/>
    <s v="Loss"/>
    <n v="3.3100000000000023"/>
    <n v="43.923000000000016"/>
  </r>
  <r>
    <s v="2023-07-25"/>
    <n v="129.31"/>
    <x v="633"/>
    <n v="128.53"/>
    <n v="129.13"/>
    <n v="39236663"/>
    <x v="1"/>
    <s v="Amazon"/>
    <x v="1"/>
    <n v="0.25600000000000001"/>
    <x v="6"/>
    <x v="0"/>
    <s v="July"/>
    <s v="Profit"/>
    <n v="1.0500000000000114"/>
    <n v="44.179000000000016"/>
  </r>
  <r>
    <s v="2023-07-26"/>
    <n v="126.51"/>
    <x v="634"/>
    <n v="126.11"/>
    <n v="128.15"/>
    <n v="53910087"/>
    <x v="1"/>
    <s v="Amazon"/>
    <x v="1"/>
    <n v="-0.75900000000000001"/>
    <x v="6"/>
    <x v="0"/>
    <s v="July"/>
    <s v="Loss"/>
    <n v="2.9700000000000131"/>
    <n v="43.420000000000016"/>
  </r>
  <r>
    <s v="2023-07-27"/>
    <n v="131"/>
    <x v="635"/>
    <n v="127.79"/>
    <n v="128.25"/>
    <n v="52610661"/>
    <x v="1"/>
    <s v="Amazon"/>
    <x v="1"/>
    <n v="7.8E-2"/>
    <x v="6"/>
    <x v="0"/>
    <s v="July"/>
    <s v="Profit"/>
    <n v="4.8399999999999892"/>
    <n v="43.498000000000019"/>
  </r>
  <r>
    <s v="2023-07-28"/>
    <n v="129.69"/>
    <x v="636"/>
    <n v="129.33000000000001"/>
    <n v="132.21"/>
    <n v="46317381"/>
    <x v="1"/>
    <s v="Amazon"/>
    <x v="1"/>
    <n v="3.0880000000000001"/>
    <x v="6"/>
    <x v="0"/>
    <s v="July"/>
    <s v="Profit"/>
    <n v="3.6799999999999784"/>
    <n v="46.58600000000002"/>
  </r>
  <r>
    <s v="2023-07-31"/>
    <n v="133.19999999999999"/>
    <x v="637"/>
    <n v="132.38"/>
    <n v="133.68"/>
    <n v="41901516"/>
    <x v="1"/>
    <s v="Amazon"/>
    <x v="1"/>
    <n v="1.1120000000000001"/>
    <x v="6"/>
    <x v="0"/>
    <s v="July"/>
    <s v="Profit"/>
    <n v="1.4900000000000091"/>
    <n v="47.698000000000022"/>
  </r>
  <r>
    <s v="2023-08-01"/>
    <n v="133.55000000000001"/>
    <x v="638"/>
    <n v="131.62"/>
    <n v="131.69"/>
    <n v="42298925"/>
    <x v="1"/>
    <s v="Amazon"/>
    <x v="1"/>
    <n v="-1.4890000000000001"/>
    <x v="7"/>
    <x v="0"/>
    <s v="August"/>
    <s v="Loss"/>
    <n v="2.0699999999999932"/>
    <n v="46.209000000000024"/>
  </r>
  <r>
    <s v="2023-08-02"/>
    <n v="130.154"/>
    <x v="639"/>
    <n v="126.82"/>
    <n v="128.21"/>
    <n v="51027614"/>
    <x v="1"/>
    <s v="Amazon"/>
    <x v="1"/>
    <n v="-2.6429999999999998"/>
    <x v="7"/>
    <x v="0"/>
    <s v="August"/>
    <s v="Loss"/>
    <n v="3.4099999999999966"/>
    <n v="43.566000000000024"/>
  </r>
  <r>
    <s v="2023-08-03"/>
    <n v="127.48"/>
    <x v="640"/>
    <n v="126.41"/>
    <n v="128.91"/>
    <n v="91163736"/>
    <x v="1"/>
    <s v="Amazon"/>
    <x v="1"/>
    <n v="0.54600000000000004"/>
    <x v="7"/>
    <x v="0"/>
    <s v="August"/>
    <s v="Profit"/>
    <n v="3.4300000000000068"/>
    <n v="44.112000000000023"/>
  </r>
  <r>
    <s v="2023-08-04"/>
    <n v="141.06"/>
    <x v="641"/>
    <n v="139.32"/>
    <n v="139.57"/>
    <n v="153128470"/>
    <x v="1"/>
    <s v="Amazon"/>
    <x v="1"/>
    <n v="8.2690000000000001"/>
    <x v="7"/>
    <x v="0"/>
    <s v="August"/>
    <s v="Profit"/>
    <n v="4.3100000000000023"/>
    <n v="52.381000000000022"/>
  </r>
  <r>
    <s v="2023-08-07"/>
    <n v="140.99"/>
    <x v="642"/>
    <n v="138.94999999999999"/>
    <n v="142.22"/>
    <n v="71213112"/>
    <x v="1"/>
    <s v="Amazon"/>
    <x v="1"/>
    <n v="1.899"/>
    <x v="7"/>
    <x v="0"/>
    <s v="August"/>
    <s v="Profit"/>
    <n v="3.5900000000000034"/>
    <n v="54.280000000000022"/>
  </r>
  <r>
    <s v="2023-08-08"/>
    <n v="140.62"/>
    <x v="643"/>
    <n v="138.41999999999999"/>
    <n v="139.94"/>
    <n v="51710497"/>
    <x v="1"/>
    <s v="Amazon"/>
    <x v="1"/>
    <n v="-1.603"/>
    <x v="7"/>
    <x v="0"/>
    <s v="August"/>
    <s v="Loss"/>
    <n v="2.4200000000000159"/>
    <n v="52.677000000000021"/>
  </r>
  <r>
    <s v="2023-08-09"/>
    <n v="139.97"/>
    <x v="644"/>
    <n v="137.1"/>
    <n v="137.85"/>
    <n v="50017349"/>
    <x v="1"/>
    <s v="Amazon"/>
    <x v="1"/>
    <n v="-1.4930000000000001"/>
    <x v="7"/>
    <x v="0"/>
    <s v="August"/>
    <s v="Loss"/>
    <n v="3.2199999999999989"/>
    <n v="51.184000000000019"/>
  </r>
  <r>
    <s v="2023-08-10"/>
    <n v="139.07499999999999"/>
    <x v="645"/>
    <n v="137.49"/>
    <n v="138.56"/>
    <n v="58928402"/>
    <x v="1"/>
    <s v="Amazon"/>
    <x v="1"/>
    <n v="0.51500000000000001"/>
    <x v="7"/>
    <x v="0"/>
    <s v="August"/>
    <s v="Profit"/>
    <n v="2.9199999999999875"/>
    <n v="51.699000000000019"/>
  </r>
  <r>
    <s v="2023-08-11"/>
    <n v="137.4"/>
    <x v="646"/>
    <n v="137"/>
    <n v="138.41"/>
    <n v="42905833"/>
    <x v="1"/>
    <s v="Amazon"/>
    <x v="1"/>
    <n v="-0.108"/>
    <x v="7"/>
    <x v="0"/>
    <s v="August"/>
    <s v="Loss"/>
    <n v="2.3300000000000125"/>
    <n v="51.591000000000022"/>
  </r>
  <r>
    <s v="2023-08-14"/>
    <n v="138.30000000000001"/>
    <x v="647"/>
    <n v="137.75"/>
    <n v="140.57"/>
    <n v="47148699"/>
    <x v="1"/>
    <s v="Amazon"/>
    <x v="1"/>
    <n v="1.5609999999999999"/>
    <x v="7"/>
    <x v="0"/>
    <s v="August"/>
    <s v="Profit"/>
    <n v="2.8400000000000034"/>
    <n v="53.152000000000022"/>
  </r>
  <r>
    <s v="2023-08-15"/>
    <n v="140.05000000000001"/>
    <x v="648"/>
    <n v="137.22999999999999"/>
    <n v="137.66999999999999"/>
    <n v="42781521"/>
    <x v="1"/>
    <s v="Amazon"/>
    <x v="1"/>
    <n v="-2.0630000000000002"/>
    <x v="7"/>
    <x v="0"/>
    <s v="August"/>
    <s v="Loss"/>
    <n v="4.0480000000000018"/>
    <n v="51.08900000000002"/>
  </r>
  <r>
    <s v="2023-08-16"/>
    <n v="137.19"/>
    <x v="649"/>
    <n v="135.01"/>
    <n v="135.07"/>
    <n v="41675903"/>
    <x v="1"/>
    <s v="Amazon"/>
    <x v="1"/>
    <n v="-1.889"/>
    <x v="7"/>
    <x v="0"/>
    <s v="August"/>
    <s v="Loss"/>
    <n v="2.2600000000000193"/>
    <n v="49.200000000000017"/>
  </r>
  <r>
    <s v="2023-08-17"/>
    <n v="135.46"/>
    <x v="650"/>
    <n v="133.53"/>
    <n v="133.97999999999999"/>
    <n v="48354085"/>
    <x v="1"/>
    <s v="Amazon"/>
    <x v="1"/>
    <n v="-0.80700000000000005"/>
    <x v="7"/>
    <x v="0"/>
    <s v="August"/>
    <s v="Loss"/>
    <n v="2.5550000000000068"/>
    <n v="48.393000000000015"/>
  </r>
  <r>
    <s v="2023-08-18"/>
    <n v="131.62"/>
    <x v="651"/>
    <n v="131.15"/>
    <n v="133.22"/>
    <n v="48497698"/>
    <x v="1"/>
    <s v="Amazon"/>
    <x v="1"/>
    <n v="-0.56699999999999995"/>
    <x v="7"/>
    <x v="0"/>
    <s v="August"/>
    <s v="Loss"/>
    <n v="2.914999999999992"/>
    <n v="47.826000000000015"/>
  </r>
  <r>
    <s v="2023-08-21"/>
    <n v="133.74"/>
    <x v="652"/>
    <n v="132.71"/>
    <n v="134.68"/>
    <n v="41442483"/>
    <x v="1"/>
    <s v="Amazon"/>
    <x v="1"/>
    <n v="1.0960000000000001"/>
    <x v="7"/>
    <x v="0"/>
    <s v="August"/>
    <s v="Profit"/>
    <n v="2.4749999999999943"/>
    <n v="48.922000000000011"/>
  </r>
  <r>
    <s v="2023-08-22"/>
    <n v="135.08000000000001"/>
    <x v="653"/>
    <n v="133.72999999999999"/>
    <n v="134.25"/>
    <n v="32935104"/>
    <x v="1"/>
    <s v="Amazon"/>
    <x v="1"/>
    <n v="-0.31900000000000001"/>
    <x v="7"/>
    <x v="0"/>
    <s v="August"/>
    <s v="Loss"/>
    <n v="1.9200000000000159"/>
    <n v="48.603000000000009"/>
  </r>
  <r>
    <s v="2023-08-23"/>
    <n v="134.5"/>
    <x v="654"/>
    <n v="133.22"/>
    <n v="135.52000000000001"/>
    <n v="42801043"/>
    <x v="1"/>
    <s v="Amazon"/>
    <x v="1"/>
    <n v="0.94599999999999995"/>
    <x v="7"/>
    <x v="0"/>
    <s v="August"/>
    <s v="Profit"/>
    <n v="2.7299999999999898"/>
    <n v="49.549000000000007"/>
  </r>
  <r>
    <s v="2023-08-24"/>
    <n v="136.4"/>
    <x v="655"/>
    <n v="131.83000000000001"/>
    <n v="131.84"/>
    <n v="43646250"/>
    <x v="1"/>
    <s v="Amazon"/>
    <x v="1"/>
    <n v="-2.7149999999999999"/>
    <x v="7"/>
    <x v="0"/>
    <s v="August"/>
    <s v="Loss"/>
    <n v="4.9449999999999932"/>
    <n v="46.834000000000003"/>
  </r>
  <r>
    <s v="2023-08-25"/>
    <n v="132.47"/>
    <x v="637"/>
    <n v="130.58000000000001"/>
    <n v="133.26"/>
    <n v="44147451"/>
    <x v="1"/>
    <s v="Amazon"/>
    <x v="1"/>
    <n v="1.077"/>
    <x v="7"/>
    <x v="0"/>
    <s v="August"/>
    <s v="Profit"/>
    <n v="3.289999999999992"/>
    <n v="47.911000000000001"/>
  </r>
  <r>
    <s v="2023-08-28"/>
    <n v="133.78"/>
    <x v="656"/>
    <n v="131.85"/>
    <n v="133.13999999999999"/>
    <n v="34108410"/>
    <x v="1"/>
    <s v="Amazon"/>
    <x v="1"/>
    <n v="-0.09"/>
    <x v="7"/>
    <x v="0"/>
    <s v="August"/>
    <s v="Loss"/>
    <n v="2.0999999999999943"/>
    <n v="47.820999999999998"/>
  </r>
  <r>
    <s v="2023-08-29"/>
    <n v="133.38"/>
    <x v="657"/>
    <n v="133.25"/>
    <n v="134.91"/>
    <n v="38646093"/>
    <x v="1"/>
    <s v="Amazon"/>
    <x v="1"/>
    <n v="1.329"/>
    <x v="7"/>
    <x v="0"/>
    <s v="August"/>
    <s v="Profit"/>
    <n v="1.8899999999999864"/>
    <n v="49.15"/>
  </r>
  <r>
    <s v="2023-08-30"/>
    <n v="134.93"/>
    <x v="658"/>
    <n v="133.91999999999999"/>
    <n v="135.07"/>
    <n v="36137015"/>
    <x v="1"/>
    <s v="Amazon"/>
    <x v="1"/>
    <n v="0.11899999999999999"/>
    <x v="7"/>
    <x v="0"/>
    <s v="August"/>
    <s v="Profit"/>
    <n v="1.7600000000000193"/>
    <n v="49.268999999999998"/>
  </r>
  <r>
    <s v="2023-08-31"/>
    <n v="135.06"/>
    <x v="659"/>
    <n v="135"/>
    <n v="138.01"/>
    <n v="58781314"/>
    <x v="1"/>
    <s v="Amazon"/>
    <x v="1"/>
    <n v="2.177"/>
    <x v="7"/>
    <x v="0"/>
    <s v="August"/>
    <s v="Profit"/>
    <n v="3.7880000000000109"/>
    <n v="51.445999999999998"/>
  </r>
  <r>
    <s v="2023-09-01"/>
    <n v="139.45500000000001"/>
    <x v="660"/>
    <n v="136.875"/>
    <n v="138.12"/>
    <n v="40991536"/>
    <x v="1"/>
    <s v="Amazon"/>
    <x v="1"/>
    <n v="0.08"/>
    <x v="8"/>
    <x v="0"/>
    <s v="September"/>
    <s v="Profit"/>
    <n v="3.085000000000008"/>
    <n v="51.525999999999996"/>
  </r>
  <r>
    <s v="2023-09-05"/>
    <n v="137.72999999999999"/>
    <x v="661"/>
    <n v="135.82"/>
    <n v="137.27000000000001"/>
    <n v="40636738"/>
    <x v="1"/>
    <s v="Amazon"/>
    <x v="1"/>
    <n v="-0.61499999999999999"/>
    <x v="8"/>
    <x v="0"/>
    <s v="September"/>
    <s v="Loss"/>
    <n v="1.9800000000000182"/>
    <n v="50.910999999999994"/>
  </r>
  <r>
    <s v="2023-09-06"/>
    <n v="136.32"/>
    <x v="662"/>
    <n v="134.61000000000001"/>
    <n v="135.36000000000001"/>
    <n v="41785507"/>
    <x v="1"/>
    <s v="Amazon"/>
    <x v="1"/>
    <n v="-1.391"/>
    <x v="8"/>
    <x v="0"/>
    <s v="September"/>
    <s v="Loss"/>
    <n v="2.839999999999975"/>
    <n v="49.519999999999996"/>
  </r>
  <r>
    <s v="2023-09-07"/>
    <n v="133.9"/>
    <x v="663"/>
    <n v="133.16"/>
    <n v="137.85"/>
    <n v="48498912"/>
    <x v="1"/>
    <s v="Amazon"/>
    <x v="1"/>
    <n v="1.84"/>
    <x v="8"/>
    <x v="0"/>
    <s v="September"/>
    <s v="Profit"/>
    <n v="4.8700000000000045"/>
    <n v="51.36"/>
  </r>
  <r>
    <s v="2023-09-08"/>
    <n v="136.86000000000001"/>
    <x v="664"/>
    <n v="136.75"/>
    <n v="138.22999999999999"/>
    <n v="38365929"/>
    <x v="1"/>
    <s v="Amazon"/>
    <x v="1"/>
    <n v="0.27600000000000002"/>
    <x v="8"/>
    <x v="0"/>
    <s v="September"/>
    <s v="Profit"/>
    <n v="2.1020000000000039"/>
    <n v="51.636000000000003"/>
  </r>
  <r>
    <s v="2023-09-11"/>
    <n v="138.75"/>
    <x v="665"/>
    <n v="138.63999999999999"/>
    <n v="143.1"/>
    <n v="56764525"/>
    <x v="1"/>
    <s v="Amazon"/>
    <x v="1"/>
    <n v="3.5230000000000001"/>
    <x v="8"/>
    <x v="0"/>
    <s v="September"/>
    <s v="Profit"/>
    <n v="4.9800000000000182"/>
    <n v="55.159000000000006"/>
  </r>
  <r>
    <s v="2023-09-12"/>
    <n v="142.32"/>
    <x v="666"/>
    <n v="140.61000000000001"/>
    <n v="141.22999999999999"/>
    <n v="42668452"/>
    <x v="1"/>
    <s v="Amazon"/>
    <x v="1"/>
    <n v="-1.3069999999999999"/>
    <x v="8"/>
    <x v="0"/>
    <s v="September"/>
    <s v="Loss"/>
    <n v="2.3899999999999864"/>
    <n v="53.852000000000004"/>
  </r>
  <r>
    <s v="2023-09-13"/>
    <n v="140.94999999999999"/>
    <x v="667"/>
    <n v="140.86500000000001"/>
    <n v="144.85"/>
    <n v="60465175"/>
    <x v="1"/>
    <s v="Amazon"/>
    <x v="1"/>
    <n v="2.5630000000000002"/>
    <x v="8"/>
    <x v="0"/>
    <s v="September"/>
    <s v="Profit"/>
    <n v="4.1149999999999807"/>
    <n v="56.415000000000006"/>
  </r>
  <r>
    <s v="2023-09-14"/>
    <n v="145.08000000000001"/>
    <x v="668"/>
    <n v="142.94999999999999"/>
    <n v="144.72"/>
    <n v="64033607"/>
    <x v="1"/>
    <s v="Amazon"/>
    <x v="1"/>
    <n v="-0.09"/>
    <x v="8"/>
    <x v="0"/>
    <s v="September"/>
    <s v="Loss"/>
    <n v="2.910000000000025"/>
    <n v="56.325000000000003"/>
  </r>
  <r>
    <s v="2023-09-15"/>
    <n v="142.69"/>
    <x v="669"/>
    <n v="140.09"/>
    <n v="140.38999999999999"/>
    <n v="102909327"/>
    <x v="1"/>
    <s v="Amazon"/>
    <x v="1"/>
    <n v="-2.992"/>
    <x v="8"/>
    <x v="0"/>
    <s v="September"/>
    <s v="Loss"/>
    <n v="3.4799999999999898"/>
    <n v="53.333000000000006"/>
  </r>
  <r>
    <s v="2023-09-18"/>
    <n v="140.47999999999999"/>
    <x v="670"/>
    <n v="139.22"/>
    <n v="139.97999999999999"/>
    <n v="42823480"/>
    <x v="1"/>
    <s v="Amazon"/>
    <x v="1"/>
    <n v="-0.29199999999999998"/>
    <x v="8"/>
    <x v="0"/>
    <s v="September"/>
    <s v="Loss"/>
    <n v="2.5300000000000011"/>
    <n v="53.041000000000004"/>
  </r>
  <r>
    <s v="2023-09-19"/>
    <n v="138.69999999999999"/>
    <x v="671"/>
    <n v="135.56"/>
    <n v="137.63"/>
    <n v="61482470"/>
    <x v="1"/>
    <s v="Amazon"/>
    <x v="1"/>
    <n v="-1.679"/>
    <x v="8"/>
    <x v="0"/>
    <s v="September"/>
    <s v="Loss"/>
    <n v="3.2800000000000011"/>
    <n v="51.362000000000002"/>
  </r>
  <r>
    <s v="2023-09-20"/>
    <n v="138.55000000000001"/>
    <x v="672"/>
    <n v="135.19999999999999"/>
    <n v="135.29"/>
    <n v="46263716"/>
    <x v="1"/>
    <s v="Amazon"/>
    <x v="1"/>
    <n v="-1.7"/>
    <x v="8"/>
    <x v="0"/>
    <s v="September"/>
    <s v="Loss"/>
    <n v="4.1700000000000159"/>
    <n v="49.661999999999999"/>
  </r>
  <r>
    <s v="2023-09-21"/>
    <n v="131.94"/>
    <x v="673"/>
    <n v="129.31"/>
    <n v="129.33000000000001"/>
    <n v="70343342"/>
    <x v="1"/>
    <s v="Amazon"/>
    <x v="1"/>
    <n v="-4.4050000000000002"/>
    <x v="8"/>
    <x v="0"/>
    <s v="September"/>
    <s v="Loss"/>
    <n v="2.9300000000000068"/>
    <n v="45.256999999999998"/>
  </r>
  <r>
    <s v="2023-09-22"/>
    <n v="131.11000000000001"/>
    <x v="674"/>
    <n v="128.52000000000001"/>
    <n v="129.12"/>
    <n v="59904348"/>
    <x v="1"/>
    <s v="Amazon"/>
    <x v="1"/>
    <n v="-0.16200000000000001"/>
    <x v="8"/>
    <x v="0"/>
    <s v="September"/>
    <s v="Loss"/>
    <n v="3.5099999999999909"/>
    <n v="45.094999999999999"/>
  </r>
  <r>
    <s v="2023-09-25"/>
    <n v="129.36000000000001"/>
    <x v="675"/>
    <n v="128.77000000000001"/>
    <n v="131.27000000000001"/>
    <n v="46017825"/>
    <x v="1"/>
    <s v="Amazon"/>
    <x v="1"/>
    <n v="1.665"/>
    <x v="8"/>
    <x v="0"/>
    <s v="September"/>
    <s v="Profit"/>
    <n v="3.0099999999999909"/>
    <n v="46.76"/>
  </r>
  <r>
    <s v="2023-09-26"/>
    <n v="130.12"/>
    <x v="676"/>
    <n v="125.28"/>
    <n v="125.98"/>
    <n v="73048207"/>
    <x v="1"/>
    <s v="Amazon"/>
    <x v="1"/>
    <n v="-4.03"/>
    <x v="8"/>
    <x v="0"/>
    <s v="September"/>
    <s v="Loss"/>
    <n v="5.1099999999999852"/>
    <n v="42.73"/>
  </r>
  <r>
    <s v="2023-09-27"/>
    <n v="125.76"/>
    <x v="677"/>
    <n v="124.13"/>
    <n v="125.98"/>
    <n v="66553449"/>
    <x v="1"/>
    <s v="Amazon"/>
    <x v="1"/>
    <n v="0"/>
    <x v="8"/>
    <x v="0"/>
    <s v="September"/>
    <s v="Neutral"/>
    <n v="3.3500000000000085"/>
    <n v="42.73"/>
  </r>
  <r>
    <s v="2023-09-28"/>
    <n v="124.04"/>
    <x v="678"/>
    <n v="123.04"/>
    <n v="125.98"/>
    <n v="54554968"/>
    <x v="1"/>
    <s v="Amazon"/>
    <x v="1"/>
    <n v="0"/>
    <x v="8"/>
    <x v="0"/>
    <s v="September"/>
    <s v="Neutral"/>
    <n v="3.539999999999992"/>
    <n v="42.73"/>
  </r>
  <r>
    <s v="2023-09-29"/>
    <n v="128.19999999999999"/>
    <x v="679"/>
    <n v="126.32"/>
    <n v="127.12"/>
    <n v="62411730"/>
    <x v="1"/>
    <s v="Amazon"/>
    <x v="1"/>
    <n v="0.90500000000000003"/>
    <x v="8"/>
    <x v="0"/>
    <s v="September"/>
    <s v="Profit"/>
    <n v="2.8300000000000125"/>
    <n v="43.634999999999998"/>
  </r>
  <r>
    <s v="2023-10-02"/>
    <n v="127.28"/>
    <x v="680"/>
    <n v="126.54"/>
    <n v="129.46"/>
    <n v="48029744"/>
    <x v="1"/>
    <s v="Amazon"/>
    <x v="1"/>
    <n v="1.841"/>
    <x v="9"/>
    <x v="0"/>
    <s v="October"/>
    <s v="Profit"/>
    <n v="3.9299999999999926"/>
    <n v="45.475999999999999"/>
  </r>
  <r>
    <s v="2023-10-03"/>
    <n v="128.06"/>
    <x v="681"/>
    <n v="124.254"/>
    <n v="124.72"/>
    <n v="51564991"/>
    <x v="1"/>
    <s v="Amazon"/>
    <x v="1"/>
    <n v="-3.661"/>
    <x v="9"/>
    <x v="0"/>
    <s v="October"/>
    <s v="Loss"/>
    <n v="4.2660000000000053"/>
    <n v="41.814999999999998"/>
  </r>
  <r>
    <s v="2023-10-04"/>
    <n v="126.06"/>
    <x v="682"/>
    <n v="125.68"/>
    <n v="127"/>
    <n v="44203870"/>
    <x v="1"/>
    <s v="Amazon"/>
    <x v="1"/>
    <n v="1.8280000000000001"/>
    <x v="9"/>
    <x v="0"/>
    <s v="October"/>
    <s v="Profit"/>
    <n v="1.6799999999999926"/>
    <n v="43.643000000000001"/>
  </r>
  <r>
    <s v="2023-10-05"/>
    <n v="126.71"/>
    <x v="610"/>
    <n v="124.33"/>
    <n v="125.96"/>
    <n v="39660643"/>
    <x v="1"/>
    <s v="Amazon"/>
    <x v="1"/>
    <n v="-0.81899999999999995"/>
    <x v="9"/>
    <x v="0"/>
    <s v="October"/>
    <s v="Loss"/>
    <n v="2.4000000000000057"/>
    <n v="42.823999999999998"/>
  </r>
  <r>
    <s v="2023-10-06"/>
    <n v="124.16"/>
    <x v="683"/>
    <n v="124.13"/>
    <n v="127.96"/>
    <n v="46836698"/>
    <x v="1"/>
    <s v="Amazon"/>
    <x v="1"/>
    <n v="1.5880000000000001"/>
    <x v="9"/>
    <x v="0"/>
    <s v="October"/>
    <s v="Profit"/>
    <n v="4.3199999999999932"/>
    <n v="44.411999999999999"/>
  </r>
  <r>
    <s v="2023-10-09"/>
    <n v="126.22"/>
    <x v="684"/>
    <n v="124.76"/>
    <n v="128.26"/>
    <n v="38773738"/>
    <x v="1"/>
    <s v="Amazon"/>
    <x v="1"/>
    <n v="0.23400000000000001"/>
    <x v="9"/>
    <x v="0"/>
    <s v="October"/>
    <s v="Profit"/>
    <n v="4.0299999999999869"/>
    <n v="44.646000000000001"/>
  </r>
  <r>
    <s v="2023-10-10"/>
    <n v="128.82"/>
    <x v="685"/>
    <n v="128.05000000000001"/>
    <n v="129.47999999999999"/>
    <n v="42178619"/>
    <x v="1"/>
    <s v="Amazon"/>
    <x v="1"/>
    <n v="0.95099999999999996"/>
    <x v="9"/>
    <x v="0"/>
    <s v="October"/>
    <s v="Profit"/>
    <n v="2.6899999999999977"/>
    <n v="45.597000000000001"/>
  </r>
  <r>
    <s v="2023-10-11"/>
    <n v="129.74"/>
    <x v="686"/>
    <n v="129.61000000000001"/>
    <n v="131.83000000000001"/>
    <n v="40741842"/>
    <x v="1"/>
    <s v="Amazon"/>
    <x v="1"/>
    <n v="1.8149999999999999"/>
    <x v="9"/>
    <x v="0"/>
    <s v="October"/>
    <s v="Profit"/>
    <n v="2.4399999999999977"/>
    <n v="47.411999999999999"/>
  </r>
  <r>
    <s v="2023-10-12"/>
    <n v="132.16999999999999"/>
    <x v="687"/>
    <n v="131.22999999999999"/>
    <n v="132.33000000000001"/>
    <n v="55528581"/>
    <x v="1"/>
    <s v="Amazon"/>
    <x v="1"/>
    <n v="0.379"/>
    <x v="9"/>
    <x v="0"/>
    <s v="October"/>
    <s v="Profit"/>
    <n v="3.25"/>
    <n v="47.790999999999997"/>
  </r>
  <r>
    <s v="2023-10-13"/>
    <n v="132.97999999999999"/>
    <x v="688"/>
    <n v="128.94999999999999"/>
    <n v="129.79"/>
    <n v="45824685"/>
    <x v="1"/>
    <s v="Amazon"/>
    <x v="1"/>
    <n v="-1.919"/>
    <x v="9"/>
    <x v="0"/>
    <s v="October"/>
    <s v="Loss"/>
    <n v="4.3650000000000091"/>
    <n v="45.872"/>
  </r>
  <r>
    <s v="2023-10-16"/>
    <n v="130.69"/>
    <x v="689"/>
    <n v="130.42500000000001"/>
    <n v="132.55000000000001"/>
    <n v="42832918"/>
    <x v="1"/>
    <s v="Amazon"/>
    <x v="1"/>
    <n v="2.1269999999999998"/>
    <x v="9"/>
    <x v="0"/>
    <s v="October"/>
    <s v="Profit"/>
    <n v="2.6449999999999818"/>
    <n v="47.999000000000002"/>
  </r>
  <r>
    <s v="2023-10-17"/>
    <n v="130.38999999999999"/>
    <x v="690"/>
    <n v="128.71"/>
    <n v="131.47"/>
    <n v="49344550"/>
    <x v="1"/>
    <s v="Amazon"/>
    <x v="1"/>
    <n v="-0.81499999999999995"/>
    <x v="9"/>
    <x v="0"/>
    <s v="October"/>
    <s v="Loss"/>
    <n v="3.8700000000000045"/>
    <n v="47.184000000000005"/>
  </r>
  <r>
    <s v="2023-10-18"/>
    <n v="129.9"/>
    <x v="691"/>
    <n v="127.51"/>
    <n v="128.13"/>
    <n v="42699479"/>
    <x v="1"/>
    <s v="Amazon"/>
    <x v="1"/>
    <n v="-2.5409999999999999"/>
    <x v="9"/>
    <x v="0"/>
    <s v="October"/>
    <s v="Loss"/>
    <n v="3.1599999999999824"/>
    <n v="44.643000000000008"/>
  </r>
  <r>
    <s v="2023-10-19"/>
    <n v="130.565"/>
    <x v="673"/>
    <n v="127.47"/>
    <n v="128.4"/>
    <n v="60961355"/>
    <x v="1"/>
    <s v="Amazon"/>
    <x v="1"/>
    <n v="0.21099999999999999"/>
    <x v="9"/>
    <x v="0"/>
    <s v="October"/>
    <s v="Profit"/>
    <n v="4.7700000000000102"/>
    <n v="44.854000000000006"/>
  </r>
  <r>
    <s v="2023-10-20"/>
    <n v="128.05000000000001"/>
    <x v="692"/>
    <n v="124.97"/>
    <n v="125.17"/>
    <n v="56406410"/>
    <x v="1"/>
    <s v="Amazon"/>
    <x v="1"/>
    <n v="-2.516"/>
    <x v="9"/>
    <x v="0"/>
    <s v="October"/>
    <s v="Loss"/>
    <n v="3.1999999999999886"/>
    <n v="42.338000000000008"/>
  </r>
  <r>
    <s v="2023-10-23"/>
    <n v="124.63"/>
    <x v="693"/>
    <n v="123.98"/>
    <n v="126.56"/>
    <n v="48259953"/>
    <x v="1"/>
    <s v="Amazon"/>
    <x v="1"/>
    <n v="1.1100000000000001"/>
    <x v="9"/>
    <x v="0"/>
    <s v="October"/>
    <s v="Profit"/>
    <n v="3.8999999999999915"/>
    <n v="43.448000000000008"/>
  </r>
  <r>
    <s v="2023-10-24"/>
    <n v="127.74"/>
    <x v="694"/>
    <n v="126.34"/>
    <n v="128.56"/>
    <n v="46477355"/>
    <x v="1"/>
    <s v="Amazon"/>
    <x v="1"/>
    <n v="1.58"/>
    <x v="9"/>
    <x v="0"/>
    <s v="October"/>
    <s v="Profit"/>
    <n v="2.460000000000008"/>
    <n v="45.028000000000006"/>
  </r>
  <r>
    <s v="2023-10-25"/>
    <n v="126.04"/>
    <x v="695"/>
    <n v="120.79"/>
    <n v="121.39"/>
    <n v="74577544"/>
    <x v="1"/>
    <s v="Amazon"/>
    <x v="1"/>
    <n v="-5.577"/>
    <x v="9"/>
    <x v="0"/>
    <s v="October"/>
    <s v="Loss"/>
    <n v="5.5499999999999972"/>
    <n v="39.451000000000008"/>
  </r>
  <r>
    <s v="2023-10-26"/>
    <n v="120.63"/>
    <x v="696"/>
    <n v="118.35"/>
    <n v="119.57"/>
    <n v="100419516"/>
    <x v="1"/>
    <s v="Amazon"/>
    <x v="1"/>
    <n v="-1.4990000000000001"/>
    <x v="9"/>
    <x v="0"/>
    <s v="October"/>
    <s v="Loss"/>
    <n v="3.2890000000000015"/>
    <n v="37.952000000000005"/>
  </r>
  <r>
    <s v="2023-10-27"/>
    <n v="126.2"/>
    <x v="697"/>
    <n v="125.52"/>
    <n v="127.74"/>
    <n v="125309313"/>
    <x v="1"/>
    <s v="Amazon"/>
    <x v="1"/>
    <n v="6.8330000000000002"/>
    <x v="9"/>
    <x v="0"/>
    <s v="October"/>
    <s v="Profit"/>
    <n v="4.5000000000000142"/>
    <n v="44.785000000000004"/>
  </r>
  <r>
    <s v="2023-10-30"/>
    <n v="129.72"/>
    <x v="698"/>
    <n v="128.56"/>
    <n v="132.71"/>
    <n v="72485542"/>
    <x v="1"/>
    <s v="Amazon"/>
    <x v="1"/>
    <n v="3.891"/>
    <x v="9"/>
    <x v="0"/>
    <s v="October"/>
    <s v="Profit"/>
    <n v="4.4399999999999977"/>
    <n v="48.676000000000002"/>
  </r>
  <r>
    <s v="2023-10-31"/>
    <n v="132.75"/>
    <x v="699"/>
    <n v="131.71"/>
    <n v="133.09"/>
    <n v="51589380"/>
    <x v="1"/>
    <s v="Amazon"/>
    <x v="1"/>
    <n v="0.28599999999999998"/>
    <x v="9"/>
    <x v="0"/>
    <s v="October"/>
    <s v="Profit"/>
    <n v="1.8599999999999852"/>
    <n v="48.962000000000003"/>
  </r>
  <r>
    <s v="2023-11-01"/>
    <n v="133.96"/>
    <x v="700"/>
    <n v="133.71"/>
    <n v="137"/>
    <n v="61529409"/>
    <x v="1"/>
    <s v="Amazon"/>
    <x v="1"/>
    <n v="2.9380000000000002"/>
    <x v="10"/>
    <x v="0"/>
    <s v="November"/>
    <s v="Profit"/>
    <n v="3.6399999999999864"/>
    <n v="51.900000000000006"/>
  </r>
  <r>
    <s v="2023-11-02"/>
    <n v="138.72999999999999"/>
    <x v="701"/>
    <n v="136.47"/>
    <n v="138.07"/>
    <n v="52236693"/>
    <x v="1"/>
    <s v="Amazon"/>
    <x v="1"/>
    <n v="0.78100000000000003"/>
    <x v="10"/>
    <x v="0"/>
    <s v="November"/>
    <s v="Profit"/>
    <n v="2.3400000000000034"/>
    <n v="52.681000000000004"/>
  </r>
  <r>
    <s v="2023-11-03"/>
    <n v="138.99"/>
    <x v="702"/>
    <n v="137.44999999999999"/>
    <n v="138.6"/>
    <n v="44059805"/>
    <x v="1"/>
    <s v="Amazon"/>
    <x v="1"/>
    <n v="0.38400000000000001"/>
    <x v="10"/>
    <x v="0"/>
    <s v="November"/>
    <s v="Profit"/>
    <n v="2.0400000000000205"/>
    <n v="53.065000000000005"/>
  </r>
  <r>
    <s v="2023-11-06"/>
    <n v="138.76"/>
    <x v="703"/>
    <n v="138.36000000000001"/>
    <n v="139.74"/>
    <n v="44970417"/>
    <x v="1"/>
    <s v="Amazon"/>
    <x v="1"/>
    <n v="0.82299999999999995"/>
    <x v="10"/>
    <x v="0"/>
    <s v="November"/>
    <s v="Profit"/>
    <n v="2.3699999999999761"/>
    <n v="53.888000000000005"/>
  </r>
  <r>
    <s v="2023-11-07"/>
    <n v="140.55000000000001"/>
    <x v="704"/>
    <n v="140.5"/>
    <n v="142.71"/>
    <n v="53553537"/>
    <x v="1"/>
    <s v="Amazon"/>
    <x v="1"/>
    <n v="2.125"/>
    <x v="10"/>
    <x v="0"/>
    <s v="November"/>
    <s v="Profit"/>
    <n v="2.8700000000000045"/>
    <n v="56.013000000000005"/>
  </r>
  <r>
    <s v="2023-11-08"/>
    <n v="142.97"/>
    <x v="705"/>
    <n v="141.21799999999999"/>
    <n v="142.08000000000001"/>
    <n v="44521658"/>
    <x v="1"/>
    <s v="Amazon"/>
    <x v="1"/>
    <n v="-0.441"/>
    <x v="10"/>
    <x v="0"/>
    <s v="November"/>
    <s v="Loss"/>
    <n v="1.9020000000000152"/>
    <n v="55.572000000000003"/>
  </r>
  <r>
    <s v="2023-11-09"/>
    <n v="142.02000000000001"/>
    <x v="706"/>
    <n v="139.84"/>
    <n v="140.6"/>
    <n v="36235367"/>
    <x v="1"/>
    <s v="Amazon"/>
    <x v="1"/>
    <n v="-1.042"/>
    <x v="10"/>
    <x v="0"/>
    <s v="November"/>
    <s v="Loss"/>
    <n v="2.8100000000000023"/>
    <n v="54.53"/>
  </r>
  <r>
    <s v="2023-11-10"/>
    <n v="140.46"/>
    <x v="707"/>
    <n v="139.91"/>
    <n v="143.56"/>
    <n v="49349937"/>
    <x v="1"/>
    <s v="Amazon"/>
    <x v="1"/>
    <n v="2.105"/>
    <x v="10"/>
    <x v="0"/>
    <s v="November"/>
    <s v="Profit"/>
    <n v="3.7400000000000091"/>
    <n v="56.634999999999998"/>
  </r>
  <r>
    <s v="2023-11-13"/>
    <n v="142.08000000000001"/>
    <x v="708"/>
    <n v="140.66999999999999"/>
    <n v="142.59"/>
    <n v="35680570"/>
    <x v="1"/>
    <s v="Amazon"/>
    <x v="1"/>
    <n v="-0.67600000000000005"/>
    <x v="10"/>
    <x v="0"/>
    <s v="November"/>
    <s v="Loss"/>
    <n v="2.5600000000000023"/>
    <n v="55.958999999999996"/>
  </r>
  <r>
    <s v="2023-11-14"/>
    <n v="145"/>
    <x v="709"/>
    <n v="144.68"/>
    <n v="145.80000000000001"/>
    <n v="56674551"/>
    <x v="1"/>
    <s v="Amazon"/>
    <x v="1"/>
    <n v="2.2509999999999999"/>
    <x v="10"/>
    <x v="0"/>
    <s v="November"/>
    <s v="Profit"/>
    <n v="2.5799999999999841"/>
    <n v="58.209999999999994"/>
  </r>
  <r>
    <s v="2023-11-15"/>
    <n v="147.06"/>
    <x v="710"/>
    <n v="142.59"/>
    <n v="143.19999999999999"/>
    <n v="63875720"/>
    <x v="1"/>
    <s v="Amazon"/>
    <x v="1"/>
    <n v="-1.7829999999999999"/>
    <x v="10"/>
    <x v="0"/>
    <s v="November"/>
    <s v="Loss"/>
    <n v="4.6999999999999886"/>
    <n v="56.426999999999992"/>
  </r>
  <r>
    <s v="2023-11-16"/>
    <n v="140.91"/>
    <x v="711"/>
    <n v="139.52000000000001"/>
    <n v="142.83000000000001"/>
    <n v="49653512"/>
    <x v="1"/>
    <s v="Amazon"/>
    <x v="1"/>
    <n v="-0.25800000000000001"/>
    <x v="10"/>
    <x v="0"/>
    <s v="November"/>
    <s v="Loss"/>
    <n v="3.7999999999999829"/>
    <n v="56.16899999999999"/>
  </r>
  <r>
    <s v="2023-11-17"/>
    <n v="142.66"/>
    <x v="712"/>
    <n v="142.54499999999999"/>
    <n v="145.18"/>
    <n v="49678437"/>
    <x v="1"/>
    <s v="Amazon"/>
    <x v="1"/>
    <n v="1.645"/>
    <x v="10"/>
    <x v="0"/>
    <s v="November"/>
    <s v="Profit"/>
    <n v="2.6850000000000023"/>
    <n v="57.813999999999993"/>
  </r>
  <r>
    <s v="2023-11-20"/>
    <n v="145.13"/>
    <x v="713"/>
    <n v="144.72499999999999"/>
    <n v="146.13"/>
    <n v="41978766"/>
    <x v="1"/>
    <s v="Amazon"/>
    <x v="1"/>
    <n v="0.65400000000000003"/>
    <x v="10"/>
    <x v="0"/>
    <s v="November"/>
    <s v="Profit"/>
    <n v="1.9050000000000011"/>
    <n v="58.467999999999996"/>
  </r>
  <r>
    <s v="2023-11-21"/>
    <n v="143.91"/>
    <x v="714"/>
    <n v="141.5"/>
    <n v="143.9"/>
    <n v="71225992"/>
    <x v="1"/>
    <s v="Amazon"/>
    <x v="1"/>
    <n v="-1.526"/>
    <x v="10"/>
    <x v="0"/>
    <s v="November"/>
    <s v="Loss"/>
    <n v="2.5500000000000114"/>
    <n v="56.941999999999993"/>
  </r>
  <r>
    <s v="2023-11-22"/>
    <n v="144.57"/>
    <x v="715"/>
    <n v="144.57"/>
    <n v="146.71"/>
    <n v="45700002"/>
    <x v="1"/>
    <s v="Amazon"/>
    <x v="1"/>
    <n v="1.9530000000000001"/>
    <x v="10"/>
    <x v="0"/>
    <s v="November"/>
    <s v="Profit"/>
    <n v="3.1700000000000159"/>
    <n v="58.894999999999996"/>
  </r>
  <r>
    <s v="2023-11-24"/>
    <n v="146.69999999999999"/>
    <x v="716"/>
    <n v="145.32"/>
    <n v="146.74"/>
    <n v="22378379"/>
    <x v="1"/>
    <s v="Amazon"/>
    <x v="1"/>
    <n v="0.02"/>
    <x v="10"/>
    <x v="0"/>
    <s v="November"/>
    <s v="Profit"/>
    <n v="1.8799999999999955"/>
    <n v="58.914999999999999"/>
  </r>
  <r>
    <s v="2023-11-27"/>
    <n v="147.53"/>
    <x v="717"/>
    <n v="146.88"/>
    <n v="147.72999999999999"/>
    <n v="53762428"/>
    <x v="1"/>
    <s v="Amazon"/>
    <x v="1"/>
    <n v="0.67500000000000004"/>
    <x v="10"/>
    <x v="0"/>
    <s v="November"/>
    <s v="Profit"/>
    <n v="2.3799999999999955"/>
    <n v="59.589999999999996"/>
  </r>
  <r>
    <s v="2023-11-28"/>
    <n v="146.97999999999999"/>
    <x v="718"/>
    <n v="145.53"/>
    <n v="147.03"/>
    <n v="42711682"/>
    <x v="1"/>
    <s v="Amazon"/>
    <x v="1"/>
    <n v="-0.47399999999999998"/>
    <x v="10"/>
    <x v="0"/>
    <s v="November"/>
    <s v="Loss"/>
    <n v="2.0699999999999932"/>
    <n v="59.116"/>
  </r>
  <r>
    <s v="2023-11-29"/>
    <n v="147.85"/>
    <x v="719"/>
    <n v="145.97"/>
    <n v="146.32"/>
    <n v="40610907"/>
    <x v="1"/>
    <s v="Amazon"/>
    <x v="1"/>
    <n v="-0.48299999999999998"/>
    <x v="10"/>
    <x v="0"/>
    <s v="November"/>
    <s v="Loss"/>
    <n v="2.5699999999999932"/>
    <n v="58.633000000000003"/>
  </r>
  <r>
    <s v="2023-11-30"/>
    <n v="144.76"/>
    <x v="720"/>
    <n v="144.33199999999999"/>
    <n v="146.09"/>
    <n v="65814022"/>
    <x v="1"/>
    <s v="Amazon"/>
    <x v="1"/>
    <n v="-0.157"/>
    <x v="10"/>
    <x v="0"/>
    <s v="November"/>
    <s v="Loss"/>
    <n v="2.5980000000000132"/>
    <n v="58.476000000000006"/>
  </r>
  <r>
    <s v="2023-12-01"/>
    <n v="146"/>
    <x v="721"/>
    <n v="145.55000000000001"/>
    <n v="147.03"/>
    <n v="39951833"/>
    <x v="1"/>
    <s v="Amazon"/>
    <x v="1"/>
    <n v="0.64300000000000002"/>
    <x v="11"/>
    <x v="0"/>
    <s v="December"/>
    <s v="Profit"/>
    <n v="1.6949999999999932"/>
    <n v="59.119000000000007"/>
  </r>
  <r>
    <s v="2023-12-04"/>
    <n v="145.25"/>
    <x v="722"/>
    <n v="142.81"/>
    <n v="144.84"/>
    <n v="48294244"/>
    <x v="1"/>
    <s v="Amazon"/>
    <x v="1"/>
    <n v="-1.4890000000000001"/>
    <x v="11"/>
    <x v="0"/>
    <s v="December"/>
    <s v="Loss"/>
    <n v="2.539999999999992"/>
    <n v="57.63000000000001"/>
  </r>
  <r>
    <s v="2023-12-05"/>
    <n v="143.55000000000001"/>
    <x v="723"/>
    <n v="143.13"/>
    <n v="146.88"/>
    <n v="46822411"/>
    <x v="1"/>
    <s v="Amazon"/>
    <x v="1"/>
    <n v="1.4079999999999999"/>
    <x v="11"/>
    <x v="0"/>
    <s v="December"/>
    <s v="Profit"/>
    <n v="5.4399999999999977"/>
    <n v="59.038000000000011"/>
  </r>
  <r>
    <s v="2023-12-06"/>
    <n v="147.58000000000001"/>
    <x v="724"/>
    <n v="144.28"/>
    <n v="144.52000000000001"/>
    <n v="39678960"/>
    <x v="1"/>
    <s v="Amazon"/>
    <x v="1"/>
    <n v="-1.607"/>
    <x v="11"/>
    <x v="0"/>
    <s v="December"/>
    <s v="Loss"/>
    <n v="3.5699999999999932"/>
    <n v="57.431000000000012"/>
  </r>
  <r>
    <s v="2023-12-07"/>
    <n v="146.15"/>
    <x v="725"/>
    <n v="145.34"/>
    <n v="146.88"/>
    <n v="52352830"/>
    <x v="1"/>
    <s v="Amazon"/>
    <x v="1"/>
    <n v="1.633"/>
    <x v="11"/>
    <x v="0"/>
    <s v="December"/>
    <s v="Profit"/>
    <n v="2.5799999999999841"/>
    <n v="59.064000000000014"/>
  </r>
  <r>
    <s v="2023-12-08"/>
    <n v="145.47999999999999"/>
    <x v="726"/>
    <n v="145.4"/>
    <n v="147.41999999999999"/>
    <n v="41905965"/>
    <x v="1"/>
    <s v="Amazon"/>
    <x v="1"/>
    <n v="0.36799999999999999"/>
    <x v="11"/>
    <x v="0"/>
    <s v="December"/>
    <s v="Profit"/>
    <n v="2.4399999999999977"/>
    <n v="59.432000000000016"/>
  </r>
  <r>
    <s v="2023-12-11"/>
    <n v="145.66"/>
    <x v="727"/>
    <n v="143.63999999999999"/>
    <n v="145.88999999999999"/>
    <n v="50907288"/>
    <x v="1"/>
    <s v="Amazon"/>
    <x v="1"/>
    <n v="-1.038"/>
    <x v="11"/>
    <x v="0"/>
    <s v="December"/>
    <s v="Loss"/>
    <n v="2.5500000000000114"/>
    <n v="58.39400000000002"/>
  </r>
  <r>
    <s v="2023-12-12"/>
    <n v="145.52000000000001"/>
    <x v="728"/>
    <n v="145.30000000000001"/>
    <n v="147.47999999999999"/>
    <n v="44944264"/>
    <x v="1"/>
    <s v="Amazon"/>
    <x v="1"/>
    <n v="1.0900000000000001"/>
    <x v="11"/>
    <x v="0"/>
    <s v="December"/>
    <s v="Profit"/>
    <n v="2.1999999999999886"/>
    <n v="59.484000000000023"/>
  </r>
  <r>
    <s v="2023-12-13"/>
    <n v="148.12"/>
    <x v="729"/>
    <n v="146.82"/>
    <n v="148.84"/>
    <n v="52766196"/>
    <x v="1"/>
    <s v="Amazon"/>
    <x v="1"/>
    <n v="0.92200000000000004"/>
    <x v="11"/>
    <x v="0"/>
    <s v="December"/>
    <s v="Profit"/>
    <n v="2.6400000000000148"/>
    <n v="60.40600000000002"/>
  </r>
  <r>
    <s v="2023-12-14"/>
    <n v="149.93"/>
    <x v="730"/>
    <n v="145.52000000000001"/>
    <n v="147.41999999999999"/>
    <n v="58400848"/>
    <x v="1"/>
    <s v="Amazon"/>
    <x v="1"/>
    <n v="-0.95399999999999996"/>
    <x v="11"/>
    <x v="0"/>
    <s v="December"/>
    <s v="Loss"/>
    <n v="5.0199999999999818"/>
    <n v="59.452000000000019"/>
  </r>
  <r>
    <s v="2023-12-15"/>
    <n v="148.38"/>
    <x v="731"/>
    <n v="147.88"/>
    <n v="149.97"/>
    <n v="110089342"/>
    <x v="1"/>
    <s v="Amazon"/>
    <x v="1"/>
    <n v="1.73"/>
    <x v="11"/>
    <x v="0"/>
    <s v="December"/>
    <s v="Profit"/>
    <n v="2.6899999999999977"/>
    <n v="61.182000000000016"/>
  </r>
  <r>
    <s v="2023-12-18"/>
    <n v="150.56"/>
    <x v="732"/>
    <n v="150.05000000000001"/>
    <n v="154.07"/>
    <n v="62512828"/>
    <x v="1"/>
    <s v="Amazon"/>
    <x v="1"/>
    <n v="2.734"/>
    <x v="11"/>
    <x v="0"/>
    <s v="December"/>
    <s v="Profit"/>
    <n v="4.8049999999999784"/>
    <n v="63.916000000000018"/>
  </r>
  <r>
    <s v="2023-12-19"/>
    <n v="154.4"/>
    <x v="733"/>
    <n v="152.69"/>
    <n v="153.79"/>
    <n v="43171292"/>
    <x v="1"/>
    <s v="Amazon"/>
    <x v="1"/>
    <n v="-0.182"/>
    <x v="11"/>
    <x v="0"/>
    <s v="December"/>
    <s v="Loss"/>
    <n v="2.4300000000000068"/>
    <n v="63.734000000000016"/>
  </r>
  <r>
    <s v="2023-12-20"/>
    <n v="152.9"/>
    <x v="734"/>
    <n v="151.56"/>
    <n v="152.12"/>
    <n v="50322106"/>
    <x v="1"/>
    <s v="Amazon"/>
    <x v="1"/>
    <n v="-1.0860000000000001"/>
    <x v="11"/>
    <x v="0"/>
    <s v="December"/>
    <s v="Loss"/>
    <n v="4.0699999999999932"/>
    <n v="62.648000000000017"/>
  </r>
  <r>
    <s v="2023-12-21"/>
    <n v="153.30000000000001"/>
    <x v="735"/>
    <n v="152.1"/>
    <n v="153.84"/>
    <n v="36305733"/>
    <x v="1"/>
    <s v="Amazon"/>
    <x v="1"/>
    <n v="1.131"/>
    <x v="11"/>
    <x v="0"/>
    <s v="December"/>
    <s v="Profit"/>
    <n v="1.8700000000000045"/>
    <n v="63.779000000000018"/>
  </r>
  <r>
    <s v="2023-12-22"/>
    <n v="153.77000000000001"/>
    <x v="736"/>
    <n v="152.71"/>
    <n v="153.41999999999999"/>
    <n v="29514093"/>
    <x v="1"/>
    <s v="Amazon"/>
    <x v="1"/>
    <n v="-0.27300000000000002"/>
    <x v="11"/>
    <x v="0"/>
    <s v="December"/>
    <s v="Loss"/>
    <n v="1.6399999999999864"/>
    <n v="63.506000000000014"/>
  </r>
  <r>
    <s v="2023-12-26"/>
    <n v="153.56"/>
    <x v="737"/>
    <n v="153.03"/>
    <n v="153.41"/>
    <n v="25067222"/>
    <x v="1"/>
    <s v="Amazon"/>
    <x v="1"/>
    <n v="-7.0000000000000001E-3"/>
    <x v="11"/>
    <x v="0"/>
    <s v="December"/>
    <s v="Loss"/>
    <n v="0.94499999999999318"/>
    <n v="63.499000000000017"/>
  </r>
  <r>
    <s v="2023-12-27"/>
    <n v="153.56"/>
    <x v="738"/>
    <n v="153.12"/>
    <n v="153.34"/>
    <n v="31434733"/>
    <x v="1"/>
    <s v="Amazon"/>
    <x v="1"/>
    <n v="-4.5999999999999999E-2"/>
    <x v="11"/>
    <x v="0"/>
    <s v="December"/>
    <s v="Loss"/>
    <n v="1.6599999999999966"/>
    <n v="63.453000000000017"/>
  </r>
  <r>
    <s v="2023-12-28"/>
    <n v="153.72"/>
    <x v="739"/>
    <n v="152.94999999999999"/>
    <n v="153.38"/>
    <n v="27057002"/>
    <x v="1"/>
    <s v="Amazon"/>
    <x v="1"/>
    <n v="2.5999999999999999E-2"/>
    <x v="11"/>
    <x v="0"/>
    <s v="December"/>
    <s v="Profit"/>
    <n v="1.1300000000000239"/>
    <n v="63.479000000000021"/>
  </r>
  <r>
    <s v="2023-12-29"/>
    <n v="153.1"/>
    <x v="740"/>
    <n v="151.03"/>
    <n v="151.94"/>
    <n v="39823204"/>
    <x v="1"/>
    <s v="Amazon"/>
    <x v="1"/>
    <n v="-0.93899999999999995"/>
    <x v="11"/>
    <x v="0"/>
    <s v="December"/>
    <s v="Loss"/>
    <n v="2.8599999999999852"/>
    <n v="62.54000000000002"/>
  </r>
  <r>
    <s v="2024-01-02"/>
    <n v="151.54"/>
    <x v="741"/>
    <n v="148.38999999999999"/>
    <n v="149.93"/>
    <n v="47339424"/>
    <x v="1"/>
    <s v="Amazon"/>
    <x v="1"/>
    <n v="-1.323"/>
    <x v="12"/>
    <x v="1"/>
    <s v="January"/>
    <s v="Loss"/>
    <n v="3.9900000000000091"/>
    <n v="61.21700000000002"/>
  </r>
  <r>
    <s v="2024-01-03"/>
    <n v="149.19999999999999"/>
    <x v="742"/>
    <n v="148.33000000000001"/>
    <n v="148.47"/>
    <n v="49425495"/>
    <x v="1"/>
    <s v="Amazon"/>
    <x v="1"/>
    <n v="-0.97399999999999998"/>
    <x v="12"/>
    <x v="1"/>
    <s v="January"/>
    <s v="Loss"/>
    <n v="2.7199999999999989"/>
    <n v="60.243000000000023"/>
  </r>
  <r>
    <s v="2024-01-04"/>
    <n v="145.59"/>
    <x v="743"/>
    <n v="144.05000000000001"/>
    <n v="144.57"/>
    <n v="56039807"/>
    <x v="1"/>
    <s v="Amazon"/>
    <x v="1"/>
    <n v="-2.6269999999999998"/>
    <x v="12"/>
    <x v="1"/>
    <s v="January"/>
    <s v="Loss"/>
    <n v="3.3299999999999841"/>
    <n v="57.616000000000021"/>
  </r>
  <r>
    <s v="2024-01-05"/>
    <n v="144.69"/>
    <x v="744"/>
    <n v="144.53"/>
    <n v="145.24"/>
    <n v="45153147"/>
    <x v="1"/>
    <s v="Amazon"/>
    <x v="1"/>
    <n v="0.46300000000000002"/>
    <x v="12"/>
    <x v="1"/>
    <s v="January"/>
    <s v="Profit"/>
    <n v="2.0600000000000023"/>
    <n v="58.079000000000022"/>
  </r>
  <r>
    <s v="2024-01-08"/>
    <n v="146.74"/>
    <x v="745"/>
    <n v="146.15"/>
    <n v="149.1"/>
    <n v="46757053"/>
    <x v="1"/>
    <s v="Amazon"/>
    <x v="1"/>
    <n v="2.6579999999999999"/>
    <x v="12"/>
    <x v="1"/>
    <s v="January"/>
    <s v="Profit"/>
    <n v="3.25"/>
    <n v="60.737000000000023"/>
  </r>
  <r>
    <s v="2024-01-09"/>
    <n v="148.33000000000001"/>
    <x v="746"/>
    <n v="148.21"/>
    <n v="151.37"/>
    <n v="43812567"/>
    <x v="1"/>
    <s v="Amazon"/>
    <x v="1"/>
    <n v="1.522"/>
    <x v="12"/>
    <x v="1"/>
    <s v="January"/>
    <s v="Profit"/>
    <n v="3.5"/>
    <n v="62.259000000000022"/>
  </r>
  <r>
    <s v="2024-01-10"/>
    <n v="152.06"/>
    <x v="747"/>
    <n v="151.881"/>
    <n v="153.72999999999999"/>
    <n v="44421830"/>
    <x v="1"/>
    <s v="Amazon"/>
    <x v="1"/>
    <n v="1.5589999999999999"/>
    <x v="12"/>
    <x v="1"/>
    <s v="January"/>
    <s v="Profit"/>
    <n v="2.5389999999999873"/>
    <n v="63.818000000000019"/>
  </r>
  <r>
    <s v="2024-01-11"/>
    <n v="155.04"/>
    <x v="748"/>
    <n v="153.12"/>
    <n v="155.18"/>
    <n v="49072691"/>
    <x v="1"/>
    <s v="Amazon"/>
    <x v="1"/>
    <n v="0.94299999999999995"/>
    <x v="12"/>
    <x v="1"/>
    <s v="January"/>
    <s v="Profit"/>
    <n v="4.0499999999999829"/>
    <n v="64.761000000000024"/>
  </r>
  <r>
    <s v="2024-01-12"/>
    <n v="155.38999999999999"/>
    <x v="749"/>
    <n v="154.01"/>
    <n v="154.62"/>
    <n v="40484155"/>
    <x v="1"/>
    <s v="Amazon"/>
    <x v="1"/>
    <n v="-0.36099999999999999"/>
    <x v="12"/>
    <x v="1"/>
    <s v="January"/>
    <s v="Loss"/>
    <n v="2.1899999999999977"/>
    <n v="64.40000000000002"/>
  </r>
  <r>
    <s v="2024-01-16"/>
    <n v="153.53"/>
    <x v="750"/>
    <n v="152.15"/>
    <n v="153.16"/>
    <n v="41384636"/>
    <x v="1"/>
    <s v="Amazon"/>
    <x v="1"/>
    <n v="-0.94399999999999995"/>
    <x v="12"/>
    <x v="1"/>
    <s v="January"/>
    <s v="Loss"/>
    <n v="2.8400000000000034"/>
    <n v="63.456000000000017"/>
  </r>
  <r>
    <s v="2024-01-17"/>
    <n v="151.49"/>
    <x v="751"/>
    <n v="149.91"/>
    <n v="151.71"/>
    <n v="34953363"/>
    <x v="1"/>
    <s v="Amazon"/>
    <x v="1"/>
    <n v="-0.94699999999999995"/>
    <x v="12"/>
    <x v="1"/>
    <s v="January"/>
    <s v="Loss"/>
    <n v="2.2400000000000091"/>
    <n v="62.509000000000015"/>
  </r>
  <r>
    <s v="2024-01-18"/>
    <n v="152.77000000000001"/>
    <x v="752"/>
    <n v="151.82"/>
    <n v="153.5"/>
    <n v="37850245"/>
    <x v="1"/>
    <s v="Amazon"/>
    <x v="1"/>
    <n v="1.18"/>
    <x v="12"/>
    <x v="1"/>
    <s v="January"/>
    <s v="Profit"/>
    <n v="1.9550000000000125"/>
    <n v="63.689000000000014"/>
  </r>
  <r>
    <s v="2024-01-19"/>
    <n v="153.83000000000001"/>
    <x v="753"/>
    <n v="152.74"/>
    <n v="155.34"/>
    <n v="51651628"/>
    <x v="1"/>
    <s v="Amazon"/>
    <x v="1"/>
    <n v="1.1990000000000001"/>
    <x v="12"/>
    <x v="1"/>
    <s v="January"/>
    <s v="Profit"/>
    <n v="3.0199999999999818"/>
    <n v="64.888000000000019"/>
  </r>
  <r>
    <s v="2024-01-22"/>
    <n v="156.88999999999999"/>
    <x v="754"/>
    <n v="153.9"/>
    <n v="154.78"/>
    <n v="43687468"/>
    <x v="1"/>
    <s v="Amazon"/>
    <x v="1"/>
    <n v="-0.36"/>
    <x v="12"/>
    <x v="1"/>
    <s v="January"/>
    <s v="Loss"/>
    <n v="3.1500000000000057"/>
    <n v="64.52800000000002"/>
  </r>
  <r>
    <s v="2024-01-23"/>
    <n v="154.85"/>
    <x v="755"/>
    <n v="153.93"/>
    <n v="156.02000000000001"/>
    <n v="37986039"/>
    <x v="1"/>
    <s v="Amazon"/>
    <x v="1"/>
    <n v="0.80100000000000005"/>
    <x v="12"/>
    <x v="1"/>
    <s v="January"/>
    <s v="Profit"/>
    <n v="2.2800000000000011"/>
    <n v="65.329000000000022"/>
  </r>
  <r>
    <s v="2024-01-24"/>
    <n v="157.80000000000001"/>
    <x v="756"/>
    <n v="156.47999999999999"/>
    <n v="156.87"/>
    <n v="48547315"/>
    <x v="1"/>
    <s v="Amazon"/>
    <x v="1"/>
    <n v="0.54500000000000004"/>
    <x v="12"/>
    <x v="1"/>
    <s v="January"/>
    <s v="Profit"/>
    <n v="2.0300000000000011"/>
    <n v="65.874000000000024"/>
  </r>
  <r>
    <s v="2024-01-25"/>
    <n v="156.94999999999999"/>
    <x v="757"/>
    <n v="154.55000000000001"/>
    <n v="157.75"/>
    <n v="43638592"/>
    <x v="1"/>
    <s v="Amazon"/>
    <x v="1"/>
    <n v="0.56100000000000005"/>
    <x v="12"/>
    <x v="1"/>
    <s v="January"/>
    <s v="Profit"/>
    <n v="3.9549999999999841"/>
    <n v="66.435000000000031"/>
  </r>
  <r>
    <s v="2024-01-26"/>
    <n v="158.41999999999999"/>
    <x v="758"/>
    <n v="157.91"/>
    <n v="159.12"/>
    <n v="51047353"/>
    <x v="1"/>
    <s v="Amazon"/>
    <x v="1"/>
    <n v="0.86799999999999999"/>
    <x v="12"/>
    <x v="1"/>
    <s v="January"/>
    <s v="Profit"/>
    <n v="2.8100000000000023"/>
    <n v="67.303000000000026"/>
  </r>
  <r>
    <s v="2024-01-29"/>
    <n v="159.34"/>
    <x v="759"/>
    <n v="158.9"/>
    <n v="161.26"/>
    <n v="45270385"/>
    <x v="1"/>
    <s v="Amazon"/>
    <x v="1"/>
    <n v="1.345"/>
    <x v="12"/>
    <x v="1"/>
    <s v="January"/>
    <s v="Profit"/>
    <n v="2.3899999999999864"/>
    <n v="68.648000000000025"/>
  </r>
  <r>
    <s v="2024-01-30"/>
    <n v="160.69999999999999"/>
    <x v="760"/>
    <n v="158.49"/>
    <n v="159"/>
    <n v="45207430"/>
    <x v="1"/>
    <s v="Amazon"/>
    <x v="1"/>
    <n v="-1.401"/>
    <x v="12"/>
    <x v="1"/>
    <s v="January"/>
    <s v="Loss"/>
    <n v="3.2399999999999807"/>
    <n v="67.247000000000028"/>
  </r>
  <r>
    <s v="2024-01-31"/>
    <n v="157"/>
    <x v="761"/>
    <n v="154.81"/>
    <n v="155.19999999999999"/>
    <n v="50284371"/>
    <x v="1"/>
    <s v="Amazon"/>
    <x v="1"/>
    <n v="-2.39"/>
    <x v="12"/>
    <x v="1"/>
    <s v="January"/>
    <s v="Loss"/>
    <n v="4.1999999999999886"/>
    <n v="64.857000000000028"/>
  </r>
  <r>
    <s v="2024-02-01"/>
    <n v="155.87"/>
    <x v="762"/>
    <n v="155.62"/>
    <n v="159.28"/>
    <n v="76542419"/>
    <x v="1"/>
    <s v="Amazon"/>
    <x v="1"/>
    <n v="2.629"/>
    <x v="13"/>
    <x v="1"/>
    <s v="February"/>
    <s v="Profit"/>
    <n v="4.1399999999999864"/>
    <n v="67.486000000000033"/>
  </r>
  <r>
    <s v="2024-02-02"/>
    <n v="169.19"/>
    <x v="763"/>
    <n v="167.33"/>
    <n v="171.81"/>
    <n v="117218313"/>
    <x v="1"/>
    <s v="Amazon"/>
    <x v="1"/>
    <n v="7.867"/>
    <x v="13"/>
    <x v="1"/>
    <s v="February"/>
    <s v="Profit"/>
    <n v="5.1699999999999875"/>
    <n v="75.353000000000037"/>
  </r>
  <r>
    <s v="2024-02-05"/>
    <n v="170.2"/>
    <x v="764"/>
    <n v="167.7"/>
    <n v="170.31"/>
    <n v="55081297"/>
    <x v="1"/>
    <s v="Amazon"/>
    <x v="1"/>
    <n v="-0.873"/>
    <x v="13"/>
    <x v="1"/>
    <s v="February"/>
    <s v="Loss"/>
    <n v="2.8500000000000227"/>
    <n v="74.480000000000032"/>
  </r>
  <r>
    <s v="2024-02-06"/>
    <n v="169.39"/>
    <x v="765"/>
    <n v="167.65"/>
    <n v="169.15"/>
    <n v="42505518"/>
    <x v="1"/>
    <s v="Amazon"/>
    <x v="1"/>
    <n v="-0.68100000000000005"/>
    <x v="13"/>
    <x v="1"/>
    <s v="February"/>
    <s v="Loss"/>
    <n v="3.0600000000000023"/>
    <n v="73.799000000000035"/>
  </r>
  <r>
    <s v="2024-02-07"/>
    <n v="169.48"/>
    <x v="766"/>
    <n v="168.94"/>
    <n v="170.53"/>
    <n v="47174060"/>
    <x v="1"/>
    <s v="Amazon"/>
    <x v="1"/>
    <n v="0.81599999999999995"/>
    <x v="13"/>
    <x v="1"/>
    <s v="February"/>
    <s v="Profit"/>
    <n v="1.9399999999999977"/>
    <n v="74.615000000000038"/>
  </r>
  <r>
    <s v="2024-02-08"/>
    <n v="169.65"/>
    <x v="767"/>
    <n v="168.88"/>
    <n v="169.84"/>
    <n v="42316454"/>
    <x v="1"/>
    <s v="Amazon"/>
    <x v="1"/>
    <n v="-0.40500000000000003"/>
    <x v="13"/>
    <x v="1"/>
    <s v="February"/>
    <s v="Loss"/>
    <n v="2.5500000000000114"/>
    <n v="74.210000000000036"/>
  </r>
  <r>
    <s v="2024-02-09"/>
    <n v="170.9"/>
    <x v="768"/>
    <n v="170.58"/>
    <n v="174.45"/>
    <n v="56985986"/>
    <x v="1"/>
    <s v="Amazon"/>
    <x v="1"/>
    <n v="2.714"/>
    <x v="13"/>
    <x v="1"/>
    <s v="February"/>
    <s v="Profit"/>
    <n v="4.4199999999999875"/>
    <n v="76.924000000000035"/>
  </r>
  <r>
    <s v="2024-02-12"/>
    <n v="174.8"/>
    <x v="769"/>
    <n v="171.54"/>
    <n v="172.34"/>
    <n v="51050440"/>
    <x v="1"/>
    <s v="Amazon"/>
    <x v="1"/>
    <n v="-1.21"/>
    <x v="13"/>
    <x v="1"/>
    <s v="February"/>
    <s v="Loss"/>
    <n v="3.8499999999999943"/>
    <n v="75.714000000000041"/>
  </r>
  <r>
    <s v="2024-02-13"/>
    <n v="167.73"/>
    <x v="770"/>
    <n v="165.75"/>
    <n v="168.64"/>
    <n v="56345122"/>
    <x v="1"/>
    <s v="Amazon"/>
    <x v="1"/>
    <n v="-2.1469999999999998"/>
    <x v="13"/>
    <x v="1"/>
    <s v="February"/>
    <s v="Loss"/>
    <n v="5.1999999999999886"/>
    <n v="73.567000000000036"/>
  </r>
  <r>
    <s v="2024-02-14"/>
    <n v="169.21"/>
    <x v="771"/>
    <n v="168.28"/>
    <n v="170.98"/>
    <n v="42815544"/>
    <x v="1"/>
    <s v="Amazon"/>
    <x v="1"/>
    <n v="1.3879999999999999"/>
    <x v="13"/>
    <x v="1"/>
    <s v="February"/>
    <s v="Profit"/>
    <n v="2.9300000000000068"/>
    <n v="74.955000000000041"/>
  </r>
  <r>
    <s v="2024-02-15"/>
    <n v="170.58"/>
    <x v="772"/>
    <n v="167.59"/>
    <n v="169.8"/>
    <n v="49855196"/>
    <x v="1"/>
    <s v="Amazon"/>
    <x v="1"/>
    <n v="-0.69"/>
    <x v="13"/>
    <x v="1"/>
    <s v="February"/>
    <s v="Loss"/>
    <n v="3.5799999999999841"/>
    <n v="74.265000000000043"/>
  </r>
  <r>
    <s v="2024-02-16"/>
    <n v="168.74"/>
    <x v="773"/>
    <n v="167.17"/>
    <n v="169.51"/>
    <n v="48107744"/>
    <x v="1"/>
    <s v="Amazon"/>
    <x v="1"/>
    <n v="-0.17100000000000001"/>
    <x v="13"/>
    <x v="1"/>
    <s v="February"/>
    <s v="Loss"/>
    <n v="3.25"/>
    <n v="74.094000000000037"/>
  </r>
  <r>
    <s v="2024-02-20"/>
    <n v="167.83"/>
    <x v="774"/>
    <n v="165.74"/>
    <n v="167.08"/>
    <n v="41980326"/>
    <x v="1"/>
    <s v="Amazon"/>
    <x v="1"/>
    <n v="-1.4339999999999999"/>
    <x v="13"/>
    <x v="1"/>
    <s v="February"/>
    <s v="Loss"/>
    <n v="2.9699999999999989"/>
    <n v="72.660000000000039"/>
  </r>
  <r>
    <s v="2024-02-21"/>
    <n v="168.94"/>
    <x v="775"/>
    <n v="167.14"/>
    <n v="168.59"/>
    <n v="44575623"/>
    <x v="1"/>
    <s v="Amazon"/>
    <x v="1"/>
    <n v="0.90400000000000003"/>
    <x v="13"/>
    <x v="1"/>
    <s v="February"/>
    <s v="Profit"/>
    <n v="3.0900000000000034"/>
    <n v="73.564000000000036"/>
  </r>
  <r>
    <s v="2024-02-22"/>
    <n v="173.1"/>
    <x v="776"/>
    <n v="171.77"/>
    <n v="174.58"/>
    <n v="55392354"/>
    <x v="1"/>
    <s v="Amazon"/>
    <x v="1"/>
    <n v="3.5529999999999999"/>
    <x v="13"/>
    <x v="1"/>
    <s v="February"/>
    <s v="Profit"/>
    <n v="3.0300000000000011"/>
    <n v="77.117000000000033"/>
  </r>
  <r>
    <s v="2024-02-23"/>
    <n v="174.28"/>
    <x v="777"/>
    <n v="173.7"/>
    <n v="174.99"/>
    <n v="59715243"/>
    <x v="1"/>
    <s v="Amazon"/>
    <x v="1"/>
    <n v="0.23499999999999999"/>
    <x v="13"/>
    <x v="1"/>
    <s v="February"/>
    <s v="Profit"/>
    <n v="2.0500000000000114"/>
    <n v="77.352000000000032"/>
  </r>
  <r>
    <s v="2024-02-26"/>
    <n v="175.7"/>
    <x v="778"/>
    <n v="174.26"/>
    <n v="174.73"/>
    <n v="44368614"/>
    <x v="1"/>
    <s v="Amazon"/>
    <x v="1"/>
    <n v="-0.14899999999999999"/>
    <x v="13"/>
    <x v="1"/>
    <s v="February"/>
    <s v="Loss"/>
    <n v="2.1100000000000136"/>
    <n v="77.203000000000031"/>
  </r>
  <r>
    <s v="2024-02-27"/>
    <n v="174.07499999999999"/>
    <x v="779"/>
    <n v="172.86"/>
    <n v="173.54"/>
    <n v="31141732"/>
    <x v="1"/>
    <s v="Amazon"/>
    <x v="1"/>
    <n v="-0.68100000000000005"/>
    <x v="13"/>
    <x v="1"/>
    <s v="February"/>
    <s v="Loss"/>
    <n v="1.7599999999999909"/>
    <n v="76.522000000000034"/>
  </r>
  <r>
    <s v="2024-02-28"/>
    <n v="172.44"/>
    <x v="780"/>
    <n v="172.27"/>
    <n v="173.16"/>
    <n v="28180482"/>
    <x v="1"/>
    <s v="Amazon"/>
    <x v="1"/>
    <n v="-0.219"/>
    <x v="13"/>
    <x v="1"/>
    <s v="February"/>
    <s v="Loss"/>
    <n v="1.7800000000000011"/>
    <n v="76.30300000000004"/>
  </r>
  <r>
    <s v="2024-02-29"/>
    <n v="173.01"/>
    <x v="781"/>
    <n v="172.85"/>
    <n v="176.76"/>
    <n v="53805359"/>
    <x v="1"/>
    <s v="Amazon"/>
    <x v="1"/>
    <n v="2.0790000000000002"/>
    <x v="13"/>
    <x v="1"/>
    <s v="February"/>
    <s v="Profit"/>
    <n v="4.3700000000000045"/>
    <n v="78.382000000000033"/>
  </r>
  <r>
    <s v="2024-03-01"/>
    <n v="176.75"/>
    <x v="782"/>
    <n v="176.07"/>
    <n v="178.22"/>
    <n v="31981152"/>
    <x v="1"/>
    <s v="Amazon"/>
    <x v="1"/>
    <n v="0.82599999999999996"/>
    <x v="14"/>
    <x v="1"/>
    <s v="March"/>
    <s v="Profit"/>
    <n v="2.6550000000000011"/>
    <n v="79.208000000000027"/>
  </r>
  <r>
    <s v="2024-03-04"/>
    <n v="177.53"/>
    <x v="783"/>
    <n v="177.49"/>
    <n v="177.58"/>
    <n v="37381520"/>
    <x v="1"/>
    <s v="Amazon"/>
    <x v="1"/>
    <n v="-0.35899999999999999"/>
    <x v="14"/>
    <x v="1"/>
    <s v="March"/>
    <s v="Loss"/>
    <n v="2.6499999999999773"/>
    <n v="78.849000000000032"/>
  </r>
  <r>
    <s v="2024-03-05"/>
    <n v="176.93"/>
    <x v="784"/>
    <n v="173.303"/>
    <n v="174.12"/>
    <n v="37228343"/>
    <x v="1"/>
    <s v="Amazon"/>
    <x v="1"/>
    <n v="-1.948"/>
    <x v="14"/>
    <x v="1"/>
    <s v="March"/>
    <s v="Loss"/>
    <n v="3.6270000000000095"/>
    <n v="76.901000000000039"/>
  </r>
  <r>
    <s v="2024-03-06"/>
    <n v="175.54"/>
    <x v="785"/>
    <n v="173.26"/>
    <n v="173.51"/>
    <n v="32090926"/>
    <x v="1"/>
    <s v="Amazon"/>
    <x v="1"/>
    <n v="-0.35"/>
    <x v="14"/>
    <x v="1"/>
    <s v="March"/>
    <s v="Loss"/>
    <n v="3.2000000000000171"/>
    <n v="76.551000000000045"/>
  </r>
  <r>
    <s v="2024-03-07"/>
    <n v="174.83"/>
    <x v="786"/>
    <n v="173.72"/>
    <n v="176.82"/>
    <n v="34063283"/>
    <x v="1"/>
    <s v="Amazon"/>
    <x v="1"/>
    <n v="1.9079999999999999"/>
    <x v="14"/>
    <x v="1"/>
    <s v="March"/>
    <s v="Profit"/>
    <n v="4.2700000000000102"/>
    <n v="78.459000000000046"/>
  </r>
  <r>
    <s v="2024-03-08"/>
    <n v="176.44"/>
    <x v="787"/>
    <n v="174.33"/>
    <n v="175.35"/>
    <n v="37893242"/>
    <x v="1"/>
    <s v="Amazon"/>
    <x v="1"/>
    <n v="-0.83099999999999996"/>
    <x v="14"/>
    <x v="1"/>
    <s v="March"/>
    <s v="Loss"/>
    <n v="4.4549999999999841"/>
    <n v="77.628000000000043"/>
  </r>
  <r>
    <s v="2024-03-11"/>
    <n v="174.31"/>
    <x v="788"/>
    <n v="171.47"/>
    <n v="171.96"/>
    <n v="28484777"/>
    <x v="1"/>
    <s v="Amazon"/>
    <x v="1"/>
    <n v="-1.9330000000000001"/>
    <x v="14"/>
    <x v="1"/>
    <s v="March"/>
    <s v="Loss"/>
    <n v="3"/>
    <n v="75.695000000000036"/>
  </r>
  <r>
    <s v="2024-03-12"/>
    <n v="173.5"/>
    <x v="789"/>
    <n v="171.98"/>
    <n v="175.39"/>
    <n v="36610604"/>
    <x v="1"/>
    <s v="Amazon"/>
    <x v="1"/>
    <n v="1.9950000000000001"/>
    <x v="14"/>
    <x v="1"/>
    <s v="March"/>
    <s v="Profit"/>
    <n v="4.7800000000000011"/>
    <n v="77.69000000000004"/>
  </r>
  <r>
    <s v="2024-03-13"/>
    <n v="175.9"/>
    <x v="790"/>
    <n v="175.55"/>
    <n v="176.55500000000001"/>
    <n v="30772600"/>
    <x v="1"/>
    <s v="Amazon"/>
    <x v="1"/>
    <n v="0.66400000000000003"/>
    <x v="14"/>
    <x v="1"/>
    <s v="March"/>
    <s v="Profit"/>
    <n v="2.0699999999999932"/>
    <n v="78.354000000000042"/>
  </r>
  <r>
    <s v="2024-03-14"/>
    <n v="177.69"/>
    <x v="791"/>
    <n v="176.465"/>
    <n v="178.75"/>
    <n v="43705840"/>
    <x v="1"/>
    <s v="Amazon"/>
    <x v="1"/>
    <n v="1.2430000000000001"/>
    <x v="14"/>
    <x v="1"/>
    <s v="March"/>
    <s v="Profit"/>
    <n v="3.0649999999999977"/>
    <n v="79.597000000000037"/>
  </r>
  <r>
    <s v="2024-03-15"/>
    <n v="176.64"/>
    <x v="792"/>
    <n v="173.9"/>
    <n v="174.42"/>
    <n v="72147390"/>
    <x v="1"/>
    <s v="Amazon"/>
    <x v="1"/>
    <n v="-2.4220000000000002"/>
    <x v="14"/>
    <x v="1"/>
    <s v="March"/>
    <s v="Loss"/>
    <n v="4.0300000000000011"/>
    <n v="77.17500000000004"/>
  </r>
  <r>
    <s v="2024-03-18"/>
    <n v="175.8"/>
    <x v="793"/>
    <n v="174.28"/>
    <n v="174.48"/>
    <n v="31250688"/>
    <x v="1"/>
    <s v="Amazon"/>
    <x v="1"/>
    <n v="3.4000000000000002E-2"/>
    <x v="14"/>
    <x v="1"/>
    <s v="March"/>
    <s v="Profit"/>
    <n v="2.4099999999999966"/>
    <n v="77.209000000000046"/>
  </r>
  <r>
    <s v="2024-03-19"/>
    <n v="174.215"/>
    <x v="794"/>
    <n v="173.52"/>
    <n v="175.9"/>
    <n v="26880893"/>
    <x v="1"/>
    <s v="Amazon"/>
    <x v="1"/>
    <n v="0.81399999999999995"/>
    <x v="14"/>
    <x v="1"/>
    <s v="March"/>
    <s v="Profit"/>
    <n v="2.5699999999999932"/>
    <n v="78.023000000000039"/>
  </r>
  <r>
    <s v="2024-03-20"/>
    <n v="176.14"/>
    <x v="795"/>
    <n v="174.64"/>
    <n v="178.15"/>
    <n v="29947150"/>
    <x v="1"/>
    <s v="Amazon"/>
    <x v="1"/>
    <n v="1.2789999999999999"/>
    <x v="14"/>
    <x v="1"/>
    <s v="March"/>
    <s v="Profit"/>
    <n v="3.8900000000000148"/>
    <n v="79.302000000000035"/>
  </r>
  <r>
    <s v="2024-03-21"/>
    <n v="179.988"/>
    <x v="796"/>
    <n v="178.15"/>
    <n v="178.15"/>
    <n v="32824320"/>
    <x v="1"/>
    <s v="Amazon"/>
    <x v="1"/>
    <n v="0"/>
    <x v="14"/>
    <x v="1"/>
    <s v="March"/>
    <s v="Neutral"/>
    <n v="3.2649999999999864"/>
    <n v="79.302000000000035"/>
  </r>
  <r>
    <s v="2024-03-22"/>
    <n v="177.75200000000001"/>
    <x v="797"/>
    <n v="176.75"/>
    <n v="178.87"/>
    <n v="27995378"/>
    <x v="1"/>
    <s v="Amazon"/>
    <x v="1"/>
    <n v="0.40400000000000003"/>
    <x v="14"/>
    <x v="1"/>
    <s v="March"/>
    <s v="Profit"/>
    <n v="2.5049999999999955"/>
    <n v="79.706000000000031"/>
  </r>
  <r>
    <s v="2024-03-25"/>
    <n v="178.01"/>
    <x v="798"/>
    <n v="177.24"/>
    <n v="179.71"/>
    <n v="29815464"/>
    <x v="1"/>
    <s v="Amazon"/>
    <x v="1"/>
    <n v="0.47"/>
    <x v="14"/>
    <x v="1"/>
    <s v="March"/>
    <s v="Profit"/>
    <n v="3.75"/>
    <n v="80.17600000000003"/>
  </r>
  <r>
    <s v="2024-03-26"/>
    <n v="180.15"/>
    <x v="799"/>
    <n v="177.95"/>
    <n v="178.3"/>
    <n v="29658982"/>
    <x v="1"/>
    <s v="Amazon"/>
    <x v="1"/>
    <n v="-0.78500000000000003"/>
    <x v="14"/>
    <x v="1"/>
    <s v="March"/>
    <s v="Loss"/>
    <n v="2.5"/>
    <n v="79.391000000000034"/>
  </r>
  <r>
    <s v="2024-03-27"/>
    <n v="179.88"/>
    <x v="800"/>
    <n v="177.31"/>
    <n v="179.83"/>
    <n v="33272551"/>
    <x v="1"/>
    <s v="Amazon"/>
    <x v="1"/>
    <n v="0.85799999999999998"/>
    <x v="14"/>
    <x v="1"/>
    <s v="March"/>
    <s v="Profit"/>
    <n v="2.6899999999999977"/>
    <n v="80.249000000000038"/>
  </r>
  <r>
    <s v="2024-03-28"/>
    <n v="180.17"/>
    <x v="801"/>
    <n v="179.26"/>
    <n v="180.38"/>
    <n v="38051588"/>
    <x v="1"/>
    <s v="Amazon"/>
    <x v="1"/>
    <n v="0.30599999999999999"/>
    <x v="14"/>
    <x v="1"/>
    <s v="March"/>
    <s v="Profit"/>
    <n v="2.4399999999999977"/>
    <n v="80.555000000000035"/>
  </r>
  <r>
    <s v="2024-04-01"/>
    <n v="180.79"/>
    <x v="802"/>
    <n v="179.95"/>
    <n v="180.97"/>
    <n v="29174521"/>
    <x v="1"/>
    <s v="Amazon"/>
    <x v="1"/>
    <n v="0.32700000000000001"/>
    <x v="15"/>
    <x v="1"/>
    <s v="April"/>
    <s v="Profit"/>
    <n v="3.0500000000000114"/>
    <n v="80.882000000000033"/>
  </r>
  <r>
    <s v="2024-04-02"/>
    <n v="179.07"/>
    <x v="803"/>
    <n v="178.376"/>
    <n v="180.69"/>
    <n v="32611546"/>
    <x v="1"/>
    <s v="Amazon"/>
    <x v="1"/>
    <n v="-0.155"/>
    <x v="15"/>
    <x v="1"/>
    <s v="April"/>
    <s v="Loss"/>
    <n v="2.4139999999999873"/>
    <n v="80.727000000000032"/>
  </r>
  <r>
    <s v="2024-04-03"/>
    <n v="179.9"/>
    <x v="804"/>
    <n v="179.8"/>
    <n v="182.41"/>
    <n v="31046638"/>
    <x v="1"/>
    <s v="Amazon"/>
    <x v="1"/>
    <n v="0.95199999999999996"/>
    <x v="15"/>
    <x v="1"/>
    <s v="April"/>
    <s v="Profit"/>
    <n v="3.0699999999999932"/>
    <n v="81.67900000000003"/>
  </r>
  <r>
    <s v="2024-04-04"/>
    <n v="184"/>
    <x v="805"/>
    <n v="180"/>
    <n v="180"/>
    <n v="41624261"/>
    <x v="1"/>
    <s v="Amazon"/>
    <x v="1"/>
    <n v="-1.321"/>
    <x v="15"/>
    <x v="1"/>
    <s v="April"/>
    <s v="Loss"/>
    <n v="5.0999999999999943"/>
    <n v="80.358000000000033"/>
  </r>
  <r>
    <s v="2024-04-05"/>
    <n v="182.38"/>
    <x v="806"/>
    <n v="181.97"/>
    <n v="185.07"/>
    <n v="42373992"/>
    <x v="1"/>
    <s v="Amazon"/>
    <x v="1"/>
    <n v="2.8170000000000002"/>
    <x v="15"/>
    <x v="1"/>
    <s v="April"/>
    <s v="Profit"/>
    <n v="4.3000000000000114"/>
    <n v="83.17500000000004"/>
  </r>
  <r>
    <s v="2024-04-08"/>
    <n v="186.9"/>
    <x v="807"/>
    <n v="184.81"/>
    <n v="185.32"/>
    <n v="39154806"/>
    <x v="1"/>
    <s v="Amazon"/>
    <x v="1"/>
    <n v="0.13500000000000001"/>
    <x v="15"/>
    <x v="1"/>
    <s v="April"/>
    <s v="Profit"/>
    <n v="2.4799999999999898"/>
    <n v="83.310000000000045"/>
  </r>
  <r>
    <s v="2024-04-09"/>
    <n v="187.24"/>
    <x v="808"/>
    <n v="184.2"/>
    <n v="185.67"/>
    <n v="36546946"/>
    <x v="1"/>
    <s v="Amazon"/>
    <x v="1"/>
    <n v="0.189"/>
    <x v="15"/>
    <x v="1"/>
    <s v="April"/>
    <s v="Profit"/>
    <n v="3.1400000000000148"/>
    <n v="83.499000000000038"/>
  </r>
  <r>
    <s v="2024-04-10"/>
    <n v="182.76499999999999"/>
    <x v="806"/>
    <n v="182.67"/>
    <n v="185.95"/>
    <n v="35879151"/>
    <x v="1"/>
    <s v="Amazon"/>
    <x v="1"/>
    <n v="0.151"/>
    <x v="15"/>
    <x v="1"/>
    <s v="April"/>
    <s v="Profit"/>
    <n v="3.6000000000000227"/>
    <n v="83.650000000000034"/>
  </r>
  <r>
    <s v="2024-04-11"/>
    <n v="186.74"/>
    <x v="809"/>
    <n v="185.51"/>
    <n v="189.05"/>
    <n v="40020742"/>
    <x v="1"/>
    <s v="Amazon"/>
    <x v="1"/>
    <n v="1.667"/>
    <x v="15"/>
    <x v="1"/>
    <s v="April"/>
    <s v="Profit"/>
    <n v="4.2600000000000193"/>
    <n v="85.317000000000036"/>
  </r>
  <r>
    <s v="2024-04-12"/>
    <n v="187.72"/>
    <x v="810"/>
    <n v="185.08"/>
    <n v="186.13"/>
    <n v="38608849"/>
    <x v="1"/>
    <s v="Amazon"/>
    <x v="1"/>
    <n v="-1.5449999999999999"/>
    <x v="15"/>
    <x v="1"/>
    <s v="April"/>
    <s v="Loss"/>
    <n v="3.2999999999999829"/>
    <n v="83.772000000000034"/>
  </r>
  <r>
    <s v="2024-04-15"/>
    <n v="187.42500000000001"/>
    <x v="811"/>
    <n v="183"/>
    <n v="183.62"/>
    <n v="48052395"/>
    <x v="1"/>
    <s v="Amazon"/>
    <x v="1"/>
    <n v="-1.349"/>
    <x v="15"/>
    <x v="1"/>
    <s v="April"/>
    <s v="Loss"/>
    <n v="5.6899999999999977"/>
    <n v="82.42300000000003"/>
  </r>
  <r>
    <s v="2024-04-16"/>
    <n v="183.27"/>
    <x v="812"/>
    <n v="182.26"/>
    <n v="183.32"/>
    <n v="32891265"/>
    <x v="1"/>
    <s v="Amazon"/>
    <x v="1"/>
    <n v="-0.16300000000000001"/>
    <x v="15"/>
    <x v="1"/>
    <s v="April"/>
    <s v="Loss"/>
    <n v="2.5700000000000216"/>
    <n v="82.260000000000034"/>
  </r>
  <r>
    <s v="2024-04-17"/>
    <n v="184.31"/>
    <x v="813"/>
    <n v="179.82"/>
    <n v="181.28"/>
    <n v="31359673"/>
    <x v="1"/>
    <s v="Amazon"/>
    <x v="1"/>
    <n v="-1.113"/>
    <x v="15"/>
    <x v="1"/>
    <s v="April"/>
    <s v="Loss"/>
    <n v="4.75"/>
    <n v="81.147000000000034"/>
  </r>
  <r>
    <s v="2024-04-18"/>
    <n v="181.47"/>
    <x v="814"/>
    <n v="178.65"/>
    <n v="179.22"/>
    <n v="30723793"/>
    <x v="1"/>
    <s v="Amazon"/>
    <x v="1"/>
    <n v="-1.1359999999999999"/>
    <x v="15"/>
    <x v="1"/>
    <s v="April"/>
    <s v="Loss"/>
    <n v="3.7399999999999807"/>
    <n v="80.011000000000038"/>
  </r>
  <r>
    <s v="2024-04-19"/>
    <n v="178.74"/>
    <x v="815"/>
    <n v="173.44"/>
    <n v="174.62"/>
    <n v="55944410"/>
    <x v="1"/>
    <s v="Amazon"/>
    <x v="1"/>
    <n v="-2.5670000000000002"/>
    <x v="15"/>
    <x v="1"/>
    <s v="April"/>
    <s v="Loss"/>
    <n v="5.5600000000000023"/>
    <n v="77.444000000000045"/>
  </r>
  <r>
    <s v="2024-04-22"/>
    <n v="176.94"/>
    <x v="816"/>
    <n v="174.56"/>
    <n v="177.23"/>
    <n v="37924890"/>
    <x v="1"/>
    <s v="Amazon"/>
    <x v="1"/>
    <n v="1.4950000000000001"/>
    <x v="15"/>
    <x v="1"/>
    <s v="April"/>
    <s v="Profit"/>
    <n v="4.3100000000000023"/>
    <n v="78.93900000000005"/>
  </r>
  <r>
    <s v="2024-04-23"/>
    <n v="178.08"/>
    <x v="817"/>
    <n v="175.97499999999999"/>
    <n v="179.54"/>
    <n v="37046519"/>
    <x v="1"/>
    <s v="Amazon"/>
    <x v="1"/>
    <n v="1.3029999999999999"/>
    <x v="15"/>
    <x v="1"/>
    <s v="April"/>
    <s v="Profit"/>
    <n v="3.9550000000000125"/>
    <n v="80.242000000000047"/>
  </r>
  <r>
    <s v="2024-04-24"/>
    <n v="179.94"/>
    <x v="818"/>
    <n v="176.18"/>
    <n v="176.59"/>
    <n v="34185109"/>
    <x v="1"/>
    <s v="Amazon"/>
    <x v="1"/>
    <n v="-1.643"/>
    <x v="15"/>
    <x v="1"/>
    <s v="April"/>
    <s v="Loss"/>
    <n v="4.1430000000000007"/>
    <n v="78.599000000000046"/>
  </r>
  <r>
    <s v="2024-04-25"/>
    <n v="169.68"/>
    <x v="819"/>
    <n v="166.32"/>
    <n v="173.67"/>
    <n v="49249390"/>
    <x v="1"/>
    <s v="Amazon"/>
    <x v="1"/>
    <n v="-1.6539999999999999"/>
    <x v="15"/>
    <x v="1"/>
    <s v="April"/>
    <s v="Loss"/>
    <n v="7.5999999999999943"/>
    <n v="76.94500000000005"/>
  </r>
  <r>
    <s v="2024-04-26"/>
    <n v="177.79499999999999"/>
    <x v="820"/>
    <n v="176.13"/>
    <n v="179.62"/>
    <n v="43919765"/>
    <x v="1"/>
    <s v="Amazon"/>
    <x v="1"/>
    <n v="3.4260000000000002"/>
    <x v="15"/>
    <x v="1"/>
    <s v="April"/>
    <s v="Profit"/>
    <n v="4.6899999999999977"/>
    <n v="80.371000000000052"/>
  </r>
  <r>
    <s v="2024-04-29"/>
    <n v="182.75"/>
    <x v="821"/>
    <n v="179.39"/>
    <n v="180.96"/>
    <n v="54063937"/>
    <x v="1"/>
    <s v="Amazon"/>
    <x v="1"/>
    <n v="0.746"/>
    <x v="15"/>
    <x v="1"/>
    <s v="April"/>
    <s v="Profit"/>
    <n v="4.1400000000000148"/>
    <n v="81.117000000000047"/>
  </r>
  <r>
    <s v="2024-04-30"/>
    <n v="181.09"/>
    <x v="822"/>
    <n v="174.8"/>
    <n v="175"/>
    <n v="94639786"/>
    <x v="1"/>
    <s v="Amazon"/>
    <x v="1"/>
    <n v="-3.294"/>
    <x v="15"/>
    <x v="1"/>
    <s v="April"/>
    <s v="Loss"/>
    <n v="8.1899999999999977"/>
    <n v="77.82300000000005"/>
  </r>
  <r>
    <s v="2024-05-01"/>
    <n v="181.63499999999999"/>
    <x v="823"/>
    <n v="176.56"/>
    <n v="179"/>
    <n v="94645148"/>
    <x v="1"/>
    <s v="Amazon"/>
    <x v="1"/>
    <n v="2.286"/>
    <x v="16"/>
    <x v="1"/>
    <s v="May"/>
    <s v="Profit"/>
    <n v="8.5900000000000034"/>
    <n v="80.109000000000052"/>
  </r>
  <r>
    <s v="2024-05-02"/>
    <n v="180.85"/>
    <x v="805"/>
    <n v="179.91"/>
    <n v="184.72"/>
    <n v="54303510"/>
    <x v="1"/>
    <s v="Amazon"/>
    <x v="1"/>
    <n v="3.1960000000000002"/>
    <x v="16"/>
    <x v="1"/>
    <s v="May"/>
    <s v="Profit"/>
    <n v="5.1899999999999977"/>
    <n v="83.305000000000049"/>
  </r>
  <r>
    <s v="2024-05-03"/>
    <n v="186.99"/>
    <x v="824"/>
    <n v="185.42"/>
    <n v="186.21"/>
    <n v="39172004"/>
    <x v="1"/>
    <s v="Amazon"/>
    <x v="1"/>
    <n v="0.80700000000000005"/>
    <x v="16"/>
    <x v="1"/>
    <s v="May"/>
    <s v="Profit"/>
    <n v="2.4500000000000171"/>
    <n v="84.112000000000052"/>
  </r>
  <r>
    <s v="2024-05-06"/>
    <n v="186.28"/>
    <x v="825"/>
    <n v="184.8"/>
    <n v="188.7"/>
    <n v="34725295"/>
    <x v="1"/>
    <s v="Amazon"/>
    <x v="1"/>
    <n v="1.337"/>
    <x v="16"/>
    <x v="1"/>
    <s v="May"/>
    <s v="Profit"/>
    <n v="3.9449999999999932"/>
    <n v="85.449000000000055"/>
  </r>
  <r>
    <s v="2024-05-07"/>
    <n v="188.92"/>
    <x v="826"/>
    <n v="187.30500000000001"/>
    <n v="188.76"/>
    <n v="34048902"/>
    <x v="1"/>
    <s v="Amazon"/>
    <x v="1"/>
    <n v="3.2000000000000001E-2"/>
    <x v="16"/>
    <x v="1"/>
    <s v="May"/>
    <s v="Profit"/>
    <n v="2.6349999999999909"/>
    <n v="85.481000000000051"/>
  </r>
  <r>
    <s v="2024-05-08"/>
    <n v="187.44"/>
    <x v="827"/>
    <n v="186.38499999999999"/>
    <n v="188"/>
    <n v="26136350"/>
    <x v="1"/>
    <s v="Amazon"/>
    <x v="1"/>
    <n v="-0.40300000000000002"/>
    <x v="16"/>
    <x v="1"/>
    <s v="May"/>
    <s v="Loss"/>
    <n v="2.0450000000000159"/>
    <n v="85.078000000000046"/>
  </r>
  <r>
    <s v="2024-05-09"/>
    <n v="188.88"/>
    <x v="828"/>
    <n v="187.44"/>
    <n v="189.5"/>
    <n v="43368377"/>
    <x v="1"/>
    <s v="Amazon"/>
    <x v="1"/>
    <n v="0.79800000000000004"/>
    <x v="16"/>
    <x v="1"/>
    <s v="May"/>
    <s v="Profit"/>
    <n v="4.2599999999999909"/>
    <n v="85.876000000000047"/>
  </r>
  <r>
    <s v="2024-05-10"/>
    <n v="189.16"/>
    <x v="829"/>
    <n v="186.93"/>
    <n v="187.48"/>
    <n v="34141771"/>
    <x v="1"/>
    <s v="Amazon"/>
    <x v="1"/>
    <n v="-1.0660000000000001"/>
    <x v="16"/>
    <x v="1"/>
    <s v="May"/>
    <s v="Loss"/>
    <n v="2.9619999999999891"/>
    <n v="84.810000000000045"/>
  </r>
  <r>
    <s v="2024-05-13"/>
    <n v="188"/>
    <x v="830"/>
    <n v="185.36"/>
    <n v="186.57"/>
    <n v="24898613"/>
    <x v="1"/>
    <s v="Amazon"/>
    <x v="1"/>
    <n v="-0.48499999999999999"/>
    <x v="16"/>
    <x v="1"/>
    <s v="May"/>
    <s v="Loss"/>
    <n v="2.9499999999999886"/>
    <n v="84.325000000000045"/>
  </r>
  <r>
    <s v="2024-05-14"/>
    <n v="183.82"/>
    <x v="831"/>
    <n v="183.45"/>
    <n v="187.07"/>
    <n v="38698155"/>
    <x v="1"/>
    <s v="Amazon"/>
    <x v="1"/>
    <n v="0.26800000000000002"/>
    <x v="16"/>
    <x v="1"/>
    <s v="May"/>
    <s v="Profit"/>
    <n v="4.2700000000000102"/>
    <n v="84.593000000000046"/>
  </r>
  <r>
    <s v="2024-05-15"/>
    <n v="185.97"/>
    <x v="832"/>
    <n v="182.73"/>
    <n v="185.99"/>
    <n v="75459927"/>
    <x v="1"/>
    <s v="Amazon"/>
    <x v="1"/>
    <n v="-0.57699999999999996"/>
    <x v="16"/>
    <x v="1"/>
    <s v="May"/>
    <s v="Loss"/>
    <n v="3.9890000000000043"/>
    <n v="84.016000000000048"/>
  </r>
  <r>
    <s v="2024-05-16"/>
    <n v="185.6"/>
    <x v="833"/>
    <n v="183.46"/>
    <n v="183.63"/>
    <n v="38834450"/>
    <x v="1"/>
    <s v="Amazon"/>
    <x v="1"/>
    <n v="-1.2689999999999999"/>
    <x v="16"/>
    <x v="1"/>
    <s v="May"/>
    <s v="Loss"/>
    <n v="3.8499999999999943"/>
    <n v="82.747000000000043"/>
  </r>
  <r>
    <s v="2024-05-17"/>
    <n v="183.76"/>
    <x v="834"/>
    <n v="183.35"/>
    <n v="184.7"/>
    <n v="33175655"/>
    <x v="1"/>
    <s v="Amazon"/>
    <x v="1"/>
    <n v="0.58299999999999996"/>
    <x v="16"/>
    <x v="1"/>
    <s v="May"/>
    <s v="Profit"/>
    <n v="1.9500000000000171"/>
    <n v="83.330000000000041"/>
  </r>
  <r>
    <s v="2024-05-20"/>
    <n v="184.34"/>
    <x v="835"/>
    <n v="183.28"/>
    <n v="183.54"/>
    <n v="30511768"/>
    <x v="1"/>
    <s v="Amazon"/>
    <x v="1"/>
    <n v="-0.628"/>
    <x v="16"/>
    <x v="1"/>
    <s v="May"/>
    <s v="Loss"/>
    <n v="3.3849999999999909"/>
    <n v="82.702000000000041"/>
  </r>
  <r>
    <s v="2024-05-21"/>
    <n v="182.3"/>
    <x v="836"/>
    <n v="180.75"/>
    <n v="183.15"/>
    <n v="50839129"/>
    <x v="1"/>
    <s v="Amazon"/>
    <x v="1"/>
    <n v="-0.21199999999999999"/>
    <x v="16"/>
    <x v="1"/>
    <s v="May"/>
    <s v="Loss"/>
    <n v="2.5099999999999909"/>
    <n v="82.490000000000038"/>
  </r>
  <r>
    <s v="2024-05-22"/>
    <n v="183.88"/>
    <x v="837"/>
    <n v="181.971"/>
    <n v="183.13"/>
    <n v="28148784"/>
    <x v="1"/>
    <s v="Amazon"/>
    <x v="1"/>
    <n v="-1.0999999999999999E-2"/>
    <x v="16"/>
    <x v="1"/>
    <s v="May"/>
    <s v="Loss"/>
    <n v="3.2489999999999952"/>
    <n v="82.479000000000042"/>
  </r>
  <r>
    <s v="2024-05-23"/>
    <n v="183.66"/>
    <x v="838"/>
    <n v="180.08"/>
    <n v="181.05"/>
    <n v="33670173"/>
    <x v="1"/>
    <s v="Amazon"/>
    <x v="1"/>
    <n v="-1.1359999999999999"/>
    <x v="16"/>
    <x v="1"/>
    <s v="May"/>
    <s v="Loss"/>
    <n v="4.6799999999999784"/>
    <n v="81.343000000000046"/>
  </r>
  <r>
    <s v="2024-05-24"/>
    <n v="181.65"/>
    <x v="839"/>
    <n v="180.3"/>
    <n v="180.75"/>
    <n v="27471640"/>
    <x v="1"/>
    <s v="Amazon"/>
    <x v="1"/>
    <n v="-0.16600000000000001"/>
    <x v="16"/>
    <x v="1"/>
    <s v="May"/>
    <s v="Loss"/>
    <n v="2.1349999999999909"/>
    <n v="81.177000000000049"/>
  </r>
  <r>
    <s v="2024-05-28"/>
    <n v="179.93"/>
    <x v="840"/>
    <n v="179.49"/>
    <n v="182.15"/>
    <n v="29926963"/>
    <x v="1"/>
    <s v="Amazon"/>
    <x v="1"/>
    <n v="0.77500000000000002"/>
    <x v="16"/>
    <x v="1"/>
    <s v="May"/>
    <s v="Profit"/>
    <n v="2.75"/>
    <n v="81.952000000000055"/>
  </r>
  <r>
    <s v="2024-05-29"/>
    <n v="181.7"/>
    <x v="841"/>
    <n v="181.55"/>
    <n v="182.02"/>
    <n v="32009294"/>
    <x v="1"/>
    <s v="Amazon"/>
    <x v="1"/>
    <n v="-7.0999999999999994E-2"/>
    <x v="16"/>
    <x v="1"/>
    <s v="May"/>
    <s v="Loss"/>
    <n v="2.5300000000000011"/>
    <n v="81.881000000000057"/>
  </r>
  <r>
    <s v="2024-05-30"/>
    <n v="181.31"/>
    <x v="842"/>
    <n v="178.35499999999999"/>
    <n v="179.32"/>
    <n v="29249229"/>
    <x v="1"/>
    <s v="Amazon"/>
    <x v="1"/>
    <n v="-1.4830000000000001"/>
    <x v="16"/>
    <x v="1"/>
    <s v="May"/>
    <s v="Loss"/>
    <n v="2.9850000000000136"/>
    <n v="80.398000000000053"/>
  </r>
  <r>
    <s v="2024-05-31"/>
    <n v="178.3"/>
    <x v="843"/>
    <n v="173.87"/>
    <n v="176.44"/>
    <n v="58903939"/>
    <x v="1"/>
    <s v="Amazon"/>
    <x v="1"/>
    <n v="-1.6060000000000001"/>
    <x v="16"/>
    <x v="1"/>
    <s v="May"/>
    <s v="Loss"/>
    <n v="5.3400000000000034"/>
    <n v="78.792000000000058"/>
  </r>
  <r>
    <s v="2024-06-03"/>
    <n v="177.7"/>
    <x v="844"/>
    <n v="175.92"/>
    <n v="178.34"/>
    <n v="30786640"/>
    <x v="1"/>
    <s v="Amazon"/>
    <x v="1"/>
    <n v="1.077"/>
    <x v="17"/>
    <x v="1"/>
    <s v="June"/>
    <s v="Profit"/>
    <n v="2.7800000000000011"/>
    <n v="79.869000000000057"/>
  </r>
  <r>
    <s v="2024-06-04"/>
    <n v="177.64"/>
    <x v="845"/>
    <n v="176.44"/>
    <n v="179.34"/>
    <n v="27198388"/>
    <x v="1"/>
    <s v="Amazon"/>
    <x v="1"/>
    <n v="0.56100000000000005"/>
    <x v="17"/>
    <x v="1"/>
    <s v="June"/>
    <s v="Profit"/>
    <n v="3.3799999999999955"/>
    <n v="80.430000000000064"/>
  </r>
  <r>
    <s v="2024-06-05"/>
    <n v="180.1"/>
    <x v="846"/>
    <n v="178.75"/>
    <n v="181.28"/>
    <n v="32116394"/>
    <x v="1"/>
    <s v="Amazon"/>
    <x v="1"/>
    <n v="1.0820000000000001"/>
    <x v="17"/>
    <x v="1"/>
    <s v="June"/>
    <s v="Profit"/>
    <n v="2.75"/>
    <n v="81.512000000000057"/>
  </r>
  <r>
    <s v="2024-06-06"/>
    <n v="181.745"/>
    <x v="847"/>
    <n v="181.49"/>
    <n v="185"/>
    <n v="31371151"/>
    <x v="1"/>
    <s v="Amazon"/>
    <x v="1"/>
    <n v="2.052"/>
    <x v="17"/>
    <x v="1"/>
    <s v="June"/>
    <s v="Profit"/>
    <n v="3.5099999999999909"/>
    <n v="83.564000000000064"/>
  </r>
  <r>
    <s v="2024-06-07"/>
    <n v="184.9"/>
    <x v="848"/>
    <n v="183.36"/>
    <n v="184.3"/>
    <n v="28021473"/>
    <x v="1"/>
    <s v="Amazon"/>
    <x v="1"/>
    <n v="-0.378"/>
    <x v="17"/>
    <x v="1"/>
    <s v="June"/>
    <s v="Loss"/>
    <n v="2.9289999999999736"/>
    <n v="83.186000000000064"/>
  </r>
  <r>
    <s v="2024-06-10"/>
    <n v="184.07"/>
    <x v="849"/>
    <n v="183.79"/>
    <n v="187.06"/>
    <n v="34494498"/>
    <x v="1"/>
    <s v="Amazon"/>
    <x v="1"/>
    <n v="1.498"/>
    <x v="17"/>
    <x v="1"/>
    <s v="June"/>
    <s v="Profit"/>
    <n v="3.4399999999999977"/>
    <n v="84.684000000000069"/>
  </r>
  <r>
    <s v="2024-06-11"/>
    <n v="187.06"/>
    <x v="850"/>
    <n v="184.53700000000001"/>
    <n v="187.23"/>
    <n v="27265108"/>
    <x v="1"/>
    <s v="Amazon"/>
    <x v="1"/>
    <n v="9.0999999999999998E-2"/>
    <x v="17"/>
    <x v="1"/>
    <s v="June"/>
    <s v="Profit"/>
    <n v="3.2330000000000041"/>
    <n v="84.775000000000063"/>
  </r>
  <r>
    <s v="2024-06-12"/>
    <n v="188.01499999999999"/>
    <x v="851"/>
    <n v="185.43"/>
    <n v="186.89"/>
    <n v="33984216"/>
    <x v="1"/>
    <s v="Amazon"/>
    <x v="1"/>
    <n v="-0.182"/>
    <x v="17"/>
    <x v="1"/>
    <s v="June"/>
    <s v="Loss"/>
    <n v="2.9199999999999875"/>
    <n v="84.59300000000006"/>
  </r>
  <r>
    <s v="2024-06-13"/>
    <n v="186.09"/>
    <x v="852"/>
    <n v="182.666"/>
    <n v="183.83"/>
    <n v="39721545"/>
    <x v="1"/>
    <s v="Amazon"/>
    <x v="1"/>
    <n v="-1.637"/>
    <x v="17"/>
    <x v="1"/>
    <s v="June"/>
    <s v="Loss"/>
    <n v="5.0039999999999907"/>
    <n v="82.95600000000006"/>
  </r>
  <r>
    <s v="2024-06-14"/>
    <n v="183.08"/>
    <x v="853"/>
    <n v="182.23"/>
    <n v="183.66"/>
    <n v="25456410"/>
    <x v="1"/>
    <s v="Amazon"/>
    <x v="1"/>
    <n v="-9.1999999999999998E-2"/>
    <x v="17"/>
    <x v="1"/>
    <s v="June"/>
    <s v="Loss"/>
    <n v="1.4900000000000091"/>
    <n v="82.864000000000061"/>
  </r>
  <r>
    <s v="2024-06-17"/>
    <n v="182.52"/>
    <x v="847"/>
    <n v="181.22"/>
    <n v="184.06"/>
    <n v="35601907"/>
    <x v="1"/>
    <s v="Amazon"/>
    <x v="1"/>
    <n v="0.218"/>
    <x v="17"/>
    <x v="1"/>
    <s v="June"/>
    <s v="Profit"/>
    <n v="3.7800000000000011"/>
    <n v="83.082000000000065"/>
  </r>
  <r>
    <s v="2024-06-18"/>
    <n v="183.73500000000001"/>
    <x v="854"/>
    <n v="181.43"/>
    <n v="182.81"/>
    <n v="36659157"/>
    <x v="1"/>
    <s v="Amazon"/>
    <x v="1"/>
    <n v="-0.67900000000000005"/>
    <x v="17"/>
    <x v="1"/>
    <s v="June"/>
    <s v="Loss"/>
    <n v="2.8599999999999852"/>
    <n v="82.403000000000063"/>
  </r>
  <r>
    <s v="2024-06-20"/>
    <n v="182.91"/>
    <x v="855"/>
    <n v="182.72"/>
    <n v="186.1"/>
    <n v="44726779"/>
    <x v="1"/>
    <s v="Amazon"/>
    <x v="1"/>
    <n v="1.8"/>
    <x v="17"/>
    <x v="1"/>
    <s v="June"/>
    <s v="Profit"/>
    <n v="3.789999999999992"/>
    <n v="84.20300000000006"/>
  </r>
  <r>
    <s v="2024-06-21"/>
    <n v="187.8"/>
    <x v="856"/>
    <n v="185.86"/>
    <n v="189.08"/>
    <n v="72931754"/>
    <x v="1"/>
    <s v="Amazon"/>
    <x v="1"/>
    <n v="1.601"/>
    <x v="17"/>
    <x v="1"/>
    <s v="June"/>
    <s v="Profit"/>
    <n v="3.414999999999992"/>
    <n v="85.804000000000059"/>
  </r>
  <r>
    <s v="2024-06-24"/>
    <n v="189.33"/>
    <x v="857"/>
    <n v="185.33"/>
    <n v="185.57"/>
    <n v="50610379"/>
    <x v="1"/>
    <s v="Amazon"/>
    <x v="1"/>
    <n v="-1.8560000000000001"/>
    <x v="17"/>
    <x v="1"/>
    <s v="June"/>
    <s v="Loss"/>
    <n v="5.6699999999999875"/>
    <n v="83.948000000000064"/>
  </r>
  <r>
    <s v="2024-06-25"/>
    <n v="186.81"/>
    <x v="858"/>
    <n v="185.42"/>
    <n v="186.34"/>
    <n v="45898475"/>
    <x v="1"/>
    <s v="Amazon"/>
    <x v="1"/>
    <n v="0.41499999999999998"/>
    <x v="17"/>
    <x v="1"/>
    <s v="June"/>
    <s v="Profit"/>
    <n v="3.4200000000000159"/>
    <n v="84.363000000000071"/>
  </r>
  <r>
    <s v="2024-06-26"/>
    <n v="186.92"/>
    <x v="859"/>
    <n v="186.26"/>
    <n v="193.61"/>
    <n v="65103893"/>
    <x v="1"/>
    <s v="Amazon"/>
    <x v="1"/>
    <n v="3.9009999999999998"/>
    <x v="17"/>
    <x v="1"/>
    <s v="June"/>
    <s v="Profit"/>
    <n v="8.5400000000000205"/>
    <n v="88.264000000000067"/>
  </r>
  <r>
    <s v="2024-06-27"/>
    <n v="195.005"/>
    <x v="860"/>
    <n v="194.2"/>
    <n v="197.85"/>
    <n v="74397491"/>
    <x v="1"/>
    <s v="Amazon"/>
    <x v="1"/>
    <n v="2.19"/>
    <x v="17"/>
    <x v="1"/>
    <s v="June"/>
    <s v="Profit"/>
    <n v="5.6400000000000148"/>
    <n v="90.454000000000065"/>
  </r>
  <r>
    <s v="2024-06-28"/>
    <n v="197.73"/>
    <x v="861"/>
    <n v="192.5"/>
    <n v="193.25"/>
    <n v="76930192"/>
    <x v="1"/>
    <s v="Amazon"/>
    <x v="1"/>
    <n v="-2.3250000000000002"/>
    <x v="17"/>
    <x v="1"/>
    <s v="June"/>
    <s v="Loss"/>
    <n v="6.3499999999999943"/>
    <n v="88.129000000000062"/>
  </r>
  <r>
    <s v="2024-07-01"/>
    <n v="193.49"/>
    <x v="862"/>
    <n v="192.82"/>
    <n v="197.2"/>
    <n v="41192011"/>
    <x v="1"/>
    <s v="Amazon"/>
    <x v="1"/>
    <n v="2.044"/>
    <x v="18"/>
    <x v="1"/>
    <s v="July"/>
    <s v="Profit"/>
    <n v="5.4759999999999991"/>
    <n v="90.173000000000059"/>
  </r>
  <r>
    <s v="2024-07-02"/>
    <n v="197.28"/>
    <x v="863"/>
    <n v="195.93"/>
    <n v="200"/>
    <n v="45600013"/>
    <x v="1"/>
    <s v="Amazon"/>
    <x v="1"/>
    <n v="1.42"/>
    <x v="18"/>
    <x v="1"/>
    <s v="July"/>
    <s v="Profit"/>
    <n v="4.5"/>
    <n v="91.59300000000006"/>
  </r>
  <r>
    <s v="2024-07-03"/>
    <n v="199.94"/>
    <x v="864"/>
    <n v="196.76"/>
    <n v="197.59"/>
    <n v="31597926"/>
    <x v="1"/>
    <s v="Amazon"/>
    <x v="1"/>
    <n v="-1.2050000000000001"/>
    <x v="18"/>
    <x v="1"/>
    <s v="July"/>
    <s v="Loss"/>
    <n v="3.2690000000000055"/>
    <n v="90.388000000000062"/>
  </r>
  <r>
    <s v="2024-07-05"/>
    <n v="198.65"/>
    <x v="865"/>
    <n v="198.17"/>
    <n v="200"/>
    <n v="39858885"/>
    <x v="1"/>
    <s v="Amazon"/>
    <x v="1"/>
    <n v="1.22"/>
    <x v="18"/>
    <x v="1"/>
    <s v="July"/>
    <s v="Profit"/>
    <n v="2.3800000000000239"/>
    <n v="91.608000000000061"/>
  </r>
  <r>
    <s v="2024-07-08"/>
    <n v="200.04"/>
    <x v="866"/>
    <n v="197.96"/>
    <n v="199.29"/>
    <n v="34767261"/>
    <x v="1"/>
    <s v="Amazon"/>
    <x v="1"/>
    <n v="-0.35499999999999998"/>
    <x v="18"/>
    <x v="1"/>
    <s v="July"/>
    <s v="Loss"/>
    <n v="3.2399999999999807"/>
    <n v="91.253000000000057"/>
  </r>
  <r>
    <s v="2024-07-09"/>
    <n v="199.4"/>
    <x v="867"/>
    <n v="199.04499999999999"/>
    <n v="199.34"/>
    <n v="32756736"/>
    <x v="1"/>
    <s v="Amazon"/>
    <x v="1"/>
    <n v="2.5000000000000001E-2"/>
    <x v="18"/>
    <x v="1"/>
    <s v="July"/>
    <s v="Profit"/>
    <n v="1.5250000000000057"/>
    <n v="91.278000000000063"/>
  </r>
  <r>
    <s v="2024-07-10"/>
    <n v="199.995"/>
    <x v="868"/>
    <n v="197.69"/>
    <n v="199.79"/>
    <n v="32883753"/>
    <x v="1"/>
    <s v="Amazon"/>
    <x v="1"/>
    <n v="0.22600000000000001"/>
    <x v="18"/>
    <x v="1"/>
    <s v="July"/>
    <s v="Profit"/>
    <n v="2.4200000000000159"/>
    <n v="91.504000000000062"/>
  </r>
  <r>
    <s v="2024-07-11"/>
    <n v="200.09"/>
    <x v="869"/>
    <n v="192.86"/>
    <n v="195.05"/>
    <n v="44565041"/>
    <x v="1"/>
    <s v="Amazon"/>
    <x v="1"/>
    <n v="-2.3719999999999999"/>
    <x v="18"/>
    <x v="1"/>
    <s v="July"/>
    <s v="Loss"/>
    <n v="7.4099999999999966"/>
    <n v="89.132000000000062"/>
  </r>
  <r>
    <s v="2024-07-12"/>
    <n v="194.8"/>
    <x v="870"/>
    <n v="193.83"/>
    <n v="194.49"/>
    <n v="30598525"/>
    <x v="1"/>
    <s v="Amazon"/>
    <x v="1"/>
    <n v="-0.28699999999999998"/>
    <x v="18"/>
    <x v="1"/>
    <s v="July"/>
    <s v="Loss"/>
    <n v="2.6399999999999864"/>
    <n v="88.845000000000056"/>
  </r>
  <r>
    <s v="2024-07-15"/>
    <n v="194.56"/>
    <x v="871"/>
    <n v="190.83"/>
    <n v="192.72"/>
    <n v="40683227"/>
    <x v="1"/>
    <s v="Amazon"/>
    <x v="1"/>
    <n v="-0.91"/>
    <x v="18"/>
    <x v="1"/>
    <s v="July"/>
    <s v="Loss"/>
    <n v="5.3599999999999852"/>
    <n v="87.935000000000059"/>
  </r>
  <r>
    <s v="2024-07-16"/>
    <n v="195.59"/>
    <x v="872"/>
    <n v="192.24"/>
    <n v="193.02"/>
    <n v="33994714"/>
    <x v="1"/>
    <s v="Amazon"/>
    <x v="1"/>
    <n v="0.156"/>
    <x v="18"/>
    <x v="1"/>
    <s v="July"/>
    <s v="Profit"/>
    <n v="4.3799999999999955"/>
    <n v="88.091000000000065"/>
  </r>
  <r>
    <s v="2024-07-17"/>
    <n v="191.35"/>
    <x v="873"/>
    <n v="185.99"/>
    <n v="187.93"/>
    <n v="48076139"/>
    <x v="1"/>
    <s v="Amazon"/>
    <x v="1"/>
    <n v="-2.637"/>
    <x v="18"/>
    <x v="1"/>
    <s v="July"/>
    <s v="Loss"/>
    <n v="5.5900000000000034"/>
    <n v="85.454000000000065"/>
  </r>
  <r>
    <s v="2024-07-18"/>
    <n v="189.59"/>
    <x v="874"/>
    <n v="181.44800000000001"/>
    <n v="183.75"/>
    <n v="51043626"/>
    <x v="1"/>
    <s v="Amazon"/>
    <x v="1"/>
    <n v="-2.2240000000000002"/>
    <x v="18"/>
    <x v="1"/>
    <s v="July"/>
    <s v="Loss"/>
    <n v="8.2319999999999993"/>
    <n v="83.230000000000061"/>
  </r>
  <r>
    <s v="2024-07-19"/>
    <n v="181.14"/>
    <x v="875"/>
    <n v="180.11"/>
    <n v="183.13"/>
    <n v="43081829"/>
    <x v="1"/>
    <s v="Amazon"/>
    <x v="1"/>
    <n v="-0.33700000000000002"/>
    <x v="18"/>
    <x v="1"/>
    <s v="July"/>
    <s v="Loss"/>
    <n v="4.8199999999999932"/>
    <n v="82.893000000000058"/>
  </r>
  <r>
    <s v="2024-07-22"/>
    <n v="185"/>
    <x v="876"/>
    <n v="182.48"/>
    <n v="182.55"/>
    <n v="39931923"/>
    <x v="1"/>
    <s v="Amazon"/>
    <x v="1"/>
    <n v="-0.317"/>
    <x v="18"/>
    <x v="1"/>
    <s v="July"/>
    <s v="Loss"/>
    <n v="2.5800000000000125"/>
    <n v="82.576000000000064"/>
  </r>
  <r>
    <s v="2024-07-23"/>
    <n v="184.1"/>
    <x v="877"/>
    <n v="183.56"/>
    <n v="186.41"/>
    <n v="47537670"/>
    <x v="1"/>
    <s v="Amazon"/>
    <x v="1"/>
    <n v="2.1139999999999999"/>
    <x v="18"/>
    <x v="1"/>
    <s v="July"/>
    <s v="Profit"/>
    <n v="5.8299999999999841"/>
    <n v="84.690000000000069"/>
  </r>
  <r>
    <s v="2024-07-24"/>
    <n v="183.2"/>
    <x v="878"/>
    <n v="180.41"/>
    <n v="180.83"/>
    <n v="41532360"/>
    <x v="1"/>
    <s v="Amazon"/>
    <x v="1"/>
    <n v="-2.9929999999999999"/>
    <x v="18"/>
    <x v="1"/>
    <s v="July"/>
    <s v="Loss"/>
    <n v="5.039999999999992"/>
    <n v="81.697000000000074"/>
  </r>
  <r>
    <s v="2024-07-25"/>
    <n v="182.91"/>
    <x v="879"/>
    <n v="176.8"/>
    <n v="179.85"/>
    <n v="44464163"/>
    <x v="1"/>
    <s v="Amazon"/>
    <x v="1"/>
    <n v="-0.54200000000000004"/>
    <x v="18"/>
    <x v="1"/>
    <s v="July"/>
    <s v="Loss"/>
    <n v="7.0959999999999752"/>
    <n v="81.155000000000072"/>
  </r>
  <r>
    <s v="2024-07-26"/>
    <n v="180.39"/>
    <x v="880"/>
    <n v="180.24"/>
    <n v="182.5"/>
    <n v="29505964"/>
    <x v="1"/>
    <s v="Amazon"/>
    <x v="1"/>
    <n v="1.4730000000000001"/>
    <x v="18"/>
    <x v="1"/>
    <s v="July"/>
    <s v="Profit"/>
    <n v="2.9499999999999886"/>
    <n v="82.628000000000071"/>
  </r>
  <r>
    <s v="2024-07-29"/>
    <n v="183.84"/>
    <x v="881"/>
    <n v="182.38"/>
    <n v="183.2"/>
    <n v="33270123"/>
    <x v="1"/>
    <s v="Amazon"/>
    <x v="1"/>
    <n v="0.38400000000000001"/>
    <x v="18"/>
    <x v="1"/>
    <s v="July"/>
    <s v="Profit"/>
    <n v="2.3700000000000045"/>
    <n v="83.012000000000072"/>
  </r>
  <r>
    <s v="2024-07-30"/>
    <n v="184.72"/>
    <x v="882"/>
    <n v="179.38"/>
    <n v="181.71"/>
    <n v="39508574"/>
    <x v="1"/>
    <s v="Amazon"/>
    <x v="1"/>
    <n v="-0.81299999999999994"/>
    <x v="18"/>
    <x v="1"/>
    <s v="July"/>
    <s v="Loss"/>
    <n v="6.4800000000000182"/>
    <n v="82.199000000000069"/>
  </r>
  <r>
    <s v="2024-07-31"/>
    <n v="185.05"/>
    <x v="883"/>
    <n v="184.46"/>
    <n v="186.98"/>
    <n v="41667326"/>
    <x v="1"/>
    <s v="Amazon"/>
    <x v="1"/>
    <n v="2.9"/>
    <x v="18"/>
    <x v="1"/>
    <s v="July"/>
    <s v="Profit"/>
    <n v="3.4799999999999898"/>
    <n v="85.099000000000075"/>
  </r>
  <r>
    <s v="2024-08-01"/>
    <n v="189.285"/>
    <x v="884"/>
    <n v="181.87"/>
    <n v="184.07"/>
    <n v="70435635"/>
    <x v="1"/>
    <s v="Amazon"/>
    <x v="1"/>
    <n v="-1.556"/>
    <x v="19"/>
    <x v="1"/>
    <s v="August"/>
    <s v="Loss"/>
    <n v="8.7299999999999898"/>
    <n v="83.543000000000077"/>
  </r>
  <r>
    <s v="2024-08-02"/>
    <n v="166.75"/>
    <x v="885"/>
    <n v="160.55000000000001"/>
    <n v="167.9"/>
    <n v="141448365"/>
    <x v="1"/>
    <s v="Amazon"/>
    <x v="1"/>
    <n v="-8.7850000000000001"/>
    <x v="19"/>
    <x v="1"/>
    <s v="August"/>
    <s v="Loss"/>
    <n v="8.2199999999999989"/>
    <n v="74.758000000000081"/>
  </r>
  <r>
    <s v="2024-08-05"/>
    <n v="154.21"/>
    <x v="886"/>
    <n v="151.61000000000001"/>
    <n v="161.02000000000001"/>
    <n v="83149437"/>
    <x v="1"/>
    <s v="Amazon"/>
    <x v="1"/>
    <n v="-4.0979999999999999"/>
    <x v="19"/>
    <x v="1"/>
    <s v="August"/>
    <s v="Loss"/>
    <n v="11.349999999999994"/>
    <n v="70.660000000000082"/>
  </r>
  <r>
    <s v="2024-08-06"/>
    <n v="161.71"/>
    <x v="887"/>
    <n v="158.54"/>
    <n v="161.93"/>
    <n v="59950830"/>
    <x v="1"/>
    <s v="Amazon"/>
    <x v="1"/>
    <n v="0.56499999999999995"/>
    <x v="19"/>
    <x v="1"/>
    <s v="August"/>
    <s v="Profit"/>
    <n v="6.5400000000000205"/>
    <n v="71.22500000000008"/>
  </r>
  <r>
    <s v="2024-08-07"/>
    <n v="166.55"/>
    <x v="888"/>
    <n v="161.43"/>
    <n v="162.77000000000001"/>
    <n v="48408240"/>
    <x v="1"/>
    <s v="Amazon"/>
    <x v="1"/>
    <n v="0.51900000000000002"/>
    <x v="19"/>
    <x v="1"/>
    <s v="August"/>
    <s v="Profit"/>
    <n v="6.1500000000000057"/>
    <n v="71.744000000000085"/>
  </r>
  <r>
    <s v="2024-08-08"/>
    <n v="165.16499999999999"/>
    <x v="889"/>
    <n v="162.55000000000001"/>
    <n v="165.8"/>
    <n v="44616206"/>
    <x v="1"/>
    <s v="Amazon"/>
    <x v="1"/>
    <n v="1.8620000000000001"/>
    <x v="19"/>
    <x v="1"/>
    <s v="August"/>
    <s v="Profit"/>
    <n v="4.1399999999999864"/>
    <n v="73.60600000000008"/>
  </r>
  <r>
    <s v="2024-08-09"/>
    <n v="166.4"/>
    <x v="890"/>
    <n v="165.85"/>
    <n v="166.94"/>
    <n v="36401049"/>
    <x v="1"/>
    <s v="Amazon"/>
    <x v="1"/>
    <n v="0.68799999999999994"/>
    <x v="19"/>
    <x v="1"/>
    <s v="August"/>
    <s v="Profit"/>
    <n v="2.7000000000000171"/>
    <n v="74.294000000000082"/>
  </r>
  <r>
    <s v="2024-08-12"/>
    <n v="168.14"/>
    <x v="890"/>
    <n v="166.11"/>
    <n v="166.8"/>
    <n v="30072788"/>
    <x v="1"/>
    <s v="Amazon"/>
    <x v="1"/>
    <n v="-8.4000000000000005E-2"/>
    <x v="19"/>
    <x v="1"/>
    <s v="August"/>
    <s v="Loss"/>
    <n v="2.4399999999999977"/>
    <n v="74.210000000000079"/>
  </r>
  <r>
    <s v="2024-08-13"/>
    <n v="167.81"/>
    <x v="891"/>
    <n v="167.1"/>
    <n v="170.23"/>
    <n v="39237915"/>
    <x v="1"/>
    <s v="Amazon"/>
    <x v="1"/>
    <n v="2.056"/>
    <x v="19"/>
    <x v="1"/>
    <s v="August"/>
    <s v="Profit"/>
    <n v="3.9399999999999977"/>
    <n v="76.266000000000076"/>
  </r>
  <r>
    <s v="2024-08-14"/>
    <n v="172.11"/>
    <x v="892"/>
    <n v="168.86"/>
    <n v="170.1"/>
    <n v="28843804"/>
    <x v="1"/>
    <s v="Amazon"/>
    <x v="1"/>
    <n v="-7.5999999999999998E-2"/>
    <x v="19"/>
    <x v="1"/>
    <s v="August"/>
    <s v="Loss"/>
    <n v="3.4199999999999875"/>
    <n v="76.190000000000083"/>
  </r>
  <r>
    <s v="2024-08-15"/>
    <n v="174.86"/>
    <x v="893"/>
    <n v="173.99"/>
    <n v="177.59"/>
    <n v="51698513"/>
    <x v="1"/>
    <s v="Amazon"/>
    <x v="1"/>
    <n v="4.4029999999999996"/>
    <x v="19"/>
    <x v="1"/>
    <s v="August"/>
    <s v="Profit"/>
    <n v="3.9199999999999875"/>
    <n v="80.593000000000089"/>
  </r>
  <r>
    <s v="2024-08-16"/>
    <n v="177.04"/>
    <x v="894"/>
    <n v="176.26"/>
    <n v="177.06"/>
    <n v="31489175"/>
    <x v="1"/>
    <s v="Amazon"/>
    <x v="1"/>
    <n v="-0.29799999999999999"/>
    <x v="19"/>
    <x v="1"/>
    <s v="August"/>
    <s v="Loss"/>
    <n v="2.0800000000000125"/>
    <n v="80.295000000000087"/>
  </r>
  <r>
    <s v="2024-08-19"/>
    <n v="177.64"/>
    <x v="895"/>
    <n v="176.16"/>
    <n v="178.22"/>
    <n v="31129807"/>
    <x v="1"/>
    <s v="Amazon"/>
    <x v="1"/>
    <n v="0.65500000000000003"/>
    <x v="19"/>
    <x v="1"/>
    <s v="August"/>
    <s v="Profit"/>
    <n v="2.1400000000000148"/>
    <n v="80.950000000000088"/>
  </r>
  <r>
    <s v="2024-08-20"/>
    <n v="177.92"/>
    <x v="896"/>
    <n v="177.43100000000001"/>
    <n v="178.88"/>
    <n v="26255204"/>
    <x v="1"/>
    <s v="Amazon"/>
    <x v="1"/>
    <n v="0.37"/>
    <x v="19"/>
    <x v="1"/>
    <s v="August"/>
    <s v="Profit"/>
    <n v="1.5789999999999793"/>
    <n v="81.320000000000093"/>
  </r>
  <r>
    <s v="2024-08-21"/>
    <n v="179.92"/>
    <x v="897"/>
    <n v="178.89400000000001"/>
    <n v="180.11"/>
    <n v="35599120"/>
    <x v="1"/>
    <s v="Amazon"/>
    <x v="1"/>
    <n v="0.68799999999999994"/>
    <x v="19"/>
    <x v="1"/>
    <s v="August"/>
    <s v="Profit"/>
    <n v="3.4909999999999854"/>
    <n v="82.008000000000095"/>
  </r>
  <r>
    <s v="2024-08-22"/>
    <n v="181.38"/>
    <x v="898"/>
    <n v="175.68"/>
    <n v="176.13"/>
    <n v="32047482"/>
    <x v="1"/>
    <s v="Amazon"/>
    <x v="1"/>
    <n v="-2.21"/>
    <x v="19"/>
    <x v="1"/>
    <s v="August"/>
    <s v="Loss"/>
    <n v="5.789999999999992"/>
    <n v="79.798000000000101"/>
  </r>
  <r>
    <s v="2024-08-23"/>
    <n v="177.34"/>
    <x v="899"/>
    <n v="175.24"/>
    <n v="177.04"/>
    <n v="29150091"/>
    <x v="1"/>
    <s v="Amazon"/>
    <x v="1"/>
    <n v="0.51700000000000002"/>
    <x v="19"/>
    <x v="1"/>
    <s v="August"/>
    <s v="Profit"/>
    <n v="3.7299999999999898"/>
    <n v="80.315000000000097"/>
  </r>
  <r>
    <s v="2024-08-26"/>
    <n v="176.7"/>
    <x v="900"/>
    <n v="174.3"/>
    <n v="175.5"/>
    <n v="22366236"/>
    <x v="1"/>
    <s v="Amazon"/>
    <x v="1"/>
    <n v="-0.87"/>
    <x v="19"/>
    <x v="1"/>
    <s v="August"/>
    <s v="Loss"/>
    <n v="3.1679999999999779"/>
    <n v="79.445000000000093"/>
  </r>
  <r>
    <s v="2024-08-27"/>
    <n v="174.15"/>
    <x v="901"/>
    <n v="172.25"/>
    <n v="173.12"/>
    <n v="29841979"/>
    <x v="1"/>
    <s v="Amazon"/>
    <x v="1"/>
    <n v="-1.3560000000000001"/>
    <x v="19"/>
    <x v="1"/>
    <s v="August"/>
    <s v="Loss"/>
    <n v="2.6399999999999864"/>
    <n v="78.089000000000098"/>
  </r>
  <r>
    <s v="2024-08-28"/>
    <n v="173.69"/>
    <x v="902"/>
    <n v="168.92"/>
    <n v="170.8"/>
    <n v="29045025"/>
    <x v="1"/>
    <s v="Amazon"/>
    <x v="1"/>
    <n v="-1.34"/>
    <x v="19"/>
    <x v="1"/>
    <s v="August"/>
    <s v="Loss"/>
    <n v="4.7700000000000102"/>
    <n v="76.749000000000095"/>
  </r>
  <r>
    <s v="2024-08-29"/>
    <n v="173.22"/>
    <x v="903"/>
    <n v="170.81"/>
    <n v="172.12"/>
    <n v="26407815"/>
    <x v="1"/>
    <s v="Amazon"/>
    <x v="1"/>
    <n v="0.77300000000000002"/>
    <x v="19"/>
    <x v="1"/>
    <s v="August"/>
    <s v="Profit"/>
    <n v="3.4799999999999898"/>
    <n v="77.522000000000091"/>
  </r>
  <r>
    <s v="2024-08-30"/>
    <n v="172.78"/>
    <x v="904"/>
    <n v="172.6"/>
    <n v="178.5"/>
    <n v="43429355"/>
    <x v="1"/>
    <s v="Amazon"/>
    <x v="1"/>
    <n v="3.7069999999999999"/>
    <x v="19"/>
    <x v="1"/>
    <s v="August"/>
    <s v="Profit"/>
    <n v="6.3000000000000114"/>
    <n v="81.229000000000084"/>
  </r>
  <r>
    <s v="2024-09-03"/>
    <n v="177.55"/>
    <x v="905"/>
    <n v="175.26"/>
    <n v="176.25"/>
    <n v="37817511"/>
    <x v="1"/>
    <s v="Amazon"/>
    <x v="1"/>
    <n v="-1.2609999999999999"/>
    <x v="20"/>
    <x v="1"/>
    <s v="September"/>
    <s v="Loss"/>
    <n v="3"/>
    <n v="79.968000000000089"/>
  </r>
  <r>
    <s v="2024-09-04"/>
    <n v="174.48"/>
    <x v="906"/>
    <n v="172.54"/>
    <n v="173.33"/>
    <n v="30309225"/>
    <x v="1"/>
    <s v="Amazon"/>
    <x v="1"/>
    <n v="-1.657"/>
    <x v="20"/>
    <x v="1"/>
    <s v="September"/>
    <s v="Loss"/>
    <n v="3.4399999999999977"/>
    <n v="78.311000000000092"/>
  </r>
  <r>
    <s v="2024-09-05"/>
    <n v="175"/>
    <x v="907"/>
    <n v="174.995"/>
    <n v="177.89"/>
    <n v="40170526"/>
    <x v="1"/>
    <s v="Amazon"/>
    <x v="1"/>
    <n v="2.6309999999999998"/>
    <x v="20"/>
    <x v="1"/>
    <s v="September"/>
    <s v="Profit"/>
    <n v="4.8799999999999955"/>
    <n v="80.942000000000093"/>
  </r>
  <r>
    <s v="2024-09-06"/>
    <n v="177.24"/>
    <x v="908"/>
    <n v="171.16"/>
    <n v="171.39"/>
    <n v="41466537"/>
    <x v="1"/>
    <s v="Amazon"/>
    <x v="1"/>
    <n v="-3.6539999999999999"/>
    <x v="20"/>
    <x v="1"/>
    <s v="September"/>
    <s v="Loss"/>
    <n v="7.2199999999999989"/>
    <n v="77.288000000000096"/>
  </r>
  <r>
    <s v="2024-09-09"/>
    <n v="174.53"/>
    <x v="909"/>
    <n v="173.51"/>
    <n v="175.4"/>
    <n v="29037362"/>
    <x v="1"/>
    <s v="Amazon"/>
    <x v="1"/>
    <n v="2.34"/>
    <x v="20"/>
    <x v="1"/>
    <s v="September"/>
    <s v="Profit"/>
    <n v="2.3400000000000034"/>
    <n v="79.6280000000001"/>
  </r>
  <r>
    <s v="2024-09-10"/>
    <n v="177.49"/>
    <x v="910"/>
    <n v="176.79"/>
    <n v="179.55"/>
    <n v="36233796"/>
    <x v="1"/>
    <s v="Amazon"/>
    <x v="1"/>
    <n v="2.3660000000000001"/>
    <x v="20"/>
    <x v="1"/>
    <s v="September"/>
    <s v="Profit"/>
    <n v="3.710000000000008"/>
    <n v="81.994000000000099"/>
  </r>
  <r>
    <s v="2024-09-11"/>
    <n v="180.095"/>
    <x v="911"/>
    <n v="175.73"/>
    <n v="184.52"/>
    <n v="42564698"/>
    <x v="1"/>
    <s v="Amazon"/>
    <x v="1"/>
    <n v="2.7679999999999998"/>
    <x v="20"/>
    <x v="1"/>
    <s v="September"/>
    <s v="Profit"/>
    <n v="9.2600000000000193"/>
    <n v="84.7620000000001"/>
  </r>
  <r>
    <s v="2024-09-12"/>
    <n v="184.8"/>
    <x v="912"/>
    <n v="183.54"/>
    <n v="187"/>
    <n v="33622483"/>
    <x v="1"/>
    <s v="Amazon"/>
    <x v="1"/>
    <n v="1.3440000000000001"/>
    <x v="20"/>
    <x v="1"/>
    <s v="September"/>
    <s v="Profit"/>
    <n v="3.8700000000000045"/>
    <n v="86.106000000000094"/>
  </r>
  <r>
    <s v="2024-09-13"/>
    <n v="187"/>
    <x v="913"/>
    <n v="185.91"/>
    <n v="186.49"/>
    <n v="26495351"/>
    <x v="1"/>
    <s v="Amazon"/>
    <x v="1"/>
    <n v="-0.27300000000000002"/>
    <x v="20"/>
    <x v="1"/>
    <s v="September"/>
    <s v="Loss"/>
    <n v="2.5900000000000034"/>
    <n v="85.833000000000098"/>
  </r>
  <r>
    <s v="2024-09-16"/>
    <n v="185.29"/>
    <x v="914"/>
    <n v="183.36"/>
    <n v="184.89"/>
    <n v="26065485"/>
    <x v="1"/>
    <s v="Amazon"/>
    <x v="1"/>
    <n v="-0.85799999999999998"/>
    <x v="20"/>
    <x v="1"/>
    <s v="September"/>
    <s v="Loss"/>
    <n v="2.4499999999999886"/>
    <n v="84.975000000000094"/>
  </r>
  <r>
    <s v="2024-09-17"/>
    <n v="186.85"/>
    <x v="915"/>
    <n v="186.14"/>
    <n v="186.88"/>
    <n v="26091682"/>
    <x v="1"/>
    <s v="Amazon"/>
    <x v="1"/>
    <n v="1.0760000000000001"/>
    <x v="20"/>
    <x v="1"/>
    <s v="September"/>
    <s v="Profit"/>
    <n v="3.3100000000000023"/>
    <n v="86.051000000000087"/>
  </r>
  <r>
    <s v="2024-09-18"/>
    <n v="186.45"/>
    <x v="916"/>
    <n v="185.06"/>
    <n v="186.43"/>
    <n v="34448130"/>
    <x v="1"/>
    <s v="Amazon"/>
    <x v="1"/>
    <n v="-0.24099999999999999"/>
    <x v="20"/>
    <x v="1"/>
    <s v="September"/>
    <s v="Loss"/>
    <n v="3.7400000000000091"/>
    <n v="85.810000000000088"/>
  </r>
  <r>
    <s v="2024-09-19"/>
    <n v="190.04"/>
    <x v="917"/>
    <n v="188.47"/>
    <n v="189.87"/>
    <n v="39543168"/>
    <x v="1"/>
    <s v="Amazon"/>
    <x v="1"/>
    <n v="1.845"/>
    <x v="20"/>
    <x v="1"/>
    <s v="September"/>
    <s v="Profit"/>
    <n v="2.5200000000000102"/>
    <n v="87.655000000000086"/>
  </r>
  <r>
    <s v="2024-09-20"/>
    <n v="190.23"/>
    <x v="918"/>
    <n v="187.41"/>
    <n v="191.6"/>
    <n v="100378553"/>
    <x v="1"/>
    <s v="Amazon"/>
    <x v="1"/>
    <n v="0.91100000000000003"/>
    <x v="20"/>
    <x v="1"/>
    <s v="September"/>
    <s v="Profit"/>
    <n v="4.4300000000000068"/>
    <n v="88.566000000000088"/>
  </r>
  <r>
    <s v="2024-09-23"/>
    <n v="191.64"/>
    <x v="919"/>
    <n v="190.57"/>
    <n v="193.88"/>
    <n v="36993111"/>
    <x v="1"/>
    <s v="Amazon"/>
    <x v="1"/>
    <n v="1.19"/>
    <x v="20"/>
    <x v="1"/>
    <s v="September"/>
    <s v="Profit"/>
    <n v="3.8799999999999955"/>
    <n v="89.756000000000085"/>
  </r>
  <r>
    <s v="2024-09-24"/>
    <n v="194.27"/>
    <x v="920"/>
    <n v="190.13"/>
    <n v="193.96"/>
    <n v="43478926"/>
    <x v="1"/>
    <s v="Amazon"/>
    <x v="1"/>
    <n v="4.1000000000000002E-2"/>
    <x v="20"/>
    <x v="1"/>
    <s v="September"/>
    <s v="Profit"/>
    <n v="5.2400000000000091"/>
    <n v="89.797000000000082"/>
  </r>
  <r>
    <s v="2024-09-25"/>
    <n v="193.75"/>
    <x v="921"/>
    <n v="192.16"/>
    <n v="192.53"/>
    <n v="26391144"/>
    <x v="1"/>
    <s v="Amazon"/>
    <x v="1"/>
    <n v="-0.73699999999999999"/>
    <x v="20"/>
    <x v="1"/>
    <s v="September"/>
    <s v="Loss"/>
    <n v="1.789999999999992"/>
    <n v="89.060000000000088"/>
  </r>
  <r>
    <s v="2024-09-26"/>
    <n v="194.31"/>
    <x v="922"/>
    <n v="189.54"/>
    <n v="191.16"/>
    <n v="36334854"/>
    <x v="1"/>
    <s v="Amazon"/>
    <x v="1"/>
    <n v="-0.71199999999999997"/>
    <x v="20"/>
    <x v="1"/>
    <s v="September"/>
    <s v="Loss"/>
    <n v="4.9900000000000091"/>
    <n v="88.348000000000084"/>
  </r>
  <r>
    <s v="2024-09-27"/>
    <n v="190.68"/>
    <x v="923"/>
    <n v="187.34"/>
    <n v="187.97"/>
    <n v="36002316"/>
    <x v="1"/>
    <s v="Amazon"/>
    <x v="1"/>
    <n v="-1.669"/>
    <x v="20"/>
    <x v="1"/>
    <s v="September"/>
    <s v="Loss"/>
    <n v="3.5600000000000023"/>
    <n v="86.679000000000087"/>
  </r>
  <r>
    <s v="2024-09-30"/>
    <n v="187.14"/>
    <x v="924"/>
    <n v="184.65"/>
    <n v="186.33"/>
    <n v="41680400"/>
    <x v="1"/>
    <s v="Amazon"/>
    <x v="1"/>
    <n v="-0.872"/>
    <x v="20"/>
    <x v="1"/>
    <s v="September"/>
    <s v="Loss"/>
    <n v="3.8400000000000034"/>
    <n v="85.807000000000087"/>
  </r>
  <r>
    <s v="2024-10-01"/>
    <n v="184.9"/>
    <x v="925"/>
    <n v="183.452"/>
    <n v="185.13"/>
    <n v="36044906"/>
    <x v="1"/>
    <s v="Amazon"/>
    <x v="1"/>
    <n v="-0.64400000000000002"/>
    <x v="21"/>
    <x v="1"/>
    <s v="October"/>
    <s v="Loss"/>
    <n v="2.7379999999999995"/>
    <n v="85.163000000000082"/>
  </r>
  <r>
    <s v="2024-10-02"/>
    <n v="184.44"/>
    <x v="926"/>
    <n v="184.04"/>
    <n v="184.76"/>
    <n v="23704056"/>
    <x v="1"/>
    <s v="Amazon"/>
    <x v="1"/>
    <n v="-0.2"/>
    <x v="21"/>
    <x v="1"/>
    <s v="October"/>
    <s v="Loss"/>
    <n v="2.5600000000000023"/>
    <n v="84.963000000000079"/>
  </r>
  <r>
    <s v="2024-10-03"/>
    <n v="183.04499999999999"/>
    <x v="927"/>
    <n v="180.875"/>
    <n v="181.96"/>
    <n v="30204302"/>
    <x v="1"/>
    <s v="Amazon"/>
    <x v="1"/>
    <n v="-1.5149999999999999"/>
    <x v="21"/>
    <x v="1"/>
    <s v="October"/>
    <s v="Loss"/>
    <n v="2.5649999999999977"/>
    <n v="83.448000000000079"/>
  </r>
  <r>
    <s v="2024-10-04"/>
    <n v="185.75"/>
    <x v="928"/>
    <n v="183.6"/>
    <n v="186.51"/>
    <n v="41079011"/>
    <x v="1"/>
    <s v="Amazon"/>
    <x v="1"/>
    <n v="2.5009999999999999"/>
    <x v="21"/>
    <x v="1"/>
    <s v="October"/>
    <s v="Profit"/>
    <n v="4"/>
    <n v="85.949000000000083"/>
  </r>
  <r>
    <s v="2024-10-07"/>
    <n v="182.95"/>
    <x v="929"/>
    <n v="180.25"/>
    <n v="180.8"/>
    <n v="42364201"/>
    <x v="1"/>
    <s v="Amazon"/>
    <x v="1"/>
    <n v="-3.0609999999999999"/>
    <x v="21"/>
    <x v="1"/>
    <s v="October"/>
    <s v="Loss"/>
    <n v="3.3499999999999943"/>
    <n v="82.88800000000009"/>
  </r>
  <r>
    <s v="2024-10-08"/>
    <n v="181.91499999999999"/>
    <x v="930"/>
    <n v="180.92"/>
    <n v="182.72"/>
    <n v="26372086"/>
    <x v="1"/>
    <s v="Amazon"/>
    <x v="1"/>
    <n v="1.0620000000000001"/>
    <x v="21"/>
    <x v="1"/>
    <s v="October"/>
    <s v="Profit"/>
    <n v="2.1700000000000159"/>
    <n v="83.950000000000088"/>
  </r>
  <r>
    <s v="2024-10-09"/>
    <n v="182.82"/>
    <x v="931"/>
    <n v="182.05"/>
    <n v="185.17"/>
    <n v="26343117"/>
    <x v="1"/>
    <s v="Amazon"/>
    <x v="1"/>
    <n v="1.341"/>
    <x v="21"/>
    <x v="1"/>
    <s v="October"/>
    <s v="Profit"/>
    <n v="3.7949999999999875"/>
    <n v="85.291000000000082"/>
  </r>
  <r>
    <s v="2024-10-10"/>
    <n v="187.13"/>
    <x v="932"/>
    <n v="185.83"/>
    <n v="186.65"/>
    <n v="27785043"/>
    <x v="1"/>
    <s v="Amazon"/>
    <x v="1"/>
    <n v="0.79900000000000004"/>
    <x v="21"/>
    <x v="1"/>
    <s v="October"/>
    <s v="Profit"/>
    <n v="2.3039999999999736"/>
    <n v="86.090000000000089"/>
  </r>
  <r>
    <s v="2024-10-11"/>
    <n v="186.63"/>
    <x v="933"/>
    <n v="186.3"/>
    <n v="188.82"/>
    <n v="25751557"/>
    <x v="1"/>
    <s v="Amazon"/>
    <x v="1"/>
    <n v="1.163"/>
    <x v="21"/>
    <x v="1"/>
    <s v="October"/>
    <s v="Profit"/>
    <n v="3.6279999999999859"/>
    <n v="87.253000000000085"/>
  </r>
  <r>
    <s v="2024-10-14"/>
    <n v="189.78"/>
    <x v="934"/>
    <n v="187.36"/>
    <n v="187.54"/>
    <n v="22614407"/>
    <x v="1"/>
    <s v="Amazon"/>
    <x v="1"/>
    <n v="-0.67800000000000005"/>
    <x v="21"/>
    <x v="1"/>
    <s v="October"/>
    <s v="Loss"/>
    <n v="2.4699999999999989"/>
    <n v="86.575000000000088"/>
  </r>
  <r>
    <s v="2024-10-15"/>
    <n v="187.63"/>
    <x v="935"/>
    <n v="184.58"/>
    <n v="187.69"/>
    <n v="32178925"/>
    <x v="1"/>
    <s v="Amazon"/>
    <x v="1"/>
    <n v="0.08"/>
    <x v="21"/>
    <x v="1"/>
    <s v="October"/>
    <s v="Profit"/>
    <n v="3.8299999999999841"/>
    <n v="86.655000000000086"/>
  </r>
  <r>
    <s v="2024-10-16"/>
    <n v="187.05"/>
    <x v="936"/>
    <n v="185.61"/>
    <n v="186.89"/>
    <n v="23456812"/>
    <x v="1"/>
    <s v="Amazon"/>
    <x v="1"/>
    <n v="-0.42599999999999999"/>
    <x v="21"/>
    <x v="1"/>
    <s v="October"/>
    <s v="Loss"/>
    <n v="2.1699999999999875"/>
    <n v="86.229000000000084"/>
  </r>
  <r>
    <s v="2024-10-17"/>
    <n v="188.22"/>
    <x v="937"/>
    <n v="186"/>
    <n v="187.53"/>
    <n v="25039414"/>
    <x v="1"/>
    <s v="Amazon"/>
    <x v="1"/>
    <n v="0.34200000000000003"/>
    <x v="21"/>
    <x v="1"/>
    <s v="October"/>
    <s v="Profit"/>
    <n v="2.9399999999999977"/>
    <n v="86.571000000000083"/>
  </r>
  <r>
    <s v="2024-10-18"/>
    <n v="187.15"/>
    <x v="938"/>
    <n v="186.28"/>
    <n v="188.99"/>
    <n v="37417670"/>
    <x v="1"/>
    <s v="Amazon"/>
    <x v="1"/>
    <n v="0.77900000000000003"/>
    <x v="21"/>
    <x v="1"/>
    <s v="October"/>
    <s v="Profit"/>
    <n v="4.460000000000008"/>
    <n v="87.35000000000008"/>
  </r>
  <r>
    <s v="2024-10-21"/>
    <n v="188.05"/>
    <x v="939"/>
    <n v="186.4"/>
    <n v="189.07"/>
    <n v="24639393"/>
    <x v="1"/>
    <s v="Amazon"/>
    <x v="1"/>
    <n v="4.2000000000000003E-2"/>
    <x v="21"/>
    <x v="1"/>
    <s v="October"/>
    <s v="Profit"/>
    <n v="3.0600000000000023"/>
    <n v="87.392000000000081"/>
  </r>
  <r>
    <s v="2024-10-22"/>
    <n v="188.35"/>
    <x v="940"/>
    <n v="186.97499999999999"/>
    <n v="189.7"/>
    <n v="29650593"/>
    <x v="1"/>
    <s v="Amazon"/>
    <x v="1"/>
    <n v="0.33300000000000002"/>
    <x v="21"/>
    <x v="1"/>
    <s v="October"/>
    <s v="Profit"/>
    <n v="4.5450000000000159"/>
    <n v="87.72500000000008"/>
  </r>
  <r>
    <s v="2024-10-23"/>
    <n v="188.85"/>
    <x v="941"/>
    <n v="183.69"/>
    <n v="184.71"/>
    <n v="31937089"/>
    <x v="1"/>
    <s v="Amazon"/>
    <x v="1"/>
    <n v="-2.63"/>
    <x v="21"/>
    <x v="1"/>
    <s v="October"/>
    <s v="Loss"/>
    <n v="5.4699999999999989"/>
    <n v="85.095000000000084"/>
  </r>
  <r>
    <s v="2024-10-24"/>
    <n v="185.25"/>
    <x v="942"/>
    <n v="183.86"/>
    <n v="186.38"/>
    <n v="21647395"/>
    <x v="1"/>
    <s v="Amazon"/>
    <x v="1"/>
    <n v="0.90400000000000003"/>
    <x v="21"/>
    <x v="1"/>
    <s v="October"/>
    <s v="Profit"/>
    <n v="3.25"/>
    <n v="85.99900000000008"/>
  </r>
  <r>
    <s v="2024-10-25"/>
    <n v="187.85"/>
    <x v="943"/>
    <n v="187.53"/>
    <n v="187.83"/>
    <n v="29362060"/>
    <x v="1"/>
    <s v="Amazon"/>
    <x v="1"/>
    <n v="0.77800000000000002"/>
    <x v="21"/>
    <x v="1"/>
    <s v="October"/>
    <s v="Profit"/>
    <n v="2.9199999999999875"/>
    <n v="86.777000000000086"/>
  </r>
  <r>
    <s v="2024-10-28"/>
    <n v="189.565"/>
    <x v="944"/>
    <n v="188.21"/>
    <n v="188.39"/>
    <n v="27930836"/>
    <x v="1"/>
    <s v="Amazon"/>
    <x v="1"/>
    <n v="0.29799999999999999"/>
    <x v="21"/>
    <x v="1"/>
    <s v="October"/>
    <s v="Profit"/>
    <n v="2"/>
    <n v="87.075000000000088"/>
  </r>
  <r>
    <s v="2024-10-29"/>
    <n v="188.58"/>
    <x v="945"/>
    <n v="187.815"/>
    <n v="190.83"/>
    <n v="35690158"/>
    <x v="1"/>
    <s v="Amazon"/>
    <x v="1"/>
    <n v="1.2949999999999999"/>
    <x v="21"/>
    <x v="1"/>
    <s v="October"/>
    <s v="Profit"/>
    <n v="3.6450000000000102"/>
    <n v="88.37000000000009"/>
  </r>
  <r>
    <s v="2024-10-30"/>
    <n v="194.69499999999999"/>
    <x v="946"/>
    <n v="192.42"/>
    <n v="192.73"/>
    <n v="37707550"/>
    <x v="1"/>
    <s v="Amazon"/>
    <x v="1"/>
    <n v="0.996"/>
    <x v="21"/>
    <x v="1"/>
    <s v="October"/>
    <s v="Profit"/>
    <n v="3.1900000000000261"/>
    <n v="89.366000000000085"/>
  </r>
  <r>
    <s v="2024-10-31"/>
    <n v="190.51"/>
    <x v="884"/>
    <n v="185.23"/>
    <n v="186.4"/>
    <n v="75146759"/>
    <x v="1"/>
    <s v="Amazon"/>
    <x v="1"/>
    <n v="-3.2839999999999998"/>
    <x v="21"/>
    <x v="1"/>
    <s v="October"/>
    <s v="Loss"/>
    <n v="5.3700000000000045"/>
    <n v="86.082000000000079"/>
  </r>
  <r>
    <s v="2024-11-01"/>
    <n v="198.86"/>
    <x v="947"/>
    <n v="197.02"/>
    <n v="197.93"/>
    <n v="99687847"/>
    <x v="1"/>
    <s v="Amazon"/>
    <x v="1"/>
    <n v="6.1859999999999999"/>
    <x v="22"/>
    <x v="1"/>
    <s v="November"/>
    <s v="Profit"/>
    <n v="3.4799999999999898"/>
    <n v="92.268000000000086"/>
  </r>
  <r>
    <s v="2024-11-04"/>
    <n v="196.45"/>
    <x v="948"/>
    <n v="194.31"/>
    <n v="195.78"/>
    <n v="38492062"/>
    <x v="1"/>
    <s v="Amazon"/>
    <x v="1"/>
    <n v="-1.0860000000000001"/>
    <x v="22"/>
    <x v="1"/>
    <s v="November"/>
    <s v="Loss"/>
    <n v="3.0200000000000102"/>
    <n v="91.182000000000087"/>
  </r>
  <r>
    <s v="2024-11-05"/>
    <n v="196.04"/>
    <x v="949"/>
    <n v="195.99"/>
    <n v="199.5"/>
    <n v="30564784"/>
    <x v="1"/>
    <s v="Amazon"/>
    <x v="1"/>
    <n v="1.9"/>
    <x v="22"/>
    <x v="1"/>
    <s v="November"/>
    <s v="Profit"/>
    <n v="3.8299999999999841"/>
    <n v="93.082000000000093"/>
  </r>
  <r>
    <s v="2024-11-06"/>
    <n v="200.01"/>
    <x v="950"/>
    <n v="199.14"/>
    <n v="207.09"/>
    <n v="72292167"/>
    <x v="1"/>
    <s v="Amazon"/>
    <x v="1"/>
    <n v="3.8050000000000002"/>
    <x v="22"/>
    <x v="1"/>
    <s v="November"/>
    <s v="Profit"/>
    <n v="8.410000000000025"/>
    <n v="96.8870000000001"/>
  </r>
  <r>
    <s v="2024-11-07"/>
    <n v="207.44"/>
    <x v="951"/>
    <n v="207.19"/>
    <n v="210.05"/>
    <n v="52878383"/>
    <x v="1"/>
    <s v="Amazon"/>
    <x v="1"/>
    <n v="1.429"/>
    <x v="22"/>
    <x v="1"/>
    <s v="November"/>
    <s v="Profit"/>
    <n v="5.0600000000000023"/>
    <n v="98.316000000000102"/>
  </r>
  <r>
    <s v="2024-11-08"/>
    <n v="209.72"/>
    <x v="952"/>
    <n v="207.44"/>
    <n v="208.18"/>
    <n v="36075846"/>
    <x v="1"/>
    <s v="Amazon"/>
    <x v="1"/>
    <n v="-0.89"/>
    <x v="22"/>
    <x v="1"/>
    <s v="November"/>
    <s v="Loss"/>
    <n v="2.5229999999999961"/>
    <n v="97.426000000000101"/>
  </r>
  <r>
    <s v="2024-11-11"/>
    <n v="208.5"/>
    <x v="953"/>
    <n v="205.59"/>
    <n v="206.84"/>
    <n v="35456012"/>
    <x v="1"/>
    <s v="Amazon"/>
    <x v="1"/>
    <n v="-0.64400000000000002"/>
    <x v="22"/>
    <x v="1"/>
    <s v="November"/>
    <s v="Loss"/>
    <n v="4.0600000000000023"/>
    <n v="96.782000000000096"/>
  </r>
  <r>
    <s v="2024-11-12"/>
    <n v="208.37"/>
    <x v="954"/>
    <n v="206.01"/>
    <n v="208.91"/>
    <n v="38942918"/>
    <x v="1"/>
    <s v="Amazon"/>
    <x v="1"/>
    <n v="1.0009999999999999"/>
    <x v="22"/>
    <x v="1"/>
    <s v="November"/>
    <s v="Profit"/>
    <n v="3.5300000000000011"/>
    <n v="97.783000000000101"/>
  </r>
  <r>
    <s v="2024-11-13"/>
    <n v="209.4"/>
    <x v="955"/>
    <n v="209.14"/>
    <n v="214.1"/>
    <n v="46212943"/>
    <x v="1"/>
    <s v="Amazon"/>
    <x v="1"/>
    <n v="2.484"/>
    <x v="22"/>
    <x v="1"/>
    <s v="November"/>
    <s v="Profit"/>
    <n v="5.9500000000000171"/>
    <n v="100.2670000000001"/>
  </r>
  <r>
    <s v="2024-11-14"/>
    <n v="214.16"/>
    <x v="956"/>
    <n v="210.88"/>
    <n v="211.48"/>
    <n v="42620309"/>
    <x v="1"/>
    <s v="Amazon"/>
    <x v="1"/>
    <n v="-1.224"/>
    <x v="22"/>
    <x v="1"/>
    <s v="November"/>
    <s v="Loss"/>
    <n v="5.0200000000000102"/>
    <n v="99.043000000000092"/>
  </r>
  <r>
    <s v="2024-11-15"/>
    <n v="206.76"/>
    <x v="957"/>
    <n v="199.61"/>
    <n v="202.61"/>
    <n v="86591144"/>
    <x v="1"/>
    <s v="Amazon"/>
    <x v="1"/>
    <n v="-4.194"/>
    <x v="22"/>
    <x v="1"/>
    <s v="November"/>
    <s v="Loss"/>
    <n v="7.7299999999999898"/>
    <n v="94.849000000000089"/>
  </r>
  <r>
    <s v="2024-11-18"/>
    <n v="204.15"/>
    <x v="958"/>
    <n v="200.95"/>
    <n v="201.7"/>
    <n v="36512465"/>
    <x v="1"/>
    <s v="Amazon"/>
    <x v="1"/>
    <n v="-0.44900000000000001"/>
    <x v="22"/>
    <x v="1"/>
    <s v="November"/>
    <s v="Loss"/>
    <n v="3.7199999999999989"/>
    <n v="94.400000000000091"/>
  </r>
  <r>
    <s v="2024-11-19"/>
    <n v="199.33"/>
    <x v="959"/>
    <n v="198.78"/>
    <n v="204.61"/>
    <n v="31197867"/>
    <x v="1"/>
    <s v="Amazon"/>
    <x v="1"/>
    <n v="1.4430000000000001"/>
    <x v="22"/>
    <x v="1"/>
    <s v="November"/>
    <s v="Profit"/>
    <n v="6.5200000000000102"/>
    <n v="95.843000000000089"/>
  </r>
  <r>
    <s v="2024-11-20"/>
    <n v="202.98"/>
    <x v="960"/>
    <n v="199.45"/>
    <n v="202.88"/>
    <n v="32768989"/>
    <x v="1"/>
    <s v="Amazon"/>
    <x v="1"/>
    <n v="-0.84599999999999997"/>
    <x v="22"/>
    <x v="1"/>
    <s v="November"/>
    <s v="Loss"/>
    <n v="3.6800000000000068"/>
    <n v="94.997000000000085"/>
  </r>
  <r>
    <s v="2024-11-21"/>
    <n v="203.49"/>
    <x v="961"/>
    <n v="195.75"/>
    <n v="198.38"/>
    <n v="58800042"/>
    <x v="1"/>
    <s v="Amazon"/>
    <x v="1"/>
    <n v="-2.218"/>
    <x v="22"/>
    <x v="1"/>
    <s v="November"/>
    <s v="Loss"/>
    <n v="7.7400000000000091"/>
    <n v="92.779000000000082"/>
  </r>
  <r>
    <s v="2024-11-22"/>
    <n v="198.25"/>
    <x v="962"/>
    <n v="196.75"/>
    <n v="197.12"/>
    <n v="31530844"/>
    <x v="1"/>
    <s v="Amazon"/>
    <x v="1"/>
    <n v="-0.63500000000000001"/>
    <x v="22"/>
    <x v="1"/>
    <s v="November"/>
    <s v="Loss"/>
    <n v="2.5099999999999909"/>
    <n v="92.144000000000077"/>
  </r>
  <r>
    <s v="2024-11-25"/>
    <n v="199.28"/>
    <x v="963"/>
    <n v="199"/>
    <n v="201.45"/>
    <n v="40685672"/>
    <x v="1"/>
    <s v="Amazon"/>
    <x v="1"/>
    <n v="2.1970000000000001"/>
    <x v="22"/>
    <x v="1"/>
    <s v="November"/>
    <s v="Profit"/>
    <n v="2.9499999999999886"/>
    <n v="94.341000000000079"/>
  </r>
  <r>
    <s v="2024-11-26"/>
    <n v="201.9"/>
    <x v="964"/>
    <n v="201.79"/>
    <n v="207.86"/>
    <n v="41673737"/>
    <x v="1"/>
    <s v="Amazon"/>
    <x v="1"/>
    <n v="3.1819999999999999"/>
    <x v="22"/>
    <x v="1"/>
    <s v="November"/>
    <s v="Profit"/>
    <n v="6.210000000000008"/>
    <n v="97.523000000000081"/>
  </r>
  <r>
    <s v="2024-11-27"/>
    <n v="206.98"/>
    <x v="965"/>
    <n v="205.05"/>
    <n v="205.74"/>
    <n v="28061638"/>
    <x v="1"/>
    <s v="Amazon"/>
    <x v="1"/>
    <n v="-1.02"/>
    <x v="22"/>
    <x v="1"/>
    <s v="November"/>
    <s v="Loss"/>
    <n v="2.589999999999975"/>
    <n v="96.503000000000085"/>
  </r>
  <r>
    <s v="2024-11-29"/>
    <n v="205.83"/>
    <x v="966"/>
    <n v="204.59"/>
    <n v="207.89"/>
    <n v="24892447"/>
    <x v="1"/>
    <s v="Amazon"/>
    <x v="1"/>
    <n v="1.0449999999999999"/>
    <x v="22"/>
    <x v="1"/>
    <s v="November"/>
    <s v="Profit"/>
    <n v="3.6099999999999852"/>
    <n v="97.548000000000087"/>
  </r>
  <r>
    <s v="2024-12-02"/>
    <n v="209.96"/>
    <x v="967"/>
    <n v="209.51"/>
    <n v="210.71"/>
    <n v="39523185"/>
    <x v="1"/>
    <s v="Amazon"/>
    <x v="1"/>
    <n v="1.3560000000000001"/>
    <x v="23"/>
    <x v="1"/>
    <s v="December"/>
    <s v="Profit"/>
    <n v="3.4800000000000182"/>
    <n v="98.904000000000082"/>
  </r>
  <r>
    <s v="2024-12-03"/>
    <n v="210.31"/>
    <x v="968"/>
    <n v="209.65"/>
    <n v="213.44"/>
    <n v="32214828"/>
    <x v="1"/>
    <s v="Amazon"/>
    <x v="1"/>
    <n v="1.296"/>
    <x v="23"/>
    <x v="1"/>
    <s v="December"/>
    <s v="Profit"/>
    <n v="4.3700000000000045"/>
    <n v="100.20000000000009"/>
  </r>
  <r>
    <s v="2024-12-04"/>
    <n v="215.96"/>
    <x v="969"/>
    <n v="215.75"/>
    <n v="218.16"/>
    <n v="48745716"/>
    <x v="1"/>
    <s v="Amazon"/>
    <x v="1"/>
    <n v="2.2109999999999999"/>
    <x v="23"/>
    <x v="1"/>
    <s v="December"/>
    <s v="Profit"/>
    <n v="4.25"/>
    <n v="102.41100000000009"/>
  </r>
  <r>
    <s v="2024-12-05"/>
    <n v="218.03"/>
    <x v="970"/>
    <n v="217.3"/>
    <n v="220.55"/>
    <n v="41140220"/>
    <x v="1"/>
    <s v="Amazon"/>
    <x v="1"/>
    <n v="1.0960000000000001"/>
    <x v="23"/>
    <x v="1"/>
    <s v="December"/>
    <s v="Profit"/>
    <n v="4.8499999999999943"/>
    <n v="103.50700000000009"/>
  </r>
  <r>
    <s v="2024-12-06"/>
    <n v="220.75"/>
    <x v="971"/>
    <n v="220.6"/>
    <n v="227.03"/>
    <n v="44178069"/>
    <x v="1"/>
    <s v="Amazon"/>
    <x v="1"/>
    <n v="2.9380000000000002"/>
    <x v="23"/>
    <x v="1"/>
    <s v="December"/>
    <s v="Profit"/>
    <n v="6.5500000000000114"/>
    <n v="106.44500000000009"/>
  </r>
  <r>
    <s v="2024-12-09"/>
    <n v="227.21"/>
    <x v="972"/>
    <n v="225.67"/>
    <n v="226.09"/>
    <n v="46819363"/>
    <x v="1"/>
    <s v="Amazon"/>
    <x v="1"/>
    <n v="-0.41399999999999998"/>
    <x v="23"/>
    <x v="1"/>
    <s v="December"/>
    <s v="Loss"/>
    <n v="4.410000000000025"/>
    <n v="106.03100000000009"/>
  </r>
  <r>
    <s v="2024-12-10"/>
    <n v="226.09"/>
    <x v="973"/>
    <n v="224.2"/>
    <n v="225.04"/>
    <n v="31199864"/>
    <x v="1"/>
    <s v="Amazon"/>
    <x v="1"/>
    <n v="-0.46400000000000002"/>
    <x v="23"/>
    <x v="1"/>
    <s v="December"/>
    <s v="Loss"/>
    <n v="4.8600000000000136"/>
    <n v="105.56700000000009"/>
  </r>
  <r>
    <s v="2024-12-11"/>
    <n v="226.41"/>
    <x v="974"/>
    <n v="226.26"/>
    <n v="230.26"/>
    <n v="35385785"/>
    <x v="1"/>
    <s v="Amazon"/>
    <x v="1"/>
    <n v="2.3199999999999998"/>
    <x v="23"/>
    <x v="1"/>
    <s v="December"/>
    <s v="Profit"/>
    <n v="4.9399999999999977"/>
    <n v="107.88700000000009"/>
  </r>
  <r>
    <s v="2024-12-12"/>
    <n v="229.83"/>
    <x v="975"/>
    <n v="227.63"/>
    <n v="228.97"/>
    <n v="28204084"/>
    <x v="1"/>
    <s v="Amazon"/>
    <x v="1"/>
    <n v="-0.56000000000000005"/>
    <x v="23"/>
    <x v="1"/>
    <s v="December"/>
    <s v="Loss"/>
    <n v="3.460000000000008"/>
    <n v="107.32700000000008"/>
  </r>
  <r>
    <s v="2024-12-13"/>
    <n v="228.4"/>
    <x v="976"/>
    <n v="225.86099999999999"/>
    <n v="227.46"/>
    <n v="28768080"/>
    <x v="1"/>
    <s v="Amazon"/>
    <x v="1"/>
    <n v="-0.65900000000000003"/>
    <x v="23"/>
    <x v="1"/>
    <s v="December"/>
    <s v="Loss"/>
    <n v="4.3389999999999986"/>
    <n v="106.66800000000008"/>
  </r>
  <r>
    <s v="2024-12-16"/>
    <n v="230.23"/>
    <x v="977"/>
    <n v="228.01"/>
    <n v="232.93"/>
    <n v="37552096"/>
    <x v="1"/>
    <s v="Amazon"/>
    <x v="1"/>
    <n v="2.4049999999999998"/>
    <x v="23"/>
    <x v="1"/>
    <s v="December"/>
    <s v="Profit"/>
    <n v="4.9900000000000091"/>
    <n v="109.07300000000008"/>
  </r>
  <r>
    <s v="2024-12-17"/>
    <n v="232.39"/>
    <x v="978"/>
    <n v="227.85"/>
    <n v="231.15"/>
    <n v="35948131"/>
    <x v="1"/>
    <s v="Amazon"/>
    <x v="1"/>
    <n v="-0.76400000000000001"/>
    <x v="23"/>
    <x v="1"/>
    <s v="December"/>
    <s v="Loss"/>
    <n v="4.8799999999999955"/>
    <n v="108.30900000000008"/>
  </r>
  <r>
    <s v="2024-12-18"/>
    <n v="230.77"/>
    <x v="979"/>
    <n v="220.11"/>
    <n v="220.52"/>
    <n v="43281443"/>
    <x v="1"/>
    <s v="Amazon"/>
    <x v="1"/>
    <n v="-4.5990000000000002"/>
    <x v="23"/>
    <x v="1"/>
    <s v="December"/>
    <s v="Loss"/>
    <n v="11.289999999999992"/>
    <n v="103.71000000000008"/>
  </r>
  <r>
    <s v="2024-12-19"/>
    <n v="224.91"/>
    <x v="980"/>
    <n v="222.92"/>
    <n v="223.29"/>
    <n v="39918739"/>
    <x v="1"/>
    <s v="Amazon"/>
    <x v="1"/>
    <n v="1.256"/>
    <x v="23"/>
    <x v="1"/>
    <s v="December"/>
    <s v="Profit"/>
    <n v="3.1700000000000159"/>
    <n v="104.96600000000008"/>
  </r>
  <r>
    <s v="2024-12-20"/>
    <n v="219.84"/>
    <x v="981"/>
    <n v="218.73"/>
    <n v="224.92"/>
    <n v="88279184"/>
    <x v="1"/>
    <s v="Amazon"/>
    <x v="1"/>
    <n v="0.73"/>
    <x v="23"/>
    <x v="1"/>
    <s v="December"/>
    <s v="Profit"/>
    <n v="7.4800000000000182"/>
    <n v="105.69600000000008"/>
  </r>
  <r>
    <s v="2024-12-23"/>
    <n v="225.01"/>
    <x v="982"/>
    <n v="223.9"/>
    <n v="225.06"/>
    <n v="28070007"/>
    <x v="1"/>
    <s v="Amazon"/>
    <x v="1"/>
    <n v="6.2E-2"/>
    <x v="23"/>
    <x v="1"/>
    <s v="December"/>
    <s v="Profit"/>
    <n v="2.9799999999999898"/>
    <n v="105.75800000000008"/>
  </r>
  <r>
    <s v="2024-12-24"/>
    <n v="226.94"/>
    <x v="983"/>
    <n v="226.13"/>
    <n v="229.05"/>
    <n v="15007497"/>
    <x v="1"/>
    <s v="Amazon"/>
    <x v="1"/>
    <n v="1.7729999999999999"/>
    <x v="23"/>
    <x v="1"/>
    <s v="December"/>
    <s v="Profit"/>
    <n v="3.0099999999999909"/>
    <n v="107.53100000000008"/>
  </r>
  <r>
    <s v="2024-12-26"/>
    <n v="228.5"/>
    <x v="984"/>
    <n v="226.67099999999999"/>
    <n v="227.05"/>
    <n v="16174500"/>
    <x v="1"/>
    <s v="Amazon"/>
    <x v="1"/>
    <n v="-0.873"/>
    <x v="23"/>
    <x v="1"/>
    <s v="December"/>
    <s v="Loss"/>
    <n v="1.8290000000000077"/>
    <n v="106.65800000000007"/>
  </r>
  <r>
    <s v="2024-12-27"/>
    <n v="225.6"/>
    <x v="985"/>
    <n v="220.9"/>
    <n v="223.75"/>
    <n v="27367147"/>
    <x v="1"/>
    <s v="Amazon"/>
    <x v="1"/>
    <n v="-1.4530000000000001"/>
    <x v="23"/>
    <x v="1"/>
    <s v="December"/>
    <s v="Loss"/>
    <n v="5.1299999999999955"/>
    <n v="105.20500000000007"/>
  </r>
  <r>
    <s v="2024-12-30"/>
    <n v="220.06"/>
    <x v="986"/>
    <n v="218.43"/>
    <n v="221.3"/>
    <n v="28321240"/>
    <x v="1"/>
    <s v="Amazon"/>
    <x v="1"/>
    <n v="-1.095"/>
    <x v="23"/>
    <x v="1"/>
    <s v="December"/>
    <s v="Loss"/>
    <n v="4.5670000000000073"/>
    <n v="104.11000000000007"/>
  </r>
  <r>
    <s v="2024-12-31"/>
    <n v="222.965"/>
    <x v="987"/>
    <n v="218.94"/>
    <n v="219.39"/>
    <n v="24819655"/>
    <x v="1"/>
    <s v="Amazon"/>
    <x v="1"/>
    <n v="-0.86299999999999999"/>
    <x v="23"/>
    <x v="1"/>
    <s v="December"/>
    <s v="Loss"/>
    <n v="4.289999999999992"/>
    <n v="103.24700000000007"/>
  </r>
  <r>
    <s v="2023-01-03"/>
    <n v="89.260999999999996"/>
    <x v="988"/>
    <n v="88.2"/>
    <n v="88.798000000000002"/>
    <n v="28233202"/>
    <x v="2"/>
    <s v="Google"/>
    <x v="0"/>
    <m/>
    <x v="0"/>
    <x v="0"/>
    <s v="January"/>
    <m/>
    <n v="2.5210000000000008"/>
    <n v="0"/>
  </r>
  <r>
    <s v="2023-01-04"/>
    <n v="90.024000000000001"/>
    <x v="989"/>
    <n v="86.956000000000003"/>
    <n v="87.762"/>
    <n v="34981128"/>
    <x v="2"/>
    <s v="Google"/>
    <x v="0"/>
    <n v="-1.167"/>
    <x v="0"/>
    <x v="0"/>
    <s v="January"/>
    <s v="Loss"/>
    <n v="3.3669999999999902"/>
    <n v="-1.167"/>
  </r>
  <r>
    <s v="2023-01-05"/>
    <n v="87.153999999999996"/>
    <x v="990"/>
    <n v="85.59"/>
    <n v="85.888999999999996"/>
    <n v="27292957"/>
    <x v="2"/>
    <s v="Google"/>
    <x v="0"/>
    <n v="-2.1339999999999999"/>
    <x v="0"/>
    <x v="0"/>
    <s v="January"/>
    <s v="Loss"/>
    <n v="1.6640000000000015"/>
    <n v="-3.3010000000000002"/>
  </r>
  <r>
    <s v="2023-01-06"/>
    <n v="86.477000000000004"/>
    <x v="991"/>
    <n v="84.552999999999997"/>
    <n v="87.025000000000006"/>
    <n v="41531507"/>
    <x v="2"/>
    <s v="Google"/>
    <x v="0"/>
    <n v="1.323"/>
    <x v="0"/>
    <x v="0"/>
    <s v="January"/>
    <s v="Profit"/>
    <n v="2.8200000000000074"/>
    <n v="-1.9780000000000002"/>
  </r>
  <r>
    <s v="2023-01-09"/>
    <n v="88.040999999999997"/>
    <x v="992"/>
    <n v="87.543000000000006"/>
    <n v="87.701999999999998"/>
    <n v="29109043"/>
    <x v="2"/>
    <s v="Google"/>
    <x v="0"/>
    <n v="0.77900000000000003"/>
    <x v="0"/>
    <x v="0"/>
    <s v="January"/>
    <s v="Profit"/>
    <n v="2.1819999999999879"/>
    <n v="-1.1990000000000003"/>
  </r>
  <r>
    <s v="2023-01-10"/>
    <n v="85.668999999999997"/>
    <x v="993"/>
    <n v="85.52"/>
    <n v="88.100999999999999"/>
    <n v="30578203"/>
    <x v="2"/>
    <s v="Google"/>
    <x v="0"/>
    <n v="0.45400000000000001"/>
    <x v="0"/>
    <x v="0"/>
    <s v="January"/>
    <s v="Profit"/>
    <n v="2.8299999999999983"/>
    <n v="-0.74500000000000033"/>
  </r>
  <r>
    <s v="2023-01-11"/>
    <n v="88.858000000000004"/>
    <x v="994"/>
    <n v="88.688999999999993"/>
    <n v="91.188999999999993"/>
    <n v="26959346"/>
    <x v="2"/>
    <s v="Google"/>
    <x v="0"/>
    <n v="3.5059999999999998"/>
    <x v="0"/>
    <x v="0"/>
    <s v="January"/>
    <s v="Profit"/>
    <n v="2.5800000000000125"/>
    <n v="2.7609999999999992"/>
  </r>
  <r>
    <s v="2023-01-12"/>
    <n v="91.15"/>
    <x v="995"/>
    <n v="89.426000000000002"/>
    <n v="90.801000000000002"/>
    <n v="30367823"/>
    <x v="2"/>
    <s v="Google"/>
    <x v="0"/>
    <n v="-0.42599999999999999"/>
    <x v="0"/>
    <x v="0"/>
    <s v="January"/>
    <s v="Loss"/>
    <n v="2.1119999999999948"/>
    <n v="2.3349999999999991"/>
  </r>
  <r>
    <s v="2023-01-13"/>
    <n v="90.522000000000006"/>
    <x v="996"/>
    <n v="89.804000000000002"/>
    <n v="91.787000000000006"/>
    <n v="26424658"/>
    <x v="2"/>
    <s v="Google"/>
    <x v="0"/>
    <n v="1.0860000000000001"/>
    <x v="0"/>
    <x v="0"/>
    <s v="January"/>
    <s v="Profit"/>
    <n v="2.0529999999999973"/>
    <n v="3.4209999999999994"/>
  </r>
  <r>
    <s v="2023-01-17"/>
    <n v="91.727999999999994"/>
    <x v="997"/>
    <n v="89.724999999999994"/>
    <n v="90.96"/>
    <n v="32720610"/>
    <x v="2"/>
    <s v="Google"/>
    <x v="0"/>
    <n v="-0.90100000000000002"/>
    <x v="0"/>
    <x v="0"/>
    <s v="January"/>
    <s v="Loss"/>
    <n v="2.1920000000000073"/>
    <n v="2.5199999999999996"/>
  </r>
  <r>
    <s v="2023-01-18"/>
    <n v="91.807000000000002"/>
    <x v="998"/>
    <n v="90.313000000000002"/>
    <n v="90.790999999999997"/>
    <n v="29222241"/>
    <x v="2"/>
    <s v="Google"/>
    <x v="0"/>
    <n v="-0.186"/>
    <x v="0"/>
    <x v="0"/>
    <s v="January"/>
    <s v="Loss"/>
    <n v="2.152000000000001"/>
    <n v="2.3339999999999996"/>
  </r>
  <r>
    <s v="2023-01-19"/>
    <n v="90.391999999999996"/>
    <x v="999"/>
    <n v="90.302999999999997"/>
    <n v="92.713999999999999"/>
    <n v="37134525"/>
    <x v="2"/>
    <s v="Google"/>
    <x v="0"/>
    <n v="2.1179999999999999"/>
    <x v="0"/>
    <x v="0"/>
    <s v="January"/>
    <s v="Profit"/>
    <n v="2.9639999999999986"/>
    <n v="4.452"/>
  </r>
  <r>
    <s v="2023-01-20"/>
    <n v="94.757000000000005"/>
    <x v="1000"/>
    <n v="94.677000000000007"/>
    <n v="97.665999999999997"/>
    <n v="63420152"/>
    <x v="2"/>
    <s v="Google"/>
    <x v="0"/>
    <n v="5.3410000000000002"/>
    <x v="0"/>
    <x v="0"/>
    <s v="January"/>
    <s v="Profit"/>
    <n v="3.2679999999999865"/>
    <n v="9.7929999999999993"/>
  </r>
  <r>
    <s v="2023-01-23"/>
    <n v="97.596000000000004"/>
    <x v="1001"/>
    <n v="97.147999999999996"/>
    <n v="99.43"/>
    <n v="40150077"/>
    <x v="2"/>
    <s v="Google"/>
    <x v="0"/>
    <n v="1.806"/>
    <x v="0"/>
    <x v="0"/>
    <s v="January"/>
    <s v="Profit"/>
    <n v="2.5310000000000059"/>
    <n v="11.599"/>
  </r>
  <r>
    <s v="2023-01-24"/>
    <n v="97.745999999999995"/>
    <x v="1002"/>
    <n v="96.849000000000004"/>
    <n v="97.346999999999994"/>
    <n v="33198424"/>
    <x v="2"/>
    <s v="Google"/>
    <x v="0"/>
    <n v="-2.0939999999999999"/>
    <x v="0"/>
    <x v="0"/>
    <s v="January"/>
    <s v="Loss"/>
    <n v="2.4009999999999962"/>
    <n v="9.5050000000000008"/>
  </r>
  <r>
    <s v="2023-01-25"/>
    <n v="95.224999999999994"/>
    <x v="1003"/>
    <n v="93.421000000000006"/>
    <n v="94.876000000000005"/>
    <n v="42483402"/>
    <x v="2"/>
    <s v="Google"/>
    <x v="0"/>
    <n v="-2.5379999999999998"/>
    <x v="0"/>
    <x v="0"/>
    <s v="January"/>
    <s v="Loss"/>
    <n v="2.3939999999999912"/>
    <n v="6.9670000000000005"/>
  </r>
  <r>
    <s v="2023-01-26"/>
    <n v="96.150999999999996"/>
    <x v="1004"/>
    <n v="95.034999999999997"/>
    <n v="97.168000000000006"/>
    <n v="30223140"/>
    <x v="2"/>
    <s v="Google"/>
    <x v="0"/>
    <n v="2.415"/>
    <x v="0"/>
    <x v="0"/>
    <s v="January"/>
    <s v="Profit"/>
    <n v="2.1830000000000069"/>
    <n v="9.3820000000000014"/>
  </r>
  <r>
    <s v="2023-01-27"/>
    <n v="96.959000000000003"/>
    <x v="1005"/>
    <n v="96.959000000000003"/>
    <n v="99.010999999999996"/>
    <n v="34002570"/>
    <x v="2"/>
    <s v="Google"/>
    <x v="0"/>
    <n v="1.897"/>
    <x v="0"/>
    <x v="0"/>
    <s v="January"/>
    <s v="Profit"/>
    <n v="2.9979999999999905"/>
    <n v="11.279000000000002"/>
  </r>
  <r>
    <s v="2023-01-30"/>
    <n v="97.128"/>
    <x v="1006"/>
    <n v="96.046999999999997"/>
    <n v="96.59"/>
    <n v="27324895"/>
    <x v="2"/>
    <s v="Google"/>
    <x v="0"/>
    <n v="-2.4449999999999998"/>
    <x v="0"/>
    <x v="0"/>
    <s v="January"/>
    <s v="Loss"/>
    <n v="1.8880000000000052"/>
    <n v="8.8340000000000014"/>
  </r>
  <r>
    <s v="2023-01-31"/>
    <n v="96.52"/>
    <x v="1007"/>
    <n v="96.47"/>
    <n v="98.483000000000004"/>
    <n v="29978953"/>
    <x v="2"/>
    <s v="Google"/>
    <x v="0"/>
    <n v="1.96"/>
    <x v="0"/>
    <x v="0"/>
    <s v="January"/>
    <s v="Profit"/>
    <n v="2.0529999999999973"/>
    <n v="10.794"/>
  </r>
  <r>
    <s v="2023-02-01"/>
    <n v="98.352999999999994"/>
    <x v="1008"/>
    <n v="97.227999999999994"/>
    <n v="100.06699999999999"/>
    <n v="35659907"/>
    <x v="2"/>
    <s v="Google"/>
    <x v="0"/>
    <n v="1.6080000000000001"/>
    <x v="1"/>
    <x v="0"/>
    <s v="February"/>
    <s v="Profit"/>
    <n v="3.5960000000000036"/>
    <n v="12.402000000000001"/>
  </r>
  <r>
    <s v="2023-02-02"/>
    <n v="105.41800000000001"/>
    <x v="1009"/>
    <n v="105.22799999999999"/>
    <n v="107.35"/>
    <n v="70137097"/>
    <x v="2"/>
    <s v="Google"/>
    <x v="0"/>
    <n v="7.2779999999999996"/>
    <x v="1"/>
    <x v="0"/>
    <s v="February"/>
    <s v="Profit"/>
    <n v="2.2319999999999993"/>
    <n v="19.68"/>
  </r>
  <r>
    <s v="2023-02-03"/>
    <n v="102.55800000000001"/>
    <x v="1010"/>
    <n v="102.209"/>
    <n v="104.401"/>
    <n v="65546013"/>
    <x v="2"/>
    <s v="Google"/>
    <x v="0"/>
    <n v="-2.7469999999999999"/>
    <x v="1"/>
    <x v="0"/>
    <s v="February"/>
    <s v="Loss"/>
    <n v="5.2109999999999985"/>
    <n v="16.933"/>
  </r>
  <r>
    <s v="2023-02-06"/>
    <n v="102.03"/>
    <x v="1011"/>
    <n v="101.512"/>
    <n v="102.52800000000001"/>
    <n v="32115563"/>
    <x v="2"/>
    <s v="Google"/>
    <x v="0"/>
    <n v="-1.794"/>
    <x v="1"/>
    <x v="0"/>
    <s v="February"/>
    <s v="Loss"/>
    <n v="2.4710000000000036"/>
    <n v="15.138999999999999"/>
  </r>
  <r>
    <s v="2023-02-07"/>
    <n v="102.84699999999999"/>
    <x v="1012"/>
    <n v="102.748"/>
    <n v="107.252"/>
    <n v="49187897"/>
    <x v="2"/>
    <s v="Google"/>
    <x v="0"/>
    <n v="4.6079999999999997"/>
    <x v="1"/>
    <x v="0"/>
    <s v="February"/>
    <s v="Profit"/>
    <n v="5.0409999999999968"/>
    <n v="19.747"/>
  </r>
  <r>
    <s v="2023-02-08"/>
    <n v="101.681"/>
    <x v="1013"/>
    <n v="97.680999999999997"/>
    <n v="99.010999999999996"/>
    <n v="95086969"/>
    <x v="2"/>
    <s v="Google"/>
    <x v="0"/>
    <n v="-7.6840000000000002"/>
    <x v="1"/>
    <x v="0"/>
    <s v="February"/>
    <s v="Loss"/>
    <n v="5.0859999999999985"/>
    <n v="12.062999999999999"/>
  </r>
  <r>
    <s v="2023-02-09"/>
    <n v="99.638999999999996"/>
    <x v="1014"/>
    <n v="93.292000000000002"/>
    <n v="94.667000000000002"/>
    <n v="119888056"/>
    <x v="2"/>
    <s v="Google"/>
    <x v="0"/>
    <n v="-4.3879999999999999"/>
    <x v="1"/>
    <x v="0"/>
    <s v="February"/>
    <s v="Loss"/>
    <n v="6.3769999999999953"/>
    <n v="7.6749999999999989"/>
  </r>
  <r>
    <s v="2023-02-10"/>
    <n v="95.105000000000004"/>
    <x v="1015"/>
    <n v="93.91"/>
    <n v="94.227999999999994"/>
    <n v="55180006"/>
    <x v="2"/>
    <s v="Google"/>
    <x v="0"/>
    <n v="-0.46300000000000002"/>
    <x v="1"/>
    <x v="0"/>
    <s v="February"/>
    <s v="Loss"/>
    <n v="2.4900000000000091"/>
    <n v="7.2119999999999989"/>
  </r>
  <r>
    <s v="2023-02-13"/>
    <n v="94.397999999999996"/>
    <x v="1016"/>
    <n v="93.501000000000005"/>
    <n v="94.268000000000001"/>
    <n v="50257651"/>
    <x v="2"/>
    <s v="Google"/>
    <x v="0"/>
    <n v="4.2000000000000003E-2"/>
    <x v="1"/>
    <x v="0"/>
    <s v="February"/>
    <s v="Profit"/>
    <n v="1.3549999999999898"/>
    <n v="7.2539999999999987"/>
  </r>
  <r>
    <s v="2023-02-14"/>
    <n v="94.088999999999999"/>
    <x v="1017"/>
    <n v="91.927000000000007"/>
    <n v="94.337999999999994"/>
    <n v="54924507"/>
    <x v="2"/>
    <s v="Google"/>
    <x v="0"/>
    <n v="7.3999999999999996E-2"/>
    <x v="1"/>
    <x v="0"/>
    <s v="February"/>
    <s v="Profit"/>
    <n v="2.5749999999999886"/>
    <n v="7.3279999999999985"/>
  </r>
  <r>
    <s v="2023-02-15"/>
    <n v="94.149000000000001"/>
    <x v="1018"/>
    <n v="93.81"/>
    <n v="96.59"/>
    <n v="50480818"/>
    <x v="2"/>
    <s v="Google"/>
    <x v="0"/>
    <n v="2.387"/>
    <x v="1"/>
    <x v="0"/>
    <s v="February"/>
    <s v="Profit"/>
    <n v="2.9590000000000032"/>
    <n v="9.7149999999999981"/>
  </r>
  <r>
    <s v="2023-02-16"/>
    <n v="95.025999999999996"/>
    <x v="1019"/>
    <n v="94.397999999999996"/>
    <n v="95.165000000000006"/>
    <n v="42616549"/>
    <x v="2"/>
    <s v="Google"/>
    <x v="0"/>
    <n v="-1.4750000000000001"/>
    <x v="1"/>
    <x v="0"/>
    <s v="February"/>
    <s v="Loss"/>
    <n v="2.929000000000002"/>
    <n v="8.2399999999999984"/>
  </r>
  <r>
    <s v="2023-02-17"/>
    <n v="94.507000000000005"/>
    <x v="1020"/>
    <n v="92.873000000000005"/>
    <n v="94.009"/>
    <n v="34408401"/>
    <x v="2"/>
    <s v="Google"/>
    <x v="0"/>
    <n v="-1.2150000000000001"/>
    <x v="1"/>
    <x v="0"/>
    <s v="February"/>
    <s v="Loss"/>
    <n v="2.3419999999999987"/>
    <n v="7.0249999999999986"/>
  </r>
  <r>
    <s v="2023-02-21"/>
    <n v="92.664000000000001"/>
    <x v="1021"/>
    <n v="91.388999999999996"/>
    <n v="91.459000000000003"/>
    <n v="33751165"/>
    <x v="2"/>
    <s v="Google"/>
    <x v="0"/>
    <n v="-2.7130000000000001"/>
    <x v="1"/>
    <x v="0"/>
    <s v="February"/>
    <s v="Loss"/>
    <n v="1.375"/>
    <n v="4.3119999999999985"/>
  </r>
  <r>
    <s v="2023-02-22"/>
    <n v="91.369"/>
    <x v="1022"/>
    <n v="90.283000000000001"/>
    <n v="91.319000000000003"/>
    <n v="30995974"/>
    <x v="2"/>
    <s v="Google"/>
    <x v="0"/>
    <n v="-0.153"/>
    <x v="1"/>
    <x v="0"/>
    <s v="February"/>
    <s v="Loss"/>
    <n v="1.4939999999999998"/>
    <n v="4.1589999999999989"/>
  </r>
  <r>
    <s v="2023-02-23"/>
    <n v="91.587999999999994"/>
    <x v="1023"/>
    <n v="89.436000000000007"/>
    <n v="90.561999999999998"/>
    <n v="41355757"/>
    <x v="2"/>
    <s v="Google"/>
    <x v="0"/>
    <n v="-0.82899999999999996"/>
    <x v="1"/>
    <x v="0"/>
    <s v="February"/>
    <s v="Loss"/>
    <n v="2.171999999999997"/>
    <n v="3.3299999999999992"/>
  </r>
  <r>
    <s v="2023-02-24"/>
    <n v="89.117000000000004"/>
    <x v="1024"/>
    <n v="88.254999999999995"/>
    <n v="88.808000000000007"/>
    <n v="36717717"/>
    <x v="2"/>
    <s v="Google"/>
    <x v="0"/>
    <n v="-1.9359999999999999"/>
    <x v="1"/>
    <x v="0"/>
    <s v="February"/>
    <s v="Loss"/>
    <n v="1.3100000000000023"/>
    <n v="1.3939999999999992"/>
  </r>
  <r>
    <s v="2023-02-27"/>
    <n v="89.545000000000002"/>
    <x v="1025"/>
    <n v="89.012"/>
    <n v="89.545000000000002"/>
    <n v="27602000"/>
    <x v="2"/>
    <s v="Google"/>
    <x v="0"/>
    <n v="0.83"/>
    <x v="1"/>
    <x v="0"/>
    <s v="February"/>
    <s v="Profit"/>
    <n v="0.82200000000000273"/>
    <n v="2.2239999999999993"/>
  </r>
  <r>
    <s v="2023-02-28"/>
    <n v="89.007000000000005"/>
    <x v="1026"/>
    <n v="88.997"/>
    <n v="89.734999999999999"/>
    <n v="30251306"/>
    <x v="2"/>
    <s v="Google"/>
    <x v="0"/>
    <n v="0.21199999999999999"/>
    <x v="1"/>
    <x v="0"/>
    <s v="February"/>
    <s v="Profit"/>
    <n v="1.9030000000000058"/>
    <n v="2.4359999999999995"/>
  </r>
  <r>
    <s v="2023-03-01"/>
    <n v="89.655000000000001"/>
    <x v="1027"/>
    <n v="89.346000000000004"/>
    <n v="90.034000000000006"/>
    <n v="31224006"/>
    <x v="2"/>
    <s v="Google"/>
    <x v="0"/>
    <n v="0.33300000000000002"/>
    <x v="2"/>
    <x v="0"/>
    <s v="March"/>
    <s v="Profit"/>
    <n v="1.3549999999999898"/>
    <n v="2.7689999999999997"/>
  </r>
  <r>
    <s v="2023-03-02"/>
    <n v="89.335999999999999"/>
    <x v="1028"/>
    <n v="89.266000000000005"/>
    <n v="91.668000000000006"/>
    <n v="32343052"/>
    <x v="2"/>
    <s v="Google"/>
    <x v="0"/>
    <n v="1.8149999999999999"/>
    <x v="2"/>
    <x v="0"/>
    <s v="March"/>
    <s v="Profit"/>
    <n v="2.6759999999999877"/>
    <n v="4.5839999999999996"/>
  </r>
  <r>
    <s v="2023-03-03"/>
    <n v="92.146000000000001"/>
    <x v="1029"/>
    <n v="92.116"/>
    <n v="93.311999999999998"/>
    <n v="35287563"/>
    <x v="2"/>
    <s v="Google"/>
    <x v="0"/>
    <n v="1.794"/>
    <x v="2"/>
    <x v="0"/>
    <s v="March"/>
    <s v="Profit"/>
    <n v="1.2750000000000057"/>
    <n v="6.3780000000000001"/>
  </r>
  <r>
    <s v="2023-03-06"/>
    <n v="93.674999999999997"/>
    <x v="1030"/>
    <n v="93.66"/>
    <n v="94.786000000000001"/>
    <n v="32757633"/>
    <x v="2"/>
    <s v="Google"/>
    <x v="0"/>
    <n v="1.58"/>
    <x v="2"/>
    <x v="0"/>
    <s v="March"/>
    <s v="Profit"/>
    <n v="1.9630000000000081"/>
    <n v="7.9580000000000002"/>
  </r>
  <r>
    <s v="2023-03-07"/>
    <n v="94.637"/>
    <x v="1031"/>
    <n v="93.191999999999993"/>
    <n v="93.521000000000001"/>
    <n v="27936382"/>
    <x v="2"/>
    <s v="Google"/>
    <x v="0"/>
    <n v="-1.335"/>
    <x v="2"/>
    <x v="0"/>
    <s v="March"/>
    <s v="Loss"/>
    <n v="2.1330000000000098"/>
    <n v="6.6230000000000002"/>
  </r>
  <r>
    <s v="2023-03-08"/>
    <n v="93.78"/>
    <x v="1032"/>
    <n v="93.66"/>
    <n v="93.91"/>
    <n v="34226892"/>
    <x v="2"/>
    <s v="Google"/>
    <x v="0"/>
    <n v="0.41599999999999998"/>
    <x v="2"/>
    <x v="0"/>
    <s v="March"/>
    <s v="Profit"/>
    <n v="1.9480000000000075"/>
    <n v="7.0390000000000006"/>
  </r>
  <r>
    <s v="2023-03-09"/>
    <n v="93.71"/>
    <x v="1033"/>
    <n v="91.567999999999998"/>
    <n v="91.986999999999995"/>
    <n v="28917983"/>
    <x v="2"/>
    <s v="Google"/>
    <x v="0"/>
    <n v="-2.048"/>
    <x v="2"/>
    <x v="0"/>
    <s v="March"/>
    <s v="Loss"/>
    <n v="3.6170000000000044"/>
    <n v="4.9910000000000005"/>
  </r>
  <r>
    <s v="2023-03-10"/>
    <n v="91.837000000000003"/>
    <x v="1034"/>
    <n v="90.069000000000003"/>
    <n v="90.302999999999997"/>
    <n v="36071335"/>
    <x v="2"/>
    <s v="Google"/>
    <x v="0"/>
    <n v="-1.831"/>
    <x v="2"/>
    <x v="0"/>
    <s v="March"/>
    <s v="Loss"/>
    <n v="2.3859999999999957"/>
    <n v="3.1600000000000006"/>
  </r>
  <r>
    <s v="2023-03-13"/>
    <n v="89.763999999999996"/>
    <x v="1035"/>
    <n v="89.096999999999994"/>
    <n v="90.781000000000006"/>
    <n v="37470918"/>
    <x v="2"/>
    <s v="Google"/>
    <x v="0"/>
    <n v="0.53"/>
    <x v="2"/>
    <x v="0"/>
    <s v="March"/>
    <s v="Profit"/>
    <n v="3.13900000000001"/>
    <n v="3.6900000000000004"/>
  </r>
  <r>
    <s v="2023-03-14"/>
    <n v="92.225999999999999"/>
    <x v="1036"/>
    <n v="92.105999999999995"/>
    <n v="93.631"/>
    <n v="36180899"/>
    <x v="2"/>
    <s v="Google"/>
    <x v="0"/>
    <n v="3.1389999999999998"/>
    <x v="2"/>
    <x v="0"/>
    <s v="March"/>
    <s v="Profit"/>
    <n v="1.9130000000000109"/>
    <n v="6.8290000000000006"/>
  </r>
  <r>
    <s v="2023-03-15"/>
    <n v="92.882999999999996"/>
    <x v="1037"/>
    <n v="92.305000000000007"/>
    <n v="95.763000000000005"/>
    <n v="50805560"/>
    <x v="2"/>
    <s v="Google"/>
    <x v="0"/>
    <n v="2.2770000000000001"/>
    <x v="2"/>
    <x v="0"/>
    <s v="March"/>
    <s v="Profit"/>
    <n v="4.2749999999999915"/>
    <n v="9.1060000000000016"/>
  </r>
  <r>
    <s v="2023-03-16"/>
    <n v="95.852999999999994"/>
    <x v="1008"/>
    <n v="95.155000000000001"/>
    <n v="99.956999999999994"/>
    <n v="65805345"/>
    <x v="2"/>
    <s v="Google"/>
    <x v="0"/>
    <n v="4.38"/>
    <x v="2"/>
    <x v="0"/>
    <s v="March"/>
    <s v="Profit"/>
    <n v="5.6689999999999969"/>
    <n v="13.486000000000001"/>
  </r>
  <r>
    <s v="2023-03-17"/>
    <n v="99.897000000000006"/>
    <x v="1038"/>
    <n v="99.738"/>
    <n v="101.253"/>
    <n v="61249781"/>
    <x v="2"/>
    <s v="Google"/>
    <x v="0"/>
    <n v="1.296"/>
    <x v="2"/>
    <x v="0"/>
    <s v="March"/>
    <s v="Profit"/>
    <n v="2.7259999999999991"/>
    <n v="14.782"/>
  </r>
  <r>
    <s v="2023-03-20"/>
    <n v="99.757999999999996"/>
    <x v="1039"/>
    <n v="99.509"/>
    <n v="100.854"/>
    <n v="33079924"/>
    <x v="2"/>
    <s v="Google"/>
    <x v="0"/>
    <n v="-0.39400000000000002"/>
    <x v="2"/>
    <x v="0"/>
    <s v="March"/>
    <s v="Loss"/>
    <n v="1.8730000000000047"/>
    <n v="14.388"/>
  </r>
  <r>
    <s v="2023-03-21"/>
    <n v="100.884"/>
    <x v="1040"/>
    <n v="100.854"/>
    <n v="104.541"/>
    <n v="42262933"/>
    <x v="2"/>
    <s v="Google"/>
    <x v="0"/>
    <n v="3.6560000000000001"/>
    <x v="2"/>
    <x v="0"/>
    <s v="March"/>
    <s v="Profit"/>
    <n v="3.8670000000000044"/>
    <n v="18.044"/>
  </r>
  <r>
    <s v="2023-03-22"/>
    <n v="103.893"/>
    <x v="1041"/>
    <n v="102.95699999999999"/>
    <n v="102.996"/>
    <n v="43584847"/>
    <x v="2"/>
    <s v="Google"/>
    <x v="0"/>
    <n v="-1.478"/>
    <x v="2"/>
    <x v="0"/>
    <s v="March"/>
    <s v="Loss"/>
    <n v="3.2480000000000047"/>
    <n v="16.565999999999999"/>
  </r>
  <r>
    <s v="2023-03-23"/>
    <n v="104.681"/>
    <x v="1042"/>
    <n v="104.083"/>
    <n v="105.218"/>
    <n v="40945665"/>
    <x v="2"/>
    <s v="Google"/>
    <x v="0"/>
    <n v="2.157"/>
    <x v="2"/>
    <x v="0"/>
    <s v="March"/>
    <s v="Profit"/>
    <n v="1.8329999999999984"/>
    <n v="18.722999999999999"/>
  </r>
  <r>
    <s v="2023-03-24"/>
    <n v="104.611"/>
    <x v="1043"/>
    <n v="103.465"/>
    <n v="105.059"/>
    <n v="30521286"/>
    <x v="2"/>
    <s v="Google"/>
    <x v="0"/>
    <n v="-0.151"/>
    <x v="2"/>
    <x v="0"/>
    <s v="March"/>
    <s v="Loss"/>
    <n v="1.6439999999999912"/>
    <n v="18.571999999999999"/>
  </r>
  <r>
    <s v="2023-03-27"/>
    <n v="104.238"/>
    <x v="1044"/>
    <n v="101.559"/>
    <n v="102.09"/>
    <n v="31233680"/>
    <x v="2"/>
    <s v="Google"/>
    <x v="0"/>
    <n v="-2.8260000000000001"/>
    <x v="2"/>
    <x v="0"/>
    <s v="March"/>
    <s v="Loss"/>
    <n v="2.8220000000000027"/>
    <n v="15.745999999999999"/>
  </r>
  <r>
    <s v="2023-03-28"/>
    <n v="102.07"/>
    <x v="1045"/>
    <n v="99.38"/>
    <n v="100.66500000000001"/>
    <n v="32174078"/>
    <x v="2"/>
    <s v="Google"/>
    <x v="0"/>
    <n v="-1.3959999999999999"/>
    <x v="2"/>
    <x v="0"/>
    <s v="March"/>
    <s v="Loss"/>
    <n v="2.7000000000000028"/>
    <n v="14.349999999999998"/>
  </r>
  <r>
    <s v="2023-03-29"/>
    <n v="101.911"/>
    <x v="1046"/>
    <n v="100.28700000000001"/>
    <n v="101.024"/>
    <n v="28883900"/>
    <x v="2"/>
    <s v="Google"/>
    <x v="0"/>
    <n v="0.35699999999999998"/>
    <x v="2"/>
    <x v="0"/>
    <s v="March"/>
    <s v="Profit"/>
    <n v="1.8329999999999984"/>
    <n v="14.706999999999997"/>
  </r>
  <r>
    <s v="2023-03-30"/>
    <n v="100.545"/>
    <x v="1047"/>
    <n v="99.42"/>
    <n v="100.52500000000001"/>
    <n v="33206123"/>
    <x v="2"/>
    <s v="Google"/>
    <x v="0"/>
    <n v="-0.49399999999999999"/>
    <x v="2"/>
    <x v="0"/>
    <s v="March"/>
    <s v="Loss"/>
    <n v="1.3689999999999998"/>
    <n v="14.212999999999997"/>
  </r>
  <r>
    <s v="2023-03-31"/>
    <n v="100.934"/>
    <x v="1048"/>
    <n v="100.675"/>
    <n v="103.35599999999999"/>
    <n v="36997002"/>
    <x v="2"/>
    <s v="Google"/>
    <x v="0"/>
    <n v="2.8159999999999998"/>
    <x v="2"/>
    <x v="0"/>
    <s v="March"/>
    <s v="Profit"/>
    <n v="2.8389999999999986"/>
    <n v="17.028999999999996"/>
  </r>
  <r>
    <s v="2023-04-03"/>
    <n v="102.02"/>
    <x v="1049"/>
    <n v="101.562"/>
    <n v="103.983"/>
    <n v="25126154"/>
    <x v="2"/>
    <s v="Google"/>
    <x v="0"/>
    <n v="0.60699999999999998"/>
    <x v="3"/>
    <x v="0"/>
    <s v="April"/>
    <s v="Profit"/>
    <n v="2.5910000000000082"/>
    <n v="17.635999999999996"/>
  </r>
  <r>
    <s v="2023-04-04"/>
    <n v="103.953"/>
    <x v="1050"/>
    <n v="103.664"/>
    <n v="104.34099999999999"/>
    <n v="24508604"/>
    <x v="2"/>
    <s v="Google"/>
    <x v="0"/>
    <n v="0.34399999999999997"/>
    <x v="3"/>
    <x v="0"/>
    <s v="April"/>
    <s v="Profit"/>
    <n v="1.5339999999999918"/>
    <n v="17.979999999999997"/>
  </r>
  <r>
    <s v="2023-04-05"/>
    <n v="105.398"/>
    <x v="1051"/>
    <n v="103.286"/>
    <n v="104.093"/>
    <n v="28393058"/>
    <x v="2"/>
    <s v="Google"/>
    <x v="0"/>
    <n v="-0.23799999999999999"/>
    <x v="3"/>
    <x v="0"/>
    <s v="April"/>
    <s v="Loss"/>
    <n v="2.4309999999999974"/>
    <n v="17.741999999999997"/>
  </r>
  <r>
    <s v="2023-04-06"/>
    <n v="104.88"/>
    <x v="1052"/>
    <n v="103.953"/>
    <n v="108.02800000000001"/>
    <n v="48888064"/>
    <x v="2"/>
    <s v="Google"/>
    <x v="0"/>
    <n v="3.78"/>
    <x v="3"/>
    <x v="0"/>
    <s v="April"/>
    <s v="Profit"/>
    <n v="4.8220000000000027"/>
    <n v="21.521999999999998"/>
  </r>
  <r>
    <s v="2023-04-10"/>
    <n v="106.593"/>
    <x v="1053"/>
    <n v="104.74"/>
    <n v="106.05500000000001"/>
    <n v="27165476"/>
    <x v="2"/>
    <s v="Google"/>
    <x v="0"/>
    <n v="-1.8260000000000001"/>
    <x v="3"/>
    <x v="0"/>
    <s v="April"/>
    <s v="Loss"/>
    <n v="2.4620000000000033"/>
    <n v="19.695999999999998"/>
  </r>
  <r>
    <s v="2023-04-11"/>
    <n v="106.16500000000001"/>
    <x v="1054"/>
    <n v="104.301"/>
    <n v="104.97"/>
    <n v="26407185"/>
    <x v="2"/>
    <s v="Google"/>
    <x v="0"/>
    <n v="-1.0229999999999999"/>
    <x v="3"/>
    <x v="0"/>
    <s v="April"/>
    <s v="Loss"/>
    <n v="2.0439999999999969"/>
    <n v="18.672999999999998"/>
  </r>
  <r>
    <s v="2023-04-12"/>
    <n v="106.19499999999999"/>
    <x v="1055"/>
    <n v="103.96299999999999"/>
    <n v="104.262"/>
    <n v="24458618"/>
    <x v="2"/>
    <s v="Google"/>
    <x v="0"/>
    <n v="-0.67400000000000004"/>
    <x v="3"/>
    <x v="0"/>
    <s v="April"/>
    <s v="Loss"/>
    <n v="2.402000000000001"/>
    <n v="17.998999999999999"/>
  </r>
  <r>
    <s v="2023-04-13"/>
    <n v="105.458"/>
    <x v="1056"/>
    <n v="105.458"/>
    <n v="107.042"/>
    <n v="24933639"/>
    <x v="2"/>
    <s v="Google"/>
    <x v="0"/>
    <n v="2.6659999999999999"/>
    <x v="3"/>
    <x v="0"/>
    <s v="April"/>
    <s v="Profit"/>
    <n v="1.6440000000000055"/>
    <n v="20.664999999999999"/>
  </r>
  <r>
    <s v="2023-04-14"/>
    <n v="106.504"/>
    <x v="1057"/>
    <n v="106.455"/>
    <n v="108.477"/>
    <n v="26674349"/>
    <x v="2"/>
    <s v="Google"/>
    <x v="0"/>
    <n v="1.341"/>
    <x v="3"/>
    <x v="0"/>
    <s v="April"/>
    <s v="Profit"/>
    <n v="2.0919999999999987"/>
    <n v="22.006"/>
  </r>
  <r>
    <s v="2023-04-17"/>
    <n v="104.279"/>
    <x v="1058"/>
    <n v="104.143"/>
    <n v="105.58799999999999"/>
    <n v="37707417"/>
    <x v="2"/>
    <s v="Google"/>
    <x v="0"/>
    <n v="-2.6629999999999998"/>
    <x v="3"/>
    <x v="0"/>
    <s v="April"/>
    <s v="Loss"/>
    <n v="1.6329999999999956"/>
    <n v="19.343"/>
  </r>
  <r>
    <s v="2023-04-18"/>
    <n v="106.105"/>
    <x v="1059"/>
    <n v="103.694"/>
    <n v="104.123"/>
    <n v="26692859"/>
    <x v="2"/>
    <s v="Google"/>
    <x v="0"/>
    <n v="-1.387"/>
    <x v="3"/>
    <x v="0"/>
    <s v="April"/>
    <s v="Loss"/>
    <n v="2.4609999999999985"/>
    <n v="17.956"/>
  </r>
  <r>
    <s v="2023-04-19"/>
    <n v="103.206"/>
    <x v="1060"/>
    <n v="102.69799999999999"/>
    <n v="103.804"/>
    <n v="20981469"/>
    <x v="2"/>
    <s v="Google"/>
    <x v="0"/>
    <n v="-0.30599999999999999"/>
    <x v="3"/>
    <x v="0"/>
    <s v="April"/>
    <s v="Loss"/>
    <n v="1.9030000000000058"/>
    <n v="17.649999999999999"/>
  </r>
  <r>
    <s v="2023-04-20"/>
    <n v="103.53400000000001"/>
    <x v="1061"/>
    <n v="103.49299999999999"/>
    <n v="104.91"/>
    <n v="27921647"/>
    <x v="2"/>
    <s v="Google"/>
    <x v="0"/>
    <n v="1.0649999999999999"/>
    <x v="3"/>
    <x v="0"/>
    <s v="April"/>
    <s v="Profit"/>
    <n v="2.3730000000000047"/>
    <n v="18.715"/>
  </r>
  <r>
    <s v="2023-04-21"/>
    <n v="105.089"/>
    <x v="1062"/>
    <n v="104.401"/>
    <n v="105.029"/>
    <n v="25893609"/>
    <x v="2"/>
    <s v="Google"/>
    <x v="0"/>
    <n v="0.113"/>
    <x v="3"/>
    <x v="0"/>
    <s v="April"/>
    <s v="Profit"/>
    <n v="1.2160000000000082"/>
    <n v="18.827999999999999"/>
  </r>
  <r>
    <s v="2023-04-24"/>
    <n v="105.10899999999999"/>
    <x v="1063"/>
    <n v="104.321"/>
    <n v="105.58799999999999"/>
    <n v="23628174"/>
    <x v="2"/>
    <s v="Google"/>
    <x v="0"/>
    <n v="0.53200000000000003"/>
    <x v="3"/>
    <x v="0"/>
    <s v="April"/>
    <s v="Profit"/>
    <n v="1.9240000000000066"/>
    <n v="19.36"/>
  </r>
  <r>
    <s v="2023-04-25"/>
    <n v="105.443"/>
    <x v="1064"/>
    <n v="103.465"/>
    <n v="103.47499999999999"/>
    <n v="46833266"/>
    <x v="2"/>
    <s v="Google"/>
    <x v="0"/>
    <n v="-2.0009999999999999"/>
    <x v="3"/>
    <x v="0"/>
    <s v="April"/>
    <s v="Loss"/>
    <n v="2.8400000000000034"/>
    <n v="17.358999999999998"/>
  </r>
  <r>
    <s v="2023-04-26"/>
    <n v="104.541"/>
    <x v="1065"/>
    <n v="102.259"/>
    <n v="103.336"/>
    <n v="53540950"/>
    <x v="2"/>
    <s v="Google"/>
    <x v="0"/>
    <n v="-0.13400000000000001"/>
    <x v="3"/>
    <x v="0"/>
    <s v="April"/>
    <s v="Loss"/>
    <n v="3.7069999999999936"/>
    <n v="17.224999999999998"/>
  </r>
  <r>
    <s v="2023-04-27"/>
    <n v="104.07299999999999"/>
    <x v="1066"/>
    <n v="103.166"/>
    <n v="107.202"/>
    <n v="50270765"/>
    <x v="2"/>
    <s v="Google"/>
    <x v="0"/>
    <n v="3.7410000000000001"/>
    <x v="3"/>
    <x v="0"/>
    <s v="April"/>
    <s v="Profit"/>
    <n v="4.8130000000000024"/>
    <n v="20.965999999999998"/>
  </r>
  <r>
    <s v="2023-04-28"/>
    <n v="106.65300000000001"/>
    <x v="1067"/>
    <n v="104.711"/>
    <n v="106.952"/>
    <n v="36270857"/>
    <x v="2"/>
    <s v="Google"/>
    <x v="0"/>
    <n v="-0.23300000000000001"/>
    <x v="3"/>
    <x v="0"/>
    <s v="April"/>
    <s v="Loss"/>
    <n v="2.2510000000000048"/>
    <n v="20.732999999999997"/>
  </r>
  <r>
    <s v="2023-05-01"/>
    <n v="106.455"/>
    <x v="1068"/>
    <n v="106.435"/>
    <n v="106.813"/>
    <n v="26778403"/>
    <x v="2"/>
    <s v="Google"/>
    <x v="0"/>
    <n v="-0.13"/>
    <x v="4"/>
    <x v="0"/>
    <s v="May"/>
    <s v="Loss"/>
    <n v="1.164999999999992"/>
    <n v="20.602999999999998"/>
  </r>
  <r>
    <s v="2023-05-02"/>
    <n v="106.753"/>
    <x v="1069"/>
    <n v="103.336"/>
    <n v="104.94"/>
    <n v="31109613"/>
    <x v="2"/>
    <s v="Google"/>
    <x v="0"/>
    <n v="-1.754"/>
    <x v="4"/>
    <x v="0"/>
    <s v="May"/>
    <s v="Loss"/>
    <n v="3.4770000000000039"/>
    <n v="18.848999999999997"/>
  </r>
  <r>
    <s v="2023-05-03"/>
    <n v="105.148"/>
    <x v="1056"/>
    <n v="104.581"/>
    <n v="105.029"/>
    <n v="21874415"/>
    <x v="2"/>
    <s v="Google"/>
    <x v="0"/>
    <n v="8.5000000000000006E-2"/>
    <x v="4"/>
    <x v="0"/>
    <s v="May"/>
    <s v="Profit"/>
    <n v="2.5210000000000008"/>
    <n v="18.933999999999997"/>
  </r>
  <r>
    <s v="2023-05-04"/>
    <n v="105.104"/>
    <x v="1070"/>
    <n v="103.59399999999999"/>
    <n v="104.31100000000001"/>
    <n v="23504404"/>
    <x v="2"/>
    <s v="Google"/>
    <x v="0"/>
    <n v="-0.68400000000000005"/>
    <x v="4"/>
    <x v="0"/>
    <s v="May"/>
    <s v="Loss"/>
    <n v="1.6240000000000094"/>
    <n v="18.249999999999996"/>
  </r>
  <r>
    <s v="2023-05-05"/>
    <n v="104.441"/>
    <x v="1071"/>
    <n v="103.73399999999999"/>
    <n v="105.188"/>
    <n v="26735823"/>
    <x v="2"/>
    <s v="Google"/>
    <x v="0"/>
    <n v="0.84099999999999997"/>
    <x v="4"/>
    <x v="0"/>
    <s v="May"/>
    <s v="Profit"/>
    <n v="1.76400000000001"/>
    <n v="19.090999999999998"/>
  </r>
  <r>
    <s v="2023-05-08"/>
    <n v="104.8"/>
    <x v="1072"/>
    <n v="104.78"/>
    <n v="107.38"/>
    <n v="26607551"/>
    <x v="2"/>
    <s v="Google"/>
    <x v="0"/>
    <n v="2.0840000000000001"/>
    <x v="4"/>
    <x v="0"/>
    <s v="May"/>
    <s v="Profit"/>
    <n v="2.789999999999992"/>
    <n v="21.174999999999997"/>
  </r>
  <r>
    <s v="2023-05-09"/>
    <n v="107.999"/>
    <x v="1073"/>
    <n v="106.803"/>
    <n v="106.962"/>
    <n v="36491950"/>
    <x v="2"/>
    <s v="Google"/>
    <x v="0"/>
    <n v="-0.38900000000000001"/>
    <x v="4"/>
    <x v="0"/>
    <s v="May"/>
    <s v="Loss"/>
    <n v="2.9489999999999981"/>
    <n v="20.785999999999998"/>
  </r>
  <r>
    <s v="2023-05-10"/>
    <n v="107.58"/>
    <x v="1074"/>
    <n v="107.54"/>
    <n v="111.346"/>
    <n v="63382304"/>
    <x v="2"/>
    <s v="Google"/>
    <x v="0"/>
    <n v="4.0990000000000002"/>
    <x v="4"/>
    <x v="0"/>
    <s v="May"/>
    <s v="Profit"/>
    <n v="4.992999999999995"/>
    <n v="24.884999999999998"/>
  </r>
  <r>
    <s v="2023-05-11"/>
    <n v="114.97799999999999"/>
    <x v="1075"/>
    <n v="113.997"/>
    <n v="116.149"/>
    <n v="79186049"/>
    <x v="2"/>
    <s v="Google"/>
    <x v="0"/>
    <n v="4.3140000000000001"/>
    <x v="4"/>
    <x v="0"/>
    <s v="May"/>
    <s v="Profit"/>
    <n v="3.4969999999999999"/>
    <n v="29.198999999999998"/>
  </r>
  <r>
    <s v="2023-05-12"/>
    <n v="116.259"/>
    <x v="1076"/>
    <n v="115.69"/>
    <n v="117.08499999999999"/>
    <n v="41251330"/>
    <x v="2"/>
    <s v="Google"/>
    <x v="0"/>
    <n v="0.80600000000000005"/>
    <x v="4"/>
    <x v="0"/>
    <s v="May"/>
    <s v="Profit"/>
    <n v="1.9140000000000015"/>
    <n v="30.004999999999999"/>
  </r>
  <r>
    <s v="2023-05-15"/>
    <n v="115.69"/>
    <x v="1077"/>
    <n v="115.59099999999999"/>
    <n v="116.089"/>
    <n v="36398235"/>
    <x v="2"/>
    <s v="Google"/>
    <x v="0"/>
    <n v="-0.85099999999999998"/>
    <x v="4"/>
    <x v="0"/>
    <s v="May"/>
    <s v="Loss"/>
    <n v="2.4610000000000127"/>
    <n v="29.154"/>
  </r>
  <r>
    <s v="2023-05-16"/>
    <n v="116.069"/>
    <x v="1078"/>
    <n v="116.01"/>
    <n v="119.07899999999999"/>
    <n v="45198816"/>
    <x v="2"/>
    <s v="Google"/>
    <x v="0"/>
    <n v="2.5760000000000001"/>
    <x v="4"/>
    <x v="0"/>
    <s v="May"/>
    <s v="Profit"/>
    <n v="4.3039999999999878"/>
    <n v="31.73"/>
  </r>
  <r>
    <s v="2023-05-17"/>
    <n v="119.178"/>
    <x v="1079"/>
    <n v="118.461"/>
    <n v="120.40300000000001"/>
    <n v="33444389"/>
    <x v="2"/>
    <s v="Google"/>
    <x v="0"/>
    <n v="1.1120000000000001"/>
    <x v="4"/>
    <x v="0"/>
    <s v="May"/>
    <s v="Profit"/>
    <n v="2.769999999999996"/>
    <n v="32.841999999999999"/>
  </r>
  <r>
    <s v="2023-05-18"/>
    <n v="120.51300000000001"/>
    <x v="1080"/>
    <n v="120.393"/>
    <n v="122.386"/>
    <n v="35361960"/>
    <x v="2"/>
    <s v="Google"/>
    <x v="0"/>
    <n v="1.647"/>
    <x v="4"/>
    <x v="0"/>
    <s v="May"/>
    <s v="Profit"/>
    <n v="2.4719999999999942"/>
    <n v="34.488999999999997"/>
  </r>
  <r>
    <s v="2023-05-19"/>
    <n v="123.10299999999999"/>
    <x v="1081"/>
    <n v="121.709"/>
    <n v="122.31699999999999"/>
    <n v="41503355"/>
    <x v="2"/>
    <s v="Google"/>
    <x v="0"/>
    <n v="-5.6000000000000001E-2"/>
    <x v="4"/>
    <x v="0"/>
    <s v="May"/>
    <s v="Loss"/>
    <n v="3.8059999999999974"/>
    <n v="34.433"/>
  </r>
  <r>
    <s v="2023-05-22"/>
    <n v="122.496"/>
    <x v="1082"/>
    <n v="122.297"/>
    <n v="124.598"/>
    <n v="35380829"/>
    <x v="2"/>
    <s v="Google"/>
    <x v="0"/>
    <n v="1.865"/>
    <x v="4"/>
    <x v="0"/>
    <s v="May"/>
    <s v="Profit"/>
    <n v="3.6770000000000067"/>
    <n v="36.298000000000002"/>
  </r>
  <r>
    <s v="2023-05-23"/>
    <n v="123.712"/>
    <x v="1083"/>
    <n v="121.768"/>
    <n v="122.117"/>
    <n v="34169672"/>
    <x v="2"/>
    <s v="Google"/>
    <x v="0"/>
    <n v="-1.9910000000000001"/>
    <x v="4"/>
    <x v="0"/>
    <s v="May"/>
    <s v="Loss"/>
    <n v="2.4069999999999965"/>
    <n v="34.307000000000002"/>
  </r>
  <r>
    <s v="2023-05-24"/>
    <n v="120.68300000000001"/>
    <x v="1084"/>
    <n v="119.42700000000001"/>
    <n v="120.46299999999999"/>
    <n v="34306550"/>
    <x v="2"/>
    <s v="Google"/>
    <x v="0"/>
    <n v="-1.3540000000000001"/>
    <x v="4"/>
    <x v="0"/>
    <s v="May"/>
    <s v="Loss"/>
    <n v="2.0429999999999922"/>
    <n v="32.953000000000003"/>
  </r>
  <r>
    <s v="2023-05-25"/>
    <n v="124.07"/>
    <x v="1085"/>
    <n v="121.52"/>
    <n v="123.03400000000001"/>
    <n v="42470389"/>
    <x v="2"/>
    <s v="Google"/>
    <x v="0"/>
    <n v="2.1339999999999999"/>
    <x v="4"/>
    <x v="0"/>
    <s v="May"/>
    <s v="Profit"/>
    <n v="3.3470000000000084"/>
    <n v="35.087000000000003"/>
  </r>
  <r>
    <s v="2023-05-26"/>
    <n v="122.72499999999999"/>
    <x v="1086"/>
    <n v="122.008"/>
    <n v="124.16"/>
    <n v="35765120"/>
    <x v="2"/>
    <s v="Google"/>
    <x v="0"/>
    <n v="0.91500000000000004"/>
    <x v="4"/>
    <x v="0"/>
    <s v="May"/>
    <s v="Profit"/>
    <n v="2.7990000000000066"/>
    <n v="36.002000000000002"/>
  </r>
  <r>
    <s v="2023-05-30"/>
    <n v="125.187"/>
    <x v="1087"/>
    <n v="121.56"/>
    <n v="123.223"/>
    <n v="35203814"/>
    <x v="2"/>
    <s v="Google"/>
    <x v="0"/>
    <n v="-0.755"/>
    <x v="4"/>
    <x v="0"/>
    <s v="May"/>
    <s v="Loss"/>
    <n v="3.6469999999999914"/>
    <n v="35.247"/>
  </r>
  <r>
    <s v="2023-05-31"/>
    <n v="122.307"/>
    <x v="1088"/>
    <n v="122.05800000000001"/>
    <n v="122.426"/>
    <n v="37461096"/>
    <x v="2"/>
    <s v="Google"/>
    <x v="0"/>
    <n v="-0.64700000000000002"/>
    <x v="4"/>
    <x v="0"/>
    <s v="May"/>
    <s v="Loss"/>
    <n v="1.5539999999999878"/>
    <n v="34.6"/>
  </r>
  <r>
    <s v="2023-06-01"/>
    <n v="122.371"/>
    <x v="1089"/>
    <n v="122.17700000000001"/>
    <n v="123.273"/>
    <n v="30884237"/>
    <x v="2"/>
    <s v="Google"/>
    <x v="0"/>
    <n v="0.69199999999999995"/>
    <x v="5"/>
    <x v="0"/>
    <s v="June"/>
    <s v="Profit"/>
    <n v="1.7929999999999922"/>
    <n v="35.292000000000002"/>
  </r>
  <r>
    <s v="2023-06-02"/>
    <n v="123.542"/>
    <x v="1090"/>
    <n v="123.313"/>
    <n v="124.22"/>
    <n v="27077952"/>
    <x v="2"/>
    <s v="Google"/>
    <x v="0"/>
    <n v="0.76800000000000002"/>
    <x v="5"/>
    <x v="0"/>
    <s v="June"/>
    <s v="Profit"/>
    <n v="2.3810000000000002"/>
    <n v="36.06"/>
  </r>
  <r>
    <s v="2023-06-05"/>
    <n v="123.562"/>
    <x v="1091"/>
    <n v="123.393"/>
    <n v="125.55500000000001"/>
    <n v="32422641"/>
    <x v="2"/>
    <s v="Google"/>
    <x v="0"/>
    <n v="1.075"/>
    <x v="5"/>
    <x v="0"/>
    <s v="June"/>
    <s v="Profit"/>
    <n v="3.5759999999999934"/>
    <n v="37.135000000000005"/>
  </r>
  <r>
    <s v="2023-06-06"/>
    <n v="125.55500000000001"/>
    <x v="1092"/>
    <n v="124.907"/>
    <n v="126.85"/>
    <n v="26734861"/>
    <x v="2"/>
    <s v="Google"/>
    <x v="0"/>
    <n v="1.0309999999999999"/>
    <x v="5"/>
    <x v="0"/>
    <s v="June"/>
    <s v="Profit"/>
    <n v="2.9200000000000017"/>
    <n v="38.166000000000004"/>
  </r>
  <r>
    <s v="2023-06-07"/>
    <n v="126.511"/>
    <x v="1093"/>
    <n v="121.679"/>
    <n v="122.05800000000001"/>
    <n v="52729445"/>
    <x v="2"/>
    <s v="Google"/>
    <x v="0"/>
    <n v="-3.778"/>
    <x v="5"/>
    <x v="0"/>
    <s v="June"/>
    <s v="Loss"/>
    <n v="6.8950000000000102"/>
    <n v="34.388000000000005"/>
  </r>
  <r>
    <s v="2023-06-08"/>
    <n v="121.783"/>
    <x v="1094"/>
    <n v="120.803"/>
    <n v="121.699"/>
    <n v="29495705"/>
    <x v="2"/>
    <s v="Google"/>
    <x v="0"/>
    <n v="-0.29399999999999998"/>
    <x v="5"/>
    <x v="0"/>
    <s v="June"/>
    <s v="Loss"/>
    <n v="1.9770000000000039"/>
    <n v="34.094000000000008"/>
  </r>
  <r>
    <s v="2023-06-09"/>
    <n v="121.80800000000001"/>
    <x v="1095"/>
    <n v="121.47"/>
    <n v="121.788"/>
    <n v="23864517"/>
    <x v="2"/>
    <s v="Google"/>
    <x v="0"/>
    <n v="7.2999999999999995E-2"/>
    <x v="5"/>
    <x v="0"/>
    <s v="June"/>
    <s v="Profit"/>
    <n v="1.8380000000000081"/>
    <n v="34.167000000000009"/>
  </r>
  <r>
    <s v="2023-06-12"/>
    <n v="122.34099999999999"/>
    <x v="1096"/>
    <n v="121.221"/>
    <n v="123.193"/>
    <n v="28441473"/>
    <x v="2"/>
    <s v="Google"/>
    <x v="0"/>
    <n v="1.1539999999999999"/>
    <x v="5"/>
    <x v="0"/>
    <s v="June"/>
    <s v="Profit"/>
    <n v="2.3810000000000002"/>
    <n v="35.321000000000012"/>
  </r>
  <r>
    <s v="2023-06-13"/>
    <n v="124.529"/>
    <x v="1097"/>
    <n v="122.735"/>
    <n v="123.383"/>
    <n v="22359074"/>
    <x v="2"/>
    <s v="Google"/>
    <x v="0"/>
    <n v="0.154"/>
    <x v="5"/>
    <x v="0"/>
    <s v="June"/>
    <s v="Profit"/>
    <n v="1.972999999999999"/>
    <n v="35.475000000000016"/>
  </r>
  <r>
    <s v="2023-06-14"/>
    <n v="122.655"/>
    <x v="1096"/>
    <n v="121.011"/>
    <n v="123.223"/>
    <n v="30703197"/>
    <x v="2"/>
    <s v="Google"/>
    <x v="0"/>
    <n v="-0.13"/>
    <x v="5"/>
    <x v="0"/>
    <s v="June"/>
    <s v="Loss"/>
    <n v="2.5910000000000082"/>
    <n v="35.345000000000013"/>
  </r>
  <r>
    <s v="2023-06-15"/>
    <n v="122.69499999999999"/>
    <x v="1098"/>
    <n v="121.958"/>
    <n v="124.63800000000001"/>
    <n v="35374039"/>
    <x v="2"/>
    <s v="Google"/>
    <x v="0"/>
    <n v="1.1479999999999999"/>
    <x v="5"/>
    <x v="0"/>
    <s v="June"/>
    <s v="Profit"/>
    <n v="3.0490000000000066"/>
    <n v="36.493000000000016"/>
  </r>
  <r>
    <s v="2023-06-16"/>
    <n v="125.47499999999999"/>
    <x v="1099"/>
    <n v="122.83499999999999"/>
    <n v="123.083"/>
    <n v="45700623"/>
    <x v="2"/>
    <s v="Google"/>
    <x v="0"/>
    <n v="-1.248"/>
    <x v="5"/>
    <x v="0"/>
    <s v="June"/>
    <s v="Loss"/>
    <n v="2.8170000000000073"/>
    <n v="35.245000000000019"/>
  </r>
  <r>
    <s v="2023-06-20"/>
    <n v="122.486"/>
    <x v="1100"/>
    <n v="121.699"/>
    <n v="122.655"/>
    <n v="26192098"/>
    <x v="2"/>
    <s v="Google"/>
    <x v="0"/>
    <n v="-0.34799999999999998"/>
    <x v="5"/>
    <x v="0"/>
    <s v="June"/>
    <s v="Loss"/>
    <n v="2.4210000000000065"/>
    <n v="34.89700000000002"/>
  </r>
  <r>
    <s v="2023-06-21"/>
    <n v="121.958"/>
    <x v="1101"/>
    <n v="119.666"/>
    <n v="120.114"/>
    <n v="30416199"/>
    <x v="2"/>
    <s v="Google"/>
    <x v="0"/>
    <n v="-2.0720000000000001"/>
    <x v="5"/>
    <x v="0"/>
    <s v="June"/>
    <s v="Loss"/>
    <n v="2.5510000000000019"/>
    <n v="32.825000000000017"/>
  </r>
  <r>
    <s v="2023-06-22"/>
    <n v="119.566"/>
    <x v="1102"/>
    <n v="118.401"/>
    <n v="122.705"/>
    <n v="27049950"/>
    <x v="2"/>
    <s v="Google"/>
    <x v="0"/>
    <n v="2.157"/>
    <x v="5"/>
    <x v="0"/>
    <s v="June"/>
    <s v="Profit"/>
    <n v="4.3940000000000055"/>
    <n v="34.982000000000014"/>
  </r>
  <r>
    <s v="2023-06-23"/>
    <n v="120.941"/>
    <x v="1103"/>
    <n v="120.623"/>
    <n v="121.898"/>
    <n v="35040202"/>
    <x v="2"/>
    <s v="Google"/>
    <x v="0"/>
    <n v="-0.65800000000000003"/>
    <x v="5"/>
    <x v="0"/>
    <s v="June"/>
    <s v="Loss"/>
    <n v="1.7209999999999894"/>
    <n v="34.324000000000012"/>
  </r>
  <r>
    <s v="2023-06-26"/>
    <n v="120.783"/>
    <x v="1104"/>
    <n v="117.837"/>
    <n v="117.91200000000001"/>
    <n v="34093041"/>
    <x v="2"/>
    <s v="Google"/>
    <x v="0"/>
    <n v="-3.27"/>
    <x v="5"/>
    <x v="0"/>
    <s v="June"/>
    <s v="Loss"/>
    <n v="3.722999999999999"/>
    <n v="31.054000000000013"/>
  </r>
  <r>
    <s v="2023-06-27"/>
    <n v="116.657"/>
    <x v="1105"/>
    <n v="115.68"/>
    <n v="117.902"/>
    <n v="39679257"/>
    <x v="2"/>
    <s v="Google"/>
    <x v="0"/>
    <n v="-8.0000000000000002E-3"/>
    <x v="5"/>
    <x v="0"/>
    <s v="June"/>
    <s v="Loss"/>
    <n v="2.9689999999999941"/>
    <n v="31.046000000000014"/>
  </r>
  <r>
    <s v="2023-06-28"/>
    <n v="116.667"/>
    <x v="1106"/>
    <n v="116.428"/>
    <n v="119.746"/>
    <n v="27189658"/>
    <x v="2"/>
    <s v="Google"/>
    <x v="0"/>
    <n v="1.5640000000000001"/>
    <x v="5"/>
    <x v="0"/>
    <s v="June"/>
    <s v="Profit"/>
    <n v="3.5280000000000058"/>
    <n v="32.610000000000014"/>
  </r>
  <r>
    <s v="2023-06-29"/>
    <n v="118.809"/>
    <x v="1107"/>
    <n v="117.867"/>
    <n v="118.669"/>
    <n v="24178233"/>
    <x v="2"/>
    <s v="Google"/>
    <x v="0"/>
    <n v="-0.89900000000000002"/>
    <x v="5"/>
    <x v="0"/>
    <s v="June"/>
    <s v="Loss"/>
    <n v="1.7590000000000003"/>
    <n v="31.711000000000013"/>
  </r>
  <r>
    <s v="2023-06-30"/>
    <n v="119.736"/>
    <x v="1108"/>
    <n v="119.258"/>
    <n v="119.268"/>
    <n v="29639298"/>
    <x v="2"/>
    <s v="Google"/>
    <x v="0"/>
    <n v="0.505"/>
    <x v="5"/>
    <x v="0"/>
    <s v="June"/>
    <s v="Profit"/>
    <n v="1.3850000000000051"/>
    <n v="32.216000000000015"/>
  </r>
  <r>
    <s v="2023-07-03"/>
    <n v="118.809"/>
    <x v="1109"/>
    <n v="118.389"/>
    <n v="119.467"/>
    <n v="14520297"/>
    <x v="2"/>
    <s v="Google"/>
    <x v="0"/>
    <n v="0.16700000000000001"/>
    <x v="6"/>
    <x v="0"/>
    <s v="July"/>
    <s v="Profit"/>
    <n v="1.3670000000000044"/>
    <n v="32.383000000000017"/>
  </r>
  <r>
    <s v="2023-07-05"/>
    <n v="118.809"/>
    <x v="1110"/>
    <n v="118.79900000000001"/>
    <n v="121.31"/>
    <n v="27684806"/>
    <x v="2"/>
    <s v="Google"/>
    <x v="0"/>
    <n v="1.5429999999999999"/>
    <x v="6"/>
    <x v="0"/>
    <s v="July"/>
    <s v="Profit"/>
    <n v="3.367999999999995"/>
    <n v="33.926000000000016"/>
  </r>
  <r>
    <s v="2023-07-06"/>
    <n v="119.36199999999999"/>
    <x v="1111"/>
    <n v="117.97199999999999"/>
    <n v="119.676"/>
    <n v="24868626"/>
    <x v="2"/>
    <s v="Google"/>
    <x v="0"/>
    <n v="-1.347"/>
    <x v="6"/>
    <x v="0"/>
    <s v="July"/>
    <s v="Loss"/>
    <n v="1.8940000000000055"/>
    <n v="32.579000000000015"/>
  </r>
  <r>
    <s v="2023-07-07"/>
    <n v="119.666"/>
    <x v="1112"/>
    <n v="118.96899999999999"/>
    <n v="119.04900000000001"/>
    <n v="21788248"/>
    <x v="2"/>
    <s v="Google"/>
    <x v="0"/>
    <n v="-0.52400000000000002"/>
    <x v="6"/>
    <x v="0"/>
    <s v="July"/>
    <s v="Loss"/>
    <n v="1.6440000000000055"/>
    <n v="32.055000000000014"/>
  </r>
  <r>
    <s v="2023-07-10"/>
    <n v="117.872"/>
    <x v="1113"/>
    <n v="115.715"/>
    <n v="116.03"/>
    <n v="35443256"/>
    <x v="2"/>
    <s v="Google"/>
    <x v="0"/>
    <n v="-2.536"/>
    <x v="6"/>
    <x v="0"/>
    <s v="July"/>
    <s v="Loss"/>
    <n v="2.1619999999999919"/>
    <n v="29.519000000000013"/>
  </r>
  <r>
    <s v="2023-07-11"/>
    <n v="115.87"/>
    <x v="1114"/>
    <n v="114.93300000000001"/>
    <n v="116.717"/>
    <n v="23162444"/>
    <x v="2"/>
    <s v="Google"/>
    <x v="0"/>
    <n v="0.59199999999999997"/>
    <x v="6"/>
    <x v="0"/>
    <s v="July"/>
    <s v="Profit"/>
    <n v="2.3519999999999897"/>
    <n v="30.111000000000011"/>
  </r>
  <r>
    <s v="2023-07-12"/>
    <n v="118.371"/>
    <x v="1115"/>
    <n v="117.98699999999999"/>
    <n v="118.501"/>
    <n v="30514628"/>
    <x v="2"/>
    <s v="Google"/>
    <x v="0"/>
    <n v="1.528"/>
    <x v="6"/>
    <x v="0"/>
    <s v="July"/>
    <s v="Profit"/>
    <n v="1.909000000000006"/>
    <n v="31.63900000000001"/>
  </r>
  <r>
    <s v="2023-07-13"/>
    <n v="120.49299999999999"/>
    <x v="1116"/>
    <n v="120.015"/>
    <n v="124.09"/>
    <n v="44458499"/>
    <x v="2"/>
    <s v="Google"/>
    <x v="0"/>
    <n v="4.7160000000000002"/>
    <x v="6"/>
    <x v="0"/>
    <s v="July"/>
    <s v="Profit"/>
    <n v="4.3640000000000043"/>
    <n v="36.355000000000011"/>
  </r>
  <r>
    <s v="2023-07-14"/>
    <n v="124.349"/>
    <x v="1117"/>
    <n v="123.044"/>
    <n v="124.967"/>
    <n v="33403730"/>
    <x v="2"/>
    <s v="Google"/>
    <x v="0"/>
    <n v="0.70699999999999996"/>
    <x v="6"/>
    <x v="0"/>
    <s v="July"/>
    <s v="Profit"/>
    <n v="3.2729999999999961"/>
    <n v="37.062000000000012"/>
  </r>
  <r>
    <s v="2023-07-17"/>
    <n v="125.485"/>
    <x v="1118"/>
    <n v="123.747"/>
    <n v="124.2"/>
    <n v="25809438"/>
    <x v="2"/>
    <s v="Google"/>
    <x v="0"/>
    <n v="-0.61399999999999999"/>
    <x v="6"/>
    <x v="0"/>
    <s v="July"/>
    <s v="Loss"/>
    <n v="2.8940000000000055"/>
    <n v="36.448000000000015"/>
  </r>
  <r>
    <s v="2023-07-18"/>
    <n v="124.15"/>
    <x v="1119"/>
    <n v="122.51600000000001"/>
    <n v="123.313"/>
    <n v="26321520"/>
    <x v="2"/>
    <s v="Google"/>
    <x v="0"/>
    <n v="-0.71399999999999997"/>
    <x v="6"/>
    <x v="0"/>
    <s v="July"/>
    <s v="Loss"/>
    <n v="1.7139999999999986"/>
    <n v="35.734000000000016"/>
  </r>
  <r>
    <s v="2023-07-19"/>
    <n v="124.15"/>
    <x v="1120"/>
    <n v="121.36"/>
    <n v="121.589"/>
    <n v="37358973"/>
    <x v="2"/>
    <s v="Google"/>
    <x v="0"/>
    <n v="-1.3979999999999999"/>
    <x v="6"/>
    <x v="0"/>
    <s v="July"/>
    <s v="Loss"/>
    <n v="3.3670000000000044"/>
    <n v="34.336000000000013"/>
  </r>
  <r>
    <s v="2023-07-20"/>
    <n v="120.98099999999999"/>
    <x v="1121"/>
    <n v="117.79300000000001"/>
    <n v="118.76900000000001"/>
    <n v="38044178"/>
    <x v="2"/>
    <s v="Google"/>
    <x v="0"/>
    <n v="-2.319"/>
    <x v="6"/>
    <x v="0"/>
    <s v="July"/>
    <s v="Loss"/>
    <n v="5.8489999999999895"/>
    <n v="32.01700000000001"/>
  </r>
  <r>
    <s v="2023-07-21"/>
    <n v="120.184"/>
    <x v="1122"/>
    <n v="118.301"/>
    <n v="119.586"/>
    <n v="71866054"/>
    <x v="2"/>
    <s v="Google"/>
    <x v="0"/>
    <n v="0.68799999999999994"/>
    <x v="6"/>
    <x v="0"/>
    <s v="July"/>
    <s v="Profit"/>
    <n v="2.2519999999999953"/>
    <n v="32.705000000000013"/>
  </r>
  <r>
    <s v="2023-07-24"/>
    <n v="121.221"/>
    <x v="1123"/>
    <n v="120.54300000000001"/>
    <n v="121.09099999999999"/>
    <n v="29831418"/>
    <x v="2"/>
    <s v="Google"/>
    <x v="0"/>
    <n v="1.2589999999999999"/>
    <x v="6"/>
    <x v="0"/>
    <s v="July"/>
    <s v="Profit"/>
    <n v="2.012999999999991"/>
    <n v="33.964000000000013"/>
  </r>
  <r>
    <s v="2023-07-25"/>
    <n v="120.92100000000001"/>
    <x v="1124"/>
    <n v="120.583"/>
    <n v="121.768"/>
    <n v="52699903"/>
    <x v="2"/>
    <s v="Google"/>
    <x v="0"/>
    <n v="0.55900000000000005"/>
    <x v="6"/>
    <x v="0"/>
    <s v="July"/>
    <s v="Profit"/>
    <n v="2.1170000000000044"/>
    <n v="34.52300000000001"/>
  </r>
  <r>
    <s v="2023-07-26"/>
    <n v="129.6"/>
    <x v="1125"/>
    <n v="127.85599999999999"/>
    <n v="128.803"/>
    <n v="61905696"/>
    <x v="2"/>
    <s v="Google"/>
    <x v="0"/>
    <n v="5.7770000000000001"/>
    <x v="6"/>
    <x v="0"/>
    <s v="July"/>
    <s v="Profit"/>
    <n v="2.6510000000000105"/>
    <n v="40.300000000000011"/>
  </r>
  <r>
    <s v="2023-07-27"/>
    <n v="131.19499999999999"/>
    <x v="1126"/>
    <n v="128.32499999999999"/>
    <n v="128.93299999999999"/>
    <n v="45115029"/>
    <x v="2"/>
    <s v="Google"/>
    <x v="0"/>
    <n v="0.10100000000000001"/>
    <x v="6"/>
    <x v="0"/>
    <s v="July"/>
    <s v="Profit"/>
    <n v="4.4339999999999975"/>
    <n v="40.40100000000001"/>
  </r>
  <r>
    <s v="2023-07-28"/>
    <n v="130.30799999999999"/>
    <x v="1127"/>
    <n v="130.09800000000001"/>
    <n v="132.102"/>
    <n v="36723804"/>
    <x v="2"/>
    <s v="Google"/>
    <x v="0"/>
    <n v="2.4580000000000002"/>
    <x v="6"/>
    <x v="0"/>
    <s v="July"/>
    <s v="Profit"/>
    <n v="3.1589999999999918"/>
    <n v="42.859000000000009"/>
  </r>
  <r>
    <s v="2023-07-31"/>
    <n v="132.25"/>
    <x v="1128"/>
    <n v="131.30000000000001"/>
    <n v="132.24"/>
    <n v="28157235"/>
    <x v="2"/>
    <s v="Google"/>
    <x v="0"/>
    <n v="0.104"/>
    <x v="6"/>
    <x v="0"/>
    <s v="July"/>
    <s v="Profit"/>
    <n v="1.742999999999995"/>
    <n v="42.963000000000008"/>
  </r>
  <r>
    <s v="2023-08-01"/>
    <n v="130.303"/>
    <x v="1129"/>
    <n v="130.208"/>
    <n v="131.07499999999999"/>
    <n v="23360819"/>
    <x v="2"/>
    <s v="Google"/>
    <x v="0"/>
    <n v="-0.88100000000000001"/>
    <x v="7"/>
    <x v="0"/>
    <s v="August"/>
    <s v="Loss"/>
    <n v="1.9430000000000121"/>
    <n v="42.082000000000008"/>
  </r>
  <r>
    <s v="2023-08-02"/>
    <n v="128.983"/>
    <x v="1130"/>
    <n v="127.099"/>
    <n v="127.916"/>
    <n v="26368501"/>
    <x v="2"/>
    <s v="Google"/>
    <x v="0"/>
    <n v="-2.41"/>
    <x v="7"/>
    <x v="0"/>
    <s v="August"/>
    <s v="Loss"/>
    <n v="2.5210000000000008"/>
    <n v="39.672000000000011"/>
  </r>
  <r>
    <s v="2023-08-03"/>
    <n v="127.508"/>
    <x v="1131"/>
    <n v="126.959"/>
    <n v="127.986"/>
    <n v="20232608"/>
    <x v="2"/>
    <s v="Google"/>
    <x v="0"/>
    <n v="5.5E-2"/>
    <x v="7"/>
    <x v="0"/>
    <s v="August"/>
    <s v="Profit"/>
    <n v="1.9590000000000032"/>
    <n v="39.727000000000011"/>
  </r>
  <r>
    <s v="2023-08-04"/>
    <n v="128.81299999999999"/>
    <x v="1132"/>
    <n v="127.44799999999999"/>
    <n v="127.64700000000001"/>
    <n v="26241944"/>
    <x v="2"/>
    <s v="Google"/>
    <x v="0"/>
    <n v="-0.26500000000000001"/>
    <x v="7"/>
    <x v="0"/>
    <s v="August"/>
    <s v="Loss"/>
    <n v="3.5870000000000033"/>
    <n v="39.46200000000001"/>
  </r>
  <r>
    <s v="2023-08-07"/>
    <n v="128.69399999999999"/>
    <x v="1133"/>
    <n v="128.554"/>
    <n v="131.05500000000001"/>
    <n v="22828747"/>
    <x v="2"/>
    <s v="Google"/>
    <x v="0"/>
    <n v="2.67"/>
    <x v="7"/>
    <x v="0"/>
    <s v="August"/>
    <s v="Profit"/>
    <n v="2.5809999999999889"/>
    <n v="42.132000000000012"/>
  </r>
  <r>
    <s v="2023-08-08"/>
    <n v="130.148"/>
    <x v="1132"/>
    <n v="129.077"/>
    <n v="130.92500000000001"/>
    <n v="23620498"/>
    <x v="2"/>
    <s v="Google"/>
    <x v="0"/>
    <n v="-9.9000000000000005E-2"/>
    <x v="7"/>
    <x v="0"/>
    <s v="August"/>
    <s v="Loss"/>
    <n v="1.9579999999999984"/>
    <n v="42.033000000000015"/>
  </r>
  <r>
    <s v="2023-08-09"/>
    <n v="131.185"/>
    <x v="1134"/>
    <n v="128.53399999999999"/>
    <n v="129.191"/>
    <n v="25003229"/>
    <x v="2"/>
    <s v="Google"/>
    <x v="0"/>
    <n v="-1.3240000000000001"/>
    <x v="7"/>
    <x v="0"/>
    <s v="August"/>
    <s v="Loss"/>
    <n v="3.0289999999999964"/>
    <n v="40.709000000000017"/>
  </r>
  <r>
    <s v="2023-08-10"/>
    <n v="130.845"/>
    <x v="1135"/>
    <n v="128.983"/>
    <n v="129.221"/>
    <n v="20933365"/>
    <x v="2"/>
    <s v="Google"/>
    <x v="0"/>
    <n v="2.3E-2"/>
    <x v="7"/>
    <x v="0"/>
    <s v="August"/>
    <s v="Profit"/>
    <n v="2.5900000000000034"/>
    <n v="40.732000000000021"/>
  </r>
  <r>
    <s v="2023-08-11"/>
    <n v="128.196"/>
    <x v="1136"/>
    <n v="127.70699999999999"/>
    <n v="129.09200000000001"/>
    <n v="19662099"/>
    <x v="2"/>
    <s v="Google"/>
    <x v="0"/>
    <n v="-0.1"/>
    <x v="7"/>
    <x v="0"/>
    <s v="August"/>
    <s v="Loss"/>
    <n v="1.7540000000000191"/>
    <n v="40.632000000000019"/>
  </r>
  <r>
    <s v="2023-08-14"/>
    <n v="128.923"/>
    <x v="1137"/>
    <n v="128.494"/>
    <n v="130.85499999999999"/>
    <n v="24785132"/>
    <x v="2"/>
    <s v="Google"/>
    <x v="0"/>
    <n v="1.3660000000000001"/>
    <x v="7"/>
    <x v="0"/>
    <s v="August"/>
    <s v="Profit"/>
    <n v="2.4010000000000105"/>
    <n v="41.998000000000019"/>
  </r>
  <r>
    <s v="2023-08-15"/>
    <n v="130.626"/>
    <x v="1138"/>
    <n v="128.81299999999999"/>
    <n v="129.31100000000001"/>
    <n v="19842402"/>
    <x v="2"/>
    <s v="Google"/>
    <x v="0"/>
    <n v="-1.18"/>
    <x v="7"/>
    <x v="0"/>
    <s v="August"/>
    <s v="Loss"/>
    <n v="2.132000000000005"/>
    <n v="40.818000000000019"/>
  </r>
  <r>
    <s v="2023-08-16"/>
    <n v="128.23500000000001"/>
    <x v="1139"/>
    <n v="127.40300000000001"/>
    <n v="128.23500000000001"/>
    <n v="25307478"/>
    <x v="2"/>
    <s v="Google"/>
    <x v="0"/>
    <n v="-0.83199999999999996"/>
    <x v="7"/>
    <x v="0"/>
    <s v="August"/>
    <s v="Loss"/>
    <n v="2.4080000000000013"/>
    <n v="39.986000000000018"/>
  </r>
  <r>
    <s v="2023-08-17"/>
    <n v="129.33099999999999"/>
    <x v="1140"/>
    <n v="128.82300000000001"/>
    <n v="129.45099999999999"/>
    <n v="33567526"/>
    <x v="2"/>
    <s v="Google"/>
    <x v="0"/>
    <n v="0.94799999999999995"/>
    <x v="7"/>
    <x v="0"/>
    <s v="August"/>
    <s v="Profit"/>
    <n v="2.6899999999999977"/>
    <n v="40.934000000000019"/>
  </r>
  <r>
    <s v="2023-08-18"/>
    <n v="128.04599999999999"/>
    <x v="1141"/>
    <n v="125.92700000000001"/>
    <n v="126.999"/>
    <n v="30615351"/>
    <x v="2"/>
    <s v="Google"/>
    <x v="0"/>
    <n v="-1.8939999999999999"/>
    <x v="7"/>
    <x v="0"/>
    <s v="August"/>
    <s v="Loss"/>
    <n v="2.8559999999999803"/>
    <n v="39.04000000000002"/>
  </r>
  <r>
    <s v="2023-08-21"/>
    <n v="126.71599999999999"/>
    <x v="1142"/>
    <n v="126.102"/>
    <n v="127.90600000000001"/>
    <n v="25340258"/>
    <x v="2"/>
    <s v="Google"/>
    <x v="0"/>
    <n v="0.71399999999999997"/>
    <x v="7"/>
    <x v="0"/>
    <s v="August"/>
    <s v="Profit"/>
    <n v="2.157999999999987"/>
    <n v="39.754000000000019"/>
  </r>
  <r>
    <s v="2023-08-22"/>
    <n v="128.04599999999999"/>
    <x v="1143"/>
    <n v="127.85599999999999"/>
    <n v="128.614"/>
    <n v="22147516"/>
    <x v="2"/>
    <s v="Google"/>
    <x v="0"/>
    <n v="0.55400000000000005"/>
    <x v="7"/>
    <x v="0"/>
    <s v="August"/>
    <s v="Profit"/>
    <n v="1.9519999999999982"/>
    <n v="40.308000000000021"/>
  </r>
  <r>
    <s v="2023-08-23"/>
    <n v="129.71"/>
    <x v="1144"/>
    <n v="129.40100000000001"/>
    <n v="131.892"/>
    <n v="27920562"/>
    <x v="2"/>
    <s v="Google"/>
    <x v="0"/>
    <n v="2.5489999999999999"/>
    <x v="7"/>
    <x v="0"/>
    <s v="August"/>
    <s v="Profit"/>
    <n v="3.5269999999999868"/>
    <n v="42.857000000000021"/>
  </r>
  <r>
    <s v="2023-08-24"/>
    <n v="133.46600000000001"/>
    <x v="1145"/>
    <n v="129.101"/>
    <n v="129.31100000000001"/>
    <n v="28604011"/>
    <x v="2"/>
    <s v="Google"/>
    <x v="0"/>
    <n v="-1.9570000000000001"/>
    <x v="7"/>
    <x v="0"/>
    <s v="August"/>
    <s v="Loss"/>
    <n v="4.6639999999999873"/>
    <n v="40.90000000000002"/>
  </r>
  <r>
    <s v="2023-08-25"/>
    <n v="129.072"/>
    <x v="1146"/>
    <n v="126.791"/>
    <n v="129.411"/>
    <n v="26859909"/>
    <x v="2"/>
    <s v="Google"/>
    <x v="0"/>
    <n v="7.6999999999999999E-2"/>
    <x v="7"/>
    <x v="0"/>
    <s v="August"/>
    <s v="Profit"/>
    <n v="3.4970000000000141"/>
    <n v="40.977000000000018"/>
  </r>
  <r>
    <s v="2023-08-28"/>
    <n v="130.83500000000001"/>
    <x v="1147"/>
    <n v="129.66999999999999"/>
    <n v="130.53700000000001"/>
    <n v="20617737"/>
    <x v="2"/>
    <s v="Google"/>
    <x v="0"/>
    <n v="0.87"/>
    <x v="7"/>
    <x v="0"/>
    <s v="August"/>
    <s v="Profit"/>
    <n v="2.3920000000000243"/>
    <n v="41.847000000000016"/>
  </r>
  <r>
    <s v="2023-08-29"/>
    <n v="131.762"/>
    <x v="1148"/>
    <n v="131.762"/>
    <n v="134.084"/>
    <n v="43231709"/>
    <x v="2"/>
    <s v="Google"/>
    <x v="0"/>
    <n v="2.7170000000000001"/>
    <x v="7"/>
    <x v="0"/>
    <s v="August"/>
    <s v="Profit"/>
    <n v="4.313999999999993"/>
    <n v="44.564000000000014"/>
  </r>
  <r>
    <s v="2023-08-30"/>
    <n v="134.29300000000001"/>
    <x v="1149"/>
    <n v="133.58600000000001"/>
    <n v="135.38900000000001"/>
    <n v="28418416"/>
    <x v="2"/>
    <s v="Google"/>
    <x v="0"/>
    <n v="0.97299999999999998"/>
    <x v="7"/>
    <x v="0"/>
    <s v="August"/>
    <s v="Profit"/>
    <n v="2.1969999999999743"/>
    <n v="45.537000000000013"/>
  </r>
  <r>
    <s v="2023-08-31"/>
    <n v="135.51900000000001"/>
    <x v="1150"/>
    <n v="135.29900000000001"/>
    <n v="135.679"/>
    <n v="30162748"/>
    <x v="2"/>
    <s v="Google"/>
    <x v="0"/>
    <n v="0.214"/>
    <x v="7"/>
    <x v="0"/>
    <s v="August"/>
    <s v="Profit"/>
    <n v="2.2019999999999982"/>
    <n v="45.751000000000012"/>
  </r>
  <r>
    <s v="2023-09-01"/>
    <n v="136.958"/>
    <x v="1151"/>
    <n v="134.363"/>
    <n v="135.16900000000001"/>
    <n v="21621785"/>
    <x v="2"/>
    <s v="Google"/>
    <x v="0"/>
    <n v="-0.376"/>
    <x v="8"/>
    <x v="0"/>
    <s v="September"/>
    <s v="Loss"/>
    <n v="2.5949999999999989"/>
    <n v="45.375000000000014"/>
  </r>
  <r>
    <s v="2023-09-05"/>
    <n v="134.95099999999999"/>
    <x v="1152"/>
    <n v="134.09399999999999"/>
    <n v="135.279"/>
    <n v="19473450"/>
    <x v="2"/>
    <s v="Google"/>
    <x v="0"/>
    <n v="8.1000000000000003E-2"/>
    <x v="8"/>
    <x v="0"/>
    <s v="September"/>
    <s v="Profit"/>
    <n v="1.8329999999999984"/>
    <n v="45.456000000000017"/>
  </r>
  <r>
    <s v="2023-09-06"/>
    <n v="135.529"/>
    <x v="1153"/>
    <n v="133.18199999999999"/>
    <n v="133.97399999999999"/>
    <n v="18752267"/>
    <x v="2"/>
    <s v="Google"/>
    <x v="0"/>
    <n v="-0.96499999999999997"/>
    <x v="8"/>
    <x v="0"/>
    <s v="September"/>
    <s v="Loss"/>
    <n v="2.8540000000000134"/>
    <n v="44.491000000000014"/>
  </r>
  <r>
    <s v="2023-09-07"/>
    <n v="133.107"/>
    <x v="1154"/>
    <n v="132.47"/>
    <n v="134.77199999999999"/>
    <n v="18912654"/>
    <x v="2"/>
    <s v="Google"/>
    <x v="0"/>
    <n v="0.59599999999999997"/>
    <x v="8"/>
    <x v="0"/>
    <s v="September"/>
    <s v="Profit"/>
    <n v="2.6210000000000093"/>
    <n v="45.08700000000001"/>
  </r>
  <r>
    <s v="2023-09-08"/>
    <n v="134.422"/>
    <x v="1155"/>
    <n v="134.363"/>
    <n v="135.887"/>
    <n v="23669683"/>
    <x v="2"/>
    <s v="Google"/>
    <x v="0"/>
    <n v="0.82699999999999996"/>
    <x v="8"/>
    <x v="0"/>
    <s v="September"/>
    <s v="Profit"/>
    <n v="1.8029999999999973"/>
    <n v="45.914000000000009"/>
  </r>
  <r>
    <s v="2023-09-11"/>
    <n v="136.04599999999999"/>
    <x v="1156"/>
    <n v="135.29400000000001"/>
    <n v="136.42599999999999"/>
    <n v="20838619"/>
    <x v="2"/>
    <s v="Google"/>
    <x v="0"/>
    <n v="0.39700000000000002"/>
    <x v="8"/>
    <x v="0"/>
    <s v="September"/>
    <s v="Profit"/>
    <n v="1.688999999999993"/>
    <n v="46.311000000000007"/>
  </r>
  <r>
    <s v="2023-09-12"/>
    <n v="135.768"/>
    <x v="1157"/>
    <n v="134.702"/>
    <n v="134.851"/>
    <n v="18472226"/>
    <x v="2"/>
    <s v="Google"/>
    <x v="0"/>
    <n v="-1.1539999999999999"/>
    <x v="8"/>
    <x v="0"/>
    <s v="September"/>
    <s v="Loss"/>
    <n v="1.6740000000000066"/>
    <n v="45.157000000000011"/>
  </r>
  <r>
    <s v="2023-09-13"/>
    <n v="134.602"/>
    <x v="1158"/>
    <n v="133.66499999999999"/>
    <n v="136.21600000000001"/>
    <n v="20824715"/>
    <x v="2"/>
    <s v="Google"/>
    <x v="0"/>
    <n v="1.012"/>
    <x v="8"/>
    <x v="0"/>
    <s v="September"/>
    <s v="Profit"/>
    <n v="2.7410000000000139"/>
    <n v="46.169000000000011"/>
  </r>
  <r>
    <s v="2023-09-14"/>
    <n v="137.10300000000001"/>
    <x v="1159"/>
    <n v="135.74799999999999"/>
    <n v="137.601"/>
    <n v="24840692"/>
    <x v="2"/>
    <s v="Google"/>
    <x v="0"/>
    <n v="1.0169999999999999"/>
    <x v="8"/>
    <x v="0"/>
    <s v="September"/>
    <s v="Profit"/>
    <n v="2.445999999999998"/>
    <n v="47.186000000000014"/>
  </r>
  <r>
    <s v="2023-09-15"/>
    <n v="137.48099999999999"/>
    <x v="1160"/>
    <n v="135.98699999999999"/>
    <n v="136.90299999999999"/>
    <n v="39060701"/>
    <x v="2"/>
    <s v="Google"/>
    <x v="0"/>
    <n v="-0.50700000000000001"/>
    <x v="8"/>
    <x v="0"/>
    <s v="September"/>
    <s v="Loss"/>
    <n v="2.0330000000000155"/>
    <n v="46.679000000000016"/>
  </r>
  <r>
    <s v="2023-09-18"/>
    <n v="136.11600000000001"/>
    <x v="1161"/>
    <n v="136.11600000000001"/>
    <n v="137.71100000000001"/>
    <n v="21940595"/>
    <x v="2"/>
    <s v="Google"/>
    <x v="0"/>
    <n v="0.59"/>
    <x v="8"/>
    <x v="0"/>
    <s v="September"/>
    <s v="Profit"/>
    <n v="2.5409999999999968"/>
    <n v="47.26900000000002"/>
  </r>
  <r>
    <s v="2023-09-19"/>
    <n v="136.923"/>
    <x v="1162"/>
    <n v="136.126"/>
    <n v="137.541"/>
    <n v="20427437"/>
    <x v="2"/>
    <s v="Google"/>
    <x v="0"/>
    <n v="-0.123"/>
    <x v="8"/>
    <x v="0"/>
    <s v="September"/>
    <s v="Loss"/>
    <n v="1.7839999999999918"/>
    <n v="47.146000000000022"/>
  </r>
  <r>
    <s v="2023-09-20"/>
    <n v="137.58099999999999"/>
    <x v="1163"/>
    <n v="133.137"/>
    <n v="133.25700000000001"/>
    <n v="30035965"/>
    <x v="2"/>
    <s v="Google"/>
    <x v="0"/>
    <n v="-3.1150000000000002"/>
    <x v="8"/>
    <x v="0"/>
    <s v="September"/>
    <s v="Loss"/>
    <n v="4.4439999999999884"/>
    <n v="44.03100000000002"/>
  </r>
  <r>
    <s v="2023-09-21"/>
    <n v="130.965"/>
    <x v="1164"/>
    <n v="129.6"/>
    <n v="129.96799999999999"/>
    <n v="31618114"/>
    <x v="2"/>
    <s v="Google"/>
    <x v="0"/>
    <n v="-2.468"/>
    <x v="8"/>
    <x v="0"/>
    <s v="September"/>
    <s v="Loss"/>
    <n v="2.1520000000000152"/>
    <n v="41.563000000000017"/>
  </r>
  <r>
    <s v="2023-09-22"/>
    <n v="130.28800000000001"/>
    <x v="1165"/>
    <n v="129.131"/>
    <n v="129.78"/>
    <n v="26493030"/>
    <x v="2"/>
    <s v="Google"/>
    <x v="0"/>
    <n v="-0.14499999999999999"/>
    <x v="8"/>
    <x v="0"/>
    <s v="September"/>
    <s v="Loss"/>
    <n v="2.4170000000000016"/>
    <n v="41.418000000000013"/>
  </r>
  <r>
    <s v="2023-09-25"/>
    <n v="129.36099999999999"/>
    <x v="1166"/>
    <n v="128.494"/>
    <n v="130.636"/>
    <n v="20167488"/>
    <x v="2"/>
    <s v="Google"/>
    <x v="0"/>
    <n v="0.66"/>
    <x v="8"/>
    <x v="0"/>
    <s v="September"/>
    <s v="Profit"/>
    <n v="2.2019999999999982"/>
    <n v="42.07800000000001"/>
  </r>
  <r>
    <s v="2023-09-26"/>
    <n v="129.30099999999999"/>
    <x v="1167"/>
    <n v="126.761"/>
    <n v="128.101"/>
    <n v="25811936"/>
    <x v="2"/>
    <s v="Google"/>
    <x v="0"/>
    <n v="-1.9410000000000001"/>
    <x v="8"/>
    <x v="0"/>
    <s v="September"/>
    <s v="Loss"/>
    <n v="3.132000000000005"/>
    <n v="40.137000000000008"/>
  </r>
  <r>
    <s v="2023-09-27"/>
    <n v="128.10599999999999"/>
    <x v="1168"/>
    <n v="128.10599999999999"/>
    <n v="130.06800000000001"/>
    <n v="22828910"/>
    <x v="2"/>
    <s v="Google"/>
    <x v="0"/>
    <n v="1.536"/>
    <x v="8"/>
    <x v="0"/>
    <s v="September"/>
    <s v="Profit"/>
    <n v="2.3170000000000073"/>
    <n v="41.673000000000009"/>
  </r>
  <r>
    <s v="2023-09-28"/>
    <n v="129.37100000000001"/>
    <x v="1169"/>
    <n v="129.321"/>
    <n v="131.83199999999999"/>
    <n v="22594744"/>
    <x v="2"/>
    <s v="Google"/>
    <x v="0"/>
    <n v="1.3560000000000001"/>
    <x v="8"/>
    <x v="0"/>
    <s v="September"/>
    <s v="Profit"/>
    <n v="3.4979999999999905"/>
    <n v="43.029000000000011"/>
  </r>
  <r>
    <s v="2023-09-29"/>
    <n v="132.79900000000001"/>
    <x v="1170"/>
    <n v="129.88900000000001"/>
    <n v="130.38800000000001"/>
    <n v="30971659"/>
    <x v="2"/>
    <s v="Google"/>
    <x v="0"/>
    <n v="-1.095"/>
    <x v="8"/>
    <x v="0"/>
    <s v="September"/>
    <s v="Loss"/>
    <n v="3.6769999999999925"/>
    <n v="41.934000000000012"/>
  </r>
  <r>
    <s v="2023-10-02"/>
    <n v="130.73599999999999"/>
    <x v="1171"/>
    <n v="130.696"/>
    <n v="133.685"/>
    <n v="22368834"/>
    <x v="2"/>
    <s v="Google"/>
    <x v="0"/>
    <n v="2.5289999999999999"/>
    <x v="9"/>
    <x v="0"/>
    <s v="October"/>
    <s v="Profit"/>
    <n v="3.2390000000000043"/>
    <n v="44.463000000000008"/>
  </r>
  <r>
    <s v="2023-10-03"/>
    <n v="133.45599999999999"/>
    <x v="1172"/>
    <n v="131.363"/>
    <n v="131.952"/>
    <n v="23072739"/>
    <x v="2"/>
    <s v="Google"/>
    <x v="0"/>
    <n v="-1.296"/>
    <x v="9"/>
    <x v="0"/>
    <s v="October"/>
    <s v="Loss"/>
    <n v="2.4120000000000061"/>
    <n v="43.167000000000009"/>
  </r>
  <r>
    <s v="2023-10-04"/>
    <n v="132.31"/>
    <x v="1173"/>
    <n v="132.05199999999999"/>
    <n v="134.75200000000001"/>
    <n v="26849274"/>
    <x v="2"/>
    <s v="Google"/>
    <x v="0"/>
    <n v="2.1219999999999999"/>
    <x v="9"/>
    <x v="0"/>
    <s v="October"/>
    <s v="Profit"/>
    <n v="3.0289999999999964"/>
    <n v="45.289000000000009"/>
  </r>
  <r>
    <s v="2023-10-05"/>
    <n v="134.58199999999999"/>
    <x v="1174"/>
    <n v="132.96799999999999"/>
    <n v="134.58199999999999"/>
    <n v="19904510"/>
    <x v="2"/>
    <s v="Google"/>
    <x v="0"/>
    <n v="-0.126"/>
    <x v="9"/>
    <x v="0"/>
    <s v="October"/>
    <s v="Loss"/>
    <n v="2.0330000000000155"/>
    <n v="45.163000000000011"/>
  </r>
  <r>
    <s v="2023-10-06"/>
    <n v="133.52600000000001"/>
    <x v="1175"/>
    <n v="133.52600000000001"/>
    <n v="137.083"/>
    <n v="27697642"/>
    <x v="2"/>
    <s v="Google"/>
    <x v="0"/>
    <n v="1.8580000000000001"/>
    <x v="9"/>
    <x v="0"/>
    <s v="October"/>
    <s v="Profit"/>
    <n v="4.1299999999999955"/>
    <n v="47.021000000000008"/>
  </r>
  <r>
    <s v="2023-10-09"/>
    <n v="136.446"/>
    <x v="1176"/>
    <n v="135.12"/>
    <n v="137.91999999999999"/>
    <n v="19347954"/>
    <x v="2"/>
    <s v="Google"/>
    <x v="0"/>
    <n v="0.61099999999999999"/>
    <x v="9"/>
    <x v="0"/>
    <s v="October"/>
    <s v="Profit"/>
    <n v="3.3179999999999836"/>
    <n v="47.632000000000005"/>
  </r>
  <r>
    <s v="2023-10-10"/>
    <n v="138"/>
    <x v="1177"/>
    <n v="136.834"/>
    <n v="137.56100000000001"/>
    <n v="27887342"/>
    <x v="2"/>
    <s v="Google"/>
    <x v="0"/>
    <n v="-0.26"/>
    <x v="9"/>
    <x v="0"/>
    <s v="October"/>
    <s v="Loss"/>
    <n v="2.3810000000000002"/>
    <n v="47.372000000000007"/>
  </r>
  <r>
    <s v="2023-10-11"/>
    <n v="138.08000000000001"/>
    <x v="1178"/>
    <n v="138.08000000000001"/>
    <n v="140.04300000000001"/>
    <n v="25978136"/>
    <x v="2"/>
    <s v="Google"/>
    <x v="0"/>
    <n v="1.804"/>
    <x v="9"/>
    <x v="0"/>
    <s v="October"/>
    <s v="Profit"/>
    <n v="2.5199999999999818"/>
    <n v="49.176000000000009"/>
  </r>
  <r>
    <s v="2023-10-12"/>
    <n v="140.54"/>
    <x v="1179"/>
    <n v="137.76"/>
    <n v="138.46799999999999"/>
    <n v="24855314"/>
    <x v="2"/>
    <s v="Google"/>
    <x v="0"/>
    <n v="-1.125"/>
    <x v="9"/>
    <x v="0"/>
    <s v="October"/>
    <s v="Loss"/>
    <n v="2.9500000000000171"/>
    <n v="48.051000000000009"/>
  </r>
  <r>
    <s v="2023-10-13"/>
    <n v="138.87700000000001"/>
    <x v="1180"/>
    <n v="136.12100000000001"/>
    <n v="136.864"/>
    <n v="23520555"/>
    <x v="2"/>
    <s v="Google"/>
    <x v="0"/>
    <n v="-1.1579999999999999"/>
    <x v="9"/>
    <x v="0"/>
    <s v="October"/>
    <s v="Loss"/>
    <n v="3.3739999999999952"/>
    <n v="46.893000000000008"/>
  </r>
  <r>
    <s v="2023-10-16"/>
    <n v="137.67099999999999"/>
    <x v="1181"/>
    <n v="137.49100000000001"/>
    <n v="138.59299999999999"/>
    <n v="28605193"/>
    <x v="2"/>
    <s v="Google"/>
    <x v="0"/>
    <n v="1.2629999999999999"/>
    <x v="9"/>
    <x v="0"/>
    <s v="October"/>
    <s v="Profit"/>
    <n v="1.6349999999999909"/>
    <n v="48.156000000000006"/>
  </r>
  <r>
    <s v="2023-10-17"/>
    <n v="138.12899999999999"/>
    <x v="1182"/>
    <n v="136.684"/>
    <n v="139.215"/>
    <n v="23601027"/>
    <x v="2"/>
    <s v="Google"/>
    <x v="0"/>
    <n v="0.44900000000000001"/>
    <x v="9"/>
    <x v="0"/>
    <s v="October"/>
    <s v="Profit"/>
    <n v="2.7110000000000127"/>
    <n v="48.605000000000004"/>
  </r>
  <r>
    <s v="2023-10-18"/>
    <n v="138.941"/>
    <x v="1183"/>
    <n v="136.88399999999999"/>
    <n v="137.46100000000001"/>
    <n v="23459734"/>
    <x v="2"/>
    <s v="Google"/>
    <x v="0"/>
    <n v="-1.26"/>
    <x v="9"/>
    <x v="0"/>
    <s v="October"/>
    <s v="Loss"/>
    <n v="3.328000000000003"/>
    <n v="47.345000000000006"/>
  </r>
  <r>
    <s v="2023-10-19"/>
    <n v="138"/>
    <x v="1184"/>
    <n v="136.88399999999999"/>
    <n v="137.25299999999999"/>
    <n v="26160502"/>
    <x v="2"/>
    <s v="Google"/>
    <x v="0"/>
    <n v="-0.151"/>
    <x v="9"/>
    <x v="0"/>
    <s v="October"/>
    <s v="Loss"/>
    <n v="2.2720000000000198"/>
    <n v="47.194000000000003"/>
  </r>
  <r>
    <s v="2023-10-20"/>
    <n v="136.834"/>
    <x v="1185"/>
    <n v="134.59200000000001"/>
    <n v="135.11099999999999"/>
    <n v="26431142"/>
    <x v="2"/>
    <s v="Google"/>
    <x v="0"/>
    <n v="-1.5609999999999999"/>
    <x v="9"/>
    <x v="0"/>
    <s v="October"/>
    <s v="Loss"/>
    <n v="2.7809999999999775"/>
    <n v="45.633000000000003"/>
  </r>
  <r>
    <s v="2023-10-23"/>
    <n v="134.55199999999999"/>
    <x v="1186"/>
    <n v="133.46600000000001"/>
    <n v="136.00700000000001"/>
    <n v="26413335"/>
    <x v="2"/>
    <s v="Google"/>
    <x v="0"/>
    <n v="0.66300000000000003"/>
    <x v="9"/>
    <x v="0"/>
    <s v="October"/>
    <s v="Profit"/>
    <n v="3.6970000000000027"/>
    <n v="46.295999999999999"/>
  </r>
  <r>
    <s v="2023-10-24"/>
    <n v="137.333"/>
    <x v="1187"/>
    <n v="136.923"/>
    <n v="138.30799999999999"/>
    <n v="44976777"/>
    <x v="2"/>
    <s v="Google"/>
    <x v="0"/>
    <n v="1.6919999999999999"/>
    <x v="9"/>
    <x v="0"/>
    <s v="October"/>
    <s v="Profit"/>
    <n v="1.9339999999999975"/>
    <n v="47.988"/>
  </r>
  <r>
    <s v="2023-10-25"/>
    <n v="127.697"/>
    <x v="1188"/>
    <n v="124.61799999999999"/>
    <n v="125.157"/>
    <n v="84672044"/>
    <x v="2"/>
    <s v="Google"/>
    <x v="0"/>
    <n v="-9.5079999999999991"/>
    <x v="9"/>
    <x v="0"/>
    <s v="October"/>
    <s v="Loss"/>
    <n v="3.2280000000000086"/>
    <n v="38.480000000000004"/>
  </r>
  <r>
    <s v="2023-10-26"/>
    <n v="122.825"/>
    <x v="1189"/>
    <n v="120.83199999999999"/>
    <n v="121.83799999999999"/>
    <n v="57267992"/>
    <x v="2"/>
    <s v="Google"/>
    <x v="0"/>
    <n v="-2.6520000000000001"/>
    <x v="9"/>
    <x v="0"/>
    <s v="October"/>
    <s v="Loss"/>
    <n v="3.0480000000000018"/>
    <n v="35.828000000000003"/>
  </r>
  <r>
    <s v="2023-10-27"/>
    <n v="122.43600000000001"/>
    <x v="1080"/>
    <n v="119.77200000000001"/>
    <n v="121.72799999999999"/>
    <n v="44728064"/>
    <x v="2"/>
    <s v="Google"/>
    <x v="0"/>
    <n v="-0.09"/>
    <x v="9"/>
    <x v="0"/>
    <s v="October"/>
    <s v="Loss"/>
    <n v="3.0929999999999893"/>
    <n v="35.738"/>
  </r>
  <r>
    <s v="2023-10-30"/>
    <n v="122.765"/>
    <x v="1190"/>
    <n v="122.307"/>
    <n v="124.01"/>
    <n v="29044991"/>
    <x v="2"/>
    <s v="Google"/>
    <x v="0"/>
    <n v="1.875"/>
    <x v="9"/>
    <x v="0"/>
    <s v="October"/>
    <s v="Profit"/>
    <n v="2.6400000000000006"/>
    <n v="37.613"/>
  </r>
  <r>
    <s v="2023-10-31"/>
    <n v="124.608"/>
    <x v="1191"/>
    <n v="122.242"/>
    <n v="123.63200000000001"/>
    <n v="26387654"/>
    <x v="2"/>
    <s v="Google"/>
    <x v="0"/>
    <n v="-0.30499999999999999"/>
    <x v="9"/>
    <x v="0"/>
    <s v="October"/>
    <s v="Loss"/>
    <n v="2.6749999999999972"/>
    <n v="37.308"/>
  </r>
  <r>
    <s v="2023-11-01"/>
    <n v="123.622"/>
    <x v="1192"/>
    <n v="123.268"/>
    <n v="125.994"/>
    <n v="30191489"/>
    <x v="2"/>
    <s v="Google"/>
    <x v="0"/>
    <n v="1.911"/>
    <x v="10"/>
    <x v="0"/>
    <s v="November"/>
    <s v="Profit"/>
    <n v="2.7660000000000053"/>
    <n v="39.219000000000001"/>
  </r>
  <r>
    <s v="2023-11-02"/>
    <n v="127.956"/>
    <x v="1193"/>
    <n v="126.471"/>
    <n v="127.029"/>
    <n v="27222976"/>
    <x v="2"/>
    <s v="Google"/>
    <x v="0"/>
    <n v="0.82099999999999995"/>
    <x v="10"/>
    <x v="0"/>
    <s v="November"/>
    <s v="Profit"/>
    <n v="2.0430000000000064"/>
    <n v="40.04"/>
  </r>
  <r>
    <s v="2023-11-03"/>
    <n v="127.55800000000001"/>
    <x v="1194"/>
    <n v="127.398"/>
    <n v="128.63399999999999"/>
    <n v="26488786"/>
    <x v="2"/>
    <s v="Google"/>
    <x v="0"/>
    <n v="1.2629999999999999"/>
    <x v="10"/>
    <x v="0"/>
    <s v="November"/>
    <s v="Profit"/>
    <n v="1.6599999999999966"/>
    <n v="41.302999999999997"/>
  </r>
  <r>
    <s v="2023-11-06"/>
    <n v="128.584"/>
    <x v="1195"/>
    <n v="128.20500000000001"/>
    <n v="129.78"/>
    <n v="19121808"/>
    <x v="2"/>
    <s v="Google"/>
    <x v="0"/>
    <n v="0.89100000000000001"/>
    <x v="10"/>
    <x v="0"/>
    <s v="November"/>
    <s v="Profit"/>
    <n v="1.6639999999999873"/>
    <n v="42.193999999999996"/>
  </r>
  <r>
    <s v="2023-11-07"/>
    <n v="130.238"/>
    <x v="1196"/>
    <n v="129.411"/>
    <n v="130.49700000000001"/>
    <n v="29865149"/>
    <x v="2"/>
    <s v="Google"/>
    <x v="0"/>
    <n v="0.55200000000000005"/>
    <x v="10"/>
    <x v="0"/>
    <s v="November"/>
    <s v="Profit"/>
    <n v="2.0219999999999914"/>
    <n v="42.745999999999995"/>
  </r>
  <r>
    <s v="2023-11-08"/>
    <n v="130.49700000000001"/>
    <x v="1197"/>
    <n v="130.30799999999999"/>
    <n v="131.363"/>
    <n v="26521645"/>
    <x v="2"/>
    <s v="Google"/>
    <x v="0"/>
    <n v="0.66400000000000003"/>
    <x v="10"/>
    <x v="0"/>
    <s v="November"/>
    <s v="Profit"/>
    <n v="1.4240000000000066"/>
    <n v="43.41"/>
  </r>
  <r>
    <s v="2023-11-09"/>
    <n v="131.483"/>
    <x v="1198"/>
    <n v="129.595"/>
    <n v="129.77000000000001"/>
    <n v="23833861"/>
    <x v="2"/>
    <s v="Google"/>
    <x v="0"/>
    <n v="-1.2130000000000001"/>
    <x v="10"/>
    <x v="0"/>
    <s v="November"/>
    <s v="Loss"/>
    <n v="2.4770000000000039"/>
    <n v="42.196999999999996"/>
  </r>
  <r>
    <s v="2023-11-10"/>
    <n v="129.63499999999999"/>
    <x v="1199"/>
    <n v="128.94300000000001"/>
    <n v="132.11099999999999"/>
    <n v="27025442"/>
    <x v="2"/>
    <s v="Google"/>
    <x v="0"/>
    <n v="1.804"/>
    <x v="10"/>
    <x v="0"/>
    <s v="November"/>
    <s v="Profit"/>
    <n v="3.3769999999999811"/>
    <n v="44.000999999999998"/>
  </r>
  <r>
    <s v="2023-11-13"/>
    <n v="131.30500000000001"/>
    <x v="1200"/>
    <n v="130.77600000000001"/>
    <n v="131.613"/>
    <n v="18391180"/>
    <x v="2"/>
    <s v="Google"/>
    <x v="0"/>
    <n v="-0.377"/>
    <x v="10"/>
    <x v="0"/>
    <s v="November"/>
    <s v="Loss"/>
    <n v="1.3349999999999795"/>
    <n v="43.623999999999995"/>
  </r>
  <r>
    <s v="2023-11-14"/>
    <n v="133.70500000000001"/>
    <x v="1201"/>
    <n v="132.839"/>
    <n v="133.137"/>
    <n v="32512613"/>
    <x v="2"/>
    <s v="Google"/>
    <x v="0"/>
    <n v="1.1579999999999999"/>
    <x v="10"/>
    <x v="0"/>
    <s v="November"/>
    <s v="Profit"/>
    <n v="2.3700000000000045"/>
    <n v="44.781999999999996"/>
  </r>
  <r>
    <s v="2023-11-15"/>
    <n v="134.38200000000001"/>
    <x v="1202"/>
    <n v="133.08699999999999"/>
    <n v="134.13399999999999"/>
    <n v="23948015"/>
    <x v="2"/>
    <s v="Google"/>
    <x v="0"/>
    <n v="0.749"/>
    <x v="10"/>
    <x v="0"/>
    <s v="November"/>
    <s v="Profit"/>
    <n v="1.4550000000000125"/>
    <n v="45.530999999999999"/>
  </r>
  <r>
    <s v="2023-11-16"/>
    <n v="134.702"/>
    <x v="1203"/>
    <n v="133.83500000000001"/>
    <n v="136.43600000000001"/>
    <n v="28114729"/>
    <x v="2"/>
    <s v="Google"/>
    <x v="0"/>
    <n v="1.716"/>
    <x v="10"/>
    <x v="0"/>
    <s v="November"/>
    <s v="Profit"/>
    <n v="2.8889999999999816"/>
    <n v="47.247"/>
  </r>
  <r>
    <s v="2023-11-17"/>
    <n v="135.50899999999999"/>
    <x v="1204"/>
    <n v="133.167"/>
    <n v="134.821"/>
    <n v="37422862"/>
    <x v="2"/>
    <s v="Google"/>
    <x v="0"/>
    <n v="-1.1839999999999999"/>
    <x v="10"/>
    <x v="0"/>
    <s v="November"/>
    <s v="Loss"/>
    <n v="2.4019999999999868"/>
    <n v="46.063000000000002"/>
  </r>
  <r>
    <s v="2023-11-20"/>
    <n v="133.20699999999999"/>
    <x v="1155"/>
    <n v="133.137"/>
    <n v="135.75800000000001"/>
    <n v="27951723"/>
    <x v="2"/>
    <s v="Google"/>
    <x v="0"/>
    <n v="0.69499999999999995"/>
    <x v="10"/>
    <x v="0"/>
    <s v="November"/>
    <s v="Profit"/>
    <n v="3.0289999999999964"/>
    <n v="46.758000000000003"/>
  </r>
  <r>
    <s v="2023-11-21"/>
    <n v="135.798"/>
    <x v="1205"/>
    <n v="135.46899999999999"/>
    <n v="136.476"/>
    <n v="22717327"/>
    <x v="2"/>
    <s v="Google"/>
    <x v="0"/>
    <n v="0.52900000000000003"/>
    <x v="10"/>
    <x v="0"/>
    <s v="November"/>
    <s v="Profit"/>
    <n v="1.2150000000000034"/>
    <n v="47.287000000000006"/>
  </r>
  <r>
    <s v="2023-11-22"/>
    <n v="136.97300000000001"/>
    <x v="1206"/>
    <n v="136.97300000000001"/>
    <n v="137.99"/>
    <n v="17885056"/>
    <x v="2"/>
    <s v="Google"/>
    <x v="0"/>
    <n v="1.109"/>
    <x v="10"/>
    <x v="0"/>
    <s v="November"/>
    <s v="Profit"/>
    <n v="1.9429999999999836"/>
    <n v="48.396000000000008"/>
  </r>
  <r>
    <s v="2023-11-24"/>
    <n v="137.53100000000001"/>
    <x v="1207"/>
    <n v="135.499"/>
    <n v="136.196"/>
    <n v="12559687"/>
    <x v="2"/>
    <s v="Google"/>
    <x v="0"/>
    <n v="-1.3"/>
    <x v="10"/>
    <x v="0"/>
    <s v="November"/>
    <s v="Loss"/>
    <n v="2.132000000000005"/>
    <n v="47.096000000000011"/>
  </r>
  <r>
    <s v="2023-11-27"/>
    <n v="135.53899999999999"/>
    <x v="1208"/>
    <n v="135.50899999999999"/>
    <n v="135.917"/>
    <n v="23521485"/>
    <x v="2"/>
    <s v="Google"/>
    <x v="0"/>
    <n v="-0.20499999999999999"/>
    <x v="10"/>
    <x v="0"/>
    <s v="November"/>
    <s v="Loss"/>
    <n v="2.4110000000000014"/>
    <n v="46.891000000000012"/>
  </r>
  <r>
    <s v="2023-11-28"/>
    <n v="135.589"/>
    <x v="1209"/>
    <n v="134.93299999999999"/>
    <n v="136.70400000000001"/>
    <n v="18797930"/>
    <x v="2"/>
    <s v="Google"/>
    <x v="0"/>
    <n v="0.57899999999999996"/>
    <x v="10"/>
    <x v="0"/>
    <s v="November"/>
    <s v="Profit"/>
    <n v="1.820999999999998"/>
    <n v="47.470000000000013"/>
  </r>
  <r>
    <s v="2023-11-29"/>
    <n v="137.07300000000001"/>
    <x v="1210"/>
    <n v="134.35300000000001"/>
    <n v="134.50200000000001"/>
    <n v="24054105"/>
    <x v="2"/>
    <s v="Google"/>
    <x v="0"/>
    <n v="-1.611"/>
    <x v="10"/>
    <x v="0"/>
    <s v="November"/>
    <s v="Loss"/>
    <n v="3.4350000000000023"/>
    <n v="45.859000000000016"/>
  </r>
  <r>
    <s v="2023-11-30"/>
    <n v="134.56200000000001"/>
    <x v="1211"/>
    <n v="130.80600000000001"/>
    <n v="132.05199999999999"/>
    <n v="39129599"/>
    <x v="2"/>
    <s v="Google"/>
    <x v="0"/>
    <n v="-1.8220000000000001"/>
    <x v="10"/>
    <x v="0"/>
    <s v="November"/>
    <s v="Loss"/>
    <n v="4.2549999999999955"/>
    <n v="44.037000000000013"/>
  </r>
  <r>
    <s v="2023-12-01"/>
    <n v="131.38300000000001"/>
    <x v="1212"/>
    <n v="130.19300000000001"/>
    <n v="131.38300000000001"/>
    <n v="31556244"/>
    <x v="2"/>
    <s v="Google"/>
    <x v="0"/>
    <n v="-0.50700000000000001"/>
    <x v="11"/>
    <x v="0"/>
    <s v="December"/>
    <s v="Loss"/>
    <n v="1.4399999999999977"/>
    <n v="43.530000000000015"/>
  </r>
  <r>
    <s v="2023-12-04"/>
    <n v="129.411"/>
    <x v="1213"/>
    <n v="127.438"/>
    <n v="128.803"/>
    <n v="36802808"/>
    <x v="2"/>
    <s v="Google"/>
    <x v="0"/>
    <n v="-1.964"/>
    <x v="11"/>
    <x v="0"/>
    <s v="December"/>
    <s v="Loss"/>
    <n v="2.1230000000000047"/>
    <n v="41.566000000000017"/>
  </r>
  <r>
    <s v="2023-12-05"/>
    <n v="128.48400000000001"/>
    <x v="1214"/>
    <n v="127.78700000000001"/>
    <n v="130.517"/>
    <n v="27484056"/>
    <x v="2"/>
    <s v="Google"/>
    <x v="0"/>
    <n v="1.331"/>
    <x v="11"/>
    <x v="0"/>
    <s v="December"/>
    <s v="Profit"/>
    <n v="3.8760000000000048"/>
    <n v="42.89700000000002"/>
  </r>
  <r>
    <s v="2023-12-06"/>
    <n v="130.965"/>
    <x v="1215"/>
    <n v="129.40600000000001"/>
    <n v="129.55099999999999"/>
    <n v="23661642"/>
    <x v="2"/>
    <s v="Google"/>
    <x v="0"/>
    <n v="-0.74"/>
    <x v="11"/>
    <x v="0"/>
    <s v="December"/>
    <s v="Loss"/>
    <n v="1.9569999999999936"/>
    <n v="42.157000000000018"/>
  </r>
  <r>
    <s v="2023-12-07"/>
    <n v="134.55199999999999"/>
    <x v="1216"/>
    <n v="134.214"/>
    <n v="136.43600000000001"/>
    <n v="56972886"/>
    <x v="2"/>
    <s v="Google"/>
    <x v="0"/>
    <n v="5.3150000000000004"/>
    <x v="11"/>
    <x v="0"/>
    <s v="December"/>
    <s v="Profit"/>
    <n v="3.8460000000000036"/>
    <n v="47.472000000000016"/>
  </r>
  <r>
    <s v="2023-12-08"/>
    <n v="133.715"/>
    <x v="1217"/>
    <n v="133.541"/>
    <n v="134.50200000000001"/>
    <n v="32377058"/>
    <x v="2"/>
    <s v="Google"/>
    <x v="0"/>
    <n v="-1.4179999999999999"/>
    <x v="11"/>
    <x v="0"/>
    <s v="December"/>
    <s v="Loss"/>
    <n v="2.3660000000000139"/>
    <n v="46.054000000000016"/>
  </r>
  <r>
    <s v="2023-12-11"/>
    <n v="131.90199999999999"/>
    <x v="1218"/>
    <n v="130.88499999999999"/>
    <n v="132.809"/>
    <n v="31250889"/>
    <x v="2"/>
    <s v="Google"/>
    <x v="0"/>
    <n v="-1.2589999999999999"/>
    <x v="11"/>
    <x v="0"/>
    <s v="December"/>
    <s v="Loss"/>
    <n v="1.9690000000000225"/>
    <n v="44.795000000000016"/>
  </r>
  <r>
    <s v="2023-12-12"/>
    <n v="131.334"/>
    <x v="1219"/>
    <n v="130.786"/>
    <n v="132.042"/>
    <n v="29138077"/>
    <x v="2"/>
    <s v="Google"/>
    <x v="0"/>
    <n v="-0.57799999999999996"/>
    <x v="11"/>
    <x v="0"/>
    <s v="December"/>
    <s v="Loss"/>
    <n v="1.7340000000000089"/>
    <n v="44.217000000000013"/>
  </r>
  <r>
    <s v="2023-12-13"/>
    <n v="132.898"/>
    <x v="1220"/>
    <n v="131.095"/>
    <n v="132.09200000000001"/>
    <n v="30213907"/>
    <x v="2"/>
    <s v="Google"/>
    <x v="0"/>
    <n v="3.7999999999999999E-2"/>
    <x v="11"/>
    <x v="0"/>
    <s v="December"/>
    <s v="Profit"/>
    <n v="1.9230000000000018"/>
    <n v="44.25500000000001"/>
  </r>
  <r>
    <s v="2023-12-14"/>
    <n v="132.898"/>
    <x v="1221"/>
    <n v="129.21600000000001"/>
    <n v="131.46299999999999"/>
    <n v="38862785"/>
    <x v="2"/>
    <s v="Google"/>
    <x v="0"/>
    <n v="-0.47599999999999998"/>
    <x v="11"/>
    <x v="0"/>
    <s v="December"/>
    <s v="Loss"/>
    <n v="4.0209999999999866"/>
    <n v="43.779000000000011"/>
  </r>
  <r>
    <s v="2023-12-15"/>
    <n v="131.14500000000001"/>
    <x v="1222"/>
    <n v="130.70599999999999"/>
    <n v="132.12100000000001"/>
    <n v="51031438"/>
    <x v="2"/>
    <s v="Google"/>
    <x v="0"/>
    <n v="0.501"/>
    <x v="11"/>
    <x v="0"/>
    <s v="December"/>
    <s v="Profit"/>
    <n v="2.3220000000000027"/>
    <n v="44.280000000000008"/>
  </r>
  <r>
    <s v="2023-12-18"/>
    <n v="132.15100000000001"/>
    <x v="1223"/>
    <n v="131.952"/>
    <n v="135.309"/>
    <n v="32374905"/>
    <x v="2"/>
    <s v="Google"/>
    <x v="0"/>
    <n v="2.4129999999999998"/>
    <x v="11"/>
    <x v="0"/>
    <s v="December"/>
    <s v="Profit"/>
    <n v="4.6999999999999886"/>
    <n v="46.693000000000005"/>
  </r>
  <r>
    <s v="2023-12-19"/>
    <n v="136.346"/>
    <x v="1224"/>
    <n v="135.589"/>
    <n v="136.15600000000001"/>
    <n v="25569108"/>
    <x v="2"/>
    <s v="Google"/>
    <x v="0"/>
    <n v="0.626"/>
    <x v="11"/>
    <x v="0"/>
    <s v="December"/>
    <s v="Profit"/>
    <n v="1.3840000000000146"/>
    <n v="47.319000000000003"/>
  </r>
  <r>
    <s v="2023-12-20"/>
    <n v="138.46799999999999"/>
    <x v="1225"/>
    <n v="137.566"/>
    <n v="137.84"/>
    <n v="49285197"/>
    <x v="2"/>
    <s v="Google"/>
    <x v="0"/>
    <n v="1.2370000000000001"/>
    <x v="11"/>
    <x v="0"/>
    <s v="December"/>
    <s v="Profit"/>
    <n v="3.6169999999999902"/>
    <n v="48.556000000000004"/>
  </r>
  <r>
    <s v="2023-12-21"/>
    <n v="138.98599999999999"/>
    <x v="1226"/>
    <n v="138.67699999999999"/>
    <n v="139.91300000000001"/>
    <n v="27587931"/>
    <x v="2"/>
    <s v="Google"/>
    <x v="0"/>
    <n v="1.504"/>
    <x v="11"/>
    <x v="0"/>
    <s v="December"/>
    <s v="Profit"/>
    <n v="1.5"/>
    <n v="50.06"/>
  </r>
  <r>
    <s v="2023-12-22"/>
    <n v="140.262"/>
    <x v="1227"/>
    <n v="140.202"/>
    <n v="140.97900000000001"/>
    <n v="26628380"/>
    <x v="2"/>
    <s v="Google"/>
    <x v="0"/>
    <n v="0.76200000000000001"/>
    <x v="11"/>
    <x v="0"/>
    <s v="December"/>
    <s v="Profit"/>
    <n v="1.2750000000000057"/>
    <n v="50.822000000000003"/>
  </r>
  <r>
    <s v="2023-12-26"/>
    <n v="141.07900000000001"/>
    <x v="1228"/>
    <n v="140.68"/>
    <n v="141.00899999999999"/>
    <n v="16841163"/>
    <x v="2"/>
    <s v="Google"/>
    <x v="0"/>
    <n v="2.1000000000000001E-2"/>
    <x v="11"/>
    <x v="0"/>
    <s v="December"/>
    <s v="Profit"/>
    <n v="1.4839999999999804"/>
    <n v="50.843000000000004"/>
  </r>
  <r>
    <s v="2023-12-27"/>
    <n v="141.07900000000001"/>
    <x v="1229"/>
    <n v="139.381"/>
    <n v="139.863"/>
    <n v="19699773"/>
    <x v="2"/>
    <s v="Google"/>
    <x v="0"/>
    <n v="-0.81299999999999994"/>
    <x v="11"/>
    <x v="0"/>
    <s v="December"/>
    <s v="Loss"/>
    <n v="2.186000000000007"/>
    <n v="50.03"/>
  </r>
  <r>
    <s v="2023-12-28"/>
    <n v="140.27199999999999"/>
    <x v="1230"/>
    <n v="139.245"/>
    <n v="139.72300000000001"/>
    <n v="16103879"/>
    <x v="2"/>
    <s v="Google"/>
    <x v="0"/>
    <n v="-0.1"/>
    <x v="11"/>
    <x v="0"/>
    <s v="December"/>
    <s v="Loss"/>
    <n v="1.3849999999999909"/>
    <n v="49.93"/>
  </r>
  <r>
    <s v="2023-12-29"/>
    <n v="139.126"/>
    <x v="1231"/>
    <n v="138.279"/>
    <n v="139.185"/>
    <n v="18800926"/>
    <x v="2"/>
    <s v="Google"/>
    <x v="0"/>
    <n v="-0.38500000000000001"/>
    <x v="11"/>
    <x v="0"/>
    <s v="December"/>
    <s v="Loss"/>
    <n v="1.5740000000000123"/>
    <n v="49.545000000000002"/>
  </r>
  <r>
    <s v="2024-01-02"/>
    <n v="138.05000000000001"/>
    <x v="1232"/>
    <n v="135.98699999999999"/>
    <n v="137.67099999999999"/>
    <n v="23797175"/>
    <x v="2"/>
    <s v="Google"/>
    <x v="0"/>
    <n v="-1.0880000000000001"/>
    <x v="12"/>
    <x v="1"/>
    <s v="January"/>
    <s v="Loss"/>
    <n v="2.9590000000000032"/>
    <n v="48.457000000000001"/>
  </r>
  <r>
    <s v="2024-01-03"/>
    <n v="136.75399999999999"/>
    <x v="1181"/>
    <n v="136.58500000000001"/>
    <n v="138.41800000000001"/>
    <n v="24299918"/>
    <x v="2"/>
    <s v="Google"/>
    <x v="0"/>
    <n v="0.54300000000000004"/>
    <x v="12"/>
    <x v="1"/>
    <s v="January"/>
    <s v="Profit"/>
    <n v="2.5409999999999968"/>
    <n v="49"/>
  </r>
  <r>
    <s v="2024-01-04"/>
    <n v="137.91999999999999"/>
    <x v="1161"/>
    <n v="135.858"/>
    <n v="135.89699999999999"/>
    <n v="27236112"/>
    <x v="2"/>
    <s v="Google"/>
    <x v="0"/>
    <n v="-1.821"/>
    <x v="12"/>
    <x v="1"/>
    <s v="January"/>
    <s v="Loss"/>
    <n v="2.7990000000000066"/>
    <n v="47.179000000000002"/>
  </r>
  <r>
    <s v="2024-01-05"/>
    <n v="136.251"/>
    <x v="1233"/>
    <n v="134.66200000000001"/>
    <n v="135.239"/>
    <n v="22595468"/>
    <x v="2"/>
    <s v="Google"/>
    <x v="0"/>
    <n v="-0.48399999999999999"/>
    <x v="12"/>
    <x v="1"/>
    <s v="January"/>
    <s v="Loss"/>
    <n v="1.9979999999999905"/>
    <n v="46.695"/>
  </r>
  <r>
    <s v="2024-01-08"/>
    <n v="135.798"/>
    <x v="1234"/>
    <n v="135.768"/>
    <n v="138.33799999999999"/>
    <n v="21481573"/>
    <x v="2"/>
    <s v="Google"/>
    <x v="0"/>
    <n v="2.2909999999999999"/>
    <x v="12"/>
    <x v="1"/>
    <s v="January"/>
    <s v="Profit"/>
    <n v="2.7400000000000091"/>
    <n v="48.985999999999997"/>
  </r>
  <r>
    <s v="2024-01-09"/>
    <n v="138"/>
    <x v="1235"/>
    <n v="137.65100000000001"/>
    <n v="140.44"/>
    <n v="24849354"/>
    <x v="2"/>
    <s v="Google"/>
    <x v="0"/>
    <n v="1.5189999999999999"/>
    <x v="12"/>
    <x v="1"/>
    <s v="January"/>
    <s v="Profit"/>
    <n v="3.3229999999999791"/>
    <n v="50.504999999999995"/>
  </r>
  <r>
    <s v="2024-01-10"/>
    <n v="140.49"/>
    <x v="1236"/>
    <n v="140.4"/>
    <n v="141.767"/>
    <n v="21397490"/>
    <x v="2"/>
    <s v="Google"/>
    <x v="0"/>
    <n v="0.94499999999999995"/>
    <x v="12"/>
    <x v="1"/>
    <s v="January"/>
    <s v="Profit"/>
    <n v="2.0840000000000032"/>
    <n v="51.449999999999996"/>
  </r>
  <r>
    <s v="2024-01-11"/>
    <n v="142.97200000000001"/>
    <x v="1237"/>
    <n v="140.12700000000001"/>
    <n v="141.56700000000001"/>
    <n v="24095756"/>
    <x v="2"/>
    <s v="Google"/>
    <x v="0"/>
    <n v="-0.14099999999999999"/>
    <x v="12"/>
    <x v="1"/>
    <s v="January"/>
    <s v="Loss"/>
    <n v="4.5689999999999884"/>
    <n v="51.308999999999997"/>
  </r>
  <r>
    <s v="2024-01-12"/>
    <n v="142.154"/>
    <x v="1238"/>
    <n v="141.30699999999999"/>
    <n v="142.13399999999999"/>
    <n v="18853613"/>
    <x v="2"/>
    <s v="Google"/>
    <x v="0"/>
    <n v="0.40100000000000002"/>
    <x v="12"/>
    <x v="1"/>
    <s v="January"/>
    <s v="Profit"/>
    <n v="1.3700000000000045"/>
    <n v="51.71"/>
  </r>
  <r>
    <s v="2024-01-16"/>
    <n v="141.48699999999999"/>
    <x v="1239"/>
    <n v="140.93899999999999"/>
    <n v="141.97499999999999"/>
    <n v="22752649"/>
    <x v="2"/>
    <s v="Google"/>
    <x v="0"/>
    <n v="-0.112"/>
    <x v="12"/>
    <x v="1"/>
    <s v="January"/>
    <s v="Loss"/>
    <n v="2.8900000000000148"/>
    <n v="51.597999999999999"/>
  </r>
  <r>
    <s v="2024-01-17"/>
    <n v="140.83500000000001"/>
    <x v="1240"/>
    <n v="138.398"/>
    <n v="140.959"/>
    <n v="21044662"/>
    <x v="2"/>
    <s v="Google"/>
    <x v="0"/>
    <n v="-0.71599999999999997"/>
    <x v="12"/>
    <x v="1"/>
    <s v="January"/>
    <s v="Loss"/>
    <n v="2.929000000000002"/>
    <n v="50.881999999999998"/>
  </r>
  <r>
    <s v="2024-01-18"/>
    <n v="141.53700000000001"/>
    <x v="1241"/>
    <n v="141.477"/>
    <n v="142.96199999999999"/>
    <n v="25839750"/>
    <x v="2"/>
    <s v="Google"/>
    <x v="0"/>
    <n v="1.421"/>
    <x v="12"/>
    <x v="1"/>
    <s v="January"/>
    <s v="Profit"/>
    <n v="2.2119999999999891"/>
    <n v="52.302999999999997"/>
  </r>
  <r>
    <s v="2024-01-19"/>
    <n v="144.21700000000001"/>
    <x v="1242"/>
    <n v="143.858"/>
    <n v="145.851"/>
    <n v="34396105"/>
    <x v="2"/>
    <s v="Google"/>
    <x v="0"/>
    <n v="2.0209999999999999"/>
    <x v="12"/>
    <x v="1"/>
    <s v="January"/>
    <s v="Profit"/>
    <n v="2.0629999999999882"/>
    <n v="54.323999999999998"/>
  </r>
  <r>
    <s v="2024-01-22"/>
    <n v="146.56800000000001"/>
    <x v="1243"/>
    <n v="145.31299999999999"/>
    <n v="145.46299999999999"/>
    <n v="32317098"/>
    <x v="2"/>
    <s v="Google"/>
    <x v="0"/>
    <n v="-0.26600000000000001"/>
    <x v="12"/>
    <x v="1"/>
    <s v="January"/>
    <s v="Loss"/>
    <n v="2.5420000000000016"/>
    <n v="54.058"/>
  </r>
  <r>
    <s v="2024-01-23"/>
    <n v="145.363"/>
    <x v="1244"/>
    <n v="144.97399999999999"/>
    <n v="146.50800000000001"/>
    <n v="21714562"/>
    <x v="2"/>
    <s v="Google"/>
    <x v="0"/>
    <n v="0.71799999999999997"/>
    <x v="12"/>
    <x v="1"/>
    <s v="January"/>
    <s v="Profit"/>
    <n v="1.6760000000000161"/>
    <n v="54.775999999999996"/>
  </r>
  <r>
    <s v="2024-01-24"/>
    <n v="148.00299999999999"/>
    <x v="1245"/>
    <n v="147.565"/>
    <n v="148.16300000000001"/>
    <n v="25324923"/>
    <x v="2"/>
    <s v="Google"/>
    <x v="0"/>
    <n v="1.1299999999999999"/>
    <x v="12"/>
    <x v="1"/>
    <s v="January"/>
    <s v="Profit"/>
    <n v="1.7489999999999952"/>
    <n v="55.905999999999999"/>
  </r>
  <r>
    <s v="2024-01-25"/>
    <n v="149.523"/>
    <x v="1246"/>
    <n v="149"/>
    <n v="151.322"/>
    <n v="29254737"/>
    <x v="2"/>
    <s v="Google"/>
    <x v="0"/>
    <n v="2.1320000000000001"/>
    <x v="12"/>
    <x v="1"/>
    <s v="January"/>
    <s v="Profit"/>
    <n v="3.4970000000000141"/>
    <n v="58.037999999999997"/>
  </r>
  <r>
    <s v="2024-01-26"/>
    <n v="150.554"/>
    <x v="1247"/>
    <n v="150.465"/>
    <n v="151.636"/>
    <n v="26210165"/>
    <x v="2"/>
    <s v="Google"/>
    <x v="0"/>
    <n v="0.20799999999999999"/>
    <x v="12"/>
    <x v="1"/>
    <s v="January"/>
    <s v="Profit"/>
    <n v="1.5190000000000055"/>
    <n v="58.245999999999995"/>
  </r>
  <r>
    <s v="2024-01-29"/>
    <n v="151.511"/>
    <x v="1248"/>
    <n v="150.88300000000001"/>
    <n v="152.95599999999999"/>
    <n v="27884979"/>
    <x v="2"/>
    <s v="Google"/>
    <x v="0"/>
    <n v="0.871"/>
    <x v="12"/>
    <x v="1"/>
    <s v="January"/>
    <s v="Profit"/>
    <n v="2.3409999999999798"/>
    <n v="59.116999999999997"/>
  </r>
  <r>
    <s v="2024-01-30"/>
    <n v="152.249"/>
    <x v="1249"/>
    <n v="150.63900000000001"/>
    <n v="150.91300000000001"/>
    <n v="36463539"/>
    <x v="2"/>
    <s v="Google"/>
    <x v="0"/>
    <n v="-1.3360000000000001"/>
    <x v="12"/>
    <x v="1"/>
    <s v="January"/>
    <s v="Loss"/>
    <n v="2.4269999999999925"/>
    <n v="57.780999999999999"/>
  </r>
  <r>
    <s v="2024-01-31"/>
    <n v="143.101"/>
    <x v="1250"/>
    <n v="139.36500000000001"/>
    <n v="139.59399999999999"/>
    <n v="72170725"/>
    <x v="2"/>
    <s v="Google"/>
    <x v="0"/>
    <n v="-7.5"/>
    <x v="12"/>
    <x v="1"/>
    <s v="January"/>
    <s v="Loss"/>
    <n v="4.1149999999999807"/>
    <n v="50.280999999999999"/>
  </r>
  <r>
    <s v="2024-02-01"/>
    <n v="141.607"/>
    <x v="1251"/>
    <n v="140.28200000000001"/>
    <n v="140.65"/>
    <n v="40613244"/>
    <x v="2"/>
    <s v="Google"/>
    <x v="0"/>
    <n v="0.75600000000000001"/>
    <x v="13"/>
    <x v="1"/>
    <s v="February"/>
    <s v="Profit"/>
    <n v="2.2620000000000005"/>
    <n v="51.036999999999999"/>
  </r>
  <r>
    <s v="2024-02-02"/>
    <n v="138.75700000000001"/>
    <x v="1252"/>
    <n v="136.00700000000001"/>
    <n v="141.86600000000001"/>
    <n v="62726141"/>
    <x v="2"/>
    <s v="Google"/>
    <x v="0"/>
    <n v="0.86499999999999999"/>
    <x v="13"/>
    <x v="1"/>
    <s v="February"/>
    <s v="Profit"/>
    <n v="6.0979999999999848"/>
    <n v="51.902000000000001"/>
  </r>
  <r>
    <s v="2024-02-05"/>
    <n v="142.304"/>
    <x v="1253"/>
    <n v="142.26400000000001"/>
    <n v="143.161"/>
    <n v="38644990"/>
    <x v="2"/>
    <s v="Google"/>
    <x v="0"/>
    <n v="0.91300000000000003"/>
    <x v="13"/>
    <x v="1"/>
    <s v="February"/>
    <s v="Profit"/>
    <n v="2.6799999999999784"/>
    <n v="52.814999999999998"/>
  </r>
  <r>
    <s v="2024-02-06"/>
    <n v="144.12799999999999"/>
    <x v="1254"/>
    <n v="142.672"/>
    <n v="143.57900000000001"/>
    <n v="29233793"/>
    <x v="2"/>
    <s v="Google"/>
    <x v="0"/>
    <n v="0.29199999999999998"/>
    <x v="13"/>
    <x v="1"/>
    <s v="February"/>
    <s v="Profit"/>
    <n v="2.1630000000000109"/>
    <n v="53.106999999999999"/>
  </r>
  <r>
    <s v="2024-02-07"/>
    <n v="144.23699999999999"/>
    <x v="36"/>
    <n v="143.405"/>
    <n v="145.01400000000001"/>
    <n v="25300246"/>
    <x v="2"/>
    <s v="Google"/>
    <x v="0"/>
    <n v="0.999"/>
    <x v="13"/>
    <x v="1"/>
    <s v="February"/>
    <s v="Profit"/>
    <n v="1.6839999999999975"/>
    <n v="54.106000000000002"/>
  </r>
  <r>
    <s v="2024-02-08"/>
    <n v="145.303"/>
    <x v="1255"/>
    <n v="144.58099999999999"/>
    <n v="145.38300000000001"/>
    <n v="22645559"/>
    <x v="2"/>
    <s v="Google"/>
    <x v="0"/>
    <n v="0.254"/>
    <x v="13"/>
    <x v="1"/>
    <s v="February"/>
    <s v="Profit"/>
    <n v="1.2199999999999989"/>
    <n v="54.36"/>
  </r>
  <r>
    <s v="2024-02-09"/>
    <n v="146.15100000000001"/>
    <x v="1256"/>
    <n v="145.65199999999999"/>
    <n v="148.46199999999999"/>
    <n v="26926763"/>
    <x v="2"/>
    <s v="Google"/>
    <x v="0"/>
    <n v="2.1179999999999999"/>
    <x v="13"/>
    <x v="1"/>
    <s v="February"/>
    <s v="Profit"/>
    <n v="3.2480000000000189"/>
    <n v="56.478000000000002"/>
  </r>
  <r>
    <s v="2024-02-12"/>
    <n v="147.88499999999999"/>
    <x v="21"/>
    <n v="146.83799999999999"/>
    <n v="146.99799999999999"/>
    <n v="21642256"/>
    <x v="2"/>
    <s v="Google"/>
    <x v="0"/>
    <n v="-0.98599999999999999"/>
    <x v="13"/>
    <x v="1"/>
    <s v="February"/>
    <s v="Loss"/>
    <n v="1.9569999999999936"/>
    <n v="55.492000000000004"/>
  </r>
  <r>
    <s v="2024-02-13"/>
    <n v="144.39699999999999"/>
    <x v="1257"/>
    <n v="143.17099999999999"/>
    <n v="144.61600000000001"/>
    <n v="27938644"/>
    <x v="2"/>
    <s v="Google"/>
    <x v="0"/>
    <n v="-1.62"/>
    <x v="13"/>
    <x v="1"/>
    <s v="February"/>
    <s v="Loss"/>
    <n v="2.9699999999999989"/>
    <n v="53.872000000000007"/>
  </r>
  <r>
    <s v="2024-02-14"/>
    <n v="145.553"/>
    <x v="1258"/>
    <n v="143.57300000000001"/>
    <n v="145.41300000000001"/>
    <n v="22786470"/>
    <x v="2"/>
    <s v="Google"/>
    <x v="0"/>
    <n v="0.55100000000000005"/>
    <x v="13"/>
    <x v="1"/>
    <s v="February"/>
    <s v="Profit"/>
    <n v="2.4180000000000064"/>
    <n v="54.423000000000009"/>
  </r>
  <r>
    <s v="2024-02-15"/>
    <n v="142.624"/>
    <x v="1259"/>
    <n v="139.953"/>
    <n v="142.25399999999999"/>
    <n v="37726965"/>
    <x v="2"/>
    <s v="Google"/>
    <x v="0"/>
    <n v="-2.1720000000000002"/>
    <x v="13"/>
    <x v="1"/>
    <s v="February"/>
    <s v="Loss"/>
    <n v="3.0480000000000018"/>
    <n v="52.251000000000012"/>
  </r>
  <r>
    <s v="2024-02-16"/>
    <n v="142.47399999999999"/>
    <x v="1260"/>
    <n v="139.63300000000001"/>
    <n v="140.01300000000001"/>
    <n v="31583004"/>
    <x v="2"/>
    <s v="Google"/>
    <x v="0"/>
    <n v="-1.575"/>
    <x v="13"/>
    <x v="1"/>
    <s v="February"/>
    <s v="Loss"/>
    <n v="3.0389999999999873"/>
    <n v="50.676000000000009"/>
  </r>
  <r>
    <s v="2024-02-20"/>
    <n v="139.15100000000001"/>
    <x v="1229"/>
    <n v="138.98599999999999"/>
    <n v="140.61000000000001"/>
    <n v="25026104"/>
    <x v="2"/>
    <s v="Google"/>
    <x v="0"/>
    <n v="0.42599999999999999"/>
    <x v="13"/>
    <x v="1"/>
    <s v="February"/>
    <s v="Profit"/>
    <n v="2.5810000000000173"/>
    <n v="51.102000000000011"/>
  </r>
  <r>
    <s v="2024-02-21"/>
    <n v="140.93899999999999"/>
    <x v="1261"/>
    <n v="140.167"/>
    <n v="142.035"/>
    <n v="23400208"/>
    <x v="2"/>
    <s v="Google"/>
    <x v="0"/>
    <n v="1.0129999999999999"/>
    <x v="13"/>
    <x v="1"/>
    <s v="February"/>
    <s v="Profit"/>
    <n v="2.007000000000005"/>
    <n v="52.115000000000009"/>
  </r>
  <r>
    <s v="2024-02-22"/>
    <n v="144.40700000000001"/>
    <x v="1262"/>
    <n v="142.28399999999999"/>
    <n v="143.56899999999999"/>
    <n v="27290465"/>
    <x v="2"/>
    <s v="Google"/>
    <x v="0"/>
    <n v="1.08"/>
    <x v="13"/>
    <x v="1"/>
    <s v="February"/>
    <s v="Profit"/>
    <n v="2.1920000000000073"/>
    <n v="53.195000000000007"/>
  </r>
  <r>
    <s v="2024-02-23"/>
    <n v="143.15100000000001"/>
    <x v="1263"/>
    <n v="142.91200000000001"/>
    <n v="143.44"/>
    <n v="19564418"/>
    <x v="2"/>
    <s v="Google"/>
    <x v="0"/>
    <n v="-0.09"/>
    <x v="13"/>
    <x v="1"/>
    <s v="February"/>
    <s v="Loss"/>
    <n v="1.2450000000000045"/>
    <n v="53.105000000000004"/>
  </r>
  <r>
    <s v="2024-02-26"/>
    <n v="141.62700000000001"/>
    <x v="1264"/>
    <n v="136.893"/>
    <n v="137.07300000000001"/>
    <n v="53836251"/>
    <x v="2"/>
    <s v="Google"/>
    <x v="0"/>
    <n v="-4.4390000000000001"/>
    <x v="13"/>
    <x v="1"/>
    <s v="February"/>
    <s v="Loss"/>
    <n v="5.0320000000000107"/>
    <n v="48.666000000000004"/>
  </r>
  <r>
    <s v="2024-02-27"/>
    <n v="137.52099999999999"/>
    <x v="1265"/>
    <n v="136.595"/>
    <n v="138.37799999999999"/>
    <n v="33219177"/>
    <x v="2"/>
    <s v="Google"/>
    <x v="0"/>
    <n v="0.95199999999999996"/>
    <x v="13"/>
    <x v="1"/>
    <s v="February"/>
    <s v="Profit"/>
    <n v="2.1520000000000152"/>
    <n v="49.618000000000002"/>
  </r>
  <r>
    <s v="2024-02-28"/>
    <n v="137.40199999999999"/>
    <x v="1266"/>
    <n v="134.92099999999999"/>
    <n v="135.887"/>
    <n v="37463877"/>
    <x v="2"/>
    <s v="Google"/>
    <x v="0"/>
    <n v="-1.8"/>
    <x v="13"/>
    <x v="1"/>
    <s v="February"/>
    <s v="Loss"/>
    <n v="2.5900000000000034"/>
    <n v="47.818000000000005"/>
  </r>
  <r>
    <s v="2024-02-29"/>
    <n v="136.78399999999999"/>
    <x v="1267"/>
    <n v="135.90700000000001"/>
    <n v="137.96"/>
    <n v="42285689"/>
    <x v="2"/>
    <s v="Google"/>
    <x v="0"/>
    <n v="1.526"/>
    <x v="13"/>
    <x v="1"/>
    <s v="February"/>
    <s v="Profit"/>
    <n v="2.4509999999999934"/>
    <n v="49.344000000000008"/>
  </r>
  <r>
    <s v="2024-03-01"/>
    <n v="137.93"/>
    <x v="1268"/>
    <n v="136.42599999999999"/>
    <n v="136.64400000000001"/>
    <n v="31264041"/>
    <x v="2"/>
    <s v="Google"/>
    <x v="0"/>
    <n v="-0.95399999999999996"/>
    <x v="14"/>
    <x v="1"/>
    <s v="March"/>
    <s v="Loss"/>
    <n v="1.9420000000000073"/>
    <n v="48.390000000000008"/>
  </r>
  <r>
    <s v="2024-03-04"/>
    <n v="135.16900000000001"/>
    <x v="1269"/>
    <n v="131.43299999999999"/>
    <n v="132.86799999999999"/>
    <n v="56202418"/>
    <x v="2"/>
    <s v="Google"/>
    <x v="0"/>
    <n v="-2.7629999999999999"/>
    <x v="14"/>
    <x v="1"/>
    <s v="March"/>
    <s v="Loss"/>
    <n v="3.7360000000000184"/>
    <n v="45.62700000000001"/>
  </r>
  <r>
    <s v="2024-03-05"/>
    <n v="131.40299999999999"/>
    <x v="1126"/>
    <n v="130.19300000000001"/>
    <n v="132.191"/>
    <n v="40340467"/>
    <x v="2"/>
    <s v="Google"/>
    <x v="0"/>
    <n v="-0.51"/>
    <x v="14"/>
    <x v="1"/>
    <s v="March"/>
    <s v="Loss"/>
    <n v="2.5659999999999741"/>
    <n v="45.117000000000012"/>
  </r>
  <r>
    <s v="2024-03-06"/>
    <n v="132.63900000000001"/>
    <x v="1270"/>
    <n v="130.37799999999999"/>
    <n v="130.92500000000001"/>
    <n v="35446643"/>
    <x v="2"/>
    <s v="Google"/>
    <x v="0"/>
    <n v="-0.95799999999999996"/>
    <x v="14"/>
    <x v="1"/>
    <s v="March"/>
    <s v="Loss"/>
    <n v="2.7190000000000225"/>
    <n v="44.159000000000013"/>
  </r>
  <r>
    <s v="2024-03-07"/>
    <n v="132.315"/>
    <x v="1271"/>
    <n v="131.13499999999999"/>
    <n v="133.89500000000001"/>
    <n v="37875013"/>
    <x v="2"/>
    <s v="Google"/>
    <x v="0"/>
    <n v="2.2679999999999998"/>
    <x v="14"/>
    <x v="1"/>
    <s v="March"/>
    <s v="Profit"/>
    <n v="3.3170000000000073"/>
    <n v="46.427000000000014"/>
  </r>
  <r>
    <s v="2024-03-08"/>
    <n v="133.72499999999999"/>
    <x v="1272"/>
    <n v="133.51599999999999"/>
    <n v="134.92099999999999"/>
    <n v="39513113"/>
    <x v="2"/>
    <s v="Google"/>
    <x v="0"/>
    <n v="0.76600000000000001"/>
    <x v="14"/>
    <x v="1"/>
    <s v="March"/>
    <s v="Profit"/>
    <n v="4.0700000000000216"/>
    <n v="47.193000000000012"/>
  </r>
  <r>
    <s v="2024-03-11"/>
    <n v="135.63900000000001"/>
    <x v="1273"/>
    <n v="135.63900000000001"/>
    <n v="137.173"/>
    <n v="32555362"/>
    <x v="2"/>
    <s v="Google"/>
    <x v="0"/>
    <n v="1.669"/>
    <x v="14"/>
    <x v="1"/>
    <s v="March"/>
    <s v="Profit"/>
    <n v="2.9539999999999793"/>
    <n v="48.862000000000009"/>
  </r>
  <r>
    <s v="2024-03-12"/>
    <n v="136.536"/>
    <x v="1274"/>
    <n v="136.536"/>
    <n v="138"/>
    <n v="27663273"/>
    <x v="2"/>
    <s v="Google"/>
    <x v="0"/>
    <n v="0.60299999999999998"/>
    <x v="14"/>
    <x v="1"/>
    <s v="March"/>
    <s v="Profit"/>
    <n v="2.3360000000000127"/>
    <n v="49.465000000000011"/>
  </r>
  <r>
    <s v="2024-03-13"/>
    <n v="138.49799999999999"/>
    <x v="1275"/>
    <n v="138.488"/>
    <n v="139.285"/>
    <n v="23431843"/>
    <x v="2"/>
    <s v="Google"/>
    <x v="0"/>
    <n v="0.93100000000000005"/>
    <x v="14"/>
    <x v="1"/>
    <s v="March"/>
    <s v="Profit"/>
    <n v="2.092000000000013"/>
    <n v="50.396000000000008"/>
  </r>
  <r>
    <s v="2024-03-14"/>
    <n v="140.68"/>
    <x v="1276"/>
    <n v="139.94800000000001"/>
    <n v="142.584"/>
    <n v="42908372"/>
    <x v="2"/>
    <s v="Google"/>
    <x v="0"/>
    <n v="2.3690000000000002"/>
    <x v="14"/>
    <x v="1"/>
    <s v="March"/>
    <s v="Profit"/>
    <n v="3.117999999999995"/>
    <n v="52.765000000000008"/>
  </r>
  <r>
    <s v="2024-03-15"/>
    <n v="141.98500000000001"/>
    <x v="1277"/>
    <n v="139.524"/>
    <n v="140.66999999999999"/>
    <n v="49654770"/>
    <x v="2"/>
    <s v="Google"/>
    <x v="0"/>
    <n v="-1.3420000000000001"/>
    <x v="14"/>
    <x v="1"/>
    <s v="March"/>
    <s v="Loss"/>
    <n v="3.1380000000000052"/>
    <n v="51.423000000000009"/>
  </r>
  <r>
    <s v="2024-03-18"/>
    <n v="148.07300000000001"/>
    <x v="1278"/>
    <n v="146.63800000000001"/>
    <n v="147.14699999999999"/>
    <n v="69524823"/>
    <x v="2"/>
    <s v="Google"/>
    <x v="0"/>
    <n v="4.6040000000000001"/>
    <x v="14"/>
    <x v="1"/>
    <s v="March"/>
    <s v="Profit"/>
    <n v="4.9629999999999939"/>
    <n v="56.027000000000008"/>
  </r>
  <r>
    <s v="2024-03-19"/>
    <n v="147.625"/>
    <x v="1279"/>
    <n v="145.553"/>
    <n v="146.49799999999999"/>
    <n v="24157692"/>
    <x v="2"/>
    <s v="Google"/>
    <x v="0"/>
    <n v="-0.441"/>
    <x v="14"/>
    <x v="1"/>
    <s v="March"/>
    <s v="Loss"/>
    <n v="2.7009999999999934"/>
    <n v="55.586000000000006"/>
  </r>
  <r>
    <s v="2024-03-20"/>
    <n v="147.465"/>
    <x v="1280"/>
    <n v="146.20500000000001"/>
    <n v="148.202"/>
    <n v="21388757"/>
    <x v="2"/>
    <s v="Google"/>
    <x v="0"/>
    <n v="1.163"/>
    <x v="14"/>
    <x v="1"/>
    <s v="March"/>
    <s v="Profit"/>
    <n v="2.1169999999999902"/>
    <n v="56.749000000000002"/>
  </r>
  <r>
    <s v="2024-03-21"/>
    <n v="148.93"/>
    <x v="1281"/>
    <n v="146.37"/>
    <n v="147.06700000000001"/>
    <n v="24845338"/>
    <x v="2"/>
    <s v="Google"/>
    <x v="0"/>
    <n v="-0.76600000000000001"/>
    <x v="14"/>
    <x v="1"/>
    <s v="March"/>
    <s v="Loss"/>
    <n v="3.4569999999999936"/>
    <n v="55.983000000000004"/>
  </r>
  <r>
    <s v="2024-03-22"/>
    <n v="148.58199999999999"/>
    <x v="1282"/>
    <n v="148.44200000000001"/>
    <n v="150.22499999999999"/>
    <n v="29317664"/>
    <x v="2"/>
    <s v="Google"/>
    <x v="0"/>
    <n v="2.1469999999999998"/>
    <x v="14"/>
    <x v="1"/>
    <s v="March"/>
    <s v="Profit"/>
    <n v="2.5900000000000034"/>
    <n v="58.13"/>
  </r>
  <r>
    <s v="2024-03-25"/>
    <n v="149.399"/>
    <x v="1283"/>
    <n v="147.286"/>
    <n v="149.52799999999999"/>
    <n v="19298993"/>
    <x v="2"/>
    <s v="Google"/>
    <x v="0"/>
    <n v="-0.46400000000000002"/>
    <x v="14"/>
    <x v="1"/>
    <s v="March"/>
    <s v="Loss"/>
    <n v="2.5459999999999923"/>
    <n v="57.666000000000004"/>
  </r>
  <r>
    <s v="2024-03-26"/>
    <n v="149.67699999999999"/>
    <x v="1284"/>
    <n v="149.43799999999999"/>
    <n v="150.126"/>
    <n v="22229429"/>
    <x v="2"/>
    <s v="Google"/>
    <x v="0"/>
    <n v="0.4"/>
    <x v="14"/>
    <x v="1"/>
    <s v="March"/>
    <s v="Profit"/>
    <n v="2.2670000000000243"/>
    <n v="58.066000000000003"/>
  </r>
  <r>
    <s v="2024-03-27"/>
    <n v="150.63399999999999"/>
    <x v="1285"/>
    <n v="148.36199999999999"/>
    <n v="150.32499999999999"/>
    <n v="22962117"/>
    <x v="2"/>
    <s v="Google"/>
    <x v="0"/>
    <n v="0.13300000000000001"/>
    <x v="14"/>
    <x v="1"/>
    <s v="March"/>
    <s v="Profit"/>
    <n v="2.7249999999999943"/>
    <n v="58.199000000000005"/>
  </r>
  <r>
    <s v="2024-03-28"/>
    <n v="150.30500000000001"/>
    <x v="1286"/>
    <n v="149.62799999999999"/>
    <n v="150.38499999999999"/>
    <n v="24574152"/>
    <x v="2"/>
    <s v="Google"/>
    <x v="0"/>
    <n v="0.04"/>
    <x v="14"/>
    <x v="1"/>
    <s v="March"/>
    <s v="Profit"/>
    <n v="1.2550000000000239"/>
    <n v="58.239000000000004"/>
  </r>
  <r>
    <s v="2024-04-01"/>
    <n v="150.14599999999999"/>
    <x v="1287"/>
    <n v="150.066"/>
    <n v="154.928"/>
    <n v="31845875"/>
    <x v="2"/>
    <s v="Google"/>
    <x v="0"/>
    <n v="3.0209999999999999"/>
    <x v="15"/>
    <x v="1"/>
    <s v="April"/>
    <s v="Profit"/>
    <n v="5.11099999999999"/>
    <n v="61.260000000000005"/>
  </r>
  <r>
    <s v="2024-04-02"/>
    <n v="152.946"/>
    <x v="1288"/>
    <n v="151.601"/>
    <n v="154.00200000000001"/>
    <n v="24675111"/>
    <x v="2"/>
    <s v="Google"/>
    <x v="0"/>
    <n v="-0.59799999999999998"/>
    <x v="15"/>
    <x v="1"/>
    <s v="April"/>
    <s v="Loss"/>
    <n v="2.539999999999992"/>
    <n v="60.662000000000006"/>
  </r>
  <r>
    <s v="2024-04-03"/>
    <n v="153.04599999999999"/>
    <x v="1289"/>
    <n v="152.179"/>
    <n v="154.36000000000001"/>
    <n v="24794549"/>
    <x v="2"/>
    <s v="Google"/>
    <x v="0"/>
    <n v="0.23200000000000001"/>
    <x v="15"/>
    <x v="1"/>
    <s v="April"/>
    <s v="Profit"/>
    <n v="2.3410000000000082"/>
    <n v="60.894000000000005"/>
  </r>
  <r>
    <s v="2024-04-04"/>
    <n v="152.946"/>
    <x v="1290"/>
    <n v="149.90700000000001"/>
    <n v="149.98599999999999"/>
    <n v="34850618"/>
    <x v="2"/>
    <s v="Google"/>
    <x v="0"/>
    <n v="-2.8340000000000001"/>
    <x v="15"/>
    <x v="1"/>
    <s v="April"/>
    <s v="Loss"/>
    <n v="4.304000000000002"/>
    <n v="58.06"/>
  </r>
  <r>
    <s v="2024-04-05"/>
    <n v="149.488"/>
    <x v="1291"/>
    <n v="149.059"/>
    <n v="151.94900000000001"/>
    <n v="23544288"/>
    <x v="2"/>
    <s v="Google"/>
    <x v="0"/>
    <n v="1.3089999999999999"/>
    <x v="15"/>
    <x v="1"/>
    <s v="April"/>
    <s v="Profit"/>
    <n v="3.8070000000000164"/>
    <n v="59.369"/>
  </r>
  <r>
    <s v="2024-04-08"/>
    <n v="152.22900000000001"/>
    <x v="1292"/>
    <n v="152.059"/>
    <n v="154.29"/>
    <n v="20777020"/>
    <x v="2"/>
    <s v="Google"/>
    <x v="0"/>
    <n v="1.5409999999999999"/>
    <x v="15"/>
    <x v="1"/>
    <s v="April"/>
    <s v="Profit"/>
    <n v="2.6500000000000057"/>
    <n v="60.91"/>
  </r>
  <r>
    <s v="2024-04-09"/>
    <n v="155.52099999999999"/>
    <x v="1293"/>
    <n v="154.63"/>
    <n v="156.03399999999999"/>
    <n v="31225800"/>
    <x v="2"/>
    <s v="Google"/>
    <x v="0"/>
    <n v="1.1299999999999999"/>
    <x v="15"/>
    <x v="1"/>
    <s v="April"/>
    <s v="Profit"/>
    <n v="3.3569999999999993"/>
    <n v="62.04"/>
  </r>
  <r>
    <s v="2024-04-10"/>
    <n v="155.64599999999999"/>
    <x v="1294"/>
    <n v="154.12100000000001"/>
    <n v="155.57599999999999"/>
    <n v="22921421"/>
    <x v="2"/>
    <s v="Google"/>
    <x v="0"/>
    <n v="-0.29399999999999998"/>
    <x v="15"/>
    <x v="1"/>
    <s v="April"/>
    <s v="Loss"/>
    <n v="1.9230000000000018"/>
    <n v="61.746000000000002"/>
  </r>
  <r>
    <s v="2024-04-11"/>
    <n v="156.34299999999999"/>
    <x v="1295"/>
    <n v="155.89500000000001"/>
    <n v="158.834"/>
    <n v="27264912"/>
    <x v="2"/>
    <s v="Google"/>
    <x v="0"/>
    <n v="2.0939999999999999"/>
    <x v="15"/>
    <x v="1"/>
    <s v="April"/>
    <s v="Profit"/>
    <n v="3.2090000000000032"/>
    <n v="63.84"/>
  </r>
  <r>
    <s v="2024-04-12"/>
    <n v="157.38999999999999"/>
    <x v="1296"/>
    <n v="156.57300000000001"/>
    <n v="157.16"/>
    <n v="25445655"/>
    <x v="2"/>
    <s v="Google"/>
    <x v="0"/>
    <n v="-1.054"/>
    <x v="15"/>
    <x v="1"/>
    <s v="April"/>
    <s v="Loss"/>
    <n v="3.070999999999998"/>
    <n v="62.786000000000001"/>
  </r>
  <r>
    <s v="2024-04-15"/>
    <n v="158.28700000000001"/>
    <x v="1297"/>
    <n v="154.03100000000001"/>
    <n v="154.30000000000001"/>
    <n v="27234844"/>
    <x v="2"/>
    <s v="Google"/>
    <x v="0"/>
    <n v="-1.82"/>
    <x v="15"/>
    <x v="1"/>
    <s v="April"/>
    <s v="Loss"/>
    <n v="4.6329999999999814"/>
    <n v="60.966000000000001"/>
  </r>
  <r>
    <s v="2024-04-16"/>
    <n v="153.63300000000001"/>
    <x v="1298"/>
    <n v="152.876"/>
    <n v="153.84299999999999"/>
    <n v="20854822"/>
    <x v="2"/>
    <s v="Google"/>
    <x v="0"/>
    <n v="-0.29599999999999999"/>
    <x v="15"/>
    <x v="1"/>
    <s v="April"/>
    <s v="Loss"/>
    <n v="2.2119999999999891"/>
    <n v="60.67"/>
  </r>
  <r>
    <s v="2024-04-17"/>
    <n v="155.05799999999999"/>
    <x v="1299"/>
    <n v="154.02099999999999"/>
    <n v="154.90799999999999"/>
    <n v="21842023"/>
    <x v="2"/>
    <s v="Google"/>
    <x v="0"/>
    <n v="0.69199999999999995"/>
    <x v="15"/>
    <x v="1"/>
    <s v="April"/>
    <s v="Profit"/>
    <n v="2.4920000000000186"/>
    <n v="61.362000000000002"/>
  </r>
  <r>
    <s v="2024-04-18"/>
    <n v="154.779"/>
    <x v="1300"/>
    <n v="154.06100000000001"/>
    <n v="155.446"/>
    <n v="19955122"/>
    <x v="2"/>
    <s v="Google"/>
    <x v="0"/>
    <n v="0.34699999999999998"/>
    <x v="15"/>
    <x v="1"/>
    <s v="April"/>
    <s v="Profit"/>
    <n v="2.3119999999999834"/>
    <n v="61.709000000000003"/>
  </r>
  <r>
    <s v="2024-04-19"/>
    <n v="155.636"/>
    <x v="1301"/>
    <n v="151.749"/>
    <n v="153.553"/>
    <n v="32704731"/>
    <x v="2"/>
    <s v="Google"/>
    <x v="0"/>
    <n v="-1.218"/>
    <x v="15"/>
    <x v="1"/>
    <s v="April"/>
    <s v="Loss"/>
    <n v="4.0459999999999923"/>
    <n v="60.491"/>
  </r>
  <r>
    <s v="2024-04-22"/>
    <n v="153.75299999999999"/>
    <x v="1302"/>
    <n v="153.50299999999999"/>
    <n v="155.71600000000001"/>
    <n v="26542076"/>
    <x v="2"/>
    <s v="Google"/>
    <x v="0"/>
    <n v="1.409"/>
    <x v="15"/>
    <x v="1"/>
    <s v="April"/>
    <s v="Profit"/>
    <n v="3.5670000000000073"/>
    <n v="61.9"/>
  </r>
  <r>
    <s v="2024-04-23"/>
    <n v="156.393"/>
    <x v="1303"/>
    <n v="155.71600000000001"/>
    <n v="157.68899999999999"/>
    <n v="21228244"/>
    <x v="2"/>
    <s v="Google"/>
    <x v="0"/>
    <n v="1.2669999999999999"/>
    <x v="15"/>
    <x v="1"/>
    <s v="April"/>
    <s v="Profit"/>
    <n v="2.6799999999999784"/>
    <n v="63.167000000000002"/>
  </r>
  <r>
    <s v="2024-04-24"/>
    <n v="156.92099999999999"/>
    <x v="1304"/>
    <n v="156.59800000000001"/>
    <n v="158.55500000000001"/>
    <n v="22861688"/>
    <x v="2"/>
    <s v="Google"/>
    <x v="0"/>
    <n v="0.54900000000000004"/>
    <x v="15"/>
    <x v="1"/>
    <s v="April"/>
    <s v="Profit"/>
    <n v="2.3909999999999911"/>
    <n v="63.716000000000001"/>
  </r>
  <r>
    <s v="2024-04-25"/>
    <n v="150.78399999999999"/>
    <x v="1305"/>
    <n v="150.32499999999999"/>
    <n v="155.43700000000001"/>
    <n v="57316758"/>
    <x v="2"/>
    <s v="Google"/>
    <x v="0"/>
    <n v="-1.9670000000000001"/>
    <x v="15"/>
    <x v="1"/>
    <s v="April"/>
    <s v="Loss"/>
    <n v="5.6000000000000227"/>
    <n v="61.749000000000002"/>
  </r>
  <r>
    <s v="2024-04-26"/>
    <n v="173.74"/>
    <x v="1306"/>
    <n v="169.03700000000001"/>
    <n v="171.32900000000001"/>
    <n v="64899717"/>
    <x v="2"/>
    <s v="Google"/>
    <x v="0"/>
    <n v="10.224"/>
    <x v="15"/>
    <x v="1"/>
    <s v="April"/>
    <s v="Profit"/>
    <n v="5.0420000000000016"/>
    <n v="71.972999999999999"/>
  </r>
  <r>
    <s v="2024-04-29"/>
    <n v="168.447"/>
    <x v="1307"/>
    <n v="164.613"/>
    <n v="165.55"/>
    <n v="45775364"/>
    <x v="2"/>
    <s v="Google"/>
    <x v="0"/>
    <n v="-3.3730000000000002"/>
    <x v="15"/>
    <x v="1"/>
    <s v="April"/>
    <s v="Loss"/>
    <n v="4.3249999999999886"/>
    <n v="68.599999999999994"/>
  </r>
  <r>
    <s v="2024-04-30"/>
    <n v="165.01400000000001"/>
    <x v="1308"/>
    <n v="162.01300000000001"/>
    <n v="162.19200000000001"/>
    <n v="33684529"/>
    <x v="2"/>
    <s v="Google"/>
    <x v="0"/>
    <n v="-2.028"/>
    <x v="15"/>
    <x v="1"/>
    <s v="April"/>
    <s v="Loss"/>
    <n v="5.478999999999985"/>
    <n v="66.571999999999989"/>
  </r>
  <r>
    <s v="2024-05-01"/>
    <n v="163.70699999999999"/>
    <x v="1309"/>
    <n v="162.501"/>
    <n v="163.268"/>
    <n v="33614567"/>
    <x v="2"/>
    <s v="Google"/>
    <x v="0"/>
    <n v="0.66300000000000003"/>
    <x v="16"/>
    <x v="1"/>
    <s v="May"/>
    <s v="Profit"/>
    <n v="4.0149999999999864"/>
    <n v="67.234999999999985"/>
  </r>
  <r>
    <s v="2024-05-02"/>
    <n v="164.19"/>
    <x v="1310"/>
    <n v="163.298"/>
    <n v="166.018"/>
    <n v="24382619"/>
    <x v="2"/>
    <s v="Google"/>
    <x v="0"/>
    <n v="1.6839999999999999"/>
    <x v="16"/>
    <x v="1"/>
    <s v="May"/>
    <s v="Profit"/>
    <n v="2.8299999999999841"/>
    <n v="68.918999999999983"/>
  </r>
  <r>
    <s v="2024-05-03"/>
    <n v="166.95500000000001"/>
    <x v="1311"/>
    <n v="162.46100000000001"/>
    <n v="166.636"/>
    <n v="34788086"/>
    <x v="2"/>
    <s v="Google"/>
    <x v="0"/>
    <n v="0.372"/>
    <x v="16"/>
    <x v="1"/>
    <s v="May"/>
    <s v="Profit"/>
    <n v="4.8919999999999959"/>
    <n v="69.290999999999983"/>
  </r>
  <r>
    <s v="2024-05-06"/>
    <n v="166.85499999999999"/>
    <x v="1312"/>
    <n v="165.43"/>
    <n v="167.49199999999999"/>
    <n v="21950568"/>
    <x v="2"/>
    <s v="Google"/>
    <x v="0"/>
    <n v="0.51400000000000001"/>
    <x v="16"/>
    <x v="1"/>
    <s v="May"/>
    <s v="Profit"/>
    <n v="2.1020000000000039"/>
    <n v="69.804999999999978"/>
  </r>
  <r>
    <s v="2024-05-07"/>
    <n v="167.892"/>
    <x v="1313"/>
    <n v="167.78200000000001"/>
    <n v="170.631"/>
    <n v="28141342"/>
    <x v="2"/>
    <s v="Google"/>
    <x v="0"/>
    <n v="1.8740000000000001"/>
    <x v="16"/>
    <x v="1"/>
    <s v="May"/>
    <s v="Profit"/>
    <n v="3.3579999999999757"/>
    <n v="71.678999999999974"/>
  </r>
  <r>
    <s v="2024-05-08"/>
    <n v="168.38900000000001"/>
    <x v="1314"/>
    <n v="168.126"/>
    <n v="168.76900000000001"/>
    <n v="19640086"/>
    <x v="2"/>
    <s v="Google"/>
    <x v="0"/>
    <n v="-1.091"/>
    <x v="16"/>
    <x v="1"/>
    <s v="May"/>
    <s v="Loss"/>
    <n v="1.4099999999999966"/>
    <n v="70.58799999999998"/>
  </r>
  <r>
    <s v="2024-05-09"/>
    <n v="168.779"/>
    <x v="1315"/>
    <n v="167.572"/>
    <n v="169.346"/>
    <n v="15402333"/>
    <x v="2"/>
    <s v="Google"/>
    <x v="0"/>
    <n v="0.34200000000000003"/>
    <x v="16"/>
    <x v="1"/>
    <s v="May"/>
    <s v="Profit"/>
    <n v="2.5010000000000048"/>
    <n v="70.929999999999978"/>
  </r>
  <r>
    <s v="2024-05-10"/>
    <n v="167.41800000000001"/>
    <x v="1316"/>
    <n v="165.589"/>
    <n v="168.041"/>
    <n v="29907958"/>
    <x v="2"/>
    <s v="Google"/>
    <x v="0"/>
    <n v="-0.77100000000000002"/>
    <x v="16"/>
    <x v="1"/>
    <s v="May"/>
    <s v="Loss"/>
    <n v="3.6469999999999914"/>
    <n v="70.158999999999978"/>
  </r>
  <r>
    <s v="2024-05-13"/>
    <n v="163.667"/>
    <x v="1317"/>
    <n v="163.40799999999999"/>
    <n v="168.529"/>
    <n v="31441167"/>
    <x v="2"/>
    <s v="Google"/>
    <x v="0"/>
    <n v="0.28999999999999998"/>
    <x v="16"/>
    <x v="1"/>
    <s v="May"/>
    <s v="Profit"/>
    <n v="5.2610000000000241"/>
    <n v="70.448999999999984"/>
  </r>
  <r>
    <s v="2024-05-14"/>
    <n v="169.15600000000001"/>
    <x v="1318"/>
    <n v="168.19"/>
    <n v="169.72499999999999"/>
    <n v="25218226"/>
    <x v="2"/>
    <s v="Google"/>
    <x v="0"/>
    <n v="0.71"/>
    <x v="16"/>
    <x v="1"/>
    <s v="May"/>
    <s v="Profit"/>
    <n v="2.4410000000000025"/>
    <n v="71.158999999999978"/>
  </r>
  <r>
    <s v="2024-05-15"/>
    <n v="170.01300000000001"/>
    <x v="1319"/>
    <n v="169.89400000000001"/>
    <n v="171.887"/>
    <n v="27046060"/>
    <x v="2"/>
    <s v="Google"/>
    <x v="0"/>
    <n v="1.274"/>
    <x v="16"/>
    <x v="1"/>
    <s v="May"/>
    <s v="Profit"/>
    <n v="2.132000000000005"/>
    <n v="72.432999999999979"/>
  </r>
  <r>
    <s v="2024-05-16"/>
    <n v="172.66399999999999"/>
    <x v="1320"/>
    <n v="172.066"/>
    <n v="173.55"/>
    <n v="27968971"/>
    <x v="2"/>
    <s v="Google"/>
    <x v="0"/>
    <n v="0.96699999999999997"/>
    <x v="16"/>
    <x v="1"/>
    <s v="May"/>
    <s v="Profit"/>
    <n v="2.4159999999999968"/>
    <n v="73.399999999999977"/>
  </r>
  <r>
    <s v="2024-05-17"/>
    <n v="173.55"/>
    <x v="1321"/>
    <n v="173.06299999999999"/>
    <n v="175.42400000000001"/>
    <n v="24568001"/>
    <x v="2"/>
    <s v="Google"/>
    <x v="0"/>
    <n v="1.08"/>
    <x v="16"/>
    <x v="1"/>
    <s v="May"/>
    <s v="Profit"/>
    <n v="2.5660000000000025"/>
    <n v="74.479999999999976"/>
  </r>
  <r>
    <s v="2024-05-20"/>
    <n v="175.55600000000001"/>
    <x v="1322"/>
    <n v="175.44399999999999"/>
    <n v="176.28100000000001"/>
    <n v="22636161"/>
    <x v="2"/>
    <s v="Google"/>
    <x v="0"/>
    <n v="0.48899999999999999"/>
    <x v="16"/>
    <x v="1"/>
    <s v="May"/>
    <s v="Profit"/>
    <n v="2.6800000000000068"/>
    <n v="74.96899999999998"/>
  </r>
  <r>
    <s v="2024-05-21"/>
    <n v="176.261"/>
    <x v="1323"/>
    <n v="175.17400000000001"/>
    <n v="177.208"/>
    <n v="17050957"/>
    <x v="2"/>
    <s v="Google"/>
    <x v="0"/>
    <n v="0.52600000000000002"/>
    <x v="16"/>
    <x v="1"/>
    <s v="May"/>
    <s v="Profit"/>
    <n v="2.3329999999999984"/>
    <n v="75.494999999999976"/>
  </r>
  <r>
    <s v="2024-05-22"/>
    <n v="176.005"/>
    <x v="1324"/>
    <n v="174.577"/>
    <n v="175.744"/>
    <n v="17944858"/>
    <x v="2"/>
    <s v="Google"/>
    <x v="0"/>
    <n v="-0.82599999999999996"/>
    <x v="16"/>
    <x v="1"/>
    <s v="May"/>
    <s v="Loss"/>
    <n v="1.9339999999999975"/>
    <n v="74.668999999999983"/>
  </r>
  <r>
    <s v="2024-05-23"/>
    <n v="176.43100000000001"/>
    <x v="1325"/>
    <n v="172.32599999999999"/>
    <n v="172.923"/>
    <n v="21101152"/>
    <x v="2"/>
    <s v="Google"/>
    <x v="0"/>
    <n v="-1.605"/>
    <x v="16"/>
    <x v="1"/>
    <s v="May"/>
    <s v="Loss"/>
    <n v="5.2800000000000011"/>
    <n v="73.063999999999979"/>
  </r>
  <r>
    <s v="2024-05-24"/>
    <n v="174.34700000000001"/>
    <x v="1326"/>
    <n v="173.023"/>
    <n v="174.357"/>
    <n v="16639540"/>
    <x v="2"/>
    <s v="Google"/>
    <x v="0"/>
    <n v="0.82899999999999996"/>
    <x v="16"/>
    <x v="1"/>
    <s v="May"/>
    <s v="Profit"/>
    <n v="2.11099999999999"/>
    <n v="73.892999999999972"/>
  </r>
  <r>
    <s v="2024-05-28"/>
    <n v="173.82"/>
    <x v="1327"/>
    <n v="173.73500000000001"/>
    <n v="175.76400000000001"/>
    <n v="20646733"/>
    <x v="2"/>
    <s v="Google"/>
    <x v="0"/>
    <n v="0.80700000000000005"/>
    <x v="16"/>
    <x v="1"/>
    <s v="May"/>
    <s v="Profit"/>
    <n v="2.8949999999999818"/>
    <n v="74.699999999999974"/>
  </r>
  <r>
    <s v="2024-05-29"/>
    <n v="174.797"/>
    <x v="1328"/>
    <n v="174.089"/>
    <n v="175.26400000000001"/>
    <n v="23473479"/>
    <x v="2"/>
    <s v="Google"/>
    <x v="0"/>
    <n v="-0.28399999999999997"/>
    <x v="16"/>
    <x v="1"/>
    <s v="May"/>
    <s v="Loss"/>
    <n v="2.1080000000000041"/>
    <n v="74.415999999999968"/>
  </r>
  <r>
    <s v="2024-05-30"/>
    <n v="174.56700000000001"/>
    <x v="1329"/>
    <n v="171.17"/>
    <n v="171.488"/>
    <n v="23041904"/>
    <x v="2"/>
    <s v="Google"/>
    <x v="0"/>
    <n v="-2.1539999999999999"/>
    <x v="16"/>
    <x v="1"/>
    <s v="May"/>
    <s v="Loss"/>
    <n v="3.4170000000000016"/>
    <n v="72.261999999999972"/>
  </r>
  <r>
    <s v="2024-05-31"/>
    <n v="171.24"/>
    <x v="1330"/>
    <n v="168.82900000000001"/>
    <n v="171.87700000000001"/>
    <n v="37775320"/>
    <x v="2"/>
    <s v="Google"/>
    <x v="0"/>
    <n v="0.22700000000000001"/>
    <x v="16"/>
    <x v="1"/>
    <s v="May"/>
    <s v="Profit"/>
    <n v="3.6059999999999945"/>
    <n v="72.488999999999976"/>
  </r>
  <r>
    <s v="2024-06-03"/>
    <n v="171.917"/>
    <x v="1331"/>
    <n v="170.542"/>
    <n v="172.54400000000001"/>
    <n v="27558660"/>
    <x v="2"/>
    <s v="Google"/>
    <x v="0"/>
    <n v="0.38800000000000001"/>
    <x v="17"/>
    <x v="1"/>
    <s v="June"/>
    <s v="Profit"/>
    <n v="3.3530000000000086"/>
    <n v="72.876999999999981"/>
  </r>
  <r>
    <s v="2024-06-04"/>
    <n v="172.654"/>
    <x v="1332"/>
    <n v="171.26900000000001"/>
    <n v="173.16300000000001"/>
    <n v="26977037"/>
    <x v="2"/>
    <s v="Google"/>
    <x v="0"/>
    <n v="0.35899999999999999"/>
    <x v="17"/>
    <x v="1"/>
    <s v="June"/>
    <s v="Profit"/>
    <n v="1.9480000000000075"/>
    <n v="73.235999999999976"/>
  </r>
  <r>
    <s v="2024-06-05"/>
    <n v="174.56700000000001"/>
    <x v="1333"/>
    <n v="173.30600000000001"/>
    <n v="174.77699999999999"/>
    <n v="22148519"/>
    <x v="2"/>
    <s v="Google"/>
    <x v="0"/>
    <n v="0.93200000000000005"/>
    <x v="17"/>
    <x v="1"/>
    <s v="June"/>
    <s v="Profit"/>
    <n v="2.6999999999999886"/>
    <n v="74.167999999999978"/>
  </r>
  <r>
    <s v="2024-06-06"/>
    <n v="175.25899999999999"/>
    <x v="1324"/>
    <n v="175.11500000000001"/>
    <n v="176.09100000000001"/>
    <n v="23335300"/>
    <x v="2"/>
    <s v="Google"/>
    <x v="0"/>
    <n v="0.752"/>
    <x v="17"/>
    <x v="1"/>
    <s v="June"/>
    <s v="Profit"/>
    <n v="1.3959999999999866"/>
    <n v="74.919999999999973"/>
  </r>
  <r>
    <s v="2024-06-07"/>
    <n v="176.411"/>
    <x v="1334"/>
    <n v="173.67"/>
    <n v="173.83"/>
    <n v="19732673"/>
    <x v="2"/>
    <s v="Google"/>
    <x v="0"/>
    <n v="-1.284"/>
    <x v="17"/>
    <x v="1"/>
    <s v="June"/>
    <s v="Loss"/>
    <n v="3.5580000000000211"/>
    <n v="73.635999999999967"/>
  </r>
  <r>
    <s v="2024-06-10"/>
    <n v="174.53800000000001"/>
    <x v="1335"/>
    <n v="172.333"/>
    <n v="174.578"/>
    <n v="23838060"/>
    <x v="2"/>
    <s v="Google"/>
    <x v="0"/>
    <n v="0.43"/>
    <x v="17"/>
    <x v="1"/>
    <s v="June"/>
    <s v="Profit"/>
    <n v="4.289999999999992"/>
    <n v="74.065999999999974"/>
  </r>
  <r>
    <s v="2024-06-11"/>
    <n v="175.785"/>
    <x v="1336"/>
    <n v="173.34100000000001"/>
    <n v="176.184"/>
    <n v="21593885"/>
    <x v="2"/>
    <s v="Google"/>
    <x v="0"/>
    <n v="0.92"/>
    <x v="17"/>
    <x v="1"/>
    <s v="June"/>
    <s v="Profit"/>
    <n v="3.0629999999999882"/>
    <n v="74.985999999999976"/>
  </r>
  <r>
    <s v="2024-06-12"/>
    <n v="177.81"/>
    <x v="1337"/>
    <n v="175.67599999999999"/>
    <n v="177.351"/>
    <n v="27933689"/>
    <x v="2"/>
    <s v="Google"/>
    <x v="0"/>
    <n v="0.66200000000000003"/>
    <x v="17"/>
    <x v="1"/>
    <s v="June"/>
    <s v="Profit"/>
    <n v="4.2890000000000157"/>
    <n v="75.647999999999982"/>
  </r>
  <r>
    <s v="2024-06-13"/>
    <n v="175.67599999999999"/>
    <x v="1338"/>
    <n v="174.44800000000001"/>
    <n v="174.72800000000001"/>
    <n v="20965050"/>
    <x v="2"/>
    <s v="Google"/>
    <x v="0"/>
    <n v="-1.4790000000000001"/>
    <x v="17"/>
    <x v="1"/>
    <s v="June"/>
    <s v="Loss"/>
    <n v="1.8559999999999945"/>
    <n v="74.168999999999983"/>
  </r>
  <r>
    <s v="2024-06-14"/>
    <n v="173.79"/>
    <x v="1339"/>
    <n v="173.72"/>
    <n v="176.35400000000001"/>
    <n v="18108254"/>
    <x v="2"/>
    <s v="Google"/>
    <x v="0"/>
    <n v="0.93100000000000005"/>
    <x v="17"/>
    <x v="1"/>
    <s v="June"/>
    <s v="Profit"/>
    <n v="2.9060000000000059"/>
    <n v="75.09999999999998"/>
  </r>
  <r>
    <s v="2024-06-17"/>
    <n v="175.02600000000001"/>
    <x v="1340"/>
    <n v="174.37799999999999"/>
    <n v="176.80199999999999"/>
    <n v="19667043"/>
    <x v="2"/>
    <s v="Google"/>
    <x v="0"/>
    <n v="0.254"/>
    <x v="17"/>
    <x v="1"/>
    <s v="June"/>
    <s v="Profit"/>
    <n v="3.5420000000000016"/>
    <n v="75.353999999999985"/>
  </r>
  <r>
    <s v="2024-06-18"/>
    <n v="176.702"/>
    <x v="1341"/>
    <n v="173.67400000000001"/>
    <n v="174.65799999999999"/>
    <n v="21923975"/>
    <x v="2"/>
    <s v="Google"/>
    <x v="0"/>
    <n v="-1.2130000000000001"/>
    <x v="17"/>
    <x v="1"/>
    <s v="June"/>
    <s v="Loss"/>
    <n v="3.2729999999999961"/>
    <n v="74.140999999999991"/>
  </r>
  <r>
    <s v="2024-06-20"/>
    <n v="174.93799999999999"/>
    <x v="1342"/>
    <n v="174.55799999999999"/>
    <n v="175.864"/>
    <n v="20209972"/>
    <x v="2"/>
    <s v="Google"/>
    <x v="0"/>
    <n v="0.69"/>
    <x v="17"/>
    <x v="1"/>
    <s v="June"/>
    <s v="Profit"/>
    <n v="2.2940000000000111"/>
    <n v="74.830999999999989"/>
  </r>
  <r>
    <s v="2024-06-21"/>
    <n v="176.56299999999999"/>
    <x v="1343"/>
    <n v="176.17400000000001"/>
    <n v="179.18700000000001"/>
    <n v="58727708"/>
    <x v="2"/>
    <s v="Google"/>
    <x v="0"/>
    <n v="1.89"/>
    <x v="17"/>
    <x v="1"/>
    <s v="June"/>
    <s v="Profit"/>
    <n v="4.228999999999985"/>
    <n v="76.720999999999989"/>
  </r>
  <r>
    <s v="2024-06-24"/>
    <n v="179.715"/>
    <x v="1344"/>
    <n v="178.22900000000001"/>
    <n v="178.77699999999999"/>
    <n v="18343291"/>
    <x v="2"/>
    <s v="Google"/>
    <x v="0"/>
    <n v="-0.22900000000000001"/>
    <x v="17"/>
    <x v="1"/>
    <s v="June"/>
    <s v="Loss"/>
    <n v="2.2139999999999986"/>
    <n v="76.49199999999999"/>
  </r>
  <r>
    <s v="2024-06-25"/>
    <n v="179.17699999999999"/>
    <x v="1345"/>
    <n v="178.977"/>
    <n v="183.57599999999999"/>
    <n v="23293086"/>
    <x v="2"/>
    <s v="Google"/>
    <x v="0"/>
    <n v="2.6840000000000002"/>
    <x v="17"/>
    <x v="1"/>
    <s v="June"/>
    <s v="Profit"/>
    <n v="4.8580000000000041"/>
    <n v="79.175999999999988"/>
  </r>
  <r>
    <s v="2024-06-26"/>
    <n v="182.179"/>
    <x v="1346"/>
    <n v="182.029"/>
    <n v="183.42599999999999"/>
    <n v="19888064"/>
    <x v="2"/>
    <s v="Google"/>
    <x v="0"/>
    <n v="-8.2000000000000003E-2"/>
    <x v="17"/>
    <x v="1"/>
    <s v="June"/>
    <s v="Loss"/>
    <n v="2.0250000000000057"/>
    <n v="79.093999999999994"/>
  </r>
  <r>
    <s v="2024-06-27"/>
    <n v="183.72499999999999"/>
    <x v="1347"/>
    <n v="183.566"/>
    <n v="184.952"/>
    <n v="18895526"/>
    <x v="2"/>
    <s v="Google"/>
    <x v="0"/>
    <n v="0.83199999999999996"/>
    <x v="17"/>
    <x v="1"/>
    <s v="June"/>
    <s v="Profit"/>
    <n v="2.0240000000000009"/>
    <n v="79.925999999999988"/>
  </r>
  <r>
    <s v="2024-06-28"/>
    <n v="183.86500000000001"/>
    <x v="1348"/>
    <n v="181.511"/>
    <n v="181.70099999999999"/>
    <n v="29228793"/>
    <x v="2"/>
    <s v="Google"/>
    <x v="0"/>
    <n v="-1.758"/>
    <x v="17"/>
    <x v="1"/>
    <s v="June"/>
    <s v="Loss"/>
    <n v="3.1620000000000061"/>
    <n v="78.167999999999992"/>
  </r>
  <r>
    <s v="2024-07-01"/>
    <n v="182.578"/>
    <x v="1349"/>
    <n v="180.85300000000001"/>
    <n v="182.53899999999999"/>
    <n v="16045735"/>
    <x v="2"/>
    <s v="Google"/>
    <x v="0"/>
    <n v="0.46100000000000002"/>
    <x v="18"/>
    <x v="1"/>
    <s v="July"/>
    <s v="Profit"/>
    <n v="2.5729999999999791"/>
    <n v="78.628999999999991"/>
  </r>
  <r>
    <s v="2024-07-02"/>
    <n v="181.601"/>
    <x v="1350"/>
    <n v="181.11099999999999"/>
    <n v="184.78299999999999"/>
    <n v="17415474"/>
    <x v="2"/>
    <s v="Google"/>
    <x v="0"/>
    <n v="1.2290000000000001"/>
    <x v="18"/>
    <x v="1"/>
    <s v="July"/>
    <s v="Profit"/>
    <n v="4.0010000000000048"/>
    <n v="79.85799999999999"/>
  </r>
  <r>
    <s v="2024-07-03"/>
    <n v="184.39400000000001"/>
    <x v="1351"/>
    <n v="183.54599999999999"/>
    <n v="185.36199999999999"/>
    <n v="10267470"/>
    <x v="2"/>
    <s v="Google"/>
    <x v="0"/>
    <n v="0.313"/>
    <x v="18"/>
    <x v="1"/>
    <s v="July"/>
    <s v="Profit"/>
    <n v="2.0840000000000032"/>
    <n v="80.170999999999992"/>
  </r>
  <r>
    <s v="2024-07-05"/>
    <n v="185.39699999999999"/>
    <x v="1352"/>
    <n v="185.34200000000001"/>
    <n v="190.12899999999999"/>
    <n v="21019335"/>
    <x v="2"/>
    <s v="Google"/>
    <x v="0"/>
    <n v="2.5720000000000001"/>
    <x v="18"/>
    <x v="1"/>
    <s v="July"/>
    <s v="Profit"/>
    <n v="5.046999999999997"/>
    <n v="82.742999999999995"/>
  </r>
  <r>
    <s v="2024-07-08"/>
    <n v="189.42599999999999"/>
    <x v="1353"/>
    <n v="187.316"/>
    <n v="188.56299999999999"/>
    <n v="21087940"/>
    <x v="2"/>
    <s v="Google"/>
    <x v="0"/>
    <n v="-0.82399999999999995"/>
    <x v="18"/>
    <x v="1"/>
    <s v="July"/>
    <s v="Loss"/>
    <n v="2.3849999999999909"/>
    <n v="81.918999999999997"/>
  </r>
  <r>
    <s v="2024-07-09"/>
    <n v="189.84"/>
    <x v="1354"/>
    <n v="188.25399999999999"/>
    <n v="188.51400000000001"/>
    <n v="15178779"/>
    <x v="2"/>
    <s v="Google"/>
    <x v="0"/>
    <n v="-2.5999999999999999E-2"/>
    <x v="18"/>
    <x v="1"/>
    <s v="July"/>
    <s v="Loss"/>
    <n v="2.6330000000000098"/>
    <n v="81.893000000000001"/>
  </r>
  <r>
    <s v="2024-07-10"/>
    <n v="188.68299999999999"/>
    <x v="1355"/>
    <n v="188.56299999999999"/>
    <n v="190.708"/>
    <n v="15991929"/>
    <x v="2"/>
    <s v="Google"/>
    <x v="0"/>
    <n v="1.1639999999999999"/>
    <x v="18"/>
    <x v="1"/>
    <s v="July"/>
    <s v="Profit"/>
    <n v="2.7139999999999986"/>
    <n v="83.057000000000002"/>
  </r>
  <r>
    <s v="2024-07-11"/>
    <n v="189.376"/>
    <x v="1352"/>
    <n v="184.62299999999999"/>
    <n v="185.11199999999999"/>
    <n v="25689196"/>
    <x v="2"/>
    <s v="Google"/>
    <x v="0"/>
    <n v="-2.9340000000000002"/>
    <x v="18"/>
    <x v="1"/>
    <s v="July"/>
    <s v="Loss"/>
    <n v="5.7660000000000196"/>
    <n v="80.123000000000005"/>
  </r>
  <r>
    <s v="2024-07-12"/>
    <n v="184.62299999999999"/>
    <x v="1356"/>
    <n v="184.035"/>
    <n v="184.613"/>
    <n v="22955069"/>
    <x v="2"/>
    <s v="Google"/>
    <x v="0"/>
    <n v="-0.27"/>
    <x v="18"/>
    <x v="1"/>
    <s v="July"/>
    <s v="Loss"/>
    <n v="2.6129999999999995"/>
    <n v="79.853000000000009"/>
  </r>
  <r>
    <s v="2024-07-15"/>
    <n v="184.464"/>
    <x v="1357"/>
    <n v="184.464"/>
    <n v="186.07"/>
    <n v="16514808"/>
    <x v="2"/>
    <s v="Google"/>
    <x v="0"/>
    <n v="0.78900000000000003"/>
    <x v="18"/>
    <x v="1"/>
    <s v="July"/>
    <s v="Profit"/>
    <n v="3.3120000000000118"/>
    <n v="80.64200000000001"/>
  </r>
  <r>
    <s v="2024-07-16"/>
    <n v="186.898"/>
    <x v="1358"/>
    <n v="182.92099999999999"/>
    <n v="183.46600000000001"/>
    <n v="18335983"/>
    <x v="2"/>
    <s v="Google"/>
    <x v="0"/>
    <n v="-1.399"/>
    <x v="18"/>
    <x v="1"/>
    <s v="July"/>
    <s v="Loss"/>
    <n v="5.2930000000000064"/>
    <n v="79.243000000000009"/>
  </r>
  <r>
    <s v="2024-07-17"/>
    <n v="182.51400000000001"/>
    <x v="1359"/>
    <n v="179.45599999999999"/>
    <n v="180.57300000000001"/>
    <n v="20785378"/>
    <x v="2"/>
    <s v="Google"/>
    <x v="0"/>
    <n v="-1.577"/>
    <x v="18"/>
    <x v="1"/>
    <s v="July"/>
    <s v="Loss"/>
    <n v="3.6410000000000196"/>
    <n v="77.666000000000011"/>
  </r>
  <r>
    <s v="2024-07-18"/>
    <n v="181.48099999999999"/>
    <x v="1360"/>
    <n v="176.03399999999999"/>
    <n v="177.25200000000001"/>
    <n v="25378372"/>
    <x v="2"/>
    <s v="Google"/>
    <x v="0"/>
    <n v="-1.839"/>
    <x v="18"/>
    <x v="1"/>
    <s v="July"/>
    <s v="Loss"/>
    <n v="6.0150000000000148"/>
    <n v="75.827000000000012"/>
  </r>
  <r>
    <s v="2024-07-19"/>
    <n v="178.43799999999999"/>
    <x v="1361"/>
    <n v="176.69200000000001"/>
    <n v="177.22200000000001"/>
    <n v="18928609"/>
    <x v="2"/>
    <s v="Google"/>
    <x v="0"/>
    <n v="-1.7000000000000001E-2"/>
    <x v="18"/>
    <x v="1"/>
    <s v="July"/>
    <s v="Loss"/>
    <n v="3.1529999999999916"/>
    <n v="75.810000000000016"/>
  </r>
  <r>
    <s v="2024-07-22"/>
    <n v="180.14500000000001"/>
    <x v="1362"/>
    <n v="179.785"/>
    <n v="181.221"/>
    <n v="24159982"/>
    <x v="2"/>
    <s v="Google"/>
    <x v="0"/>
    <n v="2.2559999999999998"/>
    <x v="18"/>
    <x v="1"/>
    <s v="July"/>
    <s v="Profit"/>
    <n v="2.4639999999999986"/>
    <n v="78.066000000000017"/>
  </r>
  <r>
    <s v="2024-07-23"/>
    <n v="181.601"/>
    <x v="1363"/>
    <n v="181.09100000000001"/>
    <n v="181.34100000000001"/>
    <n v="36442670"/>
    <x v="2"/>
    <s v="Google"/>
    <x v="0"/>
    <n v="6.6000000000000003E-2"/>
    <x v="18"/>
    <x v="1"/>
    <s v="July"/>
    <s v="Profit"/>
    <n v="2.0660000000000025"/>
    <n v="78.132000000000019"/>
  </r>
  <r>
    <s v="2024-07-24"/>
    <n v="173.172"/>
    <x v="1364"/>
    <n v="171.39599999999999"/>
    <n v="172.20400000000001"/>
    <n v="49707904"/>
    <x v="2"/>
    <s v="Google"/>
    <x v="0"/>
    <n v="-5.0389999999999997"/>
    <x v="18"/>
    <x v="1"/>
    <s v="July"/>
    <s v="Loss"/>
    <n v="4.3600000000000136"/>
    <n v="73.093000000000018"/>
  </r>
  <r>
    <s v="2024-07-25"/>
    <n v="172.09399999999999"/>
    <x v="1365"/>
    <n v="166.77699999999999"/>
    <n v="166.86699999999999"/>
    <n v="44962961"/>
    <x v="2"/>
    <s v="Google"/>
    <x v="0"/>
    <n v="-3.0990000000000002"/>
    <x v="18"/>
    <x v="1"/>
    <s v="July"/>
    <s v="Loss"/>
    <n v="6.2150000000000034"/>
    <n v="69.994000000000014"/>
  </r>
  <r>
    <s v="2024-07-26"/>
    <n v="166.73699999999999"/>
    <x v="1366"/>
    <n v="163.655"/>
    <n v="166.58799999999999"/>
    <n v="41439176"/>
    <x v="2"/>
    <s v="Google"/>
    <x v="0"/>
    <n v="-0.16700000000000001"/>
    <x v="18"/>
    <x v="1"/>
    <s v="July"/>
    <s v="Loss"/>
    <n v="4.0200000000000102"/>
    <n v="69.827000000000012"/>
  </r>
  <r>
    <s v="2024-07-29"/>
    <n v="168.41300000000001"/>
    <x v="1367"/>
    <n v="167.57499999999999"/>
    <n v="169.11099999999999"/>
    <n v="20344040"/>
    <x v="2"/>
    <s v="Google"/>
    <x v="0"/>
    <n v="1.5149999999999999"/>
    <x v="18"/>
    <x v="1"/>
    <s v="July"/>
    <s v="Profit"/>
    <n v="2.4339999999999975"/>
    <n v="71.342000000000013"/>
  </r>
  <r>
    <s v="2024-07-30"/>
    <n v="169.81899999999999"/>
    <x v="1368"/>
    <n v="168.024"/>
    <n v="169.869"/>
    <n v="19006602"/>
    <x v="2"/>
    <s v="Google"/>
    <x v="0"/>
    <n v="0.44800000000000001"/>
    <x v="18"/>
    <x v="1"/>
    <s v="July"/>
    <s v="Profit"/>
    <n v="2.782999999999987"/>
    <n v="71.790000000000006"/>
  </r>
  <r>
    <s v="2024-07-31"/>
    <n v="172.81200000000001"/>
    <x v="1369"/>
    <n v="169.59100000000001"/>
    <n v="171.11699999999999"/>
    <n v="25792757"/>
    <x v="2"/>
    <s v="Google"/>
    <x v="0"/>
    <n v="0.73499999999999999"/>
    <x v="18"/>
    <x v="1"/>
    <s v="July"/>
    <s v="Profit"/>
    <n v="4.2239999999999895"/>
    <n v="72.525000000000006"/>
  </r>
  <r>
    <s v="2024-08-01"/>
    <n v="169.82900000000001"/>
    <x v="1370"/>
    <n v="168.46299999999999"/>
    <n v="170.339"/>
    <n v="24592096"/>
    <x v="2"/>
    <s v="Google"/>
    <x v="0"/>
    <n v="-0.45500000000000002"/>
    <x v="19"/>
    <x v="1"/>
    <s v="August"/>
    <s v="Loss"/>
    <n v="5.1570000000000107"/>
    <n v="72.070000000000007"/>
  </r>
  <r>
    <s v="2024-08-02"/>
    <n v="166.029"/>
    <x v="1371"/>
    <n v="164.26400000000001"/>
    <n v="166.24799999999999"/>
    <n v="29202185"/>
    <x v="2"/>
    <s v="Google"/>
    <x v="0"/>
    <n v="-2.4020000000000001"/>
    <x v="19"/>
    <x v="1"/>
    <s v="August"/>
    <s v="Loss"/>
    <n v="3.8299999999999841"/>
    <n v="69.668000000000006"/>
  </r>
  <r>
    <s v="2024-08-05"/>
    <n v="155.11600000000001"/>
    <x v="1372"/>
    <n v="154.548"/>
    <n v="158.857"/>
    <n v="53763384"/>
    <x v="2"/>
    <s v="Google"/>
    <x v="0"/>
    <n v="-4.4459999999999997"/>
    <x v="19"/>
    <x v="1"/>
    <s v="August"/>
    <s v="Loss"/>
    <n v="9.4759999999999991"/>
    <n v="65.222000000000008"/>
  </r>
  <r>
    <s v="2024-08-06"/>
    <n v="158.93700000000001"/>
    <x v="1373"/>
    <n v="156.024"/>
    <n v="157.899"/>
    <n v="49125825"/>
    <x v="2"/>
    <s v="Google"/>
    <x v="0"/>
    <n v="-0.60299999999999998"/>
    <x v="19"/>
    <x v="1"/>
    <s v="August"/>
    <s v="Loss"/>
    <n v="4.1490000000000009"/>
    <n v="64.619000000000014"/>
  </r>
  <r>
    <s v="2024-08-07"/>
    <n v="160.852"/>
    <x v="1374"/>
    <n v="158.07900000000001"/>
    <n v="158.547"/>
    <n v="25200779"/>
    <x v="2"/>
    <s v="Google"/>
    <x v="0"/>
    <n v="0.41"/>
    <x v="19"/>
    <x v="1"/>
    <s v="August"/>
    <s v="Profit"/>
    <n v="4.4989999999999952"/>
    <n v="65.029000000000011"/>
  </r>
  <r>
    <s v="2024-08-08"/>
    <n v="160.113"/>
    <x v="1375"/>
    <n v="159.815"/>
    <n v="161.63"/>
    <n v="25642135"/>
    <x v="2"/>
    <s v="Google"/>
    <x v="0"/>
    <n v="1.9450000000000001"/>
    <x v="19"/>
    <x v="1"/>
    <s v="August"/>
    <s v="Profit"/>
    <n v="3.4710000000000036"/>
    <n v="66.974000000000004"/>
  </r>
  <r>
    <s v="2024-08-09"/>
    <n v="159.61500000000001"/>
    <x v="1376"/>
    <n v="158.667"/>
    <n v="163.26599999999999"/>
    <n v="28673062"/>
    <x v="2"/>
    <s v="Google"/>
    <x v="0"/>
    <n v="1.012"/>
    <x v="19"/>
    <x v="1"/>
    <s v="August"/>
    <s v="Profit"/>
    <n v="4.7189999999999941"/>
    <n v="67.986000000000004"/>
  </r>
  <r>
    <s v="2024-08-12"/>
    <n v="163.94399999999999"/>
    <x v="1377"/>
    <n v="161.441"/>
    <n v="161.88900000000001"/>
    <n v="15934619"/>
    <x v="2"/>
    <s v="Google"/>
    <x v="0"/>
    <n v="-0.84299999999999997"/>
    <x v="19"/>
    <x v="1"/>
    <s v="August"/>
    <s v="Loss"/>
    <n v="3.0509999999999877"/>
    <n v="67.143000000000001"/>
  </r>
  <r>
    <s v="2024-08-13"/>
    <n v="163.006"/>
    <x v="1378"/>
    <n v="162.56800000000001"/>
    <n v="163.75399999999999"/>
    <n v="18597597"/>
    <x v="2"/>
    <s v="Google"/>
    <x v="0"/>
    <n v="1.1519999999999999"/>
    <x v="19"/>
    <x v="1"/>
    <s v="August"/>
    <s v="Profit"/>
    <n v="1.7560000000000002"/>
    <n v="68.295000000000002"/>
  </r>
  <r>
    <s v="2024-08-14"/>
    <n v="161.999"/>
    <x v="1379"/>
    <n v="157.321"/>
    <n v="159.97399999999999"/>
    <n v="40691570"/>
    <x v="2"/>
    <s v="Google"/>
    <x v="0"/>
    <n v="-2.3079999999999998"/>
    <x v="19"/>
    <x v="1"/>
    <s v="August"/>
    <s v="Loss"/>
    <n v="5.4960000000000093"/>
    <n v="65.986999999999995"/>
  </r>
  <r>
    <s v="2024-08-15"/>
    <n v="160.10400000000001"/>
    <x v="1380"/>
    <n v="159.21600000000001"/>
    <n v="160.90199999999999"/>
    <n v="31602260"/>
    <x v="2"/>
    <s v="Google"/>
    <x v="0"/>
    <n v="0.57999999999999996"/>
    <x v="19"/>
    <x v="1"/>
    <s v="August"/>
    <s v="Profit"/>
    <n v="2.0199999999999818"/>
    <n v="66.566999999999993"/>
  </r>
  <r>
    <s v="2024-08-16"/>
    <n v="161.071"/>
    <x v="1381"/>
    <n v="160.732"/>
    <n v="162.55799999999999"/>
    <n v="24268552"/>
    <x v="2"/>
    <s v="Google"/>
    <x v="0"/>
    <n v="1.0289999999999999"/>
    <x v="19"/>
    <x v="1"/>
    <s v="August"/>
    <s v="Profit"/>
    <n v="3.9199999999999875"/>
    <n v="67.595999999999989"/>
  </r>
  <r>
    <s v="2024-08-19"/>
    <n v="164.87200000000001"/>
    <x v="1382"/>
    <n v="163.85400000000001"/>
    <n v="166.25800000000001"/>
    <n v="22471654"/>
    <x v="2"/>
    <s v="Google"/>
    <x v="0"/>
    <n v="2.2759999999999998"/>
    <x v="19"/>
    <x v="1"/>
    <s v="August"/>
    <s v="Profit"/>
    <n v="2.4239999999999782"/>
    <n v="69.871999999999986"/>
  </r>
  <r>
    <s v="2024-08-20"/>
    <n v="166.488"/>
    <x v="1383"/>
    <n v="166.40799999999999"/>
    <n v="166.767"/>
    <n v="18386920"/>
    <x v="2"/>
    <s v="Google"/>
    <x v="0"/>
    <n v="0.30599999999999999"/>
    <x v="19"/>
    <x v="1"/>
    <s v="August"/>
    <s v="Profit"/>
    <n v="1.8160000000000025"/>
    <n v="70.177999999999983"/>
  </r>
  <r>
    <s v="2024-08-21"/>
    <n v="164.74199999999999"/>
    <x v="1384"/>
    <n v="164.26400000000001"/>
    <n v="165.44"/>
    <n v="22958669"/>
    <x v="2"/>
    <s v="Google"/>
    <x v="0"/>
    <n v="-0.79600000000000004"/>
    <x v="19"/>
    <x v="1"/>
    <s v="August"/>
    <s v="Loss"/>
    <n v="2.1739999999999782"/>
    <n v="69.381999999999977"/>
  </r>
  <r>
    <s v="2024-08-22"/>
    <n v="166.84700000000001"/>
    <x v="1385"/>
    <n v="162.90700000000001"/>
    <n v="163.39599999999999"/>
    <n v="22548935"/>
    <x v="2"/>
    <s v="Google"/>
    <x v="0"/>
    <n v="-1.2350000000000001"/>
    <x v="19"/>
    <x v="1"/>
    <s v="August"/>
    <s v="Loss"/>
    <n v="4.268999999999977"/>
    <n v="68.146999999999977"/>
  </r>
  <r>
    <s v="2024-08-23"/>
    <n v="164.31399999999999"/>
    <x v="1386"/>
    <n v="163.42599999999999"/>
    <n v="165.21199999999999"/>
    <n v="13990275"/>
    <x v="2"/>
    <s v="Google"/>
    <x v="0"/>
    <n v="1.111"/>
    <x v="19"/>
    <x v="1"/>
    <s v="August"/>
    <s v="Profit"/>
    <n v="2.3440000000000225"/>
    <n v="69.257999999999981"/>
  </r>
  <r>
    <s v="2024-08-26"/>
    <n v="165.97"/>
    <x v="1387"/>
    <n v="164.04900000000001"/>
    <n v="165.75"/>
    <n v="14225531"/>
    <x v="2"/>
    <s v="Google"/>
    <x v="0"/>
    <n v="0.32600000000000001"/>
    <x v="19"/>
    <x v="1"/>
    <s v="August"/>
    <s v="Profit"/>
    <n v="3.0869999999999891"/>
    <n v="69.583999999999975"/>
  </r>
  <r>
    <s v="2024-08-27"/>
    <n v="165.42500000000001"/>
    <x v="1388"/>
    <n v="164.054"/>
    <n v="164.274"/>
    <n v="11851194"/>
    <x v="2"/>
    <s v="Google"/>
    <x v="0"/>
    <n v="-0.89"/>
    <x v="19"/>
    <x v="1"/>
    <s v="August"/>
    <s v="Loss"/>
    <n v="1.9780000000000086"/>
    <n v="68.693999999999974"/>
  </r>
  <r>
    <s v="2024-08-28"/>
    <n v="164.62700000000001"/>
    <x v="1389"/>
    <n v="161.12899999999999"/>
    <n v="162.44800000000001"/>
    <n v="16448045"/>
    <x v="2"/>
    <s v="Google"/>
    <x v="0"/>
    <n v="-1.1120000000000001"/>
    <x v="19"/>
    <x v="1"/>
    <s v="August"/>
    <s v="Loss"/>
    <n v="4.0630000000000166"/>
    <n v="67.581999999999979"/>
  </r>
  <r>
    <s v="2024-08-29"/>
    <n v="163.904"/>
    <x v="1390"/>
    <n v="159.85499999999999"/>
    <n v="161.381"/>
    <n v="19748515"/>
    <x v="2"/>
    <s v="Google"/>
    <x v="0"/>
    <n v="-0.65700000000000003"/>
    <x v="19"/>
    <x v="1"/>
    <s v="August"/>
    <s v="Loss"/>
    <n v="5.7050000000000125"/>
    <n v="66.924999999999983"/>
  </r>
  <r>
    <s v="2024-08-30"/>
    <n v="162.214"/>
    <x v="1391"/>
    <n v="161.29300000000001"/>
    <n v="162.976"/>
    <n v="22178557"/>
    <x v="2"/>
    <s v="Google"/>
    <x v="0"/>
    <n v="0.98799999999999999"/>
    <x v="19"/>
    <x v="1"/>
    <s v="August"/>
    <s v="Profit"/>
    <n v="1.9629999999999939"/>
    <n v="67.912999999999982"/>
  </r>
  <r>
    <s v="2024-09-03"/>
    <n v="161.321"/>
    <x v="1392"/>
    <n v="156.09399999999999"/>
    <n v="156.971"/>
    <n v="39041673"/>
    <x v="2"/>
    <s v="Google"/>
    <x v="0"/>
    <n v="-3.6850000000000001"/>
    <x v="20"/>
    <x v="1"/>
    <s v="September"/>
    <s v="Loss"/>
    <n v="5.3569999999999993"/>
    <n v="64.22799999999998"/>
  </r>
  <r>
    <s v="2024-09-04"/>
    <n v="156.268"/>
    <x v="1393"/>
    <n v="155.577"/>
    <n v="156.06399999999999"/>
    <n v="19401650"/>
    <x v="2"/>
    <s v="Google"/>
    <x v="0"/>
    <n v="-0.57799999999999996"/>
    <x v="20"/>
    <x v="1"/>
    <s v="September"/>
    <s v="Loss"/>
    <n v="3.0300000000000011"/>
    <n v="63.649999999999977"/>
  </r>
  <r>
    <s v="2024-09-05"/>
    <n v="155.91399999999999"/>
    <x v="1394"/>
    <n v="155.596"/>
    <n v="156.852"/>
    <n v="18734993"/>
    <x v="2"/>
    <s v="Google"/>
    <x v="0"/>
    <n v="0.505"/>
    <x v="20"/>
    <x v="1"/>
    <s v="September"/>
    <s v="Profit"/>
    <n v="3.4609999999999843"/>
    <n v="64.154999999999973"/>
  </r>
  <r>
    <s v="2024-09-06"/>
    <n v="156.91200000000001"/>
    <x v="1395"/>
    <n v="150.178"/>
    <n v="150.547"/>
    <n v="38005945"/>
    <x v="2"/>
    <s v="Google"/>
    <x v="0"/>
    <n v="-4.0199999999999996"/>
    <x v="20"/>
    <x v="1"/>
    <s v="September"/>
    <s v="Loss"/>
    <n v="7.2630000000000052"/>
    <n v="60.134999999999977"/>
  </r>
  <r>
    <s v="2024-09-09"/>
    <n v="152.33500000000001"/>
    <x v="1248"/>
    <n v="147.04599999999999"/>
    <n v="148.54"/>
    <n v="39305446"/>
    <x v="2"/>
    <s v="Google"/>
    <x v="0"/>
    <n v="-1.333"/>
    <x v="20"/>
    <x v="1"/>
    <s v="September"/>
    <s v="Loss"/>
    <n v="6.1779999999999973"/>
    <n v="58.801999999999978"/>
  </r>
  <r>
    <s v="2024-09-10"/>
    <n v="150.27799999999999"/>
    <x v="1396"/>
    <n v="148.16999999999999"/>
    <n v="148.49"/>
    <n v="31154429"/>
    <x v="2"/>
    <s v="Google"/>
    <x v="0"/>
    <n v="-3.4000000000000002E-2"/>
    <x v="20"/>
    <x v="1"/>
    <s v="September"/>
    <s v="Loss"/>
    <n v="2.9270000000000209"/>
    <n v="58.767999999999979"/>
  </r>
  <r>
    <s v="2024-09-11"/>
    <n v="149.74799999999999"/>
    <x v="1397"/>
    <n v="147.351"/>
    <n v="150.98699999999999"/>
    <n v="29641625"/>
    <x v="2"/>
    <s v="Google"/>
    <x v="0"/>
    <n v="1.6819999999999999"/>
    <x v="20"/>
    <x v="1"/>
    <s v="September"/>
    <s v="Profit"/>
    <n v="3.9759999999999991"/>
    <n v="60.449999999999982"/>
  </r>
  <r>
    <s v="2024-09-12"/>
    <n v="153.624"/>
    <x v="1398"/>
    <n v="152.47499999999999"/>
    <n v="154.51300000000001"/>
    <n v="29729080"/>
    <x v="2"/>
    <s v="Google"/>
    <x v="0"/>
    <n v="2.335"/>
    <x v="20"/>
    <x v="1"/>
    <s v="September"/>
    <s v="Profit"/>
    <n v="2.1680000000000064"/>
    <n v="62.784999999999982"/>
  </r>
  <r>
    <s v="2024-09-13"/>
    <n v="155.25200000000001"/>
    <x v="1399"/>
    <n v="155.03200000000001"/>
    <n v="157.28"/>
    <n v="29625065"/>
    <x v="2"/>
    <s v="Google"/>
    <x v="0"/>
    <n v="1.7909999999999999"/>
    <x v="20"/>
    <x v="1"/>
    <s v="September"/>
    <s v="Profit"/>
    <n v="3.1670000000000016"/>
    <n v="64.575999999999979"/>
  </r>
  <r>
    <s v="2024-09-16"/>
    <n v="157.13"/>
    <x v="1400"/>
    <n v="156.42099999999999"/>
    <n v="157.87899999999999"/>
    <n v="18400839"/>
    <x v="2"/>
    <s v="Google"/>
    <x v="0"/>
    <n v="0.38100000000000001"/>
    <x v="20"/>
    <x v="1"/>
    <s v="September"/>
    <s v="Profit"/>
    <n v="1.6479999999999961"/>
    <n v="64.956999999999979"/>
  </r>
  <r>
    <s v="2024-09-17"/>
    <n v="158.83799999999999"/>
    <x v="1401"/>
    <n v="158.19399999999999"/>
    <n v="159.13800000000001"/>
    <n v="20739353"/>
    <x v="2"/>
    <s v="Google"/>
    <x v="0"/>
    <n v="0.79700000000000004"/>
    <x v="20"/>
    <x v="1"/>
    <s v="September"/>
    <s v="Profit"/>
    <n v="2.1720000000000255"/>
    <n v="65.753999999999976"/>
  </r>
  <r>
    <s v="2024-09-18"/>
    <n v="159.67699999999999"/>
    <x v="1402"/>
    <n v="158.41300000000001"/>
    <n v="159.62700000000001"/>
    <n v="23704450"/>
    <x v="2"/>
    <s v="Google"/>
    <x v="0"/>
    <n v="0.307"/>
    <x v="20"/>
    <x v="1"/>
    <s v="September"/>
    <s v="Profit"/>
    <n v="1.9029999999999916"/>
    <n v="66.060999999999979"/>
  </r>
  <r>
    <s v="2024-09-19"/>
    <n v="163.523"/>
    <x v="1403"/>
    <n v="161.155"/>
    <n v="161.95400000000001"/>
    <n v="26618204"/>
    <x v="2"/>
    <s v="Google"/>
    <x v="0"/>
    <n v="1.458"/>
    <x v="20"/>
    <x v="1"/>
    <s v="September"/>
    <s v="Profit"/>
    <n v="2.4480000000000075"/>
    <n v="67.518999999999977"/>
  </r>
  <r>
    <s v="2024-09-20"/>
    <n v="163.31299999999999"/>
    <x v="1404"/>
    <n v="161.874"/>
    <n v="163.40299999999999"/>
    <n v="40943308"/>
    <x v="2"/>
    <s v="Google"/>
    <x v="0"/>
    <n v="0.89500000000000002"/>
    <x v="20"/>
    <x v="1"/>
    <s v="September"/>
    <s v="Profit"/>
    <n v="1.6690000000000111"/>
    <n v="68.413999999999973"/>
  </r>
  <r>
    <s v="2024-09-23"/>
    <n v="164.16200000000001"/>
    <x v="1405"/>
    <n v="161.48500000000001"/>
    <n v="161.66499999999999"/>
    <n v="24178530"/>
    <x v="2"/>
    <s v="Google"/>
    <x v="0"/>
    <n v="-1.0640000000000001"/>
    <x v="20"/>
    <x v="1"/>
    <s v="September"/>
    <s v="Loss"/>
    <n v="3.8159999999999741"/>
    <n v="67.349999999999966"/>
  </r>
  <r>
    <s v="2024-09-24"/>
    <n v="162.84299999999999"/>
    <x v="71"/>
    <n v="160.506"/>
    <n v="162.10400000000001"/>
    <n v="23358887"/>
    <x v="2"/>
    <s v="Google"/>
    <x v="0"/>
    <n v="0.27200000000000002"/>
    <x v="20"/>
    <x v="1"/>
    <s v="September"/>
    <s v="Profit"/>
    <n v="2.5229999999999961"/>
    <n v="67.621999999999971"/>
  </r>
  <r>
    <s v="2024-09-25"/>
    <n v="161.285"/>
    <x v="1406"/>
    <n v="161.11500000000001"/>
    <n v="161.30500000000001"/>
    <n v="18890824"/>
    <x v="2"/>
    <s v="Google"/>
    <x v="0"/>
    <n v="-0.49299999999999999"/>
    <x v="20"/>
    <x v="1"/>
    <s v="September"/>
    <s v="Loss"/>
    <n v="1.5089999999999861"/>
    <n v="67.128999999999976"/>
  </r>
  <r>
    <s v="2024-09-26"/>
    <n v="163.453"/>
    <x v="1407"/>
    <n v="162.09399999999999"/>
    <n v="162.54400000000001"/>
    <n v="20342623"/>
    <x v="2"/>
    <s v="Google"/>
    <x v="0"/>
    <n v="0.76800000000000002"/>
    <x v="20"/>
    <x v="1"/>
    <s v="September"/>
    <s v="Profit"/>
    <n v="1.7980000000000018"/>
    <n v="67.896999999999977"/>
  </r>
  <r>
    <s v="2024-09-27"/>
    <n v="162.624"/>
    <x v="1408"/>
    <n v="162.44"/>
    <n v="163.762"/>
    <n v="21125490"/>
    <x v="2"/>
    <s v="Google"/>
    <x v="0"/>
    <n v="0.749"/>
    <x v="20"/>
    <x v="1"/>
    <s v="September"/>
    <s v="Profit"/>
    <n v="3.0699999999999932"/>
    <n v="68.645999999999972"/>
  </r>
  <r>
    <s v="2024-09-30"/>
    <n v="163.13300000000001"/>
    <x v="1409"/>
    <n v="163.07300000000001"/>
    <n v="165.66"/>
    <n v="20504775"/>
    <x v="2"/>
    <s v="Google"/>
    <x v="0"/>
    <n v="1.159"/>
    <x v="20"/>
    <x v="1"/>
    <s v="September"/>
    <s v="Profit"/>
    <n v="2.8870000000000005"/>
    <n v="69.804999999999978"/>
  </r>
  <r>
    <s v="2024-10-01"/>
    <n v="167.49299999999999"/>
    <x v="1410"/>
    <n v="164.392"/>
    <n v="166.79900000000001"/>
    <n v="28370600"/>
    <x v="2"/>
    <s v="Google"/>
    <x v="0"/>
    <n v="0.68799999999999994"/>
    <x v="21"/>
    <x v="1"/>
    <s v="October"/>
    <s v="Profit"/>
    <n v="4.5740000000000123"/>
    <n v="70.492999999999981"/>
  </r>
  <r>
    <s v="2024-10-02"/>
    <n v="166.22900000000001"/>
    <x v="1411"/>
    <n v="164.541"/>
    <n v="165.67"/>
    <n v="17780533"/>
    <x v="2"/>
    <s v="Google"/>
    <x v="0"/>
    <n v="-0.67700000000000005"/>
    <x v="21"/>
    <x v="1"/>
    <s v="October"/>
    <s v="Loss"/>
    <n v="2.7870000000000061"/>
    <n v="69.815999999999974"/>
  </r>
  <r>
    <s v="2024-10-03"/>
    <n v="164.22200000000001"/>
    <x v="1412"/>
    <n v="163.73500000000001"/>
    <n v="165.67"/>
    <n v="15090375"/>
    <x v="2"/>
    <s v="Google"/>
    <x v="0"/>
    <n v="0"/>
    <x v="21"/>
    <x v="1"/>
    <s v="October"/>
    <s v="Neutral"/>
    <n v="2.7139999999999986"/>
    <n v="69.815999999999974"/>
  </r>
  <r>
    <s v="2024-10-04"/>
    <n v="167.86799999999999"/>
    <x v="1413"/>
    <n v="165.291"/>
    <n v="166.869"/>
    <n v="19115606"/>
    <x v="2"/>
    <s v="Google"/>
    <x v="0"/>
    <n v="0.72399999999999998"/>
    <x v="21"/>
    <x v="1"/>
    <s v="October"/>
    <s v="Profit"/>
    <n v="2.7460000000000093"/>
    <n v="70.539999999999978"/>
  </r>
  <r>
    <s v="2024-10-07"/>
    <n v="167.52799999999999"/>
    <x v="1414"/>
    <n v="162.56399999999999"/>
    <n v="162.79300000000001"/>
    <n v="22488884"/>
    <x v="2"/>
    <s v="Google"/>
    <x v="0"/>
    <n v="-2.4430000000000001"/>
    <x v="21"/>
    <x v="1"/>
    <s v="October"/>
    <s v="Loss"/>
    <n v="5.7230000000000132"/>
    <n v="68.09699999999998"/>
  </r>
  <r>
    <s v="2024-10-08"/>
    <n v="163.75200000000001"/>
    <x v="1415"/>
    <n v="162.684"/>
    <n v="164.19200000000001"/>
    <n v="23099175"/>
    <x v="2"/>
    <s v="Google"/>
    <x v="0"/>
    <n v="0.85899999999999999"/>
    <x v="21"/>
    <x v="1"/>
    <s v="October"/>
    <s v="Profit"/>
    <n v="1.8520000000000039"/>
    <n v="68.955999999999975"/>
  </r>
  <r>
    <s v="2024-10-09"/>
    <n v="163.26300000000001"/>
    <x v="1416"/>
    <n v="159.55699999999999"/>
    <n v="161.67500000000001"/>
    <n v="31217510"/>
    <x v="2"/>
    <s v="Google"/>
    <x v="0"/>
    <n v="-1.5329999999999999"/>
    <x v="21"/>
    <x v="1"/>
    <s v="October"/>
    <s v="Loss"/>
    <n v="5.0940000000000225"/>
    <n v="67.422999999999973"/>
  </r>
  <r>
    <s v="2024-10-10"/>
    <n v="160.68600000000001"/>
    <x v="1417"/>
    <n v="160.21100000000001"/>
    <n v="161.89400000000001"/>
    <n v="14160278"/>
    <x v="2"/>
    <s v="Google"/>
    <x v="0"/>
    <n v="0.13500000000000001"/>
    <x v="21"/>
    <x v="1"/>
    <s v="October"/>
    <s v="Profit"/>
    <n v="2.671999999999997"/>
    <n v="67.557999999999979"/>
  </r>
  <r>
    <s v="2024-10-11"/>
    <n v="161.94399999999999"/>
    <x v="1418"/>
    <n v="161.05000000000001"/>
    <n v="163.053"/>
    <n v="15361836"/>
    <x v="2"/>
    <s v="Google"/>
    <x v="0"/>
    <n v="0.71599999999999997"/>
    <x v="21"/>
    <x v="1"/>
    <s v="October"/>
    <s v="Profit"/>
    <n v="2.6619999999999777"/>
    <n v="68.273999999999972"/>
  </r>
  <r>
    <s v="2024-10-14"/>
    <n v="163.453"/>
    <x v="1419"/>
    <n v="163.21299999999999"/>
    <n v="164.77099999999999"/>
    <n v="19037934"/>
    <x v="2"/>
    <s v="Google"/>
    <x v="0"/>
    <n v="1.054"/>
    <x v="21"/>
    <x v="1"/>
    <s v="October"/>
    <s v="Profit"/>
    <n v="2.8230000000000075"/>
    <n v="69.327999999999975"/>
  </r>
  <r>
    <s v="2024-10-15"/>
    <n v="165.595"/>
    <x v="1420"/>
    <n v="164.43700000000001"/>
    <n v="165.27099999999999"/>
    <n v="20270399"/>
    <x v="2"/>
    <s v="Google"/>
    <x v="0"/>
    <n v="0.30299999999999999"/>
    <x v="21"/>
    <x v="1"/>
    <s v="October"/>
    <s v="Profit"/>
    <n v="3.0509999999999877"/>
    <n v="69.630999999999972"/>
  </r>
  <r>
    <s v="2024-10-16"/>
    <n v="164.34200000000001"/>
    <x v="1421"/>
    <n v="163.553"/>
    <n v="164.971"/>
    <n v="16424832"/>
    <x v="2"/>
    <s v="Google"/>
    <x v="0"/>
    <n v="-0.182"/>
    <x v="21"/>
    <x v="1"/>
    <s v="October"/>
    <s v="Loss"/>
    <n v="2.0570000000000164"/>
    <n v="69.44899999999997"/>
  </r>
  <r>
    <s v="2024-10-17"/>
    <n v="165.54"/>
    <x v="1422"/>
    <n v="162.57400000000001"/>
    <n v="162.74299999999999"/>
    <n v="21477982"/>
    <x v="2"/>
    <s v="Google"/>
    <x v="0"/>
    <n v="-1.351"/>
    <x v="21"/>
    <x v="1"/>
    <s v="October"/>
    <s v="Loss"/>
    <n v="3.6059999999999945"/>
    <n v="68.097999999999971"/>
  </r>
  <r>
    <s v="2024-10-18"/>
    <n v="163.00299999999999"/>
    <x v="1423"/>
    <n v="162.893"/>
    <n v="163.233"/>
    <n v="19780304"/>
    <x v="2"/>
    <s v="Google"/>
    <x v="0"/>
    <n v="0.30099999999999999"/>
    <x v="21"/>
    <x v="1"/>
    <s v="October"/>
    <s v="Profit"/>
    <n v="1.6279999999999859"/>
    <n v="68.398999999999972"/>
  </r>
  <r>
    <s v="2024-10-21"/>
    <n v="162.76300000000001"/>
    <x v="1424"/>
    <n v="162.434"/>
    <n v="163.88200000000001"/>
    <n v="20970461"/>
    <x v="2"/>
    <s v="Google"/>
    <x v="0"/>
    <n v="0.39800000000000002"/>
    <x v="21"/>
    <x v="1"/>
    <s v="October"/>
    <s v="Profit"/>
    <n v="1.8780000000000143"/>
    <n v="68.796999999999969"/>
  </r>
  <r>
    <s v="2024-10-22"/>
    <n v="162.79300000000001"/>
    <x v="1425"/>
    <n v="162.79300000000001"/>
    <n v="164.95099999999999"/>
    <n v="16587109"/>
    <x v="2"/>
    <s v="Google"/>
    <x v="0"/>
    <n v="0.65200000000000002"/>
    <x v="21"/>
    <x v="1"/>
    <s v="October"/>
    <s v="Profit"/>
    <n v="2.7870000000000061"/>
    <n v="69.44899999999997"/>
  </r>
  <r>
    <s v="2024-10-23"/>
    <n v="164.571"/>
    <x v="1426"/>
    <n v="161.74"/>
    <n v="162.59399999999999"/>
    <n v="18301468"/>
    <x v="2"/>
    <s v="Google"/>
    <x v="0"/>
    <n v="-1.429"/>
    <x v="21"/>
    <x v="1"/>
    <s v="October"/>
    <s v="Loss"/>
    <n v="3.8899999999999864"/>
    <n v="68.019999999999968"/>
  </r>
  <r>
    <s v="2024-10-24"/>
    <n v="162.64400000000001"/>
    <x v="1427"/>
    <n v="160.82599999999999"/>
    <n v="162.53399999999999"/>
    <n v="22438213"/>
    <x v="2"/>
    <s v="Google"/>
    <x v="0"/>
    <n v="-3.6999999999999998E-2"/>
    <x v="21"/>
    <x v="1"/>
    <s v="October"/>
    <s v="Loss"/>
    <n v="2.3170000000000073"/>
    <n v="67.982999999999961"/>
  </r>
  <r>
    <s v="2024-10-25"/>
    <n v="163.483"/>
    <x v="1428"/>
    <n v="163.233"/>
    <n v="165.08099999999999"/>
    <n v="19851609"/>
    <x v="2"/>
    <s v="Google"/>
    <x v="0"/>
    <n v="1.5669999999999999"/>
    <x v="21"/>
    <x v="1"/>
    <s v="October"/>
    <s v="Profit"/>
    <n v="2.1670000000000016"/>
    <n v="69.549999999999955"/>
  </r>
  <r>
    <s v="2024-10-28"/>
    <n v="168.55699999999999"/>
    <x v="1429"/>
    <n v="163.762"/>
    <n v="166.529"/>
    <n v="32175474"/>
    <x v="2"/>
    <s v="Google"/>
    <x v="0"/>
    <n v="0.877"/>
    <x v="21"/>
    <x v="1"/>
    <s v="October"/>
    <s v="Profit"/>
    <n v="4.7949999999999875"/>
    <n v="70.42699999999995"/>
  </r>
  <r>
    <s v="2024-10-29"/>
    <n v="167.53800000000001"/>
    <x v="1430"/>
    <n v="166.898"/>
    <n v="169.48599999999999"/>
    <n v="42217353"/>
    <x v="2"/>
    <s v="Google"/>
    <x v="0"/>
    <n v="1.776"/>
    <x v="21"/>
    <x v="1"/>
    <s v="October"/>
    <s v="Profit"/>
    <n v="3.2870000000000061"/>
    <n v="72.202999999999946"/>
  </r>
  <r>
    <s v="2024-10-30"/>
    <n v="180.47300000000001"/>
    <x v="1431"/>
    <n v="173.86099999999999"/>
    <n v="174.26"/>
    <n v="68969740"/>
    <x v="2"/>
    <s v="Google"/>
    <x v="0"/>
    <n v="2.8170000000000002"/>
    <x v="21"/>
    <x v="1"/>
    <s v="October"/>
    <s v="Profit"/>
    <n v="7.9510000000000218"/>
    <n v="75.019999999999953"/>
  </r>
  <r>
    <s v="2024-10-31"/>
    <n v="172.93199999999999"/>
    <x v="1432"/>
    <n v="170.804"/>
    <n v="170.91399999999999"/>
    <n v="44820289"/>
    <x v="2"/>
    <s v="Google"/>
    <x v="0"/>
    <n v="-1.92"/>
    <x v="21"/>
    <x v="1"/>
    <s v="October"/>
    <s v="Loss"/>
    <n v="5.813999999999993"/>
    <n v="73.099999999999952"/>
  </r>
  <r>
    <s v="2024-11-01"/>
    <n v="169.875"/>
    <x v="1433"/>
    <n v="168.68700000000001"/>
    <n v="171.09399999999999"/>
    <n v="31832917"/>
    <x v="2"/>
    <s v="Google"/>
    <x v="0"/>
    <n v="0.105"/>
    <x v="22"/>
    <x v="1"/>
    <s v="November"/>
    <s v="Profit"/>
    <n v="3.4359999999999786"/>
    <n v="73.204999999999956"/>
  </r>
  <r>
    <s v="2024-11-04"/>
    <n v="169.73500000000001"/>
    <x v="1434"/>
    <n v="167.81899999999999"/>
    <n v="169.04599999999999"/>
    <n v="21517376"/>
    <x v="2"/>
    <s v="Google"/>
    <x v="0"/>
    <n v="-1.1970000000000001"/>
    <x v="22"/>
    <x v="1"/>
    <s v="November"/>
    <s v="Loss"/>
    <n v="2.7160000000000082"/>
    <n v="72.007999999999953"/>
  </r>
  <r>
    <s v="2024-11-05"/>
    <n v="169.23599999999999"/>
    <x v="1435"/>
    <n v="168.64699999999999"/>
    <n v="169.54599999999999"/>
    <n v="18262956"/>
    <x v="2"/>
    <s v="Google"/>
    <x v="0"/>
    <n v="0.29599999999999999"/>
    <x v="22"/>
    <x v="1"/>
    <s v="November"/>
    <s v="Profit"/>
    <n v="1.6880000000000166"/>
    <n v="72.303999999999959"/>
  </r>
  <r>
    <s v="2024-11-06"/>
    <n v="173.601"/>
    <x v="1436"/>
    <n v="173.30099999999999"/>
    <n v="176.30799999999999"/>
    <n v="33734155"/>
    <x v="2"/>
    <s v="Google"/>
    <x v="0"/>
    <n v="3.988"/>
    <x v="22"/>
    <x v="1"/>
    <s v="November"/>
    <s v="Profit"/>
    <n v="3.436000000000007"/>
    <n v="76.291999999999959"/>
  </r>
  <r>
    <s v="2024-11-07"/>
    <n v="177.20699999999999"/>
    <x v="1437"/>
    <n v="176.98699999999999"/>
    <n v="180.54300000000001"/>
    <n v="25381995"/>
    <x v="2"/>
    <s v="Google"/>
    <x v="0"/>
    <n v="2.4020000000000001"/>
    <x v="22"/>
    <x v="1"/>
    <s v="November"/>
    <s v="Profit"/>
    <n v="3.8859999999999957"/>
    <n v="78.69399999999996"/>
  </r>
  <r>
    <s v="2024-11-08"/>
    <n v="180.43799999999999"/>
    <x v="1438"/>
    <n v="177.876"/>
    <n v="178.14599999999999"/>
    <n v="22031402"/>
    <x v="2"/>
    <s v="Google"/>
    <x v="0"/>
    <n v="-1.3280000000000001"/>
    <x v="22"/>
    <x v="1"/>
    <s v="November"/>
    <s v="Loss"/>
    <n v="2.8170000000000073"/>
    <n v="77.365999999999957"/>
  </r>
  <r>
    <s v="2024-11-11"/>
    <n v="178.376"/>
    <x v="1439"/>
    <n v="178.26599999999999"/>
    <n v="180.14400000000001"/>
    <n v="17470353"/>
    <x v="2"/>
    <s v="Google"/>
    <x v="0"/>
    <n v="1.1220000000000001"/>
    <x v="22"/>
    <x v="1"/>
    <s v="November"/>
    <s v="Profit"/>
    <n v="2.0720000000000027"/>
    <n v="78.487999999999957"/>
  </r>
  <r>
    <s v="2024-11-12"/>
    <n v="179.614"/>
    <x v="1440"/>
    <n v="179.185"/>
    <n v="181.41200000000001"/>
    <n v="25163711"/>
    <x v="2"/>
    <s v="Google"/>
    <x v="0"/>
    <n v="0.70399999999999996"/>
    <x v="22"/>
    <x v="1"/>
    <s v="November"/>
    <s v="Profit"/>
    <n v="3.0960000000000036"/>
    <n v="79.19199999999995"/>
  </r>
  <r>
    <s v="2024-11-13"/>
    <n v="180.25299999999999"/>
    <x v="1441"/>
    <n v="178.33600000000001"/>
    <n v="178.67500000000001"/>
    <n v="23210573"/>
    <x v="2"/>
    <s v="Google"/>
    <x v="0"/>
    <n v="-1.5089999999999999"/>
    <x v="22"/>
    <x v="1"/>
    <s v="November"/>
    <s v="Loss"/>
    <n v="2.4169999999999732"/>
    <n v="77.68299999999995"/>
  </r>
  <r>
    <s v="2024-11-14"/>
    <n v="178.07599999999999"/>
    <x v="1442"/>
    <n v="174.12200000000001"/>
    <n v="175.37899999999999"/>
    <n v="31042993"/>
    <x v="2"/>
    <s v="Google"/>
    <x v="0"/>
    <n v="-1.845"/>
    <x v="22"/>
    <x v="1"/>
    <s v="November"/>
    <s v="Loss"/>
    <n v="4.492999999999995"/>
    <n v="75.837999999999951"/>
  </r>
  <r>
    <s v="2024-11-15"/>
    <n v="173.53100000000001"/>
    <x v="1443"/>
    <n v="171.024"/>
    <n v="172.29300000000001"/>
    <n v="32541901"/>
    <x v="2"/>
    <s v="Google"/>
    <x v="0"/>
    <n v="-1.76"/>
    <x v="22"/>
    <x v="1"/>
    <s v="November"/>
    <s v="Loss"/>
    <n v="2.9170000000000016"/>
    <n v="74.077999999999946"/>
  </r>
  <r>
    <s v="2024-11-18"/>
    <n v="173.221"/>
    <x v="1444"/>
    <n v="172.702"/>
    <n v="175.09899999999999"/>
    <n v="20229771"/>
    <x v="2"/>
    <s v="Google"/>
    <x v="0"/>
    <n v="1.629"/>
    <x v="22"/>
    <x v="1"/>
    <s v="November"/>
    <s v="Profit"/>
    <n v="2.5349999999999966"/>
    <n v="75.706999999999951"/>
  </r>
  <r>
    <s v="2024-11-19"/>
    <n v="173.52099999999999"/>
    <x v="1445"/>
    <n v="173.36099999999999"/>
    <n v="177.916"/>
    <n v="23461782"/>
    <x v="2"/>
    <s v="Google"/>
    <x v="0"/>
    <n v="1.609"/>
    <x v="22"/>
    <x v="1"/>
    <s v="November"/>
    <s v="Profit"/>
    <n v="5.304000000000002"/>
    <n v="77.315999999999946"/>
  </r>
  <r>
    <s v="2024-11-20"/>
    <n v="177.137"/>
    <x v="1446"/>
    <n v="173.58099999999999"/>
    <n v="175.779"/>
    <n v="19018882"/>
    <x v="2"/>
    <s v="Google"/>
    <x v="0"/>
    <n v="-1.2010000000000001"/>
    <x v="22"/>
    <x v="1"/>
    <s v="November"/>
    <s v="Loss"/>
    <n v="3.8910000000000196"/>
    <n v="76.114999999999952"/>
  </r>
  <r>
    <s v="2024-11-21"/>
    <n v="173.70099999999999"/>
    <x v="1447"/>
    <n v="163.51300000000001"/>
    <n v="167.43799999999999"/>
    <n v="59802838"/>
    <x v="2"/>
    <s v="Google"/>
    <x v="0"/>
    <n v="-4.7450000000000001"/>
    <x v="22"/>
    <x v="1"/>
    <s v="November"/>
    <s v="Loss"/>
    <n v="10.418000000000006"/>
    <n v="71.369999999999948"/>
  </r>
  <r>
    <s v="2024-11-22"/>
    <n v="165.66"/>
    <x v="1448"/>
    <n v="163.71199999999999"/>
    <n v="164.571"/>
    <n v="38648830"/>
    <x v="2"/>
    <s v="Google"/>
    <x v="0"/>
    <n v="-1.712"/>
    <x v="22"/>
    <x v="1"/>
    <s v="November"/>
    <s v="Loss"/>
    <n v="2.5570000000000164"/>
    <n v="69.657999999999944"/>
  </r>
  <r>
    <s v="2024-11-25"/>
    <n v="165.9"/>
    <x v="1449"/>
    <n v="165.41800000000001"/>
    <n v="167.458"/>
    <n v="33173238"/>
    <x v="2"/>
    <s v="Google"/>
    <x v="0"/>
    <n v="1.754"/>
    <x v="22"/>
    <x v="1"/>
    <s v="November"/>
    <s v="Profit"/>
    <n v="3.0190000000000055"/>
    <n v="71.411999999999949"/>
  </r>
  <r>
    <s v="2024-11-26"/>
    <n v="167.43799999999999"/>
    <x v="1450"/>
    <n v="167.38800000000001"/>
    <n v="168.92599999999999"/>
    <n v="20510199"/>
    <x v="2"/>
    <s v="Google"/>
    <x v="0"/>
    <n v="0.877"/>
    <x v="22"/>
    <x v="1"/>
    <s v="November"/>
    <s v="Profit"/>
    <n v="2.2379999999999995"/>
    <n v="72.288999999999945"/>
  </r>
  <r>
    <s v="2024-11-27"/>
    <n v="168.80699999999999"/>
    <x v="1451"/>
    <n v="167.828"/>
    <n v="169.036"/>
    <n v="19288591"/>
    <x v="2"/>
    <s v="Google"/>
    <x v="0"/>
    <n v="6.5000000000000002E-2"/>
    <x v="22"/>
    <x v="1"/>
    <s v="November"/>
    <s v="Profit"/>
    <n v="1.4609999999999843"/>
    <n v="72.353999999999942"/>
  </r>
  <r>
    <s v="2024-11-29"/>
    <n v="168.30699999999999"/>
    <x v="1316"/>
    <n v="166.96899999999999"/>
    <n v="168.75700000000001"/>
    <n v="14273583"/>
    <x v="2"/>
    <s v="Google"/>
    <x v="0"/>
    <n v="-0.16500000000000001"/>
    <x v="22"/>
    <x v="1"/>
    <s v="November"/>
    <s v="Loss"/>
    <n v="2.2669999999999959"/>
    <n v="72.188999999999936"/>
  </r>
  <r>
    <s v="2024-12-02"/>
    <n v="168.572"/>
    <x v="1452"/>
    <n v="168.37700000000001"/>
    <n v="171.29400000000001"/>
    <n v="23816347"/>
    <x v="2"/>
    <s v="Google"/>
    <x v="0"/>
    <n v="1.5029999999999999"/>
    <x v="23"/>
    <x v="1"/>
    <s v="December"/>
    <s v="Profit"/>
    <n v="3.5009999999999764"/>
    <n v="73.691999999999936"/>
  </r>
  <r>
    <s v="2024-12-03"/>
    <n v="171.29400000000001"/>
    <x v="1453"/>
    <n v="170.654"/>
    <n v="171.14400000000001"/>
    <n v="22274203"/>
    <x v="2"/>
    <s v="Google"/>
    <x v="0"/>
    <n v="-8.7999999999999995E-2"/>
    <x v="23"/>
    <x v="1"/>
    <s v="December"/>
    <s v="Loss"/>
    <n v="1.828000000000003"/>
    <n v="73.603999999999942"/>
  </r>
  <r>
    <s v="2024-12-04"/>
    <n v="170.94900000000001"/>
    <x v="1454"/>
    <n v="170.864"/>
    <n v="174.17"/>
    <n v="31651370"/>
    <x v="2"/>
    <s v="Google"/>
    <x v="0"/>
    <n v="1.768"/>
    <x v="23"/>
    <x v="1"/>
    <s v="December"/>
    <s v="Profit"/>
    <n v="3.8460000000000036"/>
    <n v="75.371999999999943"/>
  </r>
  <r>
    <s v="2024-12-05"/>
    <n v="175.15899999999999"/>
    <x v="1455"/>
    <n v="172.13300000000001"/>
    <n v="172.44200000000001"/>
    <n v="21380718"/>
    <x v="2"/>
    <s v="Google"/>
    <x v="0"/>
    <n v="-0.99199999999999999"/>
    <x v="23"/>
    <x v="1"/>
    <s v="December"/>
    <s v="Loss"/>
    <n v="3.7249999999999943"/>
    <n v="74.379999999999939"/>
  </r>
  <r>
    <s v="2024-12-06"/>
    <n v="171.833"/>
    <x v="1456"/>
    <n v="171.66300000000001"/>
    <n v="174.51"/>
    <n v="21486990"/>
    <x v="2"/>
    <s v="Google"/>
    <x v="0"/>
    <n v="1.1990000000000001"/>
    <x v="23"/>
    <x v="1"/>
    <s v="December"/>
    <s v="Profit"/>
    <n v="3.2169999999999845"/>
    <n v="75.578999999999937"/>
  </r>
  <r>
    <s v="2024-12-09"/>
    <n v="173.96"/>
    <x v="1457"/>
    <n v="173.65"/>
    <n v="175.37"/>
    <n v="25389631"/>
    <x v="2"/>
    <s v="Google"/>
    <x v="0"/>
    <n v="0.49299999999999999"/>
    <x v="23"/>
    <x v="1"/>
    <s v="December"/>
    <s v="Profit"/>
    <n v="2.6099999999999852"/>
    <n v="76.071999999999932"/>
  </r>
  <r>
    <s v="2024-12-10"/>
    <n v="182.845"/>
    <x v="1458"/>
    <n v="181.05"/>
    <n v="185.17"/>
    <n v="54813022"/>
    <x v="2"/>
    <s v="Google"/>
    <x v="0"/>
    <n v="5.5880000000000001"/>
    <x v="23"/>
    <x v="1"/>
    <s v="December"/>
    <s v="Profit"/>
    <n v="5.3100000000000023"/>
    <n v="81.659999999999926"/>
  </r>
  <r>
    <s v="2024-12-11"/>
    <n v="185.31"/>
    <x v="946"/>
    <n v="184.85"/>
    <n v="195.4"/>
    <n v="67894071"/>
    <x v="2"/>
    <s v="Google"/>
    <x v="0"/>
    <n v="5.5250000000000004"/>
    <x v="23"/>
    <x v="1"/>
    <s v="December"/>
    <s v="Profit"/>
    <n v="10.760000000000019"/>
    <n v="87.184999999999931"/>
  </r>
  <r>
    <s v="2024-12-12"/>
    <n v="195"/>
    <x v="1459"/>
    <n v="191.71"/>
    <n v="191.96"/>
    <n v="34817486"/>
    <x v="2"/>
    <s v="Google"/>
    <x v="0"/>
    <n v="-1.76"/>
    <x v="23"/>
    <x v="1"/>
    <s v="December"/>
    <s v="Loss"/>
    <n v="3.4699999999999989"/>
    <n v="85.424999999999926"/>
  </r>
  <r>
    <s v="2024-12-13"/>
    <n v="191.01"/>
    <x v="1460"/>
    <n v="189.64"/>
    <n v="189.82"/>
    <n v="25143495"/>
    <x v="2"/>
    <s v="Google"/>
    <x v="0"/>
    <n v="-1.115"/>
    <x v="23"/>
    <x v="1"/>
    <s v="December"/>
    <s v="Loss"/>
    <n v="3.0900000000000034"/>
    <n v="84.309999999999931"/>
  </r>
  <r>
    <s v="2024-12-16"/>
    <n v="192.87"/>
    <x v="1461"/>
    <n v="192.62"/>
    <n v="196.66"/>
    <n v="44934901"/>
    <x v="2"/>
    <s v="Google"/>
    <x v="0"/>
    <n v="3.6030000000000002"/>
    <x v="23"/>
    <x v="1"/>
    <s v="December"/>
    <s v="Profit"/>
    <n v="6.3799999999999955"/>
    <n v="87.912999999999926"/>
  </r>
  <r>
    <s v="2024-12-17"/>
    <n v="197.25"/>
    <x v="1462"/>
    <n v="194.98"/>
    <n v="195.42"/>
    <n v="43504025"/>
    <x v="2"/>
    <s v="Google"/>
    <x v="0"/>
    <n v="-0.63100000000000001"/>
    <x v="23"/>
    <x v="1"/>
    <s v="December"/>
    <s v="Loss"/>
    <n v="6.4399999999999977"/>
    <n v="87.281999999999925"/>
  </r>
  <r>
    <s v="2024-12-18"/>
    <n v="195.22"/>
    <x v="1463"/>
    <n v="187.74"/>
    <n v="188.4"/>
    <n v="34166074"/>
    <x v="2"/>
    <s v="Google"/>
    <x v="0"/>
    <n v="-3.5920000000000001"/>
    <x v="23"/>
    <x v="1"/>
    <s v="December"/>
    <s v="Loss"/>
    <n v="9.2599999999999909"/>
    <n v="83.689999999999927"/>
  </r>
  <r>
    <s v="2024-12-19"/>
    <n v="191.625"/>
    <x v="1464"/>
    <n v="188.38"/>
    <n v="188.51"/>
    <n v="32265241"/>
    <x v="2"/>
    <s v="Google"/>
    <x v="0"/>
    <n v="5.8000000000000003E-2"/>
    <x v="23"/>
    <x v="1"/>
    <s v="December"/>
    <s v="Profit"/>
    <n v="4.6500000000000057"/>
    <n v="83.747999999999934"/>
  </r>
  <r>
    <s v="2024-12-20"/>
    <n v="185.78"/>
    <x v="1465"/>
    <n v="185.22"/>
    <n v="191.41"/>
    <n v="63462934"/>
    <x v="2"/>
    <s v="Google"/>
    <x v="0"/>
    <n v="1.538"/>
    <x v="23"/>
    <x v="1"/>
    <s v="December"/>
    <s v="Profit"/>
    <n v="7.6699999999999875"/>
    <n v="85.28599999999993"/>
  </r>
  <r>
    <s v="2024-12-23"/>
    <n v="192.62"/>
    <x v="1466"/>
    <n v="190.15"/>
    <n v="194.63"/>
    <n v="25675014"/>
    <x v="2"/>
    <s v="Google"/>
    <x v="0"/>
    <n v="1.6819999999999999"/>
    <x v="23"/>
    <x v="1"/>
    <s v="December"/>
    <s v="Profit"/>
    <n v="4.9499999999999886"/>
    <n v="86.967999999999932"/>
  </r>
  <r>
    <s v="2024-12-24"/>
    <n v="194.84"/>
    <x v="1467"/>
    <n v="193.78"/>
    <n v="196.11"/>
    <n v="10403259"/>
    <x v="2"/>
    <s v="Google"/>
    <x v="0"/>
    <n v="0.76"/>
    <x v="23"/>
    <x v="1"/>
    <s v="December"/>
    <s v="Profit"/>
    <n v="2.3300000000000125"/>
    <n v="87.727999999999938"/>
  </r>
  <r>
    <s v="2024-12-26"/>
    <n v="195.15"/>
    <x v="1468"/>
    <n v="194.375"/>
    <n v="195.6"/>
    <n v="12057210"/>
    <x v="2"/>
    <s v="Google"/>
    <x v="0"/>
    <n v="-0.26"/>
    <x v="23"/>
    <x v="1"/>
    <s v="December"/>
    <s v="Loss"/>
    <n v="2.3729999999999905"/>
    <n v="87.467999999999932"/>
  </r>
  <r>
    <s v="2024-12-27"/>
    <n v="194.95"/>
    <x v="1469"/>
    <n v="190.65"/>
    <n v="192.76"/>
    <n v="18891362"/>
    <x v="2"/>
    <s v="Google"/>
    <x v="0"/>
    <n v="-1.452"/>
    <x v="23"/>
    <x v="1"/>
    <s v="December"/>
    <s v="Loss"/>
    <n v="4.6699999999999875"/>
    <n v="86.015999999999934"/>
  </r>
  <r>
    <s v="2024-12-30"/>
    <n v="189.8"/>
    <x v="1470"/>
    <n v="189.12"/>
    <n v="191.24"/>
    <n v="14264659"/>
    <x v="2"/>
    <s v="Google"/>
    <x v="0"/>
    <n v="-0.78900000000000003"/>
    <x v="23"/>
    <x v="1"/>
    <s v="December"/>
    <s v="Loss"/>
    <n v="3.4300000000000068"/>
    <n v="85.226999999999933"/>
  </r>
  <r>
    <s v="2024-12-31"/>
    <n v="191.07499999999999"/>
    <x v="1471"/>
    <n v="188.51"/>
    <n v="189.3"/>
    <n v="17466919"/>
    <x v="2"/>
    <s v="Google"/>
    <x v="0"/>
    <n v="-1.014"/>
    <x v="23"/>
    <x v="1"/>
    <s v="December"/>
    <s v="Loss"/>
    <n v="3.4500000000000171"/>
    <n v="84.212999999999937"/>
  </r>
  <r>
    <s v="2023-01-03"/>
    <n v="176.16"/>
    <x v="908"/>
    <n v="176.01"/>
    <n v="178.19"/>
    <n v="6344864"/>
    <x v="3"/>
    <s v="Johnson &amp; Johnson"/>
    <x v="2"/>
    <m/>
    <x v="0"/>
    <x v="0"/>
    <s v="January"/>
    <m/>
    <n v="2.3700000000000045"/>
    <n v="0"/>
  </r>
  <r>
    <s v="2023-01-04"/>
    <n v="178.89"/>
    <x v="1472"/>
    <n v="178.48"/>
    <n v="180.13"/>
    <n v="9788784"/>
    <x v="3"/>
    <s v="Johnson &amp; Johnson"/>
    <x v="2"/>
    <n v="1.089"/>
    <x v="0"/>
    <x v="0"/>
    <s v="January"/>
    <s v="Profit"/>
    <n v="1.710000000000008"/>
    <n v="1.089"/>
  </r>
  <r>
    <s v="2023-01-05"/>
    <n v="179.02"/>
    <x v="1473"/>
    <n v="178.41"/>
    <n v="178.8"/>
    <n v="6255308"/>
    <x v="3"/>
    <s v="Johnson &amp; Johnson"/>
    <x v="2"/>
    <n v="-0.73799999999999999"/>
    <x v="0"/>
    <x v="0"/>
    <s v="January"/>
    <s v="Loss"/>
    <n v="1.5800000000000125"/>
    <n v="0.35099999999999998"/>
  </r>
  <r>
    <s v="2023-01-06"/>
    <n v="180.13"/>
    <x v="1474"/>
    <n v="179.39"/>
    <n v="180.25"/>
    <n v="5705960"/>
    <x v="3"/>
    <s v="Johnson &amp; Johnson"/>
    <x v="2"/>
    <n v="0.81100000000000005"/>
    <x v="0"/>
    <x v="0"/>
    <s v="January"/>
    <s v="Profit"/>
    <n v="1.5400000000000205"/>
    <n v="1.1619999999999999"/>
  </r>
  <r>
    <s v="2023-01-09"/>
    <n v="179.3"/>
    <x v="1475"/>
    <n v="175.17500000000001"/>
    <n v="175.58"/>
    <n v="7925277"/>
    <x v="3"/>
    <s v="Johnson &amp; Johnson"/>
    <x v="2"/>
    <n v="-2.5910000000000002"/>
    <x v="0"/>
    <x v="0"/>
    <s v="January"/>
    <s v="Loss"/>
    <n v="4.5849999999999795"/>
    <n v="-1.4290000000000003"/>
  </r>
  <r>
    <s v="2023-01-10"/>
    <n v="175.7"/>
    <x v="1476"/>
    <n v="174.32"/>
    <n v="175.16"/>
    <n v="5047467"/>
    <x v="3"/>
    <s v="Johnson &amp; Johnson"/>
    <x v="2"/>
    <n v="-0.23899999999999999"/>
    <x v="0"/>
    <x v="0"/>
    <s v="January"/>
    <s v="Loss"/>
    <n v="1.8199999999999932"/>
    <n v="-1.6680000000000001"/>
  </r>
  <r>
    <s v="2023-01-11"/>
    <n v="175.57"/>
    <x v="1477"/>
    <n v="172.11"/>
    <n v="174.88"/>
    <n v="6494755"/>
    <x v="3"/>
    <s v="Johnson &amp; Johnson"/>
    <x v="2"/>
    <n v="-0.16"/>
    <x v="0"/>
    <x v="0"/>
    <s v="January"/>
    <s v="Loss"/>
    <n v="3.6099999999999852"/>
    <n v="-1.8280000000000001"/>
  </r>
  <r>
    <s v="2023-01-12"/>
    <n v="174.26"/>
    <x v="1478"/>
    <n v="172.8"/>
    <n v="174"/>
    <n v="4269394"/>
    <x v="3"/>
    <s v="Johnson &amp; Johnson"/>
    <x v="2"/>
    <n v="-0.503"/>
    <x v="0"/>
    <x v="0"/>
    <s v="January"/>
    <s v="Loss"/>
    <n v="1.9059999999999775"/>
    <n v="-2.331"/>
  </r>
  <r>
    <s v="2023-01-13"/>
    <n v="173.19"/>
    <x v="1479"/>
    <n v="172.38"/>
    <n v="173.43"/>
    <n v="6088155"/>
    <x v="3"/>
    <s v="Johnson &amp; Johnson"/>
    <x v="2"/>
    <n v="-0.32800000000000001"/>
    <x v="0"/>
    <x v="0"/>
    <s v="January"/>
    <s v="Loss"/>
    <n v="1.6299999999999955"/>
    <n v="-2.6589999999999998"/>
  </r>
  <r>
    <s v="2023-01-17"/>
    <n v="174"/>
    <x v="1480"/>
    <n v="172.09"/>
    <n v="172.36"/>
    <n v="6053302"/>
    <x v="3"/>
    <s v="Johnson &amp; Johnson"/>
    <x v="2"/>
    <n v="-0.61699999999999999"/>
    <x v="0"/>
    <x v="0"/>
    <s v="January"/>
    <s v="Loss"/>
    <n v="2.4900000000000091"/>
    <n v="-3.2759999999999998"/>
  </r>
  <r>
    <s v="2023-01-18"/>
    <n v="171.65"/>
    <x v="1481"/>
    <n v="169.71"/>
    <n v="169.76"/>
    <n v="7047759"/>
    <x v="3"/>
    <s v="Johnson &amp; Johnson"/>
    <x v="2"/>
    <n v="-1.508"/>
    <x v="0"/>
    <x v="0"/>
    <s v="January"/>
    <s v="Loss"/>
    <n v="2.289999999999992"/>
    <n v="-4.7839999999999998"/>
  </r>
  <r>
    <s v="2023-01-19"/>
    <n v="169.03"/>
    <x v="1482"/>
    <n v="168.71"/>
    <n v="169.53"/>
    <n v="6939514"/>
    <x v="3"/>
    <s v="Johnson &amp; Johnson"/>
    <x v="2"/>
    <n v="-0.13500000000000001"/>
    <x v="0"/>
    <x v="0"/>
    <s v="January"/>
    <s v="Loss"/>
    <n v="2.5699999999999932"/>
    <n v="-4.9189999999999996"/>
  </r>
  <r>
    <s v="2023-01-20"/>
    <n v="170.1"/>
    <x v="1483"/>
    <n v="167.48"/>
    <n v="168.74"/>
    <n v="8620553"/>
    <x v="3"/>
    <s v="Johnson &amp; Johnson"/>
    <x v="2"/>
    <n v="-0.46600000000000003"/>
    <x v="0"/>
    <x v="0"/>
    <s v="January"/>
    <s v="Loss"/>
    <n v="2.6300000000000239"/>
    <n v="-5.3849999999999998"/>
  </r>
  <r>
    <s v="2023-01-23"/>
    <n v="169.1"/>
    <x v="1484"/>
    <n v="167.947"/>
    <n v="168.31"/>
    <n v="8425412"/>
    <x v="3"/>
    <s v="Johnson &amp; Johnson"/>
    <x v="2"/>
    <n v="-0.255"/>
    <x v="0"/>
    <x v="0"/>
    <s v="January"/>
    <s v="Loss"/>
    <n v="1.6829999999999927"/>
    <n v="-5.64"/>
  </r>
  <r>
    <s v="2023-01-24"/>
    <n v="175"/>
    <x v="768"/>
    <n v="166.01"/>
    <n v="168.31"/>
    <n v="10541842"/>
    <x v="3"/>
    <s v="Johnson &amp; Johnson"/>
    <x v="2"/>
    <n v="0"/>
    <x v="0"/>
    <x v="0"/>
    <s v="January"/>
    <s v="Neutral"/>
    <n v="8.9900000000000091"/>
    <n v="-5.64"/>
  </r>
  <r>
    <s v="2023-01-25"/>
    <n v="167.17"/>
    <x v="1485"/>
    <n v="167.08"/>
    <n v="169.51"/>
    <n v="7099816"/>
    <x v="3"/>
    <s v="Johnson &amp; Johnson"/>
    <x v="2"/>
    <n v="0.71299999999999997"/>
    <x v="0"/>
    <x v="0"/>
    <s v="January"/>
    <s v="Profit"/>
    <n v="2.4299999999999784"/>
    <n v="-4.9269999999999996"/>
  </r>
  <r>
    <s v="2023-01-26"/>
    <n v="169.55"/>
    <x v="1486"/>
    <n v="168.65"/>
    <n v="168.89"/>
    <n v="6946106"/>
    <x v="3"/>
    <s v="Johnson &amp; Johnson"/>
    <x v="2"/>
    <n v="-0.36599999999999999"/>
    <x v="0"/>
    <x v="0"/>
    <s v="January"/>
    <s v="Loss"/>
    <n v="1.2599999999999909"/>
    <n v="-5.2929999999999993"/>
  </r>
  <r>
    <s v="2023-01-27"/>
    <n v="168.54"/>
    <x v="1487"/>
    <n v="167.77"/>
    <n v="168.23"/>
    <n v="6058104"/>
    <x v="3"/>
    <s v="Johnson &amp; Johnson"/>
    <x v="2"/>
    <n v="-0.39100000000000001"/>
    <x v="0"/>
    <x v="0"/>
    <s v="January"/>
    <s v="Loss"/>
    <n v="1.0960000000000036"/>
    <n v="-5.6839999999999993"/>
  </r>
  <r>
    <s v="2023-01-30"/>
    <n v="167.93"/>
    <x v="1488"/>
    <n v="161.08000000000001"/>
    <n v="162"/>
    <n v="23259077"/>
    <x v="3"/>
    <s v="Johnson &amp; Johnson"/>
    <x v="2"/>
    <n v="-3.7029999999999998"/>
    <x v="0"/>
    <x v="0"/>
    <s v="January"/>
    <s v="Loss"/>
    <n v="7.4599999999999795"/>
    <n v="-9.3869999999999987"/>
  </r>
  <r>
    <s v="2023-01-31"/>
    <n v="161.69999999999999"/>
    <x v="1489"/>
    <n v="161.05000000000001"/>
    <n v="163.41999999999999"/>
    <n v="11612526"/>
    <x v="3"/>
    <s v="Johnson &amp; Johnson"/>
    <x v="2"/>
    <n v="0.877"/>
    <x v="0"/>
    <x v="0"/>
    <s v="January"/>
    <s v="Profit"/>
    <n v="2.3799999999999955"/>
    <n v="-8.509999999999998"/>
  </r>
  <r>
    <s v="2023-02-01"/>
    <n v="162.99"/>
    <x v="1490"/>
    <n v="162.4"/>
    <n v="164.92"/>
    <n v="9865296"/>
    <x v="3"/>
    <s v="Johnson &amp; Johnson"/>
    <x v="2"/>
    <n v="0.91800000000000004"/>
    <x v="1"/>
    <x v="0"/>
    <s v="February"/>
    <s v="Profit"/>
    <n v="3.5799999999999841"/>
    <n v="-7.5919999999999979"/>
  </r>
  <r>
    <s v="2023-02-02"/>
    <n v="163"/>
    <x v="1491"/>
    <n v="162.822"/>
    <n v="165.54"/>
    <n v="10098965"/>
    <x v="3"/>
    <s v="Johnson &amp; Johnson"/>
    <x v="2"/>
    <n v="0.376"/>
    <x v="1"/>
    <x v="0"/>
    <s v="February"/>
    <s v="Profit"/>
    <n v="3.3979999999999961"/>
    <n v="-7.2159999999999975"/>
  </r>
  <r>
    <s v="2023-02-03"/>
    <n v="166.03"/>
    <x v="1492"/>
    <n v="163.89"/>
    <n v="164.61"/>
    <n v="6868540"/>
    <x v="3"/>
    <s v="Johnson &amp; Johnson"/>
    <x v="2"/>
    <n v="-0.56200000000000006"/>
    <x v="1"/>
    <x v="0"/>
    <s v="February"/>
    <s v="Loss"/>
    <n v="2.4500000000000171"/>
    <n v="-7.7779999999999978"/>
  </r>
  <r>
    <s v="2023-02-06"/>
    <n v="164.55"/>
    <x v="1493"/>
    <n v="163.1"/>
    <n v="163.36000000000001"/>
    <n v="7020989"/>
    <x v="3"/>
    <s v="Johnson &amp; Johnson"/>
    <x v="2"/>
    <n v="-0.75900000000000001"/>
    <x v="1"/>
    <x v="0"/>
    <s v="February"/>
    <s v="Loss"/>
    <n v="1.7520000000000095"/>
    <n v="-8.5369999999999973"/>
  </r>
  <r>
    <s v="2023-02-07"/>
    <n v="161.6"/>
    <x v="1494"/>
    <n v="161.41999999999999"/>
    <n v="163.4"/>
    <n v="7310756"/>
    <x v="3"/>
    <s v="Johnson &amp; Johnson"/>
    <x v="2"/>
    <n v="2.4E-2"/>
    <x v="1"/>
    <x v="0"/>
    <s v="February"/>
    <s v="Profit"/>
    <n v="2.460000000000008"/>
    <n v="-8.5129999999999981"/>
  </r>
  <r>
    <s v="2023-02-08"/>
    <n v="163.30000000000001"/>
    <x v="1495"/>
    <n v="162.899"/>
    <n v="163.61000000000001"/>
    <n v="6054697"/>
    <x v="3"/>
    <s v="Johnson &amp; Johnson"/>
    <x v="2"/>
    <n v="0.129"/>
    <x v="1"/>
    <x v="0"/>
    <s v="February"/>
    <s v="Profit"/>
    <n v="1.6610000000000014"/>
    <n v="-8.3839999999999986"/>
  </r>
  <r>
    <s v="2023-02-09"/>
    <n v="163.63"/>
    <x v="1496"/>
    <n v="161.07"/>
    <n v="161.4"/>
    <n v="7949544"/>
    <x v="3"/>
    <s v="Johnson &amp; Johnson"/>
    <x v="2"/>
    <n v="-1.351"/>
    <x v="1"/>
    <x v="0"/>
    <s v="February"/>
    <s v="Loss"/>
    <n v="3.7249999999999943"/>
    <n v="-9.7349999999999994"/>
  </r>
  <r>
    <s v="2023-02-10"/>
    <n v="161.77000000000001"/>
    <x v="1497"/>
    <n v="161.35"/>
    <n v="162.15"/>
    <n v="7028039"/>
    <x v="3"/>
    <s v="Johnson &amp; Johnson"/>
    <x v="2"/>
    <n v="0.46500000000000002"/>
    <x v="1"/>
    <x v="0"/>
    <s v="February"/>
    <s v="Profit"/>
    <n v="1.4399999999999977"/>
    <n v="-9.27"/>
  </r>
  <r>
    <s v="2023-02-13"/>
    <n v="161.33000000000001"/>
    <x v="1498"/>
    <n v="161.15"/>
    <n v="162.75"/>
    <n v="6414709"/>
    <x v="3"/>
    <s v="Johnson &amp; Johnson"/>
    <x v="2"/>
    <n v="0.37"/>
    <x v="1"/>
    <x v="0"/>
    <s v="February"/>
    <s v="Profit"/>
    <n v="1.6699999999999875"/>
    <n v="-8.9"/>
  </r>
  <r>
    <s v="2023-02-14"/>
    <n v="162.74"/>
    <x v="1499"/>
    <n v="161.76"/>
    <n v="162.04"/>
    <n v="6316011"/>
    <x v="3"/>
    <s v="Johnson &amp; Johnson"/>
    <x v="2"/>
    <n v="-0.436"/>
    <x v="1"/>
    <x v="0"/>
    <s v="February"/>
    <s v="Loss"/>
    <n v="1.210000000000008"/>
    <n v="-9.3360000000000003"/>
  </r>
  <r>
    <s v="2023-02-15"/>
    <n v="161.94999999999999"/>
    <x v="1500"/>
    <n v="159.29"/>
    <n v="159.37"/>
    <n v="12633301"/>
    <x v="3"/>
    <s v="Johnson &amp; Johnson"/>
    <x v="2"/>
    <n v="-1.6479999999999999"/>
    <x v="1"/>
    <x v="0"/>
    <s v="February"/>
    <s v="Loss"/>
    <n v="2.6899999999999977"/>
    <n v="-10.984"/>
  </r>
  <r>
    <s v="2023-02-16"/>
    <n v="159.07499999999999"/>
    <x v="1501"/>
    <n v="157.91999999999999"/>
    <n v="158.24"/>
    <n v="11176958"/>
    <x v="3"/>
    <s v="Johnson &amp; Johnson"/>
    <x v="2"/>
    <n v="-0.70899999999999996"/>
    <x v="1"/>
    <x v="0"/>
    <s v="February"/>
    <s v="Loss"/>
    <n v="1.7300000000000182"/>
    <n v="-11.693"/>
  </r>
  <r>
    <s v="2023-02-17"/>
    <n v="157.02000000000001"/>
    <x v="1502"/>
    <n v="156.62"/>
    <n v="160.38999999999999"/>
    <n v="12401926"/>
    <x v="3"/>
    <s v="Johnson &amp; Johnson"/>
    <x v="2"/>
    <n v="1.359"/>
    <x v="1"/>
    <x v="0"/>
    <s v="February"/>
    <s v="Profit"/>
    <n v="4.4900000000000091"/>
    <n v="-10.334"/>
  </r>
  <r>
    <s v="2023-02-21"/>
    <n v="159.65"/>
    <x v="1503"/>
    <n v="157.88999999999999"/>
    <n v="158"/>
    <n v="9423860"/>
    <x v="3"/>
    <s v="Johnson &amp; Johnson"/>
    <x v="2"/>
    <n v="-1.49"/>
    <x v="1"/>
    <x v="0"/>
    <s v="February"/>
    <s v="Loss"/>
    <n v="2.460000000000008"/>
    <n v="-11.824"/>
  </r>
  <r>
    <s v="2023-02-22"/>
    <n v="158.5"/>
    <x v="1504"/>
    <n v="157.37"/>
    <n v="157.78"/>
    <n v="9820240"/>
    <x v="3"/>
    <s v="Johnson &amp; Johnson"/>
    <x v="2"/>
    <n v="-0.13900000000000001"/>
    <x v="1"/>
    <x v="0"/>
    <s v="February"/>
    <s v="Loss"/>
    <n v="1.4799999999999898"/>
    <n v="-11.962999999999999"/>
  </r>
  <r>
    <s v="2023-02-23"/>
    <n v="157.71"/>
    <x v="1505"/>
    <n v="156.66999999999999"/>
    <n v="157.72999999999999"/>
    <n v="9385092"/>
    <x v="3"/>
    <s v="Johnson &amp; Johnson"/>
    <x v="2"/>
    <n v="-3.2000000000000001E-2"/>
    <x v="1"/>
    <x v="0"/>
    <s v="February"/>
    <s v="Loss"/>
    <n v="1.9150000000000205"/>
    <n v="-11.994999999999999"/>
  </r>
  <r>
    <s v="2023-02-24"/>
    <n v="156.65"/>
    <x v="1506"/>
    <n v="155.21"/>
    <n v="155.97"/>
    <n v="8689726"/>
    <x v="3"/>
    <s v="Johnson &amp; Johnson"/>
    <x v="2"/>
    <n v="-1.1160000000000001"/>
    <x v="1"/>
    <x v="0"/>
    <s v="February"/>
    <s v="Loss"/>
    <n v="1.6399999999999864"/>
    <n v="-13.110999999999999"/>
  </r>
  <r>
    <s v="2023-02-27"/>
    <n v="156.44999999999999"/>
    <x v="1507"/>
    <n v="155.08000000000001"/>
    <n v="155.63"/>
    <n v="7267122"/>
    <x v="3"/>
    <s v="Johnson &amp; Johnson"/>
    <x v="2"/>
    <n v="-0.218"/>
    <x v="1"/>
    <x v="0"/>
    <s v="February"/>
    <s v="Loss"/>
    <n v="1.8199999999999932"/>
    <n v="-13.328999999999999"/>
  </r>
  <r>
    <s v="2023-02-28"/>
    <n v="154.97999999999999"/>
    <x v="1508"/>
    <n v="153.04"/>
    <n v="153.26"/>
    <n v="9062342"/>
    <x v="3"/>
    <s v="Johnson &amp; Johnson"/>
    <x v="2"/>
    <n v="-1.5229999999999999"/>
    <x v="1"/>
    <x v="0"/>
    <s v="February"/>
    <s v="Loss"/>
    <n v="2.2300000000000182"/>
    <n v="-14.851999999999999"/>
  </r>
  <r>
    <s v="2023-03-01"/>
    <n v="153.01"/>
    <x v="1509"/>
    <n v="151.91"/>
    <n v="152.57"/>
    <n v="6766972"/>
    <x v="3"/>
    <s v="Johnson &amp; Johnson"/>
    <x v="2"/>
    <n v="-0.45"/>
    <x v="2"/>
    <x v="0"/>
    <s v="March"/>
    <s v="Loss"/>
    <n v="1.3300000000000125"/>
    <n v="-15.301999999999998"/>
  </r>
  <r>
    <s v="2023-03-02"/>
    <n v="151.75"/>
    <x v="1510"/>
    <n v="151.23099999999999"/>
    <n v="152.44999999999999"/>
    <n v="8765070"/>
    <x v="3"/>
    <s v="Johnson &amp; Johnson"/>
    <x v="2"/>
    <n v="-7.9000000000000001E-2"/>
    <x v="2"/>
    <x v="0"/>
    <s v="March"/>
    <s v="Loss"/>
    <n v="1.5289999999999964"/>
    <n v="-15.380999999999998"/>
  </r>
  <r>
    <s v="2023-03-03"/>
    <n v="153.37"/>
    <x v="1511"/>
    <n v="152.84"/>
    <n v="154.02000000000001"/>
    <n v="5747158"/>
    <x v="3"/>
    <s v="Johnson &amp; Johnson"/>
    <x v="2"/>
    <n v="1.03"/>
    <x v="2"/>
    <x v="0"/>
    <s v="March"/>
    <s v="Profit"/>
    <n v="1.2800000000000011"/>
    <n v="-14.350999999999999"/>
  </r>
  <r>
    <s v="2023-03-06"/>
    <n v="154.66"/>
    <x v="1512"/>
    <n v="154.565"/>
    <n v="155.56"/>
    <n v="8148207"/>
    <x v="3"/>
    <s v="Johnson &amp; Johnson"/>
    <x v="2"/>
    <n v="1"/>
    <x v="2"/>
    <x v="0"/>
    <s v="March"/>
    <s v="Profit"/>
    <n v="1.164999999999992"/>
    <n v="-13.350999999999999"/>
  </r>
  <r>
    <s v="2023-03-07"/>
    <n v="156.09"/>
    <x v="1513"/>
    <n v="153.35"/>
    <n v="154.09"/>
    <n v="7457731"/>
    <x v="3"/>
    <s v="Johnson &amp; Johnson"/>
    <x v="2"/>
    <n v="-0.94499999999999995"/>
    <x v="2"/>
    <x v="0"/>
    <s v="March"/>
    <s v="Loss"/>
    <n v="2.9000000000000057"/>
    <n v="-14.295999999999999"/>
  </r>
  <r>
    <s v="2023-03-08"/>
    <n v="153.97999999999999"/>
    <x v="1514"/>
    <n v="152.47999999999999"/>
    <n v="152.96"/>
    <n v="6230522"/>
    <x v="3"/>
    <s v="Johnson &amp; Johnson"/>
    <x v="2"/>
    <n v="-0.73299999999999998"/>
    <x v="2"/>
    <x v="0"/>
    <s v="March"/>
    <s v="Loss"/>
    <n v="1.7160000000000082"/>
    <n v="-15.029"/>
  </r>
  <r>
    <s v="2023-03-09"/>
    <n v="153.46"/>
    <x v="1515"/>
    <n v="150.71"/>
    <n v="151.24"/>
    <n v="7439367"/>
    <x v="3"/>
    <s v="Johnson &amp; Johnson"/>
    <x v="2"/>
    <n v="-1.1240000000000001"/>
    <x v="2"/>
    <x v="0"/>
    <s v="March"/>
    <s v="Loss"/>
    <n v="2.8899999999999864"/>
    <n v="-16.152999999999999"/>
  </r>
  <r>
    <s v="2023-03-10"/>
    <n v="151.86000000000001"/>
    <x v="1516"/>
    <n v="151.1"/>
    <n v="151.61000000000001"/>
    <n v="8504316"/>
    <x v="3"/>
    <s v="Johnson &amp; Johnson"/>
    <x v="2"/>
    <n v="0.245"/>
    <x v="2"/>
    <x v="0"/>
    <s v="March"/>
    <s v="Profit"/>
    <n v="2.3900000000000148"/>
    <n v="-15.907999999999999"/>
  </r>
  <r>
    <s v="2023-03-13"/>
    <n v="152.09"/>
    <x v="1517"/>
    <n v="151.57"/>
    <n v="153.06"/>
    <n v="10799575"/>
    <x v="3"/>
    <s v="Johnson &amp; Johnson"/>
    <x v="2"/>
    <n v="0.95599999999999996"/>
    <x v="2"/>
    <x v="0"/>
    <s v="March"/>
    <s v="Profit"/>
    <n v="4.3400000000000034"/>
    <n v="-14.952"/>
  </r>
  <r>
    <s v="2023-03-14"/>
    <n v="153.28"/>
    <x v="1518"/>
    <n v="151.9"/>
    <n v="153.91999999999999"/>
    <n v="8421189"/>
    <x v="3"/>
    <s v="Johnson &amp; Johnson"/>
    <x v="2"/>
    <n v="0.56200000000000006"/>
    <x v="2"/>
    <x v="0"/>
    <s v="March"/>
    <s v="Profit"/>
    <n v="2.1299999999999955"/>
    <n v="-14.39"/>
  </r>
  <r>
    <s v="2023-03-15"/>
    <n v="152.84"/>
    <x v="1519"/>
    <n v="152.52600000000001"/>
    <n v="154.35"/>
    <n v="7757686"/>
    <x v="3"/>
    <s v="Johnson &amp; Johnson"/>
    <x v="2"/>
    <n v="0.27900000000000003"/>
    <x v="2"/>
    <x v="0"/>
    <s v="March"/>
    <s v="Profit"/>
    <n v="2.3639999999999759"/>
    <n v="-14.111000000000001"/>
  </r>
  <r>
    <s v="2023-03-16"/>
    <n v="153.44999999999999"/>
    <x v="1520"/>
    <n v="152.60499999999999"/>
    <n v="154.03"/>
    <n v="7606079"/>
    <x v="3"/>
    <s v="Johnson &amp; Johnson"/>
    <x v="2"/>
    <n v="-0.20699999999999999"/>
    <x v="2"/>
    <x v="0"/>
    <s v="March"/>
    <s v="Loss"/>
    <n v="1.7600000000000193"/>
    <n v="-14.318000000000001"/>
  </r>
  <r>
    <s v="2023-03-17"/>
    <n v="154.47999999999999"/>
    <x v="1521"/>
    <n v="152.30000000000001"/>
    <n v="152.38"/>
    <n v="20540668"/>
    <x v="3"/>
    <s v="Johnson &amp; Johnson"/>
    <x v="2"/>
    <n v="-1.071"/>
    <x v="2"/>
    <x v="0"/>
    <s v="March"/>
    <s v="Loss"/>
    <n v="2.6499999999999773"/>
    <n v="-15.389000000000001"/>
  </r>
  <r>
    <s v="2023-03-20"/>
    <n v="152.47"/>
    <x v="1522"/>
    <n v="152.38"/>
    <n v="153.88999999999999"/>
    <n v="7128958"/>
    <x v="3"/>
    <s v="Johnson &amp; Johnson"/>
    <x v="2"/>
    <n v="0.99099999999999999"/>
    <x v="2"/>
    <x v="0"/>
    <s v="March"/>
    <s v="Profit"/>
    <n v="1.6949999999999932"/>
    <n v="-14.398000000000001"/>
  </r>
  <r>
    <s v="2023-03-21"/>
    <n v="154"/>
    <x v="1523"/>
    <n v="152.16999999999999"/>
    <n v="153.88999999999999"/>
    <n v="8376843"/>
    <x v="3"/>
    <s v="Johnson &amp; Johnson"/>
    <x v="2"/>
    <n v="0"/>
    <x v="2"/>
    <x v="0"/>
    <s v="March"/>
    <s v="Neutral"/>
    <n v="1.960000000000008"/>
    <n v="-14.398000000000001"/>
  </r>
  <r>
    <s v="2023-03-22"/>
    <n v="153.85"/>
    <x v="1524"/>
    <n v="151.03"/>
    <n v="151.05000000000001"/>
    <n v="7943526"/>
    <x v="3"/>
    <s v="Johnson &amp; Johnson"/>
    <x v="2"/>
    <n v="-1.845"/>
    <x v="2"/>
    <x v="0"/>
    <s v="March"/>
    <s v="Loss"/>
    <n v="3.0300000000000011"/>
    <n v="-16.243000000000002"/>
  </r>
  <r>
    <s v="2023-03-23"/>
    <n v="151.17500000000001"/>
    <x v="1525"/>
    <n v="150.11000000000001"/>
    <n v="151.13"/>
    <n v="9051510"/>
    <x v="3"/>
    <s v="Johnson &amp; Johnson"/>
    <x v="2"/>
    <n v="5.2999999999999999E-2"/>
    <x v="2"/>
    <x v="0"/>
    <s v="March"/>
    <s v="Profit"/>
    <n v="1.5799999999999841"/>
    <n v="-16.190000000000001"/>
  </r>
  <r>
    <s v="2023-03-24"/>
    <n v="151.47999999999999"/>
    <x v="1510"/>
    <n v="150.83000000000001"/>
    <n v="152.65"/>
    <n v="5696845"/>
    <x v="3"/>
    <s v="Johnson &amp; Johnson"/>
    <x v="2"/>
    <n v="1.006"/>
    <x v="2"/>
    <x v="0"/>
    <s v="March"/>
    <s v="Profit"/>
    <n v="1.9299999999999784"/>
    <n v="-15.184000000000001"/>
  </r>
  <r>
    <s v="2023-03-27"/>
    <n v="154.28"/>
    <x v="1526"/>
    <n v="153.11000000000001"/>
    <n v="153.30000000000001"/>
    <n v="6772282"/>
    <x v="3"/>
    <s v="Johnson &amp; Johnson"/>
    <x v="2"/>
    <n v="0.42599999999999999"/>
    <x v="2"/>
    <x v="0"/>
    <s v="March"/>
    <s v="Profit"/>
    <n v="1.4299999999999784"/>
    <n v="-14.758000000000001"/>
  </r>
  <r>
    <s v="2023-03-28"/>
    <n v="152.38999999999999"/>
    <x v="1527"/>
    <n v="151.72499999999999"/>
    <n v="151.82"/>
    <n v="6115293"/>
    <x v="3"/>
    <s v="Johnson &amp; Johnson"/>
    <x v="2"/>
    <n v="-0.96499999999999997"/>
    <x v="2"/>
    <x v="0"/>
    <s v="March"/>
    <s v="Loss"/>
    <n v="1.7249999999999943"/>
    <n v="-15.723000000000001"/>
  </r>
  <r>
    <s v="2023-03-29"/>
    <n v="152.24"/>
    <x v="1528"/>
    <n v="152.07"/>
    <n v="153.31"/>
    <n v="6012030"/>
    <x v="3"/>
    <s v="Johnson &amp; Johnson"/>
    <x v="2"/>
    <n v="0.98099999999999998"/>
    <x v="2"/>
    <x v="0"/>
    <s v="March"/>
    <s v="Profit"/>
    <n v="1.3100000000000023"/>
    <n v="-14.742000000000001"/>
  </r>
  <r>
    <s v="2023-03-30"/>
    <n v="153.58000000000001"/>
    <x v="1529"/>
    <n v="152.81"/>
    <n v="153.43"/>
    <n v="4555905"/>
    <x v="3"/>
    <s v="Johnson &amp; Johnson"/>
    <x v="2"/>
    <n v="7.8E-2"/>
    <x v="2"/>
    <x v="0"/>
    <s v="March"/>
    <s v="Profit"/>
    <n v="0.99000000000000909"/>
    <n v="-14.664000000000001"/>
  </r>
  <r>
    <s v="2023-03-31"/>
    <n v="153.79"/>
    <x v="1530"/>
    <n v="153.24"/>
    <n v="155"/>
    <n v="9890047"/>
    <x v="3"/>
    <s v="Johnson &amp; Johnson"/>
    <x v="2"/>
    <n v="1.0229999999999999"/>
    <x v="2"/>
    <x v="0"/>
    <s v="March"/>
    <s v="Profit"/>
    <n v="1.9499999999999886"/>
    <n v="-13.641000000000002"/>
  </r>
  <r>
    <s v="2023-04-03"/>
    <n v="154.94999999999999"/>
    <x v="1531"/>
    <n v="153.94"/>
    <n v="156.85"/>
    <n v="6841888"/>
    <x v="3"/>
    <s v="Johnson &amp; Johnson"/>
    <x v="2"/>
    <n v="1.194"/>
    <x v="3"/>
    <x v="0"/>
    <s v="April"/>
    <s v="Profit"/>
    <n v="3.0699999999999932"/>
    <n v="-12.447000000000003"/>
  </r>
  <r>
    <s v="2023-04-04"/>
    <n v="156.97"/>
    <x v="1532"/>
    <n v="156.59"/>
    <n v="158.49"/>
    <n v="8314527"/>
    <x v="3"/>
    <s v="Johnson &amp; Johnson"/>
    <x v="2"/>
    <n v="1.046"/>
    <x v="3"/>
    <x v="0"/>
    <s v="April"/>
    <s v="Profit"/>
    <n v="2.3799999999999955"/>
    <n v="-11.401000000000003"/>
  </r>
  <r>
    <s v="2023-04-05"/>
    <n v="164.37"/>
    <x v="1533"/>
    <n v="162.76"/>
    <n v="165.61"/>
    <n v="16704181"/>
    <x v="3"/>
    <s v="Johnson &amp; Johnson"/>
    <x v="2"/>
    <n v="4.492"/>
    <x v="3"/>
    <x v="0"/>
    <s v="April"/>
    <s v="Profit"/>
    <n v="2.9000000000000057"/>
    <n v="-6.9090000000000034"/>
  </r>
  <r>
    <s v="2023-04-06"/>
    <n v="165.99"/>
    <x v="1534"/>
    <n v="164.8"/>
    <n v="165.15"/>
    <n v="9615407"/>
    <x v="3"/>
    <s v="Johnson &amp; Johnson"/>
    <x v="2"/>
    <n v="-0.27800000000000002"/>
    <x v="3"/>
    <x v="0"/>
    <s v="April"/>
    <s v="Loss"/>
    <n v="2.4299999999999784"/>
    <n v="-7.1870000000000029"/>
  </r>
  <r>
    <s v="2023-04-10"/>
    <n v="164.63"/>
    <x v="1535"/>
    <n v="163.63999999999999"/>
    <n v="164.32"/>
    <n v="5353951"/>
    <x v="3"/>
    <s v="Johnson &amp; Johnson"/>
    <x v="2"/>
    <n v="-0.503"/>
    <x v="3"/>
    <x v="0"/>
    <s v="April"/>
    <s v="Loss"/>
    <n v="1.2000000000000171"/>
    <n v="-7.6900000000000031"/>
  </r>
  <r>
    <s v="2023-04-11"/>
    <n v="164.42"/>
    <x v="1536"/>
    <n v="164.04"/>
    <n v="164.27"/>
    <n v="5903824"/>
    <x v="3"/>
    <s v="Johnson &amp; Johnson"/>
    <x v="2"/>
    <n v="-0.03"/>
    <x v="3"/>
    <x v="0"/>
    <s v="April"/>
    <s v="Loss"/>
    <n v="1.2400000000000091"/>
    <n v="-7.7200000000000033"/>
  </r>
  <r>
    <s v="2023-04-12"/>
    <n v="163.94"/>
    <x v="1535"/>
    <n v="163.1"/>
    <n v="163.92"/>
    <n v="5764240"/>
    <x v="3"/>
    <s v="Johnson &amp; Johnson"/>
    <x v="2"/>
    <n v="-0.21299999999999999"/>
    <x v="3"/>
    <x v="0"/>
    <s v="April"/>
    <s v="Loss"/>
    <n v="1.7400000000000091"/>
    <n v="-7.9330000000000034"/>
  </r>
  <r>
    <s v="2023-04-13"/>
    <n v="164.18"/>
    <x v="1537"/>
    <n v="163.80500000000001"/>
    <n v="166.11"/>
    <n v="5640617"/>
    <x v="3"/>
    <s v="Johnson &amp; Johnson"/>
    <x v="2"/>
    <n v="1.3360000000000001"/>
    <x v="3"/>
    <x v="0"/>
    <s v="April"/>
    <s v="Profit"/>
    <n v="2.5250000000000057"/>
    <n v="-6.5970000000000031"/>
  </r>
  <r>
    <s v="2023-04-14"/>
    <n v="165.97"/>
    <x v="1538"/>
    <n v="164.06"/>
    <n v="165.84"/>
    <n v="7225127"/>
    <x v="3"/>
    <s v="Johnson &amp; Johnson"/>
    <x v="2"/>
    <n v="-0.16300000000000001"/>
    <x v="3"/>
    <x v="0"/>
    <s v="April"/>
    <s v="Loss"/>
    <n v="2.0550000000000068"/>
    <n v="-6.7600000000000033"/>
  </r>
  <r>
    <s v="2023-04-17"/>
    <n v="165.73500000000001"/>
    <x v="1539"/>
    <n v="164.94"/>
    <n v="165.67"/>
    <n v="8046428"/>
    <x v="3"/>
    <s v="Johnson &amp; Johnson"/>
    <x v="2"/>
    <n v="-0.10299999999999999"/>
    <x v="3"/>
    <x v="0"/>
    <s v="April"/>
    <s v="Loss"/>
    <n v="1.3000000000000114"/>
    <n v="-6.8630000000000031"/>
  </r>
  <r>
    <s v="2023-04-18"/>
    <n v="164.25"/>
    <x v="1540"/>
    <n v="159.65"/>
    <n v="161.01"/>
    <n v="14571485"/>
    <x v="3"/>
    <s v="Johnson &amp; Johnson"/>
    <x v="2"/>
    <n v="-2.8130000000000002"/>
    <x v="3"/>
    <x v="0"/>
    <s v="April"/>
    <s v="Loss"/>
    <n v="5.039999999999992"/>
    <n v="-9.6760000000000037"/>
  </r>
  <r>
    <s v="2023-04-19"/>
    <n v="161.99"/>
    <x v="1541"/>
    <n v="161.16999999999999"/>
    <n v="162.53"/>
    <n v="6752006"/>
    <x v="3"/>
    <s v="Johnson &amp; Johnson"/>
    <x v="2"/>
    <n v="0.94399999999999995"/>
    <x v="3"/>
    <x v="0"/>
    <s v="April"/>
    <s v="Profit"/>
    <n v="1.5100000000000193"/>
    <n v="-8.7320000000000029"/>
  </r>
  <r>
    <s v="2023-04-20"/>
    <n v="162.43"/>
    <x v="1542"/>
    <n v="160.96"/>
    <n v="163.58000000000001"/>
    <n v="9498768"/>
    <x v="3"/>
    <s v="Johnson &amp; Johnson"/>
    <x v="2"/>
    <n v="0.64600000000000002"/>
    <x v="3"/>
    <x v="0"/>
    <s v="April"/>
    <s v="Profit"/>
    <n v="2.8599999999999852"/>
    <n v="-8.0860000000000021"/>
  </r>
  <r>
    <s v="2023-04-21"/>
    <n v="164.44"/>
    <x v="1543"/>
    <n v="161.97"/>
    <n v="162.69"/>
    <n v="7014214"/>
    <x v="3"/>
    <s v="Johnson &amp; Johnson"/>
    <x v="2"/>
    <n v="-0.54400000000000004"/>
    <x v="3"/>
    <x v="0"/>
    <s v="April"/>
    <s v="Loss"/>
    <n v="3"/>
    <n v="-8.6300000000000026"/>
  </r>
  <r>
    <s v="2023-04-24"/>
    <n v="162.69"/>
    <x v="1544"/>
    <n v="161.87"/>
    <n v="163.68"/>
    <n v="5278892"/>
    <x v="3"/>
    <s v="Johnson &amp; Johnson"/>
    <x v="2"/>
    <n v="0.60899999999999999"/>
    <x v="3"/>
    <x v="0"/>
    <s v="April"/>
    <s v="Profit"/>
    <n v="1.9350000000000023"/>
    <n v="-8.0210000000000026"/>
  </r>
  <r>
    <s v="2023-04-25"/>
    <n v="164.31"/>
    <x v="1545"/>
    <n v="164.155"/>
    <n v="165.18"/>
    <n v="6263103"/>
    <x v="3"/>
    <s v="Johnson &amp; Johnson"/>
    <x v="2"/>
    <n v="0.91600000000000004"/>
    <x v="3"/>
    <x v="0"/>
    <s v="April"/>
    <s v="Profit"/>
    <n v="1.1949999999999932"/>
    <n v="-7.1050000000000022"/>
  </r>
  <r>
    <s v="2023-04-26"/>
    <n v="164.09"/>
    <x v="1546"/>
    <n v="162.24"/>
    <n v="162.62"/>
    <n v="5518174"/>
    <x v="3"/>
    <s v="Johnson &amp; Johnson"/>
    <x v="2"/>
    <n v="-1.55"/>
    <x v="3"/>
    <x v="0"/>
    <s v="April"/>
    <s v="Loss"/>
    <n v="2.1499999999999773"/>
    <n v="-8.6550000000000029"/>
  </r>
  <r>
    <s v="2023-04-27"/>
    <n v="162.9"/>
    <x v="1547"/>
    <n v="162.13"/>
    <n v="163"/>
    <n v="5739700"/>
    <x v="3"/>
    <s v="Johnson &amp; Johnson"/>
    <x v="2"/>
    <n v="0.23400000000000001"/>
    <x v="3"/>
    <x v="0"/>
    <s v="April"/>
    <s v="Profit"/>
    <n v="1.2770000000000152"/>
    <n v="-8.4210000000000029"/>
  </r>
  <r>
    <s v="2023-04-28"/>
    <n v="162.81"/>
    <x v="1548"/>
    <n v="162.55699999999999"/>
    <n v="163.69999999999999"/>
    <n v="6024864"/>
    <x v="3"/>
    <s v="Johnson &amp; Johnson"/>
    <x v="2"/>
    <n v="0.42899999999999999"/>
    <x v="3"/>
    <x v="0"/>
    <s v="April"/>
    <s v="Profit"/>
    <n v="1.203000000000003"/>
    <n v="-7.9920000000000027"/>
  </r>
  <r>
    <s v="2023-05-01"/>
    <n v="163.6"/>
    <x v="1549"/>
    <n v="162.24"/>
    <n v="163.6"/>
    <n v="4893426"/>
    <x v="3"/>
    <s v="Johnson &amp; Johnson"/>
    <x v="2"/>
    <n v="-6.0999999999999999E-2"/>
    <x v="4"/>
    <x v="0"/>
    <s v="May"/>
    <s v="Loss"/>
    <n v="2.0579999999999927"/>
    <n v="-8.0530000000000026"/>
  </r>
  <r>
    <s v="2023-05-02"/>
    <n v="164.34"/>
    <x v="1550"/>
    <n v="163.55500000000001"/>
    <n v="165.03"/>
    <n v="7541724"/>
    <x v="3"/>
    <s v="Johnson &amp; Johnson"/>
    <x v="2"/>
    <n v="0.874"/>
    <x v="4"/>
    <x v="0"/>
    <s v="May"/>
    <s v="Profit"/>
    <n v="1.9249999999999829"/>
    <n v="-7.1790000000000029"/>
  </r>
  <r>
    <s v="2023-05-03"/>
    <n v="165.55"/>
    <x v="1422"/>
    <n v="162.51"/>
    <n v="162.87"/>
    <n v="5937170"/>
    <x v="3"/>
    <s v="Johnson &amp; Johnson"/>
    <x v="2"/>
    <n v="-1.3089999999999999"/>
    <x v="4"/>
    <x v="0"/>
    <s v="May"/>
    <s v="Loss"/>
    <n v="3.6700000000000159"/>
    <n v="-8.4880000000000031"/>
  </r>
  <r>
    <s v="2023-05-04"/>
    <n v="162.68"/>
    <x v="1551"/>
    <n v="161.25"/>
    <n v="162.13"/>
    <n v="5127992"/>
    <x v="3"/>
    <s v="Johnson &amp; Johnson"/>
    <x v="2"/>
    <n v="-0.45400000000000001"/>
    <x v="4"/>
    <x v="0"/>
    <s v="May"/>
    <s v="Loss"/>
    <n v="1.6500000000000057"/>
    <n v="-8.9420000000000037"/>
  </r>
  <r>
    <s v="2023-05-05"/>
    <n v="162.84"/>
    <x v="1552"/>
    <n v="161.69"/>
    <n v="162.68"/>
    <n v="5194461"/>
    <x v="3"/>
    <s v="Johnson &amp; Johnson"/>
    <x v="2"/>
    <n v="0.33900000000000002"/>
    <x v="4"/>
    <x v="0"/>
    <s v="May"/>
    <s v="Profit"/>
    <n v="1.4399999999999977"/>
    <n v="-8.6030000000000033"/>
  </r>
  <r>
    <s v="2023-05-08"/>
    <n v="161.99"/>
    <x v="1553"/>
    <n v="161.34"/>
    <n v="162.31"/>
    <n v="4994929"/>
    <x v="3"/>
    <s v="Johnson &amp; Johnson"/>
    <x v="2"/>
    <n v="-0.22700000000000001"/>
    <x v="4"/>
    <x v="0"/>
    <s v="May"/>
    <s v="Loss"/>
    <n v="1.2299999999999898"/>
    <n v="-8.8300000000000036"/>
  </r>
  <r>
    <s v="2023-05-09"/>
    <n v="161.75"/>
    <x v="1554"/>
    <n v="160.79"/>
    <n v="161.05000000000001"/>
    <n v="5520642"/>
    <x v="3"/>
    <s v="Johnson &amp; Johnson"/>
    <x v="2"/>
    <n v="-0.77600000000000002"/>
    <x v="4"/>
    <x v="0"/>
    <s v="May"/>
    <s v="Loss"/>
    <n v="1.3400000000000034"/>
    <n v="-9.6060000000000034"/>
  </r>
  <r>
    <s v="2023-05-10"/>
    <n v="161.19999999999999"/>
    <x v="1555"/>
    <n v="160.06"/>
    <n v="161.65"/>
    <n v="6756629"/>
    <x v="3"/>
    <s v="Johnson &amp; Johnson"/>
    <x v="2"/>
    <n v="0.373"/>
    <x v="4"/>
    <x v="0"/>
    <s v="May"/>
    <s v="Profit"/>
    <n v="1.9099999999999966"/>
    <n v="-9.2330000000000041"/>
  </r>
  <r>
    <s v="2023-05-11"/>
    <n v="161.83000000000001"/>
    <x v="1556"/>
    <n v="159.38999999999999"/>
    <n v="160.99"/>
    <n v="5867620"/>
    <x v="3"/>
    <s v="Johnson &amp; Johnson"/>
    <x v="2"/>
    <n v="-0.40799999999999997"/>
    <x v="4"/>
    <x v="0"/>
    <s v="May"/>
    <s v="Loss"/>
    <n v="2.8000000000000114"/>
    <n v="-9.6410000000000036"/>
  </r>
  <r>
    <s v="2023-05-12"/>
    <n v="161.36000000000001"/>
    <x v="1557"/>
    <n v="160.01"/>
    <n v="160.78"/>
    <n v="3904327"/>
    <x v="3"/>
    <s v="Johnson &amp; Johnson"/>
    <x v="2"/>
    <n v="-0.13"/>
    <x v="4"/>
    <x v="0"/>
    <s v="May"/>
    <s v="Loss"/>
    <n v="1.5500000000000114"/>
    <n v="-9.7710000000000043"/>
  </r>
  <r>
    <s v="2023-05-15"/>
    <n v="160.80000000000001"/>
    <x v="1558"/>
    <n v="158.94"/>
    <n v="159.55000000000001"/>
    <n v="5104486"/>
    <x v="3"/>
    <s v="Johnson &amp; Johnson"/>
    <x v="2"/>
    <n v="-0.76500000000000001"/>
    <x v="4"/>
    <x v="0"/>
    <s v="May"/>
    <s v="Loss"/>
    <n v="2.0900000000000034"/>
    <n v="-10.536000000000005"/>
  </r>
  <r>
    <s v="2023-05-16"/>
    <n v="159.06"/>
    <x v="1559"/>
    <n v="158.53"/>
    <n v="159.34"/>
    <n v="5599505"/>
    <x v="3"/>
    <s v="Johnson &amp; Johnson"/>
    <x v="2"/>
    <n v="-0.13200000000000001"/>
    <x v="4"/>
    <x v="0"/>
    <s v="May"/>
    <s v="Loss"/>
    <n v="1.7199999999999989"/>
    <n v="-10.668000000000005"/>
  </r>
  <r>
    <s v="2023-05-17"/>
    <n v="159.79"/>
    <x v="1560"/>
    <n v="157.77000000000001"/>
    <n v="158.99"/>
    <n v="6840687"/>
    <x v="3"/>
    <s v="Johnson &amp; Johnson"/>
    <x v="2"/>
    <n v="-0.22"/>
    <x v="4"/>
    <x v="0"/>
    <s v="May"/>
    <s v="Loss"/>
    <n v="2.2849999999999966"/>
    <n v="-10.888000000000005"/>
  </r>
  <r>
    <s v="2023-05-18"/>
    <n v="158.66"/>
    <x v="1561"/>
    <n v="157.56"/>
    <n v="158.47999999999999"/>
    <n v="5172966"/>
    <x v="3"/>
    <s v="Johnson &amp; Johnson"/>
    <x v="2"/>
    <n v="-0.32100000000000001"/>
    <x v="4"/>
    <x v="0"/>
    <s v="May"/>
    <s v="Loss"/>
    <n v="1.3700000000000045"/>
    <n v="-11.209000000000005"/>
  </r>
  <r>
    <s v="2023-05-19"/>
    <n v="158.59"/>
    <x v="1562"/>
    <n v="158.13999999999999"/>
    <n v="158.91"/>
    <n v="6527141"/>
    <x v="3"/>
    <s v="Johnson &amp; Johnson"/>
    <x v="2"/>
    <n v="0.27100000000000002"/>
    <x v="4"/>
    <x v="0"/>
    <s v="May"/>
    <s v="Profit"/>
    <n v="1.7940000000000111"/>
    <n v="-10.938000000000004"/>
  </r>
  <r>
    <s v="2023-05-22"/>
    <n v="158"/>
    <x v="1563"/>
    <n v="156.78"/>
    <n v="156.87"/>
    <n v="5675927"/>
    <x v="3"/>
    <s v="Johnson &amp; Johnson"/>
    <x v="2"/>
    <n v="-1.284"/>
    <x v="4"/>
    <x v="0"/>
    <s v="May"/>
    <s v="Loss"/>
    <n v="2.3599999999999852"/>
    <n v="-12.222000000000005"/>
  </r>
  <r>
    <s v="2023-05-23"/>
    <n v="157.1"/>
    <x v="1564"/>
    <n v="156.37"/>
    <n v="156.81"/>
    <n v="5793009"/>
    <x v="3"/>
    <s v="Johnson &amp; Johnson"/>
    <x v="2"/>
    <n v="-3.7999999999999999E-2"/>
    <x v="4"/>
    <x v="0"/>
    <s v="May"/>
    <s v="Loss"/>
    <n v="1.9000000000000057"/>
    <n v="-12.260000000000005"/>
  </r>
  <r>
    <s v="2023-05-24"/>
    <n v="157.08000000000001"/>
    <x v="1565"/>
    <n v="155.91999999999999"/>
    <n v="156.66"/>
    <n v="5015148"/>
    <x v="3"/>
    <s v="Johnson &amp; Johnson"/>
    <x v="2"/>
    <n v="-9.6000000000000002E-2"/>
    <x v="4"/>
    <x v="0"/>
    <s v="May"/>
    <s v="Loss"/>
    <n v="1.2199999999999989"/>
    <n v="-12.356000000000005"/>
  </r>
  <r>
    <s v="2023-05-25"/>
    <n v="156.05000000000001"/>
    <x v="1566"/>
    <n v="153.72"/>
    <n v="154.41"/>
    <n v="6886056"/>
    <x v="3"/>
    <s v="Johnson &amp; Johnson"/>
    <x v="2"/>
    <n v="-1.4359999999999999"/>
    <x v="4"/>
    <x v="0"/>
    <s v="May"/>
    <s v="Loss"/>
    <n v="2.5699999999999932"/>
    <n v="-13.792000000000005"/>
  </r>
  <r>
    <s v="2023-05-26"/>
    <n v="154.69"/>
    <x v="1567"/>
    <n v="154.19999999999999"/>
    <n v="154.35"/>
    <n v="6845396"/>
    <x v="3"/>
    <s v="Johnson &amp; Johnson"/>
    <x v="2"/>
    <n v="-3.9E-2"/>
    <x v="4"/>
    <x v="0"/>
    <s v="May"/>
    <s v="Loss"/>
    <n v="1.0750000000000171"/>
    <n v="-13.831000000000005"/>
  </r>
  <r>
    <s v="2023-05-30"/>
    <n v="153.97"/>
    <x v="1568"/>
    <n v="153.32"/>
    <n v="154.37"/>
    <n v="5593080"/>
    <x v="3"/>
    <s v="Johnson &amp; Johnson"/>
    <x v="2"/>
    <n v="1.2999999999999999E-2"/>
    <x v="4"/>
    <x v="0"/>
    <s v="May"/>
    <s v="Profit"/>
    <n v="2.0600000000000023"/>
    <n v="-13.818000000000005"/>
  </r>
  <r>
    <s v="2023-05-31"/>
    <n v="154.69499999999999"/>
    <x v="1569"/>
    <n v="153.85"/>
    <n v="155.06"/>
    <n v="11324588"/>
    <x v="3"/>
    <s v="Johnson &amp; Johnson"/>
    <x v="2"/>
    <n v="0.44700000000000001"/>
    <x v="4"/>
    <x v="0"/>
    <s v="May"/>
    <s v="Profit"/>
    <n v="1.8400000000000034"/>
    <n v="-13.371000000000006"/>
  </r>
  <r>
    <s v="2023-06-01"/>
    <n v="154.54"/>
    <x v="1570"/>
    <n v="153.15"/>
    <n v="154.54"/>
    <n v="7901348"/>
    <x v="3"/>
    <s v="Johnson &amp; Johnson"/>
    <x v="2"/>
    <n v="-0.33500000000000002"/>
    <x v="5"/>
    <x v="0"/>
    <s v="June"/>
    <s v="Loss"/>
    <n v="1.8899999999999864"/>
    <n v="-13.706000000000007"/>
  </r>
  <r>
    <s v="2023-06-02"/>
    <n v="154.72"/>
    <x v="1571"/>
    <n v="154.09"/>
    <n v="156.97"/>
    <n v="7659721"/>
    <x v="3"/>
    <s v="Johnson &amp; Johnson"/>
    <x v="2"/>
    <n v="1.5720000000000001"/>
    <x v="5"/>
    <x v="0"/>
    <s v="June"/>
    <s v="Profit"/>
    <n v="3.2199999999999989"/>
    <n v="-12.134000000000007"/>
  </r>
  <r>
    <s v="2023-06-05"/>
    <n v="156.75"/>
    <x v="1572"/>
    <n v="156.75"/>
    <n v="158.32"/>
    <n v="6430453"/>
    <x v="3"/>
    <s v="Johnson &amp; Johnson"/>
    <x v="2"/>
    <n v="0.86"/>
    <x v="5"/>
    <x v="0"/>
    <s v="June"/>
    <s v="Profit"/>
    <n v="1.8899999999999864"/>
    <n v="-11.274000000000008"/>
  </r>
  <r>
    <s v="2023-06-06"/>
    <n v="159.58000000000001"/>
    <x v="1573"/>
    <n v="157.4"/>
    <n v="158.18"/>
    <n v="5073642"/>
    <x v="3"/>
    <s v="Johnson &amp; Johnson"/>
    <x v="2"/>
    <n v="-8.7999999999999995E-2"/>
    <x v="5"/>
    <x v="0"/>
    <s v="June"/>
    <s v="Loss"/>
    <n v="2.210000000000008"/>
    <n v="-11.362000000000007"/>
  </r>
  <r>
    <s v="2023-06-07"/>
    <n v="158.1"/>
    <x v="1574"/>
    <n v="157.44"/>
    <n v="158.52000000000001"/>
    <n v="6504285"/>
    <x v="3"/>
    <s v="Johnson &amp; Johnson"/>
    <x v="2"/>
    <n v="0.215"/>
    <x v="5"/>
    <x v="0"/>
    <s v="June"/>
    <s v="Profit"/>
    <n v="1.3600000000000136"/>
    <n v="-11.147000000000007"/>
  </r>
  <r>
    <s v="2023-06-08"/>
    <n v="158.5"/>
    <x v="1575"/>
    <n v="157.82"/>
    <n v="160.26"/>
    <n v="5818952"/>
    <x v="3"/>
    <s v="Johnson &amp; Johnson"/>
    <x v="2"/>
    <n v="1.0980000000000001"/>
    <x v="5"/>
    <x v="0"/>
    <s v="June"/>
    <s v="Profit"/>
    <n v="2.5999999999999943"/>
    <n v="-10.049000000000007"/>
  </r>
  <r>
    <s v="2023-06-09"/>
    <n v="160.41999999999999"/>
    <x v="1576"/>
    <n v="159.465"/>
    <n v="160.01"/>
    <n v="6264779"/>
    <x v="3"/>
    <s v="Johnson &amp; Johnson"/>
    <x v="2"/>
    <n v="-0.156"/>
    <x v="5"/>
    <x v="0"/>
    <s v="June"/>
    <s v="Loss"/>
    <n v="1.2599999999999909"/>
    <n v="-10.205000000000007"/>
  </r>
  <r>
    <s v="2023-06-12"/>
    <n v="160"/>
    <x v="1559"/>
    <n v="158.72999999999999"/>
    <n v="159.9"/>
    <n v="6511261"/>
    <x v="3"/>
    <s v="Johnson &amp; Johnson"/>
    <x v="2"/>
    <n v="-6.9000000000000006E-2"/>
    <x v="5"/>
    <x v="0"/>
    <s v="June"/>
    <s v="Loss"/>
    <n v="1.5200000000000102"/>
    <n v="-10.274000000000008"/>
  </r>
  <r>
    <s v="2023-06-13"/>
    <n v="159.72999999999999"/>
    <x v="1577"/>
    <n v="159.15"/>
    <n v="160.74"/>
    <n v="6066788"/>
    <x v="3"/>
    <s v="Johnson &amp; Johnson"/>
    <x v="2"/>
    <n v="0.52500000000000002"/>
    <x v="5"/>
    <x v="0"/>
    <s v="June"/>
    <s v="Profit"/>
    <n v="1.6899999999999977"/>
    <n v="-9.7490000000000077"/>
  </r>
  <r>
    <s v="2023-06-14"/>
    <n v="161.6"/>
    <x v="1578"/>
    <n v="160.97999999999999"/>
    <n v="161.56"/>
    <n v="6699139"/>
    <x v="3"/>
    <s v="Johnson &amp; Johnson"/>
    <x v="2"/>
    <n v="0.51"/>
    <x v="5"/>
    <x v="0"/>
    <s v="June"/>
    <s v="Profit"/>
    <n v="1.1000000000000227"/>
    <n v="-9.2390000000000079"/>
  </r>
  <r>
    <s v="2023-06-15"/>
    <n v="162.05000000000001"/>
    <x v="1579"/>
    <n v="161.43"/>
    <n v="163.72999999999999"/>
    <n v="7138314"/>
    <x v="3"/>
    <s v="Johnson &amp; Johnson"/>
    <x v="2"/>
    <n v="1.343"/>
    <x v="5"/>
    <x v="0"/>
    <s v="June"/>
    <s v="Profit"/>
    <n v="2.4799999999999898"/>
    <n v="-7.8960000000000079"/>
  </r>
  <r>
    <s v="2023-06-16"/>
    <n v="164.48"/>
    <x v="1580"/>
    <n v="163.87"/>
    <n v="164.23"/>
    <n v="13426606"/>
    <x v="3"/>
    <s v="Johnson &amp; Johnson"/>
    <x v="2"/>
    <n v="0.30499999999999999"/>
    <x v="5"/>
    <x v="0"/>
    <s v="June"/>
    <s v="Profit"/>
    <n v="1.1200000000000045"/>
    <n v="-7.5910000000000082"/>
  </r>
  <r>
    <s v="2023-06-20"/>
    <n v="164.26"/>
    <x v="1581"/>
    <n v="163.81"/>
    <n v="164.13"/>
    <n v="7996117"/>
    <x v="3"/>
    <s v="Johnson &amp; Johnson"/>
    <x v="2"/>
    <n v="-6.0999999999999999E-2"/>
    <x v="5"/>
    <x v="0"/>
    <s v="June"/>
    <s v="Loss"/>
    <n v="1.5"/>
    <n v="-7.6520000000000081"/>
  </r>
  <r>
    <s v="2023-06-21"/>
    <n v="163.58000000000001"/>
    <x v="1582"/>
    <n v="162.69"/>
    <n v="163.88"/>
    <n v="7177549"/>
    <x v="3"/>
    <s v="Johnson &amp; Johnson"/>
    <x v="2"/>
    <n v="-0.152"/>
    <x v="5"/>
    <x v="0"/>
    <s v="June"/>
    <s v="Loss"/>
    <n v="2.2299999999999898"/>
    <n v="-7.8040000000000083"/>
  </r>
  <r>
    <s v="2023-06-22"/>
    <n v="163.9"/>
    <x v="1583"/>
    <n v="163.79"/>
    <n v="165.62"/>
    <n v="5486186"/>
    <x v="3"/>
    <s v="Johnson &amp; Johnson"/>
    <x v="2"/>
    <n v="1.0620000000000001"/>
    <x v="5"/>
    <x v="0"/>
    <s v="June"/>
    <s v="Profit"/>
    <n v="1.9300000000000068"/>
    <n v="-6.742000000000008"/>
  </r>
  <r>
    <s v="2023-06-23"/>
    <n v="166.11"/>
    <x v="1584"/>
    <n v="165.03"/>
    <n v="165.48"/>
    <n v="9450724"/>
    <x v="3"/>
    <s v="Johnson &amp; Johnson"/>
    <x v="2"/>
    <n v="-8.5000000000000006E-2"/>
    <x v="5"/>
    <x v="0"/>
    <s v="June"/>
    <s v="Loss"/>
    <n v="1.2400000000000091"/>
    <n v="-6.827000000000008"/>
  </r>
  <r>
    <s v="2023-06-26"/>
    <n v="164.98"/>
    <x v="1585"/>
    <n v="161.33000000000001"/>
    <n v="163.63"/>
    <n v="6978804"/>
    <x v="3"/>
    <s v="Johnson &amp; Johnson"/>
    <x v="2"/>
    <n v="-1.1180000000000001"/>
    <x v="5"/>
    <x v="0"/>
    <s v="June"/>
    <s v="Loss"/>
    <n v="3.6499999999999773"/>
    <n v="-7.9450000000000083"/>
  </r>
  <r>
    <s v="2023-06-27"/>
    <n v="163.68"/>
    <x v="1494"/>
    <n v="162.44"/>
    <n v="163.29"/>
    <n v="4927711"/>
    <x v="3"/>
    <s v="Johnson &amp; Johnson"/>
    <x v="2"/>
    <n v="-0.20799999999999999"/>
    <x v="5"/>
    <x v="0"/>
    <s v="June"/>
    <s v="Loss"/>
    <n v="1.4399999999999977"/>
    <n v="-8.1530000000000076"/>
  </r>
  <r>
    <s v="2023-06-28"/>
    <n v="163.19999999999999"/>
    <x v="1586"/>
    <n v="161.91"/>
    <n v="162.96"/>
    <n v="6780435"/>
    <x v="3"/>
    <s v="Johnson &amp; Johnson"/>
    <x v="2"/>
    <n v="-0.20200000000000001"/>
    <x v="5"/>
    <x v="0"/>
    <s v="June"/>
    <s v="Loss"/>
    <n v="1.289999999999992"/>
    <n v="-8.3550000000000075"/>
  </r>
  <r>
    <s v="2023-06-29"/>
    <n v="162.63999999999999"/>
    <x v="1587"/>
    <n v="162.22999999999999"/>
    <n v="164.1"/>
    <n v="4547514"/>
    <x v="3"/>
    <s v="Johnson &amp; Johnson"/>
    <x v="2"/>
    <n v="0.7"/>
    <x v="5"/>
    <x v="0"/>
    <s v="June"/>
    <s v="Profit"/>
    <n v="2.0900000000000034"/>
    <n v="-7.6550000000000074"/>
  </r>
  <r>
    <s v="2023-06-30"/>
    <n v="164.86"/>
    <x v="1588"/>
    <n v="164.35"/>
    <n v="165.52"/>
    <n v="7580141"/>
    <x v="3"/>
    <s v="Johnson &amp; Johnson"/>
    <x v="2"/>
    <n v="0.86499999999999999"/>
    <x v="5"/>
    <x v="0"/>
    <s v="June"/>
    <s v="Profit"/>
    <n v="1.5900000000000034"/>
    <n v="-6.7900000000000071"/>
  </r>
  <r>
    <s v="2023-07-03"/>
    <n v="164.34"/>
    <x v="1546"/>
    <n v="162.96"/>
    <n v="163.35"/>
    <n v="4033713"/>
    <x v="3"/>
    <s v="Johnson &amp; Johnson"/>
    <x v="2"/>
    <n v="-1.3109999999999999"/>
    <x v="6"/>
    <x v="0"/>
    <s v="July"/>
    <s v="Loss"/>
    <n v="1.4299999999999784"/>
    <n v="-8.1010000000000062"/>
  </r>
  <r>
    <s v="2023-07-05"/>
    <n v="162.99"/>
    <x v="1589"/>
    <n v="162.72999999999999"/>
    <n v="162.81"/>
    <n v="7225523"/>
    <x v="3"/>
    <s v="Johnson &amp; Johnson"/>
    <x v="2"/>
    <n v="-0.33100000000000002"/>
    <x v="6"/>
    <x v="0"/>
    <s v="July"/>
    <s v="Loss"/>
    <n v="1.1899999999999977"/>
    <n v="-8.4320000000000057"/>
  </r>
  <r>
    <s v="2023-07-06"/>
    <n v="162.25"/>
    <x v="1590"/>
    <n v="161"/>
    <n v="161.6"/>
    <n v="6333687"/>
    <x v="3"/>
    <s v="Johnson &amp; Johnson"/>
    <x v="2"/>
    <n v="-0.74299999999999999"/>
    <x v="6"/>
    <x v="0"/>
    <s v="July"/>
    <s v="Loss"/>
    <n v="1.3700000000000045"/>
    <n v="-9.175000000000006"/>
  </r>
  <r>
    <s v="2023-07-07"/>
    <n v="160.47"/>
    <x v="1591"/>
    <n v="159.19999999999999"/>
    <n v="159.25"/>
    <n v="7022226"/>
    <x v="3"/>
    <s v="Johnson &amp; Johnson"/>
    <x v="2"/>
    <n v="-1.454"/>
    <x v="6"/>
    <x v="0"/>
    <s v="July"/>
    <s v="Loss"/>
    <n v="1.8400000000000034"/>
    <n v="-10.629000000000007"/>
  </r>
  <r>
    <s v="2023-07-10"/>
    <n v="159.43"/>
    <x v="1592"/>
    <n v="159"/>
    <n v="159.51"/>
    <n v="5739364"/>
    <x v="3"/>
    <s v="Johnson &amp; Johnson"/>
    <x v="2"/>
    <n v="0.16300000000000001"/>
    <x v="6"/>
    <x v="0"/>
    <s v="July"/>
    <s v="Profit"/>
    <n v="1.3000000000000114"/>
    <n v="-10.466000000000006"/>
  </r>
  <r>
    <s v="2023-07-11"/>
    <n v="159.13"/>
    <x v="1592"/>
    <n v="157.6"/>
    <n v="158.63"/>
    <n v="6606956"/>
    <x v="3"/>
    <s v="Johnson &amp; Johnson"/>
    <x v="2"/>
    <n v="-0.55200000000000005"/>
    <x v="6"/>
    <x v="0"/>
    <s v="July"/>
    <s v="Loss"/>
    <n v="2.7000000000000171"/>
    <n v="-11.018000000000006"/>
  </r>
  <r>
    <s v="2023-07-12"/>
    <n v="158.94"/>
    <x v="1593"/>
    <n v="157.88"/>
    <n v="158.08000000000001"/>
    <n v="6940442"/>
    <x v="3"/>
    <s v="Johnson &amp; Johnson"/>
    <x v="2"/>
    <n v="-0.34699999999999998"/>
    <x v="6"/>
    <x v="0"/>
    <s v="July"/>
    <s v="Loss"/>
    <n v="1.0600000000000023"/>
    <n v="-11.365000000000006"/>
  </r>
  <r>
    <s v="2023-07-13"/>
    <n v="158"/>
    <x v="1594"/>
    <n v="157.41"/>
    <n v="158.81"/>
    <n v="6401743"/>
    <x v="3"/>
    <s v="Johnson &amp; Johnson"/>
    <x v="2"/>
    <n v="0.46200000000000002"/>
    <x v="6"/>
    <x v="0"/>
    <s v="July"/>
    <s v="Profit"/>
    <n v="1.7199999999999989"/>
    <n v="-10.903000000000006"/>
  </r>
  <r>
    <s v="2023-07-14"/>
    <n v="159.18"/>
    <x v="1595"/>
    <n v="158.97999999999999"/>
    <n v="159.87"/>
    <n v="5362237"/>
    <x v="3"/>
    <s v="Johnson &amp; Johnson"/>
    <x v="2"/>
    <n v="0.66700000000000004"/>
    <x v="6"/>
    <x v="0"/>
    <s v="July"/>
    <s v="Profit"/>
    <n v="1.2450000000000045"/>
    <n v="-10.236000000000006"/>
  </r>
  <r>
    <s v="2023-07-17"/>
    <n v="159.75"/>
    <x v="1596"/>
    <n v="158.15"/>
    <n v="159.07"/>
    <n v="5488030"/>
    <x v="3"/>
    <s v="Johnson &amp; Johnson"/>
    <x v="2"/>
    <n v="-0.5"/>
    <x v="6"/>
    <x v="0"/>
    <s v="July"/>
    <s v="Loss"/>
    <n v="1.7199999999999989"/>
    <n v="-10.736000000000006"/>
  </r>
  <r>
    <s v="2023-07-18"/>
    <n v="159.07"/>
    <x v="1597"/>
    <n v="158.19"/>
    <n v="159.06"/>
    <n v="6332509"/>
    <x v="3"/>
    <s v="Johnson &amp; Johnson"/>
    <x v="2"/>
    <n v="-6.0000000000000001E-3"/>
    <x v="6"/>
    <x v="0"/>
    <s v="July"/>
    <s v="Loss"/>
    <n v="2.6999999999999886"/>
    <n v="-10.742000000000006"/>
  </r>
  <r>
    <s v="2023-07-19"/>
    <n v="157.91"/>
    <x v="1598"/>
    <n v="157.33000000000001"/>
    <n v="158.74"/>
    <n v="7522557"/>
    <x v="3"/>
    <s v="Johnson &amp; Johnson"/>
    <x v="2"/>
    <n v="-0.20100000000000001"/>
    <x v="6"/>
    <x v="0"/>
    <s v="July"/>
    <s v="Loss"/>
    <n v="3.0799999999999841"/>
    <n v="-10.943000000000007"/>
  </r>
  <r>
    <s v="2023-07-20"/>
    <n v="161.94"/>
    <x v="1599"/>
    <n v="161.30000000000001"/>
    <n v="168.38"/>
    <n v="21892881"/>
    <x v="3"/>
    <s v="Johnson &amp; Johnson"/>
    <x v="2"/>
    <n v="6.0730000000000004"/>
    <x v="6"/>
    <x v="0"/>
    <s v="July"/>
    <s v="Profit"/>
    <n v="7.839999999999975"/>
    <n v="-4.8700000000000063"/>
  </r>
  <r>
    <s v="2023-07-21"/>
    <n v="168.18"/>
    <x v="1600"/>
    <n v="168.18"/>
    <n v="170.19"/>
    <n v="12079999"/>
    <x v="3"/>
    <s v="Johnson &amp; Johnson"/>
    <x v="2"/>
    <n v="1.075"/>
    <x v="6"/>
    <x v="0"/>
    <s v="July"/>
    <s v="Profit"/>
    <n v="2.6399999999999864"/>
    <n v="-3.7950000000000061"/>
  </r>
  <r>
    <s v="2023-07-24"/>
    <n v="171.5"/>
    <x v="1601"/>
    <n v="170.99"/>
    <n v="171.08"/>
    <n v="15155446"/>
    <x v="3"/>
    <s v="Johnson &amp; Johnson"/>
    <x v="2"/>
    <n v="0.52300000000000002"/>
    <x v="6"/>
    <x v="0"/>
    <s v="July"/>
    <s v="Profit"/>
    <n v="2.8299999999999841"/>
    <n v="-3.272000000000006"/>
  </r>
  <r>
    <s v="2023-07-25"/>
    <n v="170.45"/>
    <x v="1602"/>
    <n v="169.75"/>
    <n v="172.39"/>
    <n v="13790053"/>
    <x v="3"/>
    <s v="Johnson &amp; Johnson"/>
    <x v="2"/>
    <n v="0.76600000000000001"/>
    <x v="6"/>
    <x v="0"/>
    <s v="July"/>
    <s v="Profit"/>
    <n v="2.9300000000000068"/>
    <n v="-2.506000000000006"/>
  </r>
  <r>
    <s v="2023-07-26"/>
    <n v="172"/>
    <x v="1603"/>
    <n v="171.4"/>
    <n v="172.72"/>
    <n v="14288173"/>
    <x v="3"/>
    <s v="Johnson &amp; Johnson"/>
    <x v="2"/>
    <n v="0.191"/>
    <x v="6"/>
    <x v="0"/>
    <s v="July"/>
    <s v="Profit"/>
    <n v="2.4499999999999886"/>
    <n v="-2.3150000000000062"/>
  </r>
  <r>
    <s v="2023-07-27"/>
    <n v="172.18"/>
    <x v="903"/>
    <n v="172.04"/>
    <n v="173.69"/>
    <n v="12446386"/>
    <x v="3"/>
    <s v="Johnson &amp; Johnson"/>
    <x v="2"/>
    <n v="0.56200000000000006"/>
    <x v="6"/>
    <x v="0"/>
    <s v="July"/>
    <s v="Profit"/>
    <n v="2.25"/>
    <n v="-1.7530000000000061"/>
  </r>
  <r>
    <s v="2023-07-28"/>
    <n v="174"/>
    <x v="1604"/>
    <n v="173.23"/>
    <n v="174.48"/>
    <n v="14138839"/>
    <x v="3"/>
    <s v="Johnson &amp; Johnson"/>
    <x v="2"/>
    <n v="0.45500000000000002"/>
    <x v="6"/>
    <x v="0"/>
    <s v="July"/>
    <s v="Profit"/>
    <n v="2.1300000000000239"/>
    <n v="-1.298000000000006"/>
  </r>
  <r>
    <s v="2023-07-31"/>
    <n v="169.69"/>
    <x v="1605"/>
    <n v="166.71"/>
    <n v="167.53"/>
    <n v="22632720"/>
    <x v="3"/>
    <s v="Johnson &amp; Johnson"/>
    <x v="2"/>
    <n v="-3.9830000000000001"/>
    <x v="6"/>
    <x v="0"/>
    <s v="July"/>
    <s v="Loss"/>
    <n v="3.5099999999999909"/>
    <n v="-5.2810000000000059"/>
  </r>
  <r>
    <s v="2023-08-01"/>
    <n v="166.36500000000001"/>
    <x v="1606"/>
    <n v="166.06"/>
    <n v="168.89"/>
    <n v="15811545"/>
    <x v="3"/>
    <s v="Johnson &amp; Johnson"/>
    <x v="2"/>
    <n v="0.81200000000000006"/>
    <x v="7"/>
    <x v="0"/>
    <s v="August"/>
    <s v="Profit"/>
    <n v="3.0300000000000011"/>
    <n v="-4.4690000000000056"/>
  </r>
  <r>
    <s v="2023-08-02"/>
    <n v="168.85"/>
    <x v="1607"/>
    <n v="168.85"/>
    <n v="169.91"/>
    <n v="14599264"/>
    <x v="3"/>
    <s v="Johnson &amp; Johnson"/>
    <x v="2"/>
    <n v="0.60399999999999998"/>
    <x v="7"/>
    <x v="0"/>
    <s v="August"/>
    <s v="Profit"/>
    <n v="2.3900000000000148"/>
    <n v="-3.8650000000000055"/>
  </r>
  <r>
    <s v="2023-08-03"/>
    <n v="169.95"/>
    <x v="1608"/>
    <n v="169.67"/>
    <n v="170.64"/>
    <n v="17425230"/>
    <x v="3"/>
    <s v="Johnson &amp; Johnson"/>
    <x v="2"/>
    <n v="0.43"/>
    <x v="7"/>
    <x v="0"/>
    <s v="August"/>
    <s v="Profit"/>
    <n v="1.6500000000000057"/>
    <n v="-3.4350000000000054"/>
  </r>
  <r>
    <s v="2023-08-04"/>
    <n v="170.34"/>
    <x v="1602"/>
    <n v="167.89"/>
    <n v="169.04"/>
    <n v="23415053"/>
    <x v="3"/>
    <s v="Johnson &amp; Johnson"/>
    <x v="2"/>
    <n v="-0.93799999999999994"/>
    <x v="7"/>
    <x v="0"/>
    <s v="August"/>
    <s v="Loss"/>
    <n v="4.7900000000000205"/>
    <n v="-4.3730000000000055"/>
  </r>
  <r>
    <s v="2023-08-07"/>
    <n v="169.49"/>
    <x v="1609"/>
    <n v="169.36"/>
    <n v="173.1"/>
    <n v="17736444"/>
    <x v="3"/>
    <s v="Johnson &amp; Johnson"/>
    <x v="2"/>
    <n v="2.4020000000000001"/>
    <x v="7"/>
    <x v="0"/>
    <s v="August"/>
    <s v="Profit"/>
    <n v="3.9799999999999898"/>
    <n v="-1.9710000000000054"/>
  </r>
  <r>
    <s v="2023-08-08"/>
    <n v="172.99"/>
    <x v="1610"/>
    <n v="171.39"/>
    <n v="173.18"/>
    <n v="27378701"/>
    <x v="3"/>
    <s v="Johnson &amp; Johnson"/>
    <x v="2"/>
    <n v="4.5999999999999999E-2"/>
    <x v="7"/>
    <x v="0"/>
    <s v="August"/>
    <s v="Profit"/>
    <n v="2.160000000000025"/>
    <n v="-1.9250000000000054"/>
  </r>
  <r>
    <s v="2023-08-09"/>
    <n v="173"/>
    <x v="1611"/>
    <n v="172.05"/>
    <n v="173.07"/>
    <n v="42974372"/>
    <x v="3"/>
    <s v="Johnson &amp; Johnson"/>
    <x v="2"/>
    <n v="-6.4000000000000001E-2"/>
    <x v="7"/>
    <x v="0"/>
    <s v="August"/>
    <s v="Loss"/>
    <n v="2.1999999999999886"/>
    <n v="-1.9890000000000054"/>
  </r>
  <r>
    <s v="2023-08-10"/>
    <n v="174"/>
    <x v="1612"/>
    <n v="171.64"/>
    <n v="172.17"/>
    <n v="48213840"/>
    <x v="3"/>
    <s v="Johnson &amp; Johnson"/>
    <x v="2"/>
    <n v="-0.52"/>
    <x v="7"/>
    <x v="0"/>
    <s v="August"/>
    <s v="Loss"/>
    <n v="4.3300000000000125"/>
    <n v="-2.5090000000000057"/>
  </r>
  <r>
    <s v="2023-08-11"/>
    <n v="172.48"/>
    <x v="1613"/>
    <n v="171.62"/>
    <n v="173.85"/>
    <n v="45905612"/>
    <x v="3"/>
    <s v="Johnson &amp; Johnson"/>
    <x v="2"/>
    <n v="0.97599999999999998"/>
    <x v="7"/>
    <x v="0"/>
    <s v="August"/>
    <s v="Profit"/>
    <n v="2.3299999999999841"/>
    <n v="-1.5330000000000057"/>
  </r>
  <r>
    <s v="2023-08-14"/>
    <n v="173.52"/>
    <x v="1614"/>
    <n v="171.75"/>
    <n v="173.44"/>
    <n v="64036947"/>
    <x v="3"/>
    <s v="Johnson &amp; Johnson"/>
    <x v="2"/>
    <n v="-0.23599999999999999"/>
    <x v="7"/>
    <x v="0"/>
    <s v="August"/>
    <s v="Loss"/>
    <n v="3.8499999999999943"/>
    <n v="-1.7690000000000057"/>
  </r>
  <r>
    <s v="2023-08-15"/>
    <n v="172.8"/>
    <x v="1615"/>
    <n v="172.14"/>
    <n v="172.94"/>
    <n v="88924923"/>
    <x v="3"/>
    <s v="Johnson &amp; Johnson"/>
    <x v="2"/>
    <n v="-0.28799999999999998"/>
    <x v="7"/>
    <x v="0"/>
    <s v="August"/>
    <s v="Loss"/>
    <n v="2.4200000000000159"/>
    <n v="-2.0570000000000057"/>
  </r>
  <r>
    <s v="2023-08-16"/>
    <n v="172.53"/>
    <x v="1616"/>
    <n v="172.13"/>
    <n v="172.39"/>
    <n v="85594288"/>
    <x v="3"/>
    <s v="Johnson &amp; Johnson"/>
    <x v="2"/>
    <n v="-0.318"/>
    <x v="7"/>
    <x v="0"/>
    <s v="August"/>
    <s v="Loss"/>
    <n v="2.5999999999999943"/>
    <n v="-2.3750000000000058"/>
  </r>
  <r>
    <s v="2023-08-17"/>
    <n v="172.86"/>
    <x v="769"/>
    <n v="172.76"/>
    <n v="174.01"/>
    <n v="70904183"/>
    <x v="3"/>
    <s v="Johnson &amp; Johnson"/>
    <x v="2"/>
    <n v="0.94"/>
    <x v="7"/>
    <x v="0"/>
    <s v="August"/>
    <s v="Profit"/>
    <n v="2.6299999999999955"/>
    <n v="-1.4350000000000058"/>
  </r>
  <r>
    <s v="2023-08-18"/>
    <n v="173.17"/>
    <x v="1617"/>
    <n v="171.31"/>
    <n v="172.49"/>
    <n v="49631742"/>
    <x v="3"/>
    <s v="Johnson &amp; Johnson"/>
    <x v="2"/>
    <n v="-0.874"/>
    <x v="7"/>
    <x v="0"/>
    <s v="August"/>
    <s v="Loss"/>
    <n v="2.6800000000000068"/>
    <n v="-2.3090000000000059"/>
  </r>
  <r>
    <s v="2023-08-21"/>
    <n v="169.69"/>
    <x v="1618"/>
    <n v="165.96"/>
    <n v="167.35"/>
    <n v="151319484"/>
    <x v="3"/>
    <s v="Johnson &amp; Johnson"/>
    <x v="2"/>
    <n v="-2.98"/>
    <x v="7"/>
    <x v="0"/>
    <s v="August"/>
    <s v="Loss"/>
    <n v="3.8899999999999864"/>
    <n v="-5.2890000000000059"/>
  </r>
  <r>
    <s v="2023-08-22"/>
    <n v="166.86"/>
    <x v="1619"/>
    <n v="165.41"/>
    <n v="166.02"/>
    <n v="56835372"/>
    <x v="3"/>
    <s v="Johnson &amp; Johnson"/>
    <x v="2"/>
    <n v="-0.79500000000000004"/>
    <x v="7"/>
    <x v="0"/>
    <s v="August"/>
    <s v="Loss"/>
    <n v="2.4300000000000068"/>
    <n v="-6.0840000000000058"/>
  </r>
  <r>
    <s v="2023-08-23"/>
    <n v="165.9"/>
    <x v="1620"/>
    <n v="163.47"/>
    <n v="164.53"/>
    <n v="119011431"/>
    <x v="3"/>
    <s v="Johnson &amp; Johnson"/>
    <x v="2"/>
    <n v="-0.89700000000000002"/>
    <x v="7"/>
    <x v="0"/>
    <s v="August"/>
    <s v="Loss"/>
    <n v="3.0300000000000011"/>
    <n v="-6.9810000000000061"/>
  </r>
  <r>
    <s v="2023-08-24"/>
    <n v="164.03"/>
    <x v="1621"/>
    <n v="163.86"/>
    <n v="165.09"/>
    <n v="70755064"/>
    <x v="3"/>
    <s v="Johnson &amp; Johnson"/>
    <x v="2"/>
    <n v="0.34"/>
    <x v="7"/>
    <x v="0"/>
    <s v="August"/>
    <s v="Profit"/>
    <n v="2.8099999999999739"/>
    <n v="-6.6410000000000062"/>
  </r>
  <r>
    <s v="2023-08-25"/>
    <n v="164.3"/>
    <x v="1622"/>
    <n v="164.06"/>
    <n v="166.25"/>
    <n v="18185517"/>
    <x v="3"/>
    <s v="Johnson &amp; Johnson"/>
    <x v="2"/>
    <n v="0.70299999999999996"/>
    <x v="7"/>
    <x v="0"/>
    <s v="August"/>
    <s v="Profit"/>
    <n v="3.7199999999999989"/>
    <n v="-5.9380000000000059"/>
  </r>
  <r>
    <s v="2023-08-28"/>
    <n v="165"/>
    <x v="1623"/>
    <n v="163.16499999999999"/>
    <n v="164.29"/>
    <n v="18457993"/>
    <x v="3"/>
    <s v="Johnson &amp; Johnson"/>
    <x v="2"/>
    <n v="-1.179"/>
    <x v="7"/>
    <x v="0"/>
    <s v="August"/>
    <s v="Loss"/>
    <n v="3.0450000000000159"/>
    <n v="-7.1170000000000062"/>
  </r>
  <r>
    <s v="2023-08-29"/>
    <n v="164.87"/>
    <x v="1624"/>
    <n v="162.77000000000001"/>
    <n v="164.31"/>
    <n v="12208612"/>
    <x v="3"/>
    <s v="Johnson &amp; Johnson"/>
    <x v="2"/>
    <n v="1.2E-2"/>
    <x v="7"/>
    <x v="0"/>
    <s v="August"/>
    <s v="Profit"/>
    <n v="2.9099999999999966"/>
    <n v="-7.1050000000000066"/>
  </r>
  <r>
    <s v="2023-08-30"/>
    <n v="165.11"/>
    <x v="1625"/>
    <n v="163.68"/>
    <n v="163.72999999999999"/>
    <n v="9939097"/>
    <x v="3"/>
    <s v="Johnson &amp; Johnson"/>
    <x v="2"/>
    <n v="-0.35299999999999998"/>
    <x v="7"/>
    <x v="0"/>
    <s v="August"/>
    <s v="Loss"/>
    <n v="2.1500000000000057"/>
    <n v="-7.4580000000000064"/>
  </r>
  <r>
    <s v="2023-08-31"/>
    <n v="163.37"/>
    <x v="1626"/>
    <n v="161.279"/>
    <n v="161.68"/>
    <n v="15332999"/>
    <x v="3"/>
    <s v="Johnson &amp; Johnson"/>
    <x v="2"/>
    <n v="-1.252"/>
    <x v="7"/>
    <x v="0"/>
    <s v="August"/>
    <s v="Loss"/>
    <n v="2.2909999999999968"/>
    <n v="-8.7100000000000062"/>
  </r>
  <r>
    <s v="2023-09-01"/>
    <n v="161.41999999999999"/>
    <x v="1627"/>
    <n v="160.01499999999999"/>
    <n v="160.47999999999999"/>
    <n v="8610052"/>
    <x v="3"/>
    <s v="Johnson &amp; Johnson"/>
    <x v="2"/>
    <n v="-0.74199999999999999"/>
    <x v="8"/>
    <x v="0"/>
    <s v="September"/>
    <s v="Loss"/>
    <n v="2.4650000000000034"/>
    <n v="-9.4520000000000053"/>
  </r>
  <r>
    <s v="2023-09-05"/>
    <n v="160.56"/>
    <x v="1555"/>
    <n v="160.28"/>
    <n v="160.68"/>
    <n v="9019777"/>
    <x v="3"/>
    <s v="Johnson &amp; Johnson"/>
    <x v="2"/>
    <n v="0.125"/>
    <x v="8"/>
    <x v="0"/>
    <s v="September"/>
    <s v="Profit"/>
    <n v="1.6899999999999977"/>
    <n v="-9.3270000000000053"/>
  </r>
  <r>
    <s v="2023-09-06"/>
    <n v="159.84"/>
    <x v="1628"/>
    <n v="157.35"/>
    <n v="158.01"/>
    <n v="9753833"/>
    <x v="3"/>
    <s v="Johnson &amp; Johnson"/>
    <x v="2"/>
    <n v="-1.6619999999999999"/>
    <x v="8"/>
    <x v="0"/>
    <s v="September"/>
    <s v="Loss"/>
    <n v="2.6500000000000057"/>
    <n v="-10.989000000000004"/>
  </r>
  <r>
    <s v="2023-09-07"/>
    <n v="159.13999999999999"/>
    <x v="1629"/>
    <n v="158.97999999999999"/>
    <n v="160.03"/>
    <n v="9931811"/>
    <x v="3"/>
    <s v="Johnson &amp; Johnson"/>
    <x v="2"/>
    <n v="1.278"/>
    <x v="8"/>
    <x v="0"/>
    <s v="September"/>
    <s v="Profit"/>
    <n v="2.0800000000000125"/>
    <n v="-9.7110000000000039"/>
  </r>
  <r>
    <s v="2023-09-08"/>
    <n v="159.59"/>
    <x v="1630"/>
    <n v="159.19"/>
    <n v="160.56"/>
    <n v="6958201"/>
    <x v="3"/>
    <s v="Johnson &amp; Johnson"/>
    <x v="2"/>
    <n v="0.33100000000000002"/>
    <x v="8"/>
    <x v="0"/>
    <s v="September"/>
    <s v="Profit"/>
    <n v="1.4900000000000091"/>
    <n v="-9.3800000000000043"/>
  </r>
  <r>
    <s v="2023-09-11"/>
    <n v="161.06"/>
    <x v="1631"/>
    <n v="160.44999999999999"/>
    <n v="162.66"/>
    <n v="6309295"/>
    <x v="3"/>
    <s v="Johnson &amp; Johnson"/>
    <x v="2"/>
    <n v="1.3080000000000001"/>
    <x v="8"/>
    <x v="0"/>
    <s v="September"/>
    <s v="Profit"/>
    <n v="2.2400000000000091"/>
    <n v="-8.0720000000000045"/>
  </r>
  <r>
    <s v="2023-09-12"/>
    <n v="162.22"/>
    <x v="1632"/>
    <n v="161.53"/>
    <n v="163.58000000000001"/>
    <n v="6045756"/>
    <x v="3"/>
    <s v="Johnson &amp; Johnson"/>
    <x v="2"/>
    <n v="0.56599999999999995"/>
    <x v="8"/>
    <x v="0"/>
    <s v="September"/>
    <s v="Profit"/>
    <n v="2.3950000000000102"/>
    <n v="-7.5060000000000047"/>
  </r>
  <r>
    <s v="2023-09-13"/>
    <n v="163.76"/>
    <x v="1633"/>
    <n v="163"/>
    <n v="163.99"/>
    <n v="7397520"/>
    <x v="3"/>
    <s v="Johnson &amp; Johnson"/>
    <x v="2"/>
    <n v="0.251"/>
    <x v="8"/>
    <x v="0"/>
    <s v="September"/>
    <s v="Profit"/>
    <n v="1.9499999999999886"/>
    <n v="-7.2550000000000043"/>
  </r>
  <r>
    <s v="2023-09-14"/>
    <n v="164.68"/>
    <x v="1634"/>
    <n v="163.44"/>
    <n v="163.74"/>
    <n v="7758552"/>
    <x v="3"/>
    <s v="Johnson &amp; Johnson"/>
    <x v="2"/>
    <n v="-0.152"/>
    <x v="8"/>
    <x v="0"/>
    <s v="September"/>
    <s v="Loss"/>
    <n v="1.8300000000000125"/>
    <n v="-7.4070000000000045"/>
  </r>
  <r>
    <s v="2023-09-15"/>
    <n v="163.98"/>
    <x v="1635"/>
    <n v="161.21"/>
    <n v="161.44999999999999"/>
    <n v="13392074"/>
    <x v="3"/>
    <s v="Johnson &amp; Johnson"/>
    <x v="2"/>
    <n v="-1.399"/>
    <x v="8"/>
    <x v="0"/>
    <s v="September"/>
    <s v="Loss"/>
    <n v="3.6099999999999852"/>
    <n v="-8.8060000000000045"/>
  </r>
  <r>
    <s v="2023-09-18"/>
    <n v="162.12"/>
    <x v="1636"/>
    <n v="160.75"/>
    <n v="162.47"/>
    <n v="5789146"/>
    <x v="3"/>
    <s v="Johnson &amp; Johnson"/>
    <x v="2"/>
    <n v="0.63200000000000001"/>
    <x v="8"/>
    <x v="0"/>
    <s v="September"/>
    <s v="Profit"/>
    <n v="2.3950000000000102"/>
    <n v="-8.1740000000000048"/>
  </r>
  <r>
    <s v="2023-09-19"/>
    <n v="162.25"/>
    <x v="1637"/>
    <n v="161.38"/>
    <n v="162.19999999999999"/>
    <n v="5550851"/>
    <x v="3"/>
    <s v="Johnson &amp; Johnson"/>
    <x v="2"/>
    <n v="-0.16600000000000001"/>
    <x v="8"/>
    <x v="0"/>
    <s v="September"/>
    <s v="Loss"/>
    <n v="1.4699999999999989"/>
    <n v="-8.3400000000000052"/>
  </r>
  <r>
    <s v="2023-09-20"/>
    <n v="162.19"/>
    <x v="1638"/>
    <n v="161.66"/>
    <n v="162.91"/>
    <n v="3837595"/>
    <x v="3"/>
    <s v="Johnson &amp; Johnson"/>
    <x v="2"/>
    <n v="0.438"/>
    <x v="8"/>
    <x v="0"/>
    <s v="September"/>
    <s v="Profit"/>
    <n v="1.875"/>
    <n v="-7.9020000000000055"/>
  </r>
  <r>
    <s v="2023-09-21"/>
    <n v="162.57"/>
    <x v="1639"/>
    <n v="161.59"/>
    <n v="161.66"/>
    <n v="4526772"/>
    <x v="3"/>
    <s v="Johnson &amp; Johnson"/>
    <x v="2"/>
    <n v="-0.76700000000000002"/>
    <x v="8"/>
    <x v="0"/>
    <s v="September"/>
    <s v="Loss"/>
    <n v="1.9099999999999966"/>
    <n v="-8.6690000000000058"/>
  </r>
  <r>
    <s v="2023-09-22"/>
    <n v="161.30000000000001"/>
    <x v="1640"/>
    <n v="160.25"/>
    <n v="160.5"/>
    <n v="4977354"/>
    <x v="3"/>
    <s v="Johnson &amp; Johnson"/>
    <x v="2"/>
    <n v="-0.71799999999999997"/>
    <x v="8"/>
    <x v="0"/>
    <s v="September"/>
    <s v="Loss"/>
    <n v="1.1500000000000057"/>
    <n v="-9.3870000000000058"/>
  </r>
  <r>
    <s v="2023-09-25"/>
    <n v="160.07"/>
    <x v="1641"/>
    <n v="158.72999999999999"/>
    <n v="160.26"/>
    <n v="6722584"/>
    <x v="3"/>
    <s v="Johnson &amp; Johnson"/>
    <x v="2"/>
    <n v="-0.15"/>
    <x v="8"/>
    <x v="0"/>
    <s v="September"/>
    <s v="Loss"/>
    <n v="1.6300000000000239"/>
    <n v="-9.5370000000000061"/>
  </r>
  <r>
    <s v="2023-09-26"/>
    <n v="159.81"/>
    <x v="1642"/>
    <n v="158.86000000000001"/>
    <n v="159.02000000000001"/>
    <n v="4904860"/>
    <x v="3"/>
    <s v="Johnson &amp; Johnson"/>
    <x v="2"/>
    <n v="-0.77400000000000002"/>
    <x v="8"/>
    <x v="0"/>
    <s v="September"/>
    <s v="Loss"/>
    <n v="1.2199999999999989"/>
    <n v="-10.311000000000007"/>
  </r>
  <r>
    <s v="2023-09-27"/>
    <n v="158.58000000000001"/>
    <x v="1643"/>
    <n v="155.255"/>
    <n v="157.11000000000001"/>
    <n v="10210686"/>
    <x v="3"/>
    <s v="Johnson &amp; Johnson"/>
    <x v="2"/>
    <n v="-1.2010000000000001"/>
    <x v="8"/>
    <x v="0"/>
    <s v="September"/>
    <s v="Loss"/>
    <n v="3.5049999999999955"/>
    <n v="-11.512000000000008"/>
  </r>
  <r>
    <s v="2023-09-28"/>
    <n v="157.5"/>
    <x v="1644"/>
    <n v="156.22"/>
    <n v="156.88"/>
    <n v="7861879"/>
    <x v="3"/>
    <s v="Johnson &amp; Johnson"/>
    <x v="2"/>
    <n v="-0.14599999999999999"/>
    <x v="8"/>
    <x v="0"/>
    <s v="September"/>
    <s v="Loss"/>
    <n v="1.7400000000000091"/>
    <n v="-11.658000000000008"/>
  </r>
  <r>
    <s v="2023-09-29"/>
    <n v="157.37"/>
    <x v="1645"/>
    <n v="155.35"/>
    <n v="155.75"/>
    <n v="7680711"/>
    <x v="3"/>
    <s v="Johnson &amp; Johnson"/>
    <x v="2"/>
    <n v="-0.72"/>
    <x v="8"/>
    <x v="0"/>
    <s v="September"/>
    <s v="Loss"/>
    <n v="2.25"/>
    <n v="-12.378000000000009"/>
  </r>
  <r>
    <s v="2023-10-02"/>
    <n v="155.41999999999999"/>
    <x v="1646"/>
    <n v="153.32"/>
    <n v="155.15"/>
    <n v="7259935"/>
    <x v="3"/>
    <s v="Johnson &amp; Johnson"/>
    <x v="2"/>
    <n v="-0.38500000000000001"/>
    <x v="9"/>
    <x v="0"/>
    <s v="October"/>
    <s v="Loss"/>
    <n v="2.0999999999999943"/>
    <n v="-12.763000000000009"/>
  </r>
  <r>
    <s v="2023-10-03"/>
    <n v="154.68"/>
    <x v="1647"/>
    <n v="153.88999999999999"/>
    <n v="155.34"/>
    <n v="5741035"/>
    <x v="3"/>
    <s v="Johnson &amp; Johnson"/>
    <x v="2"/>
    <n v="0.122"/>
    <x v="9"/>
    <x v="0"/>
    <s v="October"/>
    <s v="Profit"/>
    <n v="1.6050000000000182"/>
    <n v="-12.641000000000009"/>
  </r>
  <r>
    <s v="2023-10-04"/>
    <n v="155.57"/>
    <x v="1648"/>
    <n v="154.57"/>
    <n v="155.52000000000001"/>
    <n v="4955308"/>
    <x v="3"/>
    <s v="Johnson &amp; Johnson"/>
    <x v="2"/>
    <n v="0.11600000000000001"/>
    <x v="9"/>
    <x v="0"/>
    <s v="October"/>
    <s v="Profit"/>
    <n v="1.3600000000000136"/>
    <n v="-12.525000000000009"/>
  </r>
  <r>
    <s v="2023-10-05"/>
    <n v="156.27000000000001"/>
    <x v="1649"/>
    <n v="156.07"/>
    <n v="157.13999999999999"/>
    <n v="5993541"/>
    <x v="3"/>
    <s v="Johnson &amp; Johnson"/>
    <x v="2"/>
    <n v="1.042"/>
    <x v="9"/>
    <x v="0"/>
    <s v="October"/>
    <s v="Profit"/>
    <n v="1.9699999999999989"/>
    <n v="-11.483000000000009"/>
  </r>
  <r>
    <s v="2023-10-06"/>
    <n v="157.08000000000001"/>
    <x v="1650"/>
    <n v="156.59"/>
    <n v="157.63999999999999"/>
    <n v="5802226"/>
    <x v="3"/>
    <s v="Johnson &amp; Johnson"/>
    <x v="2"/>
    <n v="0.318"/>
    <x v="9"/>
    <x v="0"/>
    <s v="October"/>
    <s v="Profit"/>
    <n v="1.710000000000008"/>
    <n v="-11.16500000000001"/>
  </r>
  <r>
    <s v="2023-10-09"/>
    <n v="157.18"/>
    <x v="1651"/>
    <n v="157.09"/>
    <n v="158.54"/>
    <n v="4414322"/>
    <x v="3"/>
    <s v="Johnson &amp; Johnson"/>
    <x v="2"/>
    <n v="0.57099999999999995"/>
    <x v="9"/>
    <x v="0"/>
    <s v="October"/>
    <s v="Profit"/>
    <n v="1.789999999999992"/>
    <n v="-10.59400000000001"/>
  </r>
  <r>
    <s v="2023-10-10"/>
    <n v="158.38"/>
    <x v="1652"/>
    <n v="157.9"/>
    <n v="158.36000000000001"/>
    <n v="5273531"/>
    <x v="3"/>
    <s v="Johnson &amp; Johnson"/>
    <x v="2"/>
    <n v="-0.114"/>
    <x v="9"/>
    <x v="0"/>
    <s v="October"/>
    <s v="Loss"/>
    <n v="1.3700000000000045"/>
    <n v="-10.708000000000011"/>
  </r>
  <r>
    <s v="2023-10-11"/>
    <n v="158.46"/>
    <x v="1653"/>
    <n v="156.04"/>
    <n v="156.18"/>
    <n v="6922907"/>
    <x v="3"/>
    <s v="Johnson &amp; Johnson"/>
    <x v="2"/>
    <n v="-1.377"/>
    <x v="9"/>
    <x v="0"/>
    <s v="October"/>
    <s v="Loss"/>
    <n v="3.0100000000000193"/>
    <n v="-12.085000000000012"/>
  </r>
  <r>
    <s v="2023-10-12"/>
    <n v="155.91999999999999"/>
    <x v="1654"/>
    <n v="155.066"/>
    <n v="156.33000000000001"/>
    <n v="5792419"/>
    <x v="3"/>
    <s v="Johnson &amp; Johnson"/>
    <x v="2"/>
    <n v="9.6000000000000002E-2"/>
    <x v="9"/>
    <x v="0"/>
    <s v="October"/>
    <s v="Profit"/>
    <n v="1.4939999999999998"/>
    <n v="-11.989000000000011"/>
  </r>
  <r>
    <s v="2023-10-13"/>
    <n v="156.72999999999999"/>
    <x v="1655"/>
    <n v="156.05000000000001"/>
    <n v="156.85"/>
    <n v="5360347"/>
    <x v="3"/>
    <s v="Johnson &amp; Johnson"/>
    <x v="2"/>
    <n v="0.33300000000000002"/>
    <x v="9"/>
    <x v="0"/>
    <s v="October"/>
    <s v="Profit"/>
    <n v="1.3100000000000023"/>
    <n v="-11.656000000000011"/>
  </r>
  <r>
    <s v="2023-10-16"/>
    <n v="157.82"/>
    <x v="1656"/>
    <n v="156.84"/>
    <n v="157.53"/>
    <n v="6408142"/>
    <x v="3"/>
    <s v="Johnson &amp; Johnson"/>
    <x v="2"/>
    <n v="0.434"/>
    <x v="9"/>
    <x v="0"/>
    <s v="October"/>
    <s v="Profit"/>
    <n v="1.4099999999999966"/>
    <n v="-11.222000000000012"/>
  </r>
  <r>
    <s v="2023-10-17"/>
    <n v="155.97999999999999"/>
    <x v="1657"/>
    <n v="154.608"/>
    <n v="156.09"/>
    <n v="12244374"/>
    <x v="3"/>
    <s v="Johnson &amp; Johnson"/>
    <x v="2"/>
    <n v="-0.91400000000000003"/>
    <x v="9"/>
    <x v="0"/>
    <s v="October"/>
    <s v="Loss"/>
    <n v="4.3419999999999845"/>
    <n v="-12.136000000000012"/>
  </r>
  <r>
    <s v="2023-10-18"/>
    <n v="155.41"/>
    <x v="1658"/>
    <n v="152.05000000000001"/>
    <n v="152.72999999999999"/>
    <n v="9097348"/>
    <x v="3"/>
    <s v="Johnson &amp; Johnson"/>
    <x v="2"/>
    <n v="-2.153"/>
    <x v="9"/>
    <x v="0"/>
    <s v="October"/>
    <s v="Loss"/>
    <n v="3.8999999999999773"/>
    <n v="-14.289000000000012"/>
  </r>
  <r>
    <s v="2023-10-19"/>
    <n v="151.66999999999999"/>
    <x v="1659"/>
    <n v="150.15"/>
    <n v="152.32"/>
    <n v="7733790"/>
    <x v="3"/>
    <s v="Johnson &amp; Johnson"/>
    <x v="2"/>
    <n v="-0.26800000000000002"/>
    <x v="9"/>
    <x v="0"/>
    <s v="October"/>
    <s v="Loss"/>
    <n v="2.9590000000000032"/>
    <n v="-14.557000000000013"/>
  </r>
  <r>
    <s v="2023-10-20"/>
    <n v="152.74"/>
    <x v="1660"/>
    <n v="152.33000000000001"/>
    <n v="153"/>
    <n v="7206976"/>
    <x v="3"/>
    <s v="Johnson &amp; Johnson"/>
    <x v="2"/>
    <n v="0.44600000000000001"/>
    <x v="9"/>
    <x v="0"/>
    <s v="October"/>
    <s v="Profit"/>
    <n v="1.539999999999992"/>
    <n v="-14.111000000000013"/>
  </r>
  <r>
    <s v="2023-10-23"/>
    <n v="152.86000000000001"/>
    <x v="1661"/>
    <n v="151.21"/>
    <n v="151.38999999999999"/>
    <n v="5873981"/>
    <x v="3"/>
    <s v="Johnson &amp; Johnson"/>
    <x v="2"/>
    <n v="-1.052"/>
    <x v="9"/>
    <x v="0"/>
    <s v="October"/>
    <s v="Loss"/>
    <n v="2.289999999999992"/>
    <n v="-15.163000000000013"/>
  </r>
  <r>
    <s v="2023-10-24"/>
    <n v="150.75"/>
    <x v="1662"/>
    <n v="150.13"/>
    <n v="151.22999999999999"/>
    <n v="6155269"/>
    <x v="3"/>
    <s v="Johnson &amp; Johnson"/>
    <x v="2"/>
    <n v="-0.106"/>
    <x v="9"/>
    <x v="0"/>
    <s v="October"/>
    <s v="Loss"/>
    <n v="1.8300000000000125"/>
    <n v="-15.269000000000013"/>
  </r>
  <r>
    <s v="2023-10-25"/>
    <n v="151.24"/>
    <x v="1663"/>
    <n v="150.22999999999999"/>
    <n v="151.57"/>
    <n v="5880816"/>
    <x v="3"/>
    <s v="Johnson &amp; Johnson"/>
    <x v="2"/>
    <n v="0.22500000000000001"/>
    <x v="9"/>
    <x v="0"/>
    <s v="October"/>
    <s v="Profit"/>
    <n v="1.9399999999999977"/>
    <n v="-15.044000000000013"/>
  </r>
  <r>
    <s v="2023-10-26"/>
    <n v="151.97"/>
    <x v="1664"/>
    <n v="148.88"/>
    <n v="149"/>
    <n v="7612507"/>
    <x v="3"/>
    <s v="Johnson &amp; Johnson"/>
    <x v="2"/>
    <n v="-1.696"/>
    <x v="9"/>
    <x v="0"/>
    <s v="October"/>
    <s v="Loss"/>
    <n v="3.0900000000000034"/>
    <n v="-16.740000000000013"/>
  </r>
  <r>
    <s v="2023-10-27"/>
    <n v="148.49"/>
    <x v="1665"/>
    <n v="144.94999999999999"/>
    <n v="145.6"/>
    <n v="11385751"/>
    <x v="3"/>
    <s v="Johnson &amp; Johnson"/>
    <x v="2"/>
    <n v="-2.282"/>
    <x v="9"/>
    <x v="0"/>
    <s v="October"/>
    <s v="Loss"/>
    <n v="3.710000000000008"/>
    <n v="-19.022000000000013"/>
  </r>
  <r>
    <s v="2023-10-30"/>
    <n v="146.09"/>
    <x v="1666"/>
    <n v="146"/>
    <n v="147.03"/>
    <n v="8205509"/>
    <x v="3"/>
    <s v="Johnson &amp; Johnson"/>
    <x v="2"/>
    <n v="0.98199999999999998"/>
    <x v="9"/>
    <x v="0"/>
    <s v="October"/>
    <s v="Profit"/>
    <n v="1.2400000000000091"/>
    <n v="-18.040000000000013"/>
  </r>
  <r>
    <s v="2023-10-31"/>
    <n v="147.54"/>
    <x v="1667"/>
    <n v="146.642"/>
    <n v="148.34"/>
    <n v="7577017"/>
    <x v="3"/>
    <s v="Johnson &amp; Johnson"/>
    <x v="2"/>
    <n v="0.89100000000000001"/>
    <x v="9"/>
    <x v="0"/>
    <s v="October"/>
    <s v="Profit"/>
    <n v="1.9029999999999916"/>
    <n v="-17.149000000000015"/>
  </r>
  <r>
    <s v="2023-11-01"/>
    <n v="149.19"/>
    <x v="1668"/>
    <n v="148.46"/>
    <n v="148.69"/>
    <n v="5732973"/>
    <x v="3"/>
    <s v="Johnson &amp; Johnson"/>
    <x v="2"/>
    <n v="0.23599999999999999"/>
    <x v="10"/>
    <x v="0"/>
    <s v="November"/>
    <s v="Profit"/>
    <n v="1.2999999999999829"/>
    <n v="-16.913000000000014"/>
  </r>
  <r>
    <s v="2023-11-02"/>
    <n v="147.71"/>
    <x v="1669"/>
    <n v="147.54"/>
    <n v="150.24"/>
    <n v="5349097"/>
    <x v="3"/>
    <s v="Johnson &amp; Johnson"/>
    <x v="2"/>
    <n v="1.042"/>
    <x v="10"/>
    <x v="0"/>
    <s v="November"/>
    <s v="Profit"/>
    <n v="2.8600000000000136"/>
    <n v="-15.871000000000015"/>
  </r>
  <r>
    <s v="2023-11-03"/>
    <n v="151.21"/>
    <x v="1670"/>
    <n v="150.14500000000001"/>
    <n v="151.34"/>
    <n v="4926765"/>
    <x v="3"/>
    <s v="Johnson &amp; Johnson"/>
    <x v="2"/>
    <n v="0.73199999999999998"/>
    <x v="10"/>
    <x v="0"/>
    <s v="November"/>
    <s v="Profit"/>
    <n v="2.125"/>
    <n v="-15.139000000000015"/>
  </r>
  <r>
    <s v="2023-11-06"/>
    <n v="151.78"/>
    <x v="1671"/>
    <n v="151.37"/>
    <n v="151.69999999999999"/>
    <n v="4851421"/>
    <x v="3"/>
    <s v="Johnson &amp; Johnson"/>
    <x v="2"/>
    <n v="0.23799999999999999"/>
    <x v="10"/>
    <x v="0"/>
    <s v="November"/>
    <s v="Profit"/>
    <n v="1.0550000000000068"/>
    <n v="-14.901000000000016"/>
  </r>
  <r>
    <s v="2023-11-07"/>
    <n v="151.93"/>
    <x v="1672"/>
    <n v="150.68"/>
    <n v="150.9"/>
    <n v="4840590"/>
    <x v="3"/>
    <s v="Johnson &amp; Johnson"/>
    <x v="2"/>
    <n v="-0.52700000000000002"/>
    <x v="10"/>
    <x v="0"/>
    <s v="November"/>
    <s v="Loss"/>
    <n v="1.5699999999999932"/>
    <n v="-15.428000000000015"/>
  </r>
  <r>
    <s v="2023-11-08"/>
    <n v="151.35"/>
    <x v="1673"/>
    <n v="150.34"/>
    <n v="150.35"/>
    <n v="5460167"/>
    <x v="3"/>
    <s v="Johnson &amp; Johnson"/>
    <x v="2"/>
    <n v="-0.36399999999999999"/>
    <x v="10"/>
    <x v="0"/>
    <s v="November"/>
    <s v="Loss"/>
    <n v="1.4900000000000091"/>
    <n v="-15.792000000000016"/>
  </r>
  <r>
    <s v="2023-11-09"/>
    <n v="150.5"/>
    <x v="1674"/>
    <n v="147.26"/>
    <n v="147.41999999999999"/>
    <n v="6973598"/>
    <x v="3"/>
    <s v="Johnson &amp; Johnson"/>
    <x v="2"/>
    <n v="-1.9490000000000001"/>
    <x v="10"/>
    <x v="0"/>
    <s v="November"/>
    <s v="Loss"/>
    <n v="3.2400000000000091"/>
    <n v="-17.741000000000017"/>
  </r>
  <r>
    <s v="2023-11-10"/>
    <n v="148.25"/>
    <x v="1675"/>
    <n v="145.63999999999999"/>
    <n v="147.25"/>
    <n v="6931611"/>
    <x v="3"/>
    <s v="Johnson &amp; Johnson"/>
    <x v="2"/>
    <n v="-0.115"/>
    <x v="10"/>
    <x v="0"/>
    <s v="November"/>
    <s v="Loss"/>
    <n v="2.8600000000000136"/>
    <n v="-17.856000000000016"/>
  </r>
  <r>
    <s v="2023-11-13"/>
    <n v="147.25"/>
    <x v="1676"/>
    <n v="146.65"/>
    <n v="147.63"/>
    <n v="5889367"/>
    <x v="3"/>
    <s v="Johnson &amp; Johnson"/>
    <x v="2"/>
    <n v="0.25800000000000001"/>
    <x v="10"/>
    <x v="0"/>
    <s v="November"/>
    <s v="Profit"/>
    <n v="1.25"/>
    <n v="-17.598000000000017"/>
  </r>
  <r>
    <s v="2023-11-14"/>
    <n v="147.63999999999999"/>
    <x v="719"/>
    <n v="146.97"/>
    <n v="147.66"/>
    <n v="6713647"/>
    <x v="3"/>
    <s v="Johnson &amp; Johnson"/>
    <x v="2"/>
    <n v="0.02"/>
    <x v="10"/>
    <x v="0"/>
    <s v="November"/>
    <s v="Profit"/>
    <n v="1.5699999999999932"/>
    <n v="-17.578000000000017"/>
  </r>
  <r>
    <s v="2023-11-15"/>
    <n v="147.35"/>
    <x v="1677"/>
    <n v="147.27000000000001"/>
    <n v="148.80000000000001"/>
    <n v="6729120"/>
    <x v="3"/>
    <s v="Johnson &amp; Johnson"/>
    <x v="2"/>
    <n v="0.77200000000000002"/>
    <x v="10"/>
    <x v="0"/>
    <s v="November"/>
    <s v="Profit"/>
    <n v="2.1499999999999773"/>
    <n v="-16.806000000000019"/>
  </r>
  <r>
    <s v="2023-11-16"/>
    <n v="149.5"/>
    <x v="1678"/>
    <n v="148.63999999999999"/>
    <n v="150.1"/>
    <n v="6875566"/>
    <x v="3"/>
    <s v="Johnson &amp; Johnson"/>
    <x v="2"/>
    <n v="0.874"/>
    <x v="10"/>
    <x v="0"/>
    <s v="November"/>
    <s v="Profit"/>
    <n v="1.5300000000000011"/>
    <n v="-15.932000000000018"/>
  </r>
  <r>
    <s v="2023-11-17"/>
    <n v="150.55000000000001"/>
    <x v="1679"/>
    <n v="149.065"/>
    <n v="149.79"/>
    <n v="7025544"/>
    <x v="3"/>
    <s v="Johnson &amp; Johnson"/>
    <x v="2"/>
    <n v="-0.20699999999999999"/>
    <x v="10"/>
    <x v="0"/>
    <s v="November"/>
    <s v="Loss"/>
    <n v="1.7199999999999989"/>
    <n v="-16.139000000000017"/>
  </r>
  <r>
    <s v="2023-11-20"/>
    <n v="147.91"/>
    <x v="1669"/>
    <n v="147.54"/>
    <n v="149.91"/>
    <n v="8860472"/>
    <x v="3"/>
    <s v="Johnson &amp; Johnson"/>
    <x v="2"/>
    <n v="0.08"/>
    <x v="10"/>
    <x v="0"/>
    <s v="November"/>
    <s v="Profit"/>
    <n v="2.8600000000000136"/>
    <n v="-16.059000000000019"/>
  </r>
  <r>
    <s v="2023-11-21"/>
    <n v="150.1"/>
    <x v="1680"/>
    <n v="149.61000000000001"/>
    <n v="151.12"/>
    <n v="5916344"/>
    <x v="3"/>
    <s v="Johnson &amp; Johnson"/>
    <x v="2"/>
    <n v="0.80700000000000005"/>
    <x v="10"/>
    <x v="0"/>
    <s v="November"/>
    <s v="Profit"/>
    <n v="1.6799999999999784"/>
    <n v="-15.252000000000018"/>
  </r>
  <r>
    <s v="2023-11-22"/>
    <n v="151.63"/>
    <x v="1681"/>
    <n v="150.38999999999999"/>
    <n v="150.82"/>
    <n v="4635503"/>
    <x v="3"/>
    <s v="Johnson &amp; Johnson"/>
    <x v="2"/>
    <n v="-0.19900000000000001"/>
    <x v="10"/>
    <x v="0"/>
    <s v="November"/>
    <s v="Loss"/>
    <n v="1.6500000000000057"/>
    <n v="-15.451000000000018"/>
  </r>
  <r>
    <s v="2023-11-24"/>
    <n v="150.86000000000001"/>
    <x v="1682"/>
    <n v="150.86000000000001"/>
    <n v="152.5"/>
    <n v="3351448"/>
    <x v="3"/>
    <s v="Johnson &amp; Johnson"/>
    <x v="2"/>
    <n v="1.1140000000000001"/>
    <x v="10"/>
    <x v="0"/>
    <s v="November"/>
    <s v="Profit"/>
    <n v="1.8189999999999884"/>
    <n v="-14.337000000000018"/>
  </r>
  <r>
    <s v="2023-11-27"/>
    <n v="152.29"/>
    <x v="1683"/>
    <n v="150.97"/>
    <n v="151.28"/>
    <n v="6449740"/>
    <x v="3"/>
    <s v="Johnson &amp; Johnson"/>
    <x v="2"/>
    <n v="-0.8"/>
    <x v="10"/>
    <x v="0"/>
    <s v="November"/>
    <s v="Loss"/>
    <n v="1.3499999999999943"/>
    <n v="-15.137000000000018"/>
  </r>
  <r>
    <s v="2023-11-28"/>
    <n v="151.4"/>
    <x v="1684"/>
    <n v="150.84"/>
    <n v="151.63"/>
    <n v="5909044"/>
    <x v="3"/>
    <s v="Johnson &amp; Johnson"/>
    <x v="2"/>
    <n v="0.23100000000000001"/>
    <x v="10"/>
    <x v="0"/>
    <s v="November"/>
    <s v="Profit"/>
    <n v="0.96999999999999886"/>
    <n v="-14.906000000000018"/>
  </r>
  <r>
    <s v="2023-11-29"/>
    <n v="151.33000000000001"/>
    <x v="1685"/>
    <n v="151.07"/>
    <n v="152.11000000000001"/>
    <n v="5190026"/>
    <x v="3"/>
    <s v="Johnson &amp; Johnson"/>
    <x v="2"/>
    <n v="0.317"/>
    <x v="10"/>
    <x v="0"/>
    <s v="November"/>
    <s v="Profit"/>
    <n v="1.1299999999999955"/>
    <n v="-14.589000000000018"/>
  </r>
  <r>
    <s v="2023-11-30"/>
    <n v="152.26"/>
    <x v="1686"/>
    <n v="151.91999999999999"/>
    <n v="154.66"/>
    <n v="12481867"/>
    <x v="3"/>
    <s v="Johnson &amp; Johnson"/>
    <x v="2"/>
    <n v="1.6759999999999999"/>
    <x v="10"/>
    <x v="0"/>
    <s v="November"/>
    <s v="Profit"/>
    <n v="3.2199999999999989"/>
    <n v="-12.913000000000018"/>
  </r>
  <r>
    <s v="2023-12-01"/>
    <n v="156.44"/>
    <x v="1687"/>
    <n v="155.47"/>
    <n v="158.38"/>
    <n v="10342901"/>
    <x v="3"/>
    <s v="Johnson &amp; Johnson"/>
    <x v="2"/>
    <n v="2.4049999999999998"/>
    <x v="11"/>
    <x v="0"/>
    <s v="December"/>
    <s v="Profit"/>
    <n v="2.9900000000000091"/>
    <n v="-10.508000000000019"/>
  </r>
  <r>
    <s v="2023-12-04"/>
    <n v="158"/>
    <x v="1688"/>
    <n v="158"/>
    <n v="158.88"/>
    <n v="8920279"/>
    <x v="3"/>
    <s v="Johnson &amp; Johnson"/>
    <x v="2"/>
    <n v="0.316"/>
    <x v="11"/>
    <x v="0"/>
    <s v="December"/>
    <s v="Profit"/>
    <n v="2.0200000000000102"/>
    <n v="-10.192000000000018"/>
  </r>
  <r>
    <s v="2023-12-05"/>
    <n v="158.80000000000001"/>
    <x v="1689"/>
    <n v="158.22"/>
    <n v="158.55000000000001"/>
    <n v="7268151"/>
    <x v="3"/>
    <s v="Johnson &amp; Johnson"/>
    <x v="2"/>
    <n v="-0.20799999999999999"/>
    <x v="11"/>
    <x v="0"/>
    <s v="December"/>
    <s v="Loss"/>
    <n v="1.4099999999999966"/>
    <n v="-10.400000000000018"/>
  </r>
  <r>
    <s v="2023-12-06"/>
    <n v="158.52000000000001"/>
    <x v="1690"/>
    <n v="156.16999999999999"/>
    <n v="156.62"/>
    <n v="6642891"/>
    <x v="3"/>
    <s v="Johnson &amp; Johnson"/>
    <x v="2"/>
    <n v="-1.2170000000000001"/>
    <x v="11"/>
    <x v="0"/>
    <s v="December"/>
    <s v="Loss"/>
    <n v="2.4890000000000043"/>
    <n v="-11.617000000000019"/>
  </r>
  <r>
    <s v="2023-12-07"/>
    <n v="156.58000000000001"/>
    <x v="1691"/>
    <n v="154.71"/>
    <n v="155.4"/>
    <n v="6532388"/>
    <x v="3"/>
    <s v="Johnson &amp; Johnson"/>
    <x v="2"/>
    <n v="-0.77900000000000003"/>
    <x v="11"/>
    <x v="0"/>
    <s v="December"/>
    <s v="Loss"/>
    <n v="1.8700000000000045"/>
    <n v="-12.396000000000019"/>
  </r>
  <r>
    <s v="2023-12-08"/>
    <n v="155.41999999999999"/>
    <x v="1692"/>
    <n v="153.84"/>
    <n v="154.41999999999999"/>
    <n v="6254673"/>
    <x v="3"/>
    <s v="Johnson &amp; Johnson"/>
    <x v="2"/>
    <n v="-0.63100000000000001"/>
    <x v="11"/>
    <x v="0"/>
    <s v="December"/>
    <s v="Loss"/>
    <n v="2.0099999999999909"/>
    <n v="-13.027000000000019"/>
  </r>
  <r>
    <s v="2023-12-11"/>
    <n v="154.5"/>
    <x v="1693"/>
    <n v="154.35"/>
    <n v="155.06"/>
    <n v="6090360"/>
    <x v="3"/>
    <s v="Johnson &amp; Johnson"/>
    <x v="2"/>
    <n v="0.41399999999999998"/>
    <x v="11"/>
    <x v="0"/>
    <s v="December"/>
    <s v="Profit"/>
    <n v="1.1299999999999955"/>
    <n v="-12.613000000000019"/>
  </r>
  <r>
    <s v="2023-12-12"/>
    <n v="155"/>
    <x v="1694"/>
    <n v="153.65"/>
    <n v="155.07"/>
    <n v="5324406"/>
    <x v="3"/>
    <s v="Johnson &amp; Johnson"/>
    <x v="2"/>
    <n v="6.0000000000000001E-3"/>
    <x v="11"/>
    <x v="0"/>
    <s v="December"/>
    <s v="Profit"/>
    <n v="1.6699999999999875"/>
    <n v="-12.607000000000019"/>
  </r>
  <r>
    <s v="2023-12-13"/>
    <n v="153.66"/>
    <x v="1695"/>
    <n v="151.77000000000001"/>
    <n v="155.79"/>
    <n v="10764575"/>
    <x v="3"/>
    <s v="Johnson &amp; Johnson"/>
    <x v="2"/>
    <n v="0.46400000000000002"/>
    <x v="11"/>
    <x v="0"/>
    <s v="December"/>
    <s v="Profit"/>
    <n v="4.1699999999999875"/>
    <n v="-12.143000000000018"/>
  </r>
  <r>
    <s v="2023-12-14"/>
    <n v="156.47"/>
    <x v="1696"/>
    <n v="155.047"/>
    <n v="156.87"/>
    <n v="9240800"/>
    <x v="3"/>
    <s v="Johnson &amp; Johnson"/>
    <x v="2"/>
    <n v="0.69299999999999995"/>
    <x v="11"/>
    <x v="0"/>
    <s v="December"/>
    <s v="Profit"/>
    <n v="2.1129999999999995"/>
    <n v="-11.450000000000019"/>
  </r>
  <r>
    <s v="2023-12-15"/>
    <n v="155.49"/>
    <x v="1697"/>
    <n v="153.76"/>
    <n v="155.16"/>
    <n v="21727754"/>
    <x v="3"/>
    <s v="Johnson &amp; Johnson"/>
    <x v="2"/>
    <n v="-1.0900000000000001"/>
    <x v="11"/>
    <x v="0"/>
    <s v="December"/>
    <s v="Loss"/>
    <n v="2.9300000000000068"/>
    <n v="-12.540000000000019"/>
  </r>
  <r>
    <s v="2023-12-18"/>
    <n v="155.21"/>
    <x v="1698"/>
    <n v="154.76"/>
    <n v="155.44"/>
    <n v="7231383"/>
    <x v="3"/>
    <s v="Johnson &amp; Johnson"/>
    <x v="2"/>
    <n v="0.18"/>
    <x v="11"/>
    <x v="0"/>
    <s v="December"/>
    <s v="Profit"/>
    <n v="1.6800000000000068"/>
    <n v="-12.360000000000019"/>
  </r>
  <r>
    <s v="2023-12-19"/>
    <n v="155.30000000000001"/>
    <x v="1699"/>
    <n v="154.94"/>
    <n v="156.46"/>
    <n v="6651744"/>
    <x v="3"/>
    <s v="Johnson &amp; Johnson"/>
    <x v="2"/>
    <n v="0.65600000000000003"/>
    <x v="11"/>
    <x v="0"/>
    <s v="December"/>
    <s v="Profit"/>
    <n v="1.5600000000000023"/>
    <n v="-11.704000000000018"/>
  </r>
  <r>
    <s v="2023-12-20"/>
    <n v="156.54"/>
    <x v="1700"/>
    <n v="153.11000000000001"/>
    <n v="153.27000000000001"/>
    <n v="7008313"/>
    <x v="3"/>
    <s v="Johnson &amp; Johnson"/>
    <x v="2"/>
    <n v="-2.0390000000000001"/>
    <x v="11"/>
    <x v="0"/>
    <s v="December"/>
    <s v="Loss"/>
    <n v="3.5499999999999829"/>
    <n v="-13.743000000000018"/>
  </r>
  <r>
    <s v="2023-12-21"/>
    <n v="153.69"/>
    <x v="1701"/>
    <n v="153.30000000000001"/>
    <n v="154.84"/>
    <n v="4598843"/>
    <x v="3"/>
    <s v="Johnson &amp; Johnson"/>
    <x v="2"/>
    <n v="1.024"/>
    <x v="11"/>
    <x v="0"/>
    <s v="December"/>
    <s v="Profit"/>
    <n v="1.8299999999999841"/>
    <n v="-12.719000000000019"/>
  </r>
  <r>
    <s v="2023-12-22"/>
    <n v="155.25"/>
    <x v="1702"/>
    <n v="155.02000000000001"/>
    <n v="155.46"/>
    <n v="3798865"/>
    <x v="3"/>
    <s v="Johnson &amp; Johnson"/>
    <x v="2"/>
    <n v="0.4"/>
    <x v="11"/>
    <x v="0"/>
    <s v="December"/>
    <s v="Profit"/>
    <n v="1.5099999999999909"/>
    <n v="-12.319000000000019"/>
  </r>
  <r>
    <s v="2023-12-26"/>
    <n v="155"/>
    <x v="1703"/>
    <n v="154.85"/>
    <n v="156.13999999999999"/>
    <n v="4170190"/>
    <x v="3"/>
    <s v="Johnson &amp; Johnson"/>
    <x v="2"/>
    <n v="0.437"/>
    <x v="11"/>
    <x v="0"/>
    <s v="December"/>
    <s v="Profit"/>
    <n v="1.5"/>
    <n v="-11.882000000000019"/>
  </r>
  <r>
    <s v="2023-12-27"/>
    <n v="155.5"/>
    <x v="1704"/>
    <n v="155.41999999999999"/>
    <n v="156.35"/>
    <n v="5288101"/>
    <x v="3"/>
    <s v="Johnson &amp; Johnson"/>
    <x v="2"/>
    <n v="0.13400000000000001"/>
    <x v="11"/>
    <x v="0"/>
    <s v="December"/>
    <s v="Profit"/>
    <n v="1.1000000000000227"/>
    <n v="-11.748000000000019"/>
  </r>
  <r>
    <s v="2023-12-28"/>
    <n v="156"/>
    <x v="1705"/>
    <n v="155.99"/>
    <n v="156.58000000000001"/>
    <n v="4377535"/>
    <x v="3"/>
    <s v="Johnson &amp; Johnson"/>
    <x v="2"/>
    <n v="0.14699999999999999"/>
    <x v="11"/>
    <x v="0"/>
    <s v="December"/>
    <s v="Profit"/>
    <n v="1.25"/>
    <n v="-11.601000000000019"/>
  </r>
  <r>
    <s v="2023-12-29"/>
    <n v="156.51"/>
    <x v="1507"/>
    <n v="155.97999999999999"/>
    <n v="156.74"/>
    <n v="4313691"/>
    <x v="3"/>
    <s v="Johnson &amp; Johnson"/>
    <x v="2"/>
    <n v="0.10199999999999999"/>
    <x v="11"/>
    <x v="0"/>
    <s v="December"/>
    <s v="Profit"/>
    <n v="0.92000000000001592"/>
    <n v="-11.499000000000018"/>
  </r>
  <r>
    <s v="2024-01-02"/>
    <n v="156.93"/>
    <x v="1706"/>
    <n v="156.79"/>
    <n v="159.97"/>
    <n v="9622108"/>
    <x v="3"/>
    <s v="Johnson &amp; Johnson"/>
    <x v="2"/>
    <n v="2.0609999999999999"/>
    <x v="12"/>
    <x v="1"/>
    <s v="January"/>
    <s v="Profit"/>
    <n v="4.849000000000018"/>
    <n v="-9.4380000000000184"/>
  </r>
  <r>
    <s v="2024-01-03"/>
    <n v="160.63999999999999"/>
    <x v="1707"/>
    <n v="159.80000000000001"/>
    <n v="160.97"/>
    <n v="8231987"/>
    <x v="3"/>
    <s v="Johnson &amp; Johnson"/>
    <x v="2"/>
    <n v="0.625"/>
    <x v="12"/>
    <x v="1"/>
    <s v="January"/>
    <s v="Profit"/>
    <n v="1.6399999999999864"/>
    <n v="-8.8130000000000184"/>
  </r>
  <r>
    <s v="2024-01-04"/>
    <n v="161.59"/>
    <x v="1500"/>
    <n v="160.41999999999999"/>
    <n v="160.63"/>
    <n v="6766641"/>
    <x v="3"/>
    <s v="Johnson &amp; Johnson"/>
    <x v="2"/>
    <n v="-0.21099999999999999"/>
    <x v="12"/>
    <x v="1"/>
    <s v="January"/>
    <s v="Loss"/>
    <n v="1.5600000000000023"/>
    <n v="-9.0240000000000187"/>
  </r>
  <r>
    <s v="2024-01-05"/>
    <n v="160.5"/>
    <x v="1708"/>
    <n v="159.47"/>
    <n v="161.13"/>
    <n v="5602564"/>
    <x v="3"/>
    <s v="Johnson &amp; Johnson"/>
    <x v="2"/>
    <n v="0.311"/>
    <x v="12"/>
    <x v="1"/>
    <s v="January"/>
    <s v="Profit"/>
    <n v="1.8700000000000045"/>
    <n v="-8.7130000000000187"/>
  </r>
  <r>
    <s v="2024-01-08"/>
    <n v="161.1"/>
    <x v="1709"/>
    <n v="159.61000000000001"/>
    <n v="161.53"/>
    <n v="6569810"/>
    <x v="3"/>
    <s v="Johnson &amp; Johnson"/>
    <x v="2"/>
    <n v="0.248"/>
    <x v="12"/>
    <x v="1"/>
    <s v="January"/>
    <s v="Profit"/>
    <n v="2.0499999999999829"/>
    <n v="-8.4650000000000194"/>
  </r>
  <r>
    <s v="2024-01-09"/>
    <n v="161.63"/>
    <x v="1710"/>
    <n v="160.595"/>
    <n v="161.63"/>
    <n v="6357014"/>
    <x v="3"/>
    <s v="Johnson &amp; Johnson"/>
    <x v="2"/>
    <n v="6.2E-2"/>
    <x v="12"/>
    <x v="1"/>
    <s v="January"/>
    <s v="Profit"/>
    <n v="2.6850000000000023"/>
    <n v="-8.40300000000002"/>
  </r>
  <r>
    <s v="2024-01-10"/>
    <n v="161.82499999999999"/>
    <x v="1711"/>
    <n v="161.19999999999999"/>
    <n v="161.87"/>
    <n v="4945088"/>
    <x v="3"/>
    <s v="Johnson &amp; Johnson"/>
    <x v="2"/>
    <n v="0.14799999999999999"/>
    <x v="12"/>
    <x v="1"/>
    <s v="January"/>
    <s v="Profit"/>
    <n v="1.4200000000000159"/>
    <n v="-8.2550000000000203"/>
  </r>
  <r>
    <s v="2024-01-11"/>
    <n v="162.07"/>
    <x v="1712"/>
    <n v="160.78"/>
    <n v="161.15"/>
    <n v="4946015"/>
    <x v="3"/>
    <s v="Johnson &amp; Johnson"/>
    <x v="2"/>
    <n v="-0.44500000000000001"/>
    <x v="12"/>
    <x v="1"/>
    <s v="January"/>
    <s v="Loss"/>
    <n v="1.4190000000000111"/>
    <n v="-8.7000000000000206"/>
  </r>
  <r>
    <s v="2024-01-12"/>
    <n v="161.84"/>
    <x v="1713"/>
    <n v="161.69"/>
    <n v="162.38999999999999"/>
    <n v="4496942"/>
    <x v="3"/>
    <s v="Johnson &amp; Johnson"/>
    <x v="2"/>
    <n v="0.76900000000000002"/>
    <x v="12"/>
    <x v="1"/>
    <s v="January"/>
    <s v="Profit"/>
    <n v="0.78000000000000114"/>
    <n v="-7.9310000000000205"/>
  </r>
  <r>
    <s v="2024-01-16"/>
    <n v="161.57"/>
    <x v="1714"/>
    <n v="160.18"/>
    <n v="160.52000000000001"/>
    <n v="6923174"/>
    <x v="3"/>
    <s v="Johnson &amp; Johnson"/>
    <x v="2"/>
    <n v="-1.1519999999999999"/>
    <x v="12"/>
    <x v="1"/>
    <s v="January"/>
    <s v="Loss"/>
    <n v="2.0699999999999932"/>
    <n v="-9.0830000000000197"/>
  </r>
  <r>
    <s v="2024-01-17"/>
    <n v="160.25"/>
    <x v="1715"/>
    <n v="159.87"/>
    <n v="160.43"/>
    <n v="5072104"/>
    <x v="3"/>
    <s v="Johnson &amp; Johnson"/>
    <x v="2"/>
    <n v="-5.6000000000000001E-2"/>
    <x v="12"/>
    <x v="1"/>
    <s v="January"/>
    <s v="Loss"/>
    <n v="1.4300000000000068"/>
    <n v="-9.1390000000000189"/>
  </r>
  <r>
    <s v="2024-01-18"/>
    <n v="160"/>
    <x v="1716"/>
    <n v="159.69"/>
    <n v="161.21"/>
    <n v="5368502"/>
    <x v="3"/>
    <s v="Johnson &amp; Johnson"/>
    <x v="2"/>
    <n v="0.48599999999999999"/>
    <x v="12"/>
    <x v="1"/>
    <s v="January"/>
    <s v="Profit"/>
    <n v="1.6800000000000068"/>
    <n v="-8.6530000000000182"/>
  </r>
  <r>
    <s v="2024-01-19"/>
    <n v="161.15"/>
    <x v="1717"/>
    <n v="160.28"/>
    <n v="161.68"/>
    <n v="7071320"/>
    <x v="3"/>
    <s v="Johnson &amp; Johnson"/>
    <x v="2"/>
    <n v="0.29199999999999998"/>
    <x v="12"/>
    <x v="1"/>
    <s v="January"/>
    <s v="Profit"/>
    <n v="1.6430000000000007"/>
    <n v="-8.3610000000000184"/>
  </r>
  <r>
    <s v="2024-01-22"/>
    <n v="162"/>
    <x v="1718"/>
    <n v="161.34"/>
    <n v="162.47"/>
    <n v="6824156"/>
    <x v="3"/>
    <s v="Johnson &amp; Johnson"/>
    <x v="2"/>
    <n v="0.48899999999999999"/>
    <x v="12"/>
    <x v="1"/>
    <s v="January"/>
    <s v="Profit"/>
    <n v="2.2400000000000091"/>
    <n v="-7.8720000000000185"/>
  </r>
  <r>
    <s v="2024-01-23"/>
    <n v="159.66"/>
    <x v="1719"/>
    <n v="156.91"/>
    <n v="159.81"/>
    <n v="9149777"/>
    <x v="3"/>
    <s v="Johnson &amp; Johnson"/>
    <x v="2"/>
    <n v="-1.637"/>
    <x v="12"/>
    <x v="1"/>
    <s v="January"/>
    <s v="Loss"/>
    <n v="3.5970000000000084"/>
    <n v="-9.5090000000000181"/>
  </r>
  <r>
    <s v="2024-01-24"/>
    <n v="159.75"/>
    <x v="1720"/>
    <n v="158.16"/>
    <n v="158.96"/>
    <n v="7247926"/>
    <x v="3"/>
    <s v="Johnson &amp; Johnson"/>
    <x v="2"/>
    <n v="-0.53200000000000003"/>
    <x v="12"/>
    <x v="1"/>
    <s v="January"/>
    <s v="Loss"/>
    <n v="2.4399999999999977"/>
    <n v="-10.041000000000018"/>
  </r>
  <r>
    <s v="2024-01-25"/>
    <n v="159"/>
    <x v="1721"/>
    <n v="158.47"/>
    <n v="159.56"/>
    <n v="5478898"/>
    <x v="3"/>
    <s v="Johnson &amp; Johnson"/>
    <x v="2"/>
    <n v="0.377"/>
    <x v="12"/>
    <x v="1"/>
    <s v="January"/>
    <s v="Profit"/>
    <n v="1.1500000000000057"/>
    <n v="-9.6640000000000175"/>
  </r>
  <r>
    <s v="2024-01-26"/>
    <n v="160.43"/>
    <x v="1722"/>
    <n v="159.36000000000001"/>
    <n v="159.5"/>
    <n v="5591930"/>
    <x v="3"/>
    <s v="Johnson &amp; Johnson"/>
    <x v="2"/>
    <n v="-3.7999999999999999E-2"/>
    <x v="12"/>
    <x v="1"/>
    <s v="January"/>
    <s v="Loss"/>
    <n v="1.3799999999999955"/>
    <n v="-9.7020000000000177"/>
  </r>
  <r>
    <s v="2024-01-29"/>
    <n v="159.01"/>
    <x v="1723"/>
    <n v="158.96"/>
    <n v="159.36000000000001"/>
    <n v="6483190"/>
    <x v="3"/>
    <s v="Johnson &amp; Johnson"/>
    <x v="2"/>
    <n v="-8.7999999999999995E-2"/>
    <x v="12"/>
    <x v="1"/>
    <s v="January"/>
    <s v="Loss"/>
    <n v="1.1099999999999852"/>
    <n v="-9.7900000000000169"/>
  </r>
  <r>
    <s v="2024-01-30"/>
    <n v="159.35"/>
    <x v="762"/>
    <n v="158.13"/>
    <n v="158.77000000000001"/>
    <n v="7200538"/>
    <x v="3"/>
    <s v="Johnson &amp; Johnson"/>
    <x v="2"/>
    <n v="-0.37"/>
    <x v="12"/>
    <x v="1"/>
    <s v="January"/>
    <s v="Loss"/>
    <n v="1.6299999999999955"/>
    <n v="-10.160000000000016"/>
  </r>
  <r>
    <s v="2024-01-31"/>
    <n v="160.4"/>
    <x v="1724"/>
    <n v="158.66999999999999"/>
    <n v="158.9"/>
    <n v="8257029"/>
    <x v="3"/>
    <s v="Johnson &amp; Johnson"/>
    <x v="2"/>
    <n v="8.2000000000000003E-2"/>
    <x v="12"/>
    <x v="1"/>
    <s v="January"/>
    <s v="Profit"/>
    <n v="1.9500000000000171"/>
    <n v="-10.078000000000015"/>
  </r>
  <r>
    <s v="2024-02-01"/>
    <n v="158.16"/>
    <x v="1725"/>
    <n v="157.05000000000001"/>
    <n v="158.36000000000001"/>
    <n v="8012122"/>
    <x v="3"/>
    <s v="Johnson &amp; Johnson"/>
    <x v="2"/>
    <n v="-0.34"/>
    <x v="13"/>
    <x v="1"/>
    <s v="February"/>
    <s v="Loss"/>
    <n v="1.4399999999999977"/>
    <n v="-10.418000000000015"/>
  </r>
  <r>
    <s v="2024-02-02"/>
    <n v="157.97"/>
    <x v="1726"/>
    <n v="155.94"/>
    <n v="156.61000000000001"/>
    <n v="8295916"/>
    <x v="3"/>
    <s v="Johnson &amp; Johnson"/>
    <x v="2"/>
    <n v="-1.105"/>
    <x v="13"/>
    <x v="1"/>
    <s v="February"/>
    <s v="Loss"/>
    <n v="2.3700000000000045"/>
    <n v="-11.523000000000016"/>
  </r>
  <r>
    <s v="2024-02-05"/>
    <n v="156.61000000000001"/>
    <x v="1727"/>
    <n v="155.34"/>
    <n v="155.80000000000001"/>
    <n v="9121808"/>
    <x v="3"/>
    <s v="Johnson &amp; Johnson"/>
    <x v="2"/>
    <n v="-0.51700000000000002"/>
    <x v="13"/>
    <x v="1"/>
    <s v="February"/>
    <s v="Loss"/>
    <n v="1.5499999999999829"/>
    <n v="-12.040000000000015"/>
  </r>
  <r>
    <s v="2024-02-06"/>
    <n v="155.83000000000001"/>
    <x v="1728"/>
    <n v="155.6"/>
    <n v="158.06"/>
    <n v="9230611"/>
    <x v="3"/>
    <s v="Johnson &amp; Johnson"/>
    <x v="2"/>
    <n v="1.4510000000000001"/>
    <x v="13"/>
    <x v="1"/>
    <s v="February"/>
    <s v="Profit"/>
    <n v="3.1299999999999955"/>
    <n v="-10.589000000000015"/>
  </r>
  <r>
    <s v="2024-02-07"/>
    <n v="157.80000000000001"/>
    <x v="1729"/>
    <n v="157.69"/>
    <n v="157.97999999999999"/>
    <n v="8690294"/>
    <x v="3"/>
    <s v="Johnson &amp; Johnson"/>
    <x v="2"/>
    <n v="-5.0999999999999997E-2"/>
    <x v="13"/>
    <x v="1"/>
    <s v="February"/>
    <s v="Loss"/>
    <n v="1.6800000000000068"/>
    <n v="-10.640000000000015"/>
  </r>
  <r>
    <s v="2024-02-08"/>
    <n v="157.34"/>
    <x v="1730"/>
    <n v="155.31"/>
    <n v="156.4"/>
    <n v="9754960"/>
    <x v="3"/>
    <s v="Johnson &amp; Johnson"/>
    <x v="2"/>
    <n v="-1"/>
    <x v="13"/>
    <x v="1"/>
    <s v="February"/>
    <s v="Loss"/>
    <n v="2.0300000000000011"/>
    <n v="-11.640000000000015"/>
  </r>
  <r>
    <s v="2024-02-09"/>
    <n v="156.27000000000001"/>
    <x v="1731"/>
    <n v="155.66999999999999"/>
    <n v="156.76"/>
    <n v="6529202"/>
    <x v="3"/>
    <s v="Johnson &amp; Johnson"/>
    <x v="2"/>
    <n v="0.23"/>
    <x v="13"/>
    <x v="1"/>
    <s v="February"/>
    <s v="Profit"/>
    <n v="1.5300000000000011"/>
    <n v="-11.410000000000014"/>
  </r>
  <r>
    <s v="2024-02-12"/>
    <n v="156.58000000000001"/>
    <x v="1732"/>
    <n v="156.35"/>
    <n v="157.85"/>
    <n v="6701508"/>
    <x v="3"/>
    <s v="Johnson &amp; Johnson"/>
    <x v="2"/>
    <n v="0.69499999999999995"/>
    <x v="13"/>
    <x v="1"/>
    <s v="February"/>
    <s v="Profit"/>
    <n v="2.0600000000000023"/>
    <n v="-10.715000000000014"/>
  </r>
  <r>
    <s v="2024-02-13"/>
    <n v="157.63999999999999"/>
    <x v="1733"/>
    <n v="155.75"/>
    <n v="156.47"/>
    <n v="8621022"/>
    <x v="3"/>
    <s v="Johnson &amp; Johnson"/>
    <x v="2"/>
    <n v="-0.874"/>
    <x v="13"/>
    <x v="1"/>
    <s v="February"/>
    <s v="Loss"/>
    <n v="2.6999999999999886"/>
    <n v="-11.589000000000015"/>
  </r>
  <r>
    <s v="2024-02-14"/>
    <n v="156.35"/>
    <x v="1734"/>
    <n v="154.84"/>
    <n v="155.74"/>
    <n v="9098805"/>
    <x v="3"/>
    <s v="Johnson &amp; Johnson"/>
    <x v="2"/>
    <n v="-0.46700000000000003"/>
    <x v="13"/>
    <x v="1"/>
    <s v="February"/>
    <s v="Loss"/>
    <n v="1.6200000000000045"/>
    <n v="-12.056000000000015"/>
  </r>
  <r>
    <s v="2024-02-15"/>
    <n v="155.97999999999999"/>
    <x v="1735"/>
    <n v="155.88999999999999"/>
    <n v="157.91999999999999"/>
    <n v="7462529"/>
    <x v="3"/>
    <s v="Johnson &amp; Johnson"/>
    <x v="2"/>
    <n v="1.4"/>
    <x v="13"/>
    <x v="1"/>
    <s v="February"/>
    <s v="Profit"/>
    <n v="2.585000000000008"/>
    <n v="-10.656000000000015"/>
  </r>
  <r>
    <s v="2024-02-16"/>
    <n v="156.6"/>
    <x v="1736"/>
    <n v="155.66999999999999"/>
    <n v="156.55000000000001"/>
    <n v="8540961"/>
    <x v="3"/>
    <s v="Johnson &amp; Johnson"/>
    <x v="2"/>
    <n v="-0.86799999999999999"/>
    <x v="13"/>
    <x v="1"/>
    <s v="February"/>
    <s v="Loss"/>
    <n v="1.585000000000008"/>
    <n v="-11.524000000000015"/>
  </r>
  <r>
    <s v="2024-02-20"/>
    <n v="156.56"/>
    <x v="1737"/>
    <n v="156.44"/>
    <n v="157.86000000000001"/>
    <n v="9501742"/>
    <x v="3"/>
    <s v="Johnson &amp; Johnson"/>
    <x v="2"/>
    <n v="0.83699999999999997"/>
    <x v="13"/>
    <x v="1"/>
    <s v="February"/>
    <s v="Profit"/>
    <n v="2.1700000000000159"/>
    <n v="-10.687000000000015"/>
  </r>
  <r>
    <s v="2024-02-21"/>
    <n v="158.02000000000001"/>
    <x v="1738"/>
    <n v="157.131"/>
    <n v="158.68"/>
    <n v="7473300"/>
    <x v="3"/>
    <s v="Johnson &amp; Johnson"/>
    <x v="2"/>
    <n v="0.51900000000000002"/>
    <x v="13"/>
    <x v="1"/>
    <s v="February"/>
    <s v="Profit"/>
    <n v="1.5589999999999975"/>
    <n v="-10.168000000000015"/>
  </r>
  <r>
    <s v="2024-02-22"/>
    <n v="158.97999999999999"/>
    <x v="1722"/>
    <n v="157.77000000000001"/>
    <n v="160.44999999999999"/>
    <n v="8065010"/>
    <x v="3"/>
    <s v="Johnson &amp; Johnson"/>
    <x v="2"/>
    <n v="1.115"/>
    <x v="13"/>
    <x v="1"/>
    <s v="February"/>
    <s v="Profit"/>
    <n v="2.9699999999999989"/>
    <n v="-9.053000000000015"/>
  </r>
  <r>
    <s v="2024-02-23"/>
    <n v="160.88"/>
    <x v="1714"/>
    <n v="160.16"/>
    <n v="161.84"/>
    <n v="6725963"/>
    <x v="3"/>
    <s v="Johnson &amp; Johnson"/>
    <x v="2"/>
    <n v="0.86599999999999999"/>
    <x v="13"/>
    <x v="1"/>
    <s v="February"/>
    <s v="Profit"/>
    <n v="2.0900000000000034"/>
    <n v="-8.1870000000000154"/>
  </r>
  <r>
    <s v="2024-02-26"/>
    <n v="161.80000000000001"/>
    <x v="1739"/>
    <n v="160.57"/>
    <n v="160.79"/>
    <n v="5465417"/>
    <x v="3"/>
    <s v="Johnson &amp; Johnson"/>
    <x v="2"/>
    <n v="-0.64900000000000002"/>
    <x v="13"/>
    <x v="1"/>
    <s v="February"/>
    <s v="Loss"/>
    <n v="1.4399999999999977"/>
    <n v="-8.8360000000000163"/>
  </r>
  <r>
    <s v="2024-02-27"/>
    <n v="160.34"/>
    <x v="1591"/>
    <n v="159.63999999999999"/>
    <n v="160.97999999999999"/>
    <n v="5078650"/>
    <x v="3"/>
    <s v="Johnson &amp; Johnson"/>
    <x v="2"/>
    <n v="0.11799999999999999"/>
    <x v="13"/>
    <x v="1"/>
    <s v="February"/>
    <s v="Profit"/>
    <n v="1.4000000000000057"/>
    <n v="-8.718000000000016"/>
  </r>
  <r>
    <s v="2024-02-28"/>
    <n v="161"/>
    <x v="1740"/>
    <n v="160.29"/>
    <n v="161.55000000000001"/>
    <n v="6071076"/>
    <x v="3"/>
    <s v="Johnson &amp; Johnson"/>
    <x v="2"/>
    <n v="0.35399999999999998"/>
    <x v="13"/>
    <x v="1"/>
    <s v="February"/>
    <s v="Profit"/>
    <n v="1.3200000000000216"/>
    <n v="-8.3640000000000168"/>
  </r>
  <r>
    <s v="2024-02-29"/>
    <n v="162"/>
    <x v="1556"/>
    <n v="160.94"/>
    <n v="161.38"/>
    <n v="9849270"/>
    <x v="3"/>
    <s v="Johnson &amp; Johnson"/>
    <x v="2"/>
    <n v="-0.105"/>
    <x v="13"/>
    <x v="1"/>
    <s v="February"/>
    <s v="Loss"/>
    <n v="1.25"/>
    <n v="-8.4690000000000172"/>
  </r>
  <r>
    <s v="2024-03-01"/>
    <n v="161.83000000000001"/>
    <x v="1553"/>
    <n v="161.09"/>
    <n v="162.12"/>
    <n v="5670135"/>
    <x v="3"/>
    <s v="Johnson &amp; Johnson"/>
    <x v="2"/>
    <n v="0.45900000000000002"/>
    <x v="14"/>
    <x v="1"/>
    <s v="March"/>
    <s v="Profit"/>
    <n v="1.4799999999999898"/>
    <n v="-8.0100000000000176"/>
  </r>
  <r>
    <s v="2024-03-04"/>
    <n v="161.32"/>
    <x v="1740"/>
    <n v="158.27000000000001"/>
    <n v="159.84"/>
    <n v="8533083"/>
    <x v="3"/>
    <s v="Johnson &amp; Johnson"/>
    <x v="2"/>
    <n v="-1.4059999999999999"/>
    <x v="14"/>
    <x v="1"/>
    <s v="March"/>
    <s v="Loss"/>
    <n v="3.3400000000000034"/>
    <n v="-9.4160000000000181"/>
  </r>
  <r>
    <s v="2024-03-05"/>
    <n v="160.62"/>
    <x v="1741"/>
    <n v="159.19999999999999"/>
    <n v="159.97"/>
    <n v="8298182"/>
    <x v="3"/>
    <s v="Johnson &amp; Johnson"/>
    <x v="2"/>
    <n v="8.1000000000000003E-2"/>
    <x v="14"/>
    <x v="1"/>
    <s v="March"/>
    <s v="Profit"/>
    <n v="2.0400000000000205"/>
    <n v="-9.3350000000000186"/>
  </r>
  <r>
    <s v="2024-03-06"/>
    <n v="159.46"/>
    <x v="1742"/>
    <n v="159.22"/>
    <n v="159.34"/>
    <n v="5773683"/>
    <x v="3"/>
    <s v="Johnson &amp; Johnson"/>
    <x v="2"/>
    <n v="-0.39400000000000002"/>
    <x v="14"/>
    <x v="1"/>
    <s v="March"/>
    <s v="Loss"/>
    <n v="1.710000000000008"/>
    <n v="-9.7290000000000187"/>
  </r>
  <r>
    <s v="2024-03-07"/>
    <n v="160"/>
    <x v="1641"/>
    <n v="158.24"/>
    <n v="158.87"/>
    <n v="5188726"/>
    <x v="3"/>
    <s v="Johnson &amp; Johnson"/>
    <x v="2"/>
    <n v="-0.29499999999999998"/>
    <x v="14"/>
    <x v="1"/>
    <s v="March"/>
    <s v="Loss"/>
    <n v="2.1200000000000045"/>
    <n v="-10.024000000000019"/>
  </r>
  <r>
    <s v="2024-03-08"/>
    <n v="158.87"/>
    <x v="1743"/>
    <n v="158.42500000000001"/>
    <n v="159.52000000000001"/>
    <n v="5283951"/>
    <x v="3"/>
    <s v="Johnson &amp; Johnson"/>
    <x v="2"/>
    <n v="0.40899999999999997"/>
    <x v="14"/>
    <x v="1"/>
    <s v="March"/>
    <s v="Profit"/>
    <n v="1.964999999999975"/>
    <n v="-9.615000000000018"/>
  </r>
  <r>
    <s v="2024-03-11"/>
    <n v="159.49"/>
    <x v="1744"/>
    <n v="158.88"/>
    <n v="161.22999999999999"/>
    <n v="4620826"/>
    <x v="3"/>
    <s v="Johnson &amp; Johnson"/>
    <x v="2"/>
    <n v="1.0720000000000001"/>
    <x v="14"/>
    <x v="1"/>
    <s v="March"/>
    <s v="Profit"/>
    <n v="2.4399999999999977"/>
    <n v="-8.543000000000017"/>
  </r>
  <r>
    <s v="2024-03-12"/>
    <n v="161.58000000000001"/>
    <x v="1745"/>
    <n v="161.13"/>
    <n v="162.74"/>
    <n v="8018736"/>
    <x v="3"/>
    <s v="Johnson &amp; Johnson"/>
    <x v="2"/>
    <n v="0.93700000000000006"/>
    <x v="14"/>
    <x v="1"/>
    <s v="March"/>
    <s v="Profit"/>
    <n v="1.9800000000000182"/>
    <n v="-7.6060000000000167"/>
  </r>
  <r>
    <s v="2024-03-13"/>
    <n v="162.53"/>
    <x v="1541"/>
    <n v="159.81"/>
    <n v="161.1"/>
    <n v="6260000"/>
    <x v="3"/>
    <s v="Johnson &amp; Johnson"/>
    <x v="2"/>
    <n v="-1.008"/>
    <x v="14"/>
    <x v="1"/>
    <s v="March"/>
    <s v="Loss"/>
    <n v="2.8700000000000045"/>
    <n v="-8.6140000000000168"/>
  </r>
  <r>
    <s v="2024-03-14"/>
    <n v="160.94"/>
    <x v="1746"/>
    <n v="158.69"/>
    <n v="159.21"/>
    <n v="6988264"/>
    <x v="3"/>
    <s v="Johnson &amp; Johnson"/>
    <x v="2"/>
    <n v="-1.173"/>
    <x v="14"/>
    <x v="1"/>
    <s v="March"/>
    <s v="Loss"/>
    <n v="2.8499999999999943"/>
    <n v="-9.7870000000000168"/>
  </r>
  <r>
    <s v="2024-03-15"/>
    <n v="158.06"/>
    <x v="1747"/>
    <n v="157.1"/>
    <n v="158.18"/>
    <n v="13165500"/>
    <x v="3"/>
    <s v="Johnson &amp; Johnson"/>
    <x v="2"/>
    <n v="-0.64700000000000002"/>
    <x v="14"/>
    <x v="1"/>
    <s v="March"/>
    <s v="Loss"/>
    <n v="2.0900000000000034"/>
    <n v="-10.434000000000017"/>
  </r>
  <r>
    <s v="2024-03-18"/>
    <n v="158.57"/>
    <x v="1738"/>
    <n v="156.5"/>
    <n v="156.76"/>
    <n v="6602255"/>
    <x v="3"/>
    <s v="Johnson &amp; Johnson"/>
    <x v="2"/>
    <n v="-0.89800000000000002"/>
    <x v="14"/>
    <x v="1"/>
    <s v="March"/>
    <s v="Loss"/>
    <n v="2.1899999999999977"/>
    <n v="-11.332000000000017"/>
  </r>
  <r>
    <s v="2024-03-19"/>
    <n v="156.66999999999999"/>
    <x v="1748"/>
    <n v="155.66"/>
    <n v="156.21"/>
    <n v="7840624"/>
    <x v="3"/>
    <s v="Johnson &amp; Johnson"/>
    <x v="2"/>
    <n v="-0.35099999999999998"/>
    <x v="14"/>
    <x v="1"/>
    <s v="March"/>
    <s v="Loss"/>
    <n v="1.2000000000000171"/>
    <n v="-11.683000000000018"/>
  </r>
  <r>
    <s v="2024-03-20"/>
    <n v="155.69999999999999"/>
    <x v="1698"/>
    <n v="155.21"/>
    <n v="155.76"/>
    <n v="5982304"/>
    <x v="3"/>
    <s v="Johnson &amp; Johnson"/>
    <x v="2"/>
    <n v="-0.28799999999999998"/>
    <x v="14"/>
    <x v="1"/>
    <s v="March"/>
    <s v="Loss"/>
    <n v="1.2299999999999898"/>
    <n v="-11.971000000000018"/>
  </r>
  <r>
    <s v="2024-03-21"/>
    <n v="155.59"/>
    <x v="1749"/>
    <n v="155.1"/>
    <n v="155.75"/>
    <n v="5915777"/>
    <x v="3"/>
    <s v="Johnson &amp; Johnson"/>
    <x v="2"/>
    <n v="-6.0000000000000001E-3"/>
    <x v="14"/>
    <x v="1"/>
    <s v="March"/>
    <s v="Loss"/>
    <n v="1.8499999999999943"/>
    <n v="-11.977000000000018"/>
  </r>
  <r>
    <s v="2024-03-22"/>
    <n v="155.69"/>
    <x v="1750"/>
    <n v="155.11000000000001"/>
    <n v="155.22999999999999"/>
    <n v="7248622"/>
    <x v="3"/>
    <s v="Johnson &amp; Johnson"/>
    <x v="2"/>
    <n v="-0.33400000000000002"/>
    <x v="14"/>
    <x v="1"/>
    <s v="March"/>
    <s v="Loss"/>
    <n v="1.25"/>
    <n v="-12.311000000000018"/>
  </r>
  <r>
    <s v="2024-03-25"/>
    <n v="155.4"/>
    <x v="1751"/>
    <n v="154.9"/>
    <n v="155.22"/>
    <n v="7498100"/>
    <x v="3"/>
    <s v="Johnson &amp; Johnson"/>
    <x v="2"/>
    <n v="-6.0000000000000001E-3"/>
    <x v="14"/>
    <x v="1"/>
    <s v="March"/>
    <s v="Loss"/>
    <n v="1.0840000000000032"/>
    <n v="-12.317000000000018"/>
  </r>
  <r>
    <s v="2024-03-26"/>
    <n v="155.61000000000001"/>
    <x v="1752"/>
    <n v="154.76"/>
    <n v="155.77000000000001"/>
    <n v="6864099"/>
    <x v="3"/>
    <s v="Johnson &amp; Johnson"/>
    <x v="2"/>
    <n v="0.35399999999999998"/>
    <x v="14"/>
    <x v="1"/>
    <s v="March"/>
    <s v="Profit"/>
    <n v="1.4699999999999989"/>
    <n v="-11.963000000000019"/>
  </r>
  <r>
    <s v="2024-03-27"/>
    <n v="155.99"/>
    <x v="1753"/>
    <n v="155.44"/>
    <n v="157.96"/>
    <n v="8461600"/>
    <x v="3"/>
    <s v="Johnson &amp; Johnson"/>
    <x v="2"/>
    <n v="1.4059999999999999"/>
    <x v="14"/>
    <x v="1"/>
    <s v="March"/>
    <s v="Profit"/>
    <n v="2.7800000000000011"/>
    <n v="-10.557000000000018"/>
  </r>
  <r>
    <s v="2024-03-28"/>
    <n v="158.19999999999999"/>
    <x v="1563"/>
    <n v="158.11000000000001"/>
    <n v="158.19"/>
    <n v="6181503"/>
    <x v="3"/>
    <s v="Johnson &amp; Johnson"/>
    <x v="2"/>
    <n v="0.14599999999999999"/>
    <x v="14"/>
    <x v="1"/>
    <s v="March"/>
    <s v="Profit"/>
    <n v="1.0299999999999727"/>
    <n v="-10.411000000000017"/>
  </r>
  <r>
    <s v="2024-04-01"/>
    <n v="157.72"/>
    <x v="1754"/>
    <n v="156.77000000000001"/>
    <n v="157.78"/>
    <n v="4364699"/>
    <x v="3"/>
    <s v="Johnson &amp; Johnson"/>
    <x v="2"/>
    <n v="-0.25900000000000001"/>
    <x v="15"/>
    <x v="1"/>
    <s v="April"/>
    <s v="Loss"/>
    <n v="1.3799999999999955"/>
    <n v="-10.670000000000018"/>
  </r>
  <r>
    <s v="2024-04-02"/>
    <n v="156.57"/>
    <x v="1755"/>
    <n v="155.94999999999999"/>
    <n v="157.72999999999999"/>
    <n v="6102497"/>
    <x v="3"/>
    <s v="Johnson &amp; Johnson"/>
    <x v="2"/>
    <n v="-3.2000000000000001E-2"/>
    <x v="15"/>
    <x v="1"/>
    <s v="April"/>
    <s v="Loss"/>
    <n v="1.8800000000000239"/>
    <n v="-10.702000000000018"/>
  </r>
  <r>
    <s v="2024-04-03"/>
    <n v="157.79"/>
    <x v="56"/>
    <n v="154.25"/>
    <n v="154.26"/>
    <n v="8098242"/>
    <x v="3"/>
    <s v="Johnson &amp; Johnson"/>
    <x v="2"/>
    <n v="-2.2000000000000002"/>
    <x v="15"/>
    <x v="1"/>
    <s v="April"/>
    <s v="Loss"/>
    <n v="3.8000000000000114"/>
    <n v="-12.902000000000019"/>
  </r>
  <r>
    <s v="2024-04-04"/>
    <n v="155.31"/>
    <x v="1756"/>
    <n v="152.41"/>
    <n v="152.5"/>
    <n v="6947423"/>
    <x v="3"/>
    <s v="Johnson &amp; Johnson"/>
    <x v="2"/>
    <n v="-1.141"/>
    <x v="15"/>
    <x v="1"/>
    <s v="April"/>
    <s v="Loss"/>
    <n v="3.0900000000000034"/>
    <n v="-14.043000000000019"/>
  </r>
  <r>
    <s v="2024-04-05"/>
    <n v="152.03"/>
    <x v="1757"/>
    <n v="151.61000000000001"/>
    <n v="152.38999999999999"/>
    <n v="6783020"/>
    <x v="3"/>
    <s v="Johnson &amp; Johnson"/>
    <x v="2"/>
    <n v="-7.1999999999999995E-2"/>
    <x v="15"/>
    <x v="1"/>
    <s v="April"/>
    <s v="Loss"/>
    <n v="1.3999999999999773"/>
    <n v="-14.115000000000018"/>
  </r>
  <r>
    <s v="2024-04-08"/>
    <n v="151.99"/>
    <x v="1758"/>
    <n v="151.56"/>
    <n v="151.59"/>
    <n v="5935415"/>
    <x v="3"/>
    <s v="Johnson &amp; Johnson"/>
    <x v="2"/>
    <n v="-0.52500000000000002"/>
    <x v="15"/>
    <x v="1"/>
    <s v="April"/>
    <s v="Loss"/>
    <n v="1.4749999999999943"/>
    <n v="-14.640000000000018"/>
  </r>
  <r>
    <s v="2024-04-09"/>
    <n v="151.55000000000001"/>
    <x v="1759"/>
    <n v="150.94"/>
    <n v="152.29"/>
    <n v="6135556"/>
    <x v="3"/>
    <s v="Johnson &amp; Johnson"/>
    <x v="2"/>
    <n v="0.46200000000000002"/>
    <x v="15"/>
    <x v="1"/>
    <s v="April"/>
    <s v="Profit"/>
    <n v="1.5900000000000034"/>
    <n v="-14.178000000000019"/>
  </r>
  <r>
    <s v="2024-04-10"/>
    <n v="151.53"/>
    <x v="1760"/>
    <n v="149.76"/>
    <n v="150.19999999999999"/>
    <n v="6809519"/>
    <x v="3"/>
    <s v="Johnson &amp; Johnson"/>
    <x v="2"/>
    <n v="-1.3720000000000001"/>
    <x v="15"/>
    <x v="1"/>
    <s v="April"/>
    <s v="Loss"/>
    <n v="2.0600000000000023"/>
    <n v="-15.550000000000018"/>
  </r>
  <r>
    <s v="2024-04-11"/>
    <n v="150.80000000000001"/>
    <x v="1761"/>
    <n v="148.38999999999999"/>
    <n v="148.79"/>
    <n v="8374434"/>
    <x v="3"/>
    <s v="Johnson &amp; Johnson"/>
    <x v="2"/>
    <n v="-0.93899999999999995"/>
    <x v="15"/>
    <x v="1"/>
    <s v="April"/>
    <s v="Loss"/>
    <n v="2.4800000000000182"/>
    <n v="-16.489000000000019"/>
  </r>
  <r>
    <s v="2024-04-12"/>
    <n v="148.06"/>
    <x v="1762"/>
    <n v="147.15"/>
    <n v="147.52000000000001"/>
    <n v="7100178"/>
    <x v="3"/>
    <s v="Johnson &amp; Johnson"/>
    <x v="2"/>
    <n v="-0.85399999999999998"/>
    <x v="15"/>
    <x v="1"/>
    <s v="April"/>
    <s v="Loss"/>
    <n v="1.914999999999992"/>
    <n v="-17.343000000000018"/>
  </r>
  <r>
    <s v="2024-04-15"/>
    <n v="148.37"/>
    <x v="1763"/>
    <n v="147.37"/>
    <n v="147.59"/>
    <n v="8502266"/>
    <x v="3"/>
    <s v="Johnson &amp; Johnson"/>
    <x v="2"/>
    <n v="4.7E-2"/>
    <x v="15"/>
    <x v="1"/>
    <s v="April"/>
    <s v="Profit"/>
    <n v="2.1200000000000045"/>
    <n v="-17.296000000000017"/>
  </r>
  <r>
    <s v="2024-04-16"/>
    <n v="145.01"/>
    <x v="1764"/>
    <n v="143.38999999999999"/>
    <n v="144.44999999999999"/>
    <n v="12774859"/>
    <x v="3"/>
    <s v="Johnson &amp; Johnson"/>
    <x v="2"/>
    <n v="-2.1280000000000001"/>
    <x v="15"/>
    <x v="1"/>
    <s v="April"/>
    <s v="Loss"/>
    <n v="2.8600000000000136"/>
    <n v="-19.424000000000017"/>
  </r>
  <r>
    <s v="2024-04-17"/>
    <n v="145"/>
    <x v="1765"/>
    <n v="143.54"/>
    <n v="144.77000000000001"/>
    <n v="9378059"/>
    <x v="3"/>
    <s v="Johnson &amp; Johnson"/>
    <x v="2"/>
    <n v="0.222"/>
    <x v="15"/>
    <x v="1"/>
    <s v="April"/>
    <s v="Profit"/>
    <n v="1.8700000000000045"/>
    <n v="-19.202000000000016"/>
  </r>
  <r>
    <s v="2024-04-18"/>
    <n v="144.97999999999999"/>
    <x v="1766"/>
    <n v="143.13"/>
    <n v="145.74"/>
    <n v="9887704"/>
    <x v="3"/>
    <s v="Johnson &amp; Johnson"/>
    <x v="2"/>
    <n v="0.67"/>
    <x v="15"/>
    <x v="1"/>
    <s v="April"/>
    <s v="Profit"/>
    <n v="2.6700000000000159"/>
    <n v="-18.532000000000014"/>
  </r>
  <r>
    <s v="2024-04-19"/>
    <n v="146.15"/>
    <x v="1767"/>
    <n v="144.55000000000001"/>
    <n v="147.91"/>
    <n v="9747587"/>
    <x v="3"/>
    <s v="Johnson &amp; Johnson"/>
    <x v="2"/>
    <n v="1.4890000000000001"/>
    <x v="15"/>
    <x v="1"/>
    <s v="April"/>
    <s v="Profit"/>
    <n v="3.5799999999999841"/>
    <n v="-17.043000000000013"/>
  </r>
  <r>
    <s v="2024-04-22"/>
    <n v="148.51"/>
    <x v="1768"/>
    <n v="147.30000000000001"/>
    <n v="149.12"/>
    <n v="10118694"/>
    <x v="3"/>
    <s v="Johnson &amp; Johnson"/>
    <x v="2"/>
    <n v="0.81799999999999995"/>
    <x v="15"/>
    <x v="1"/>
    <s v="April"/>
    <s v="Profit"/>
    <n v="2.9699999999999989"/>
    <n v="-16.225000000000012"/>
  </r>
  <r>
    <s v="2024-04-23"/>
    <n v="149.86000000000001"/>
    <x v="1769"/>
    <n v="148.19999999999999"/>
    <n v="149.56"/>
    <n v="10110442"/>
    <x v="3"/>
    <s v="Johnson &amp; Johnson"/>
    <x v="2"/>
    <n v="0.29499999999999998"/>
    <x v="15"/>
    <x v="1"/>
    <s v="April"/>
    <s v="Profit"/>
    <n v="2.2900000000000205"/>
    <n v="-15.930000000000012"/>
  </r>
  <r>
    <s v="2024-04-24"/>
    <n v="148.13999999999999"/>
    <x v="1770"/>
    <n v="146.86000000000001"/>
    <n v="148.53"/>
    <n v="9756259"/>
    <x v="3"/>
    <s v="Johnson &amp; Johnson"/>
    <x v="2"/>
    <n v="-0.68899999999999995"/>
    <x v="15"/>
    <x v="1"/>
    <s v="April"/>
    <s v="Loss"/>
    <n v="2.1299999999999955"/>
    <n v="-16.61900000000001"/>
  </r>
  <r>
    <s v="2024-04-25"/>
    <n v="149.37"/>
    <x v="1771"/>
    <n v="146.33000000000001"/>
    <n v="146.82"/>
    <n v="7642732"/>
    <x v="3"/>
    <s v="Johnson &amp; Johnson"/>
    <x v="2"/>
    <n v="-1.151"/>
    <x v="15"/>
    <x v="1"/>
    <s v="April"/>
    <s v="Loss"/>
    <n v="3.25"/>
    <n v="-17.77000000000001"/>
  </r>
  <r>
    <s v="2024-04-26"/>
    <n v="146.69999999999999"/>
    <x v="1772"/>
    <n v="145.94999999999999"/>
    <n v="146.13999999999999"/>
    <n v="6182982"/>
    <x v="3"/>
    <s v="Johnson &amp; Johnson"/>
    <x v="2"/>
    <n v="-0.46300000000000002"/>
    <x v="15"/>
    <x v="1"/>
    <s v="April"/>
    <s v="Loss"/>
    <n v="1.2250000000000227"/>
    <n v="-18.233000000000011"/>
  </r>
  <r>
    <s v="2024-04-29"/>
    <n v="146.13999999999999"/>
    <x v="1773"/>
    <n v="145.98500000000001"/>
    <n v="146.82"/>
    <n v="6461588"/>
    <x v="3"/>
    <s v="Johnson &amp; Johnson"/>
    <x v="2"/>
    <n v="0.46500000000000002"/>
    <x v="15"/>
    <x v="1"/>
    <s v="April"/>
    <s v="Profit"/>
    <n v="1.2349999999999852"/>
    <n v="-17.768000000000011"/>
  </r>
  <r>
    <s v="2024-04-30"/>
    <n v="146.88"/>
    <x v="1774"/>
    <n v="144.53"/>
    <n v="144.59"/>
    <n v="8817719"/>
    <x v="3"/>
    <s v="Johnson &amp; Johnson"/>
    <x v="2"/>
    <n v="-1.5189999999999999"/>
    <x v="15"/>
    <x v="1"/>
    <s v="April"/>
    <s v="Loss"/>
    <n v="2.3499999999999943"/>
    <n v="-19.28700000000001"/>
  </r>
  <r>
    <s v="2024-05-01"/>
    <n v="148.73500000000001"/>
    <x v="1775"/>
    <n v="147.62"/>
    <n v="151.18"/>
    <n v="14473711"/>
    <x v="3"/>
    <s v="Johnson &amp; Johnson"/>
    <x v="2"/>
    <n v="4.5579999999999998"/>
    <x v="16"/>
    <x v="1"/>
    <s v="May"/>
    <s v="Profit"/>
    <n v="4.2299999999999898"/>
    <n v="-14.72900000000001"/>
  </r>
  <r>
    <s v="2024-05-02"/>
    <n v="152.04"/>
    <x v="1776"/>
    <n v="149.13999999999999"/>
    <n v="149.91999999999999"/>
    <n v="8459796"/>
    <x v="3"/>
    <s v="Johnson &amp; Johnson"/>
    <x v="2"/>
    <n v="-0.83299999999999996"/>
    <x v="16"/>
    <x v="1"/>
    <s v="May"/>
    <s v="Loss"/>
    <n v="3.1900000000000261"/>
    <n v="-15.56200000000001"/>
  </r>
  <r>
    <s v="2024-05-03"/>
    <n v="149.88999999999999"/>
    <x v="1777"/>
    <n v="147.82"/>
    <n v="149.27000000000001"/>
    <n v="6532718"/>
    <x v="3"/>
    <s v="Johnson &amp; Johnson"/>
    <x v="2"/>
    <n v="-0.434"/>
    <x v="16"/>
    <x v="1"/>
    <s v="May"/>
    <s v="Loss"/>
    <n v="2.0699999999999932"/>
    <n v="-15.996000000000009"/>
  </r>
  <r>
    <s v="2024-05-06"/>
    <n v="149.87"/>
    <x v="1778"/>
    <n v="147.91"/>
    <n v="148.58000000000001"/>
    <n v="5042757"/>
    <x v="3"/>
    <s v="Johnson &amp; Johnson"/>
    <x v="2"/>
    <n v="-0.46200000000000002"/>
    <x v="16"/>
    <x v="1"/>
    <s v="May"/>
    <s v="Loss"/>
    <n v="2.1400000000000148"/>
    <n v="-16.458000000000009"/>
  </r>
  <r>
    <s v="2024-05-07"/>
    <n v="149.38"/>
    <x v="1779"/>
    <n v="148.44999999999999"/>
    <n v="148.72"/>
    <n v="7333730"/>
    <x v="3"/>
    <s v="Johnson &amp; Johnson"/>
    <x v="2"/>
    <n v="9.4E-2"/>
    <x v="16"/>
    <x v="1"/>
    <s v="May"/>
    <s v="Profit"/>
    <n v="1.2800000000000011"/>
    <n v="-16.364000000000008"/>
  </r>
  <r>
    <s v="2024-05-08"/>
    <n v="149.12"/>
    <x v="1779"/>
    <n v="148.69999999999999"/>
    <n v="148.94999999999999"/>
    <n v="7735148"/>
    <x v="3"/>
    <s v="Johnson &amp; Johnson"/>
    <x v="2"/>
    <n v="0.155"/>
    <x v="16"/>
    <x v="1"/>
    <s v="May"/>
    <s v="Profit"/>
    <n v="1.0300000000000011"/>
    <n v="-16.209000000000007"/>
  </r>
  <r>
    <s v="2024-05-09"/>
    <n v="148.97999999999999"/>
    <x v="1780"/>
    <n v="148.88999999999999"/>
    <n v="149.85"/>
    <n v="6546153"/>
    <x v="3"/>
    <s v="Johnson &amp; Johnson"/>
    <x v="2"/>
    <n v="0.60399999999999998"/>
    <x v="16"/>
    <x v="1"/>
    <s v="May"/>
    <s v="Profit"/>
    <n v="1.210000000000008"/>
    <n v="-15.605000000000008"/>
  </r>
  <r>
    <s v="2024-05-10"/>
    <n v="150"/>
    <x v="1781"/>
    <n v="149.19"/>
    <n v="149.91"/>
    <n v="5710566"/>
    <x v="3"/>
    <s v="Johnson &amp; Johnson"/>
    <x v="2"/>
    <n v="0.04"/>
    <x v="16"/>
    <x v="1"/>
    <s v="May"/>
    <s v="Profit"/>
    <n v="0.90000000000000568"/>
    <n v="-15.565000000000008"/>
  </r>
  <r>
    <s v="2024-05-13"/>
    <n v="150.04"/>
    <x v="1782"/>
    <n v="149.70500000000001"/>
    <n v="151.22"/>
    <n v="5628467"/>
    <x v="3"/>
    <s v="Johnson &amp; Johnson"/>
    <x v="2"/>
    <n v="0.874"/>
    <x v="16"/>
    <x v="1"/>
    <s v="May"/>
    <s v="Profit"/>
    <n v="2.2949999999999875"/>
    <n v="-14.691000000000008"/>
  </r>
  <r>
    <s v="2024-05-14"/>
    <n v="151.85"/>
    <x v="1783"/>
    <n v="150.69999999999999"/>
    <n v="151.38"/>
    <n v="8254171"/>
    <x v="3"/>
    <s v="Johnson &amp; Johnson"/>
    <x v="2"/>
    <n v="0.106"/>
    <x v="16"/>
    <x v="1"/>
    <s v="May"/>
    <s v="Profit"/>
    <n v="1.5100000000000193"/>
    <n v="-14.585000000000008"/>
  </r>
  <r>
    <s v="2024-05-15"/>
    <n v="151.82"/>
    <x v="1784"/>
    <n v="151.30000000000001"/>
    <n v="152.66999999999999"/>
    <n v="5547955"/>
    <x v="3"/>
    <s v="Johnson &amp; Johnson"/>
    <x v="2"/>
    <n v="0.85199999999999998"/>
    <x v="16"/>
    <x v="1"/>
    <s v="May"/>
    <s v="Profit"/>
    <n v="1.6499999999999773"/>
    <n v="-13.733000000000008"/>
  </r>
  <r>
    <s v="2024-05-16"/>
    <n v="153"/>
    <x v="1785"/>
    <n v="152.33000000000001"/>
    <n v="154.28"/>
    <n v="7590959"/>
    <x v="3"/>
    <s v="Johnson &amp; Johnson"/>
    <x v="2"/>
    <n v="1.0549999999999999"/>
    <x v="16"/>
    <x v="1"/>
    <s v="May"/>
    <s v="Profit"/>
    <n v="2.0499999999999829"/>
    <n v="-12.678000000000008"/>
  </r>
  <r>
    <s v="2024-05-17"/>
    <n v="154.86000000000001"/>
    <x v="1786"/>
    <n v="153.71299999999999"/>
    <n v="154.63999999999999"/>
    <n v="6521794"/>
    <x v="3"/>
    <s v="Johnson &amp; Johnson"/>
    <x v="2"/>
    <n v="0.23300000000000001"/>
    <x v="16"/>
    <x v="1"/>
    <s v="May"/>
    <s v="Profit"/>
    <n v="1.1470000000000198"/>
    <n v="-12.445000000000007"/>
  </r>
  <r>
    <s v="2024-05-20"/>
    <n v="153.1"/>
    <x v="1787"/>
    <n v="151.26"/>
    <n v="151.27000000000001"/>
    <n v="7742280"/>
    <x v="3"/>
    <s v="Johnson &amp; Johnson"/>
    <x v="2"/>
    <n v="-2.1789999999999998"/>
    <x v="16"/>
    <x v="1"/>
    <s v="May"/>
    <s v="Loss"/>
    <n v="2.1299999999999955"/>
    <n v="-14.624000000000008"/>
  </r>
  <r>
    <s v="2024-05-21"/>
    <n v="151.78"/>
    <x v="1788"/>
    <n v="150.785"/>
    <n v="151.24"/>
    <n v="5492354"/>
    <x v="3"/>
    <s v="Johnson &amp; Johnson"/>
    <x v="2"/>
    <n v="-0.02"/>
    <x v="16"/>
    <x v="1"/>
    <s v="May"/>
    <s v="Loss"/>
    <n v="1.8000000000000114"/>
    <n v="-14.644000000000007"/>
  </r>
  <r>
    <s v="2024-05-22"/>
    <n v="150.84"/>
    <x v="739"/>
    <n v="150.32"/>
    <n v="153.5"/>
    <n v="6609788"/>
    <x v="3"/>
    <s v="Johnson &amp; Johnson"/>
    <x v="2"/>
    <n v="1.494"/>
    <x v="16"/>
    <x v="1"/>
    <s v="May"/>
    <s v="Profit"/>
    <n v="3.7600000000000193"/>
    <n v="-13.150000000000007"/>
  </r>
  <r>
    <s v="2024-05-23"/>
    <n v="152.75"/>
    <x v="1789"/>
    <n v="149.375"/>
    <n v="149.69999999999999"/>
    <n v="8000422"/>
    <x v="3"/>
    <s v="Johnson &amp; Johnson"/>
    <x v="2"/>
    <n v="-2.476"/>
    <x v="16"/>
    <x v="1"/>
    <s v="May"/>
    <s v="Loss"/>
    <n v="3.4650000000000034"/>
    <n v="-15.626000000000008"/>
  </r>
  <r>
    <s v="2024-05-24"/>
    <n v="149.53"/>
    <x v="1790"/>
    <n v="146.76"/>
    <n v="146.97"/>
    <n v="9520576"/>
    <x v="3"/>
    <s v="Johnson &amp; Johnson"/>
    <x v="2"/>
    <n v="-1.8240000000000001"/>
    <x v="16"/>
    <x v="1"/>
    <s v="May"/>
    <s v="Loss"/>
    <n v="3.054000000000002"/>
    <n v="-17.45000000000001"/>
  </r>
  <r>
    <s v="2024-05-28"/>
    <n v="146.79"/>
    <x v="1791"/>
    <n v="144.15"/>
    <n v="144.38"/>
    <n v="10499829"/>
    <x v="3"/>
    <s v="Johnson &amp; Johnson"/>
    <x v="2"/>
    <n v="-1.762"/>
    <x v="16"/>
    <x v="1"/>
    <s v="May"/>
    <s v="Loss"/>
    <n v="2.6399999999999864"/>
    <n v="-19.21200000000001"/>
  </r>
  <r>
    <s v="2024-05-29"/>
    <n v="143.82"/>
    <x v="1792"/>
    <n v="143.71"/>
    <n v="144.44"/>
    <n v="8263810"/>
    <x v="3"/>
    <s v="Johnson &amp; Johnson"/>
    <x v="2"/>
    <n v="4.2000000000000003E-2"/>
    <x v="16"/>
    <x v="1"/>
    <s v="May"/>
    <s v="Profit"/>
    <n v="1.7049999999999841"/>
    <n v="-19.170000000000009"/>
  </r>
  <r>
    <s v="2024-05-30"/>
    <n v="144.62"/>
    <x v="1793"/>
    <n v="144.02000000000001"/>
    <n v="145.28"/>
    <n v="8491111"/>
    <x v="3"/>
    <s v="Johnson &amp; Johnson"/>
    <x v="2"/>
    <n v="0.58199999999999996"/>
    <x v="16"/>
    <x v="1"/>
    <s v="May"/>
    <s v="Profit"/>
    <n v="1.5900000000000034"/>
    <n v="-18.588000000000008"/>
  </r>
  <r>
    <s v="2024-05-31"/>
    <n v="145.57"/>
    <x v="1794"/>
    <n v="145.19"/>
    <n v="146.66999999999999"/>
    <n v="14621203"/>
    <x v="3"/>
    <s v="Johnson &amp; Johnson"/>
    <x v="2"/>
    <n v="0.95699999999999996"/>
    <x v="16"/>
    <x v="1"/>
    <s v="May"/>
    <s v="Profit"/>
    <n v="2.289999999999992"/>
    <n v="-17.631000000000007"/>
  </r>
  <r>
    <s v="2024-06-03"/>
    <n v="147.25"/>
    <x v="1256"/>
    <n v="146.77000000000001"/>
    <n v="147.74"/>
    <n v="7329241"/>
    <x v="3"/>
    <s v="Johnson &amp; Johnson"/>
    <x v="2"/>
    <n v="0.73"/>
    <x v="17"/>
    <x v="1"/>
    <s v="June"/>
    <s v="Profit"/>
    <n v="2.1299999999999955"/>
    <n v="-16.901000000000007"/>
  </r>
  <r>
    <s v="2024-06-04"/>
    <n v="147.47999999999999"/>
    <x v="1795"/>
    <n v="146.19"/>
    <n v="147.80000000000001"/>
    <n v="8876441"/>
    <x v="3"/>
    <s v="Johnson &amp; Johnson"/>
    <x v="2"/>
    <n v="4.1000000000000002E-2"/>
    <x v="17"/>
    <x v="1"/>
    <s v="June"/>
    <s v="Profit"/>
    <n v="2.1200000000000045"/>
    <n v="-16.860000000000007"/>
  </r>
  <r>
    <s v="2024-06-05"/>
    <n v="147.97"/>
    <x v="1796"/>
    <n v="145.85499999999999"/>
    <n v="145.97"/>
    <n v="5891299"/>
    <x v="3"/>
    <s v="Johnson &amp; Johnson"/>
    <x v="2"/>
    <n v="-1.238"/>
    <x v="17"/>
    <x v="1"/>
    <s v="June"/>
    <s v="Loss"/>
    <n v="2.1350000000000193"/>
    <n v="-18.098000000000006"/>
  </r>
  <r>
    <s v="2024-06-06"/>
    <n v="145.5"/>
    <x v="1797"/>
    <n v="144.66"/>
    <n v="146.41999999999999"/>
    <n v="5016301"/>
    <x v="3"/>
    <s v="Johnson &amp; Johnson"/>
    <x v="2"/>
    <n v="0.308"/>
    <x v="17"/>
    <x v="1"/>
    <s v="June"/>
    <s v="Profit"/>
    <n v="2.3400000000000034"/>
    <n v="-17.790000000000006"/>
  </r>
  <r>
    <s v="2024-06-07"/>
    <n v="146.68"/>
    <x v="1798"/>
    <n v="146.34"/>
    <n v="147.08000000000001"/>
    <n v="5111626"/>
    <x v="3"/>
    <s v="Johnson &amp; Johnson"/>
    <x v="2"/>
    <n v="0.45100000000000001"/>
    <x v="17"/>
    <x v="1"/>
    <s v="June"/>
    <s v="Profit"/>
    <n v="1.960000000000008"/>
    <n v="-17.339000000000006"/>
  </r>
  <r>
    <s v="2024-06-10"/>
    <n v="146.53"/>
    <x v="1799"/>
    <n v="145.6"/>
    <n v="147.13"/>
    <n v="5751309"/>
    <x v="3"/>
    <s v="Johnson &amp; Johnson"/>
    <x v="2"/>
    <n v="3.4000000000000002E-2"/>
    <x v="17"/>
    <x v="1"/>
    <s v="June"/>
    <s v="Profit"/>
    <n v="1.960000000000008"/>
    <n v="-17.305000000000007"/>
  </r>
  <r>
    <s v="2024-06-11"/>
    <n v="146.81"/>
    <x v="1800"/>
    <n v="145.44"/>
    <n v="146.76"/>
    <n v="5661236"/>
    <x v="3"/>
    <s v="Johnson &amp; Johnson"/>
    <x v="2"/>
    <n v="-0.251"/>
    <x v="17"/>
    <x v="1"/>
    <s v="June"/>
    <s v="Loss"/>
    <n v="1.7199999999999989"/>
    <n v="-17.556000000000008"/>
  </r>
  <r>
    <s v="2024-06-12"/>
    <n v="147.06"/>
    <x v="1801"/>
    <n v="144.78"/>
    <n v="145.41"/>
    <n v="6180493"/>
    <x v="3"/>
    <s v="Johnson &amp; Johnson"/>
    <x v="2"/>
    <n v="-0.92"/>
    <x v="17"/>
    <x v="1"/>
    <s v="June"/>
    <s v="Loss"/>
    <n v="2.4300000000000068"/>
    <n v="-18.47600000000001"/>
  </r>
  <r>
    <s v="2024-06-13"/>
    <n v="145.07"/>
    <x v="1802"/>
    <n v="143.88"/>
    <n v="145.44999999999999"/>
    <n v="6840374"/>
    <x v="3"/>
    <s v="Johnson &amp; Johnson"/>
    <x v="2"/>
    <n v="2.8000000000000001E-2"/>
    <x v="17"/>
    <x v="1"/>
    <s v="June"/>
    <s v="Profit"/>
    <n v="2.1200000000000045"/>
    <n v="-18.448000000000011"/>
  </r>
  <r>
    <s v="2024-06-14"/>
    <n v="145.13999999999999"/>
    <x v="1803"/>
    <n v="144.47999999999999"/>
    <n v="145.54"/>
    <n v="4075342"/>
    <x v="3"/>
    <s v="Johnson &amp; Johnson"/>
    <x v="2"/>
    <n v="6.2E-2"/>
    <x v="17"/>
    <x v="1"/>
    <s v="June"/>
    <s v="Profit"/>
    <n v="1.4900000000000091"/>
    <n v="-18.38600000000001"/>
  </r>
  <r>
    <s v="2024-06-17"/>
    <n v="145.02000000000001"/>
    <x v="1804"/>
    <n v="144.74"/>
    <n v="145.94999999999999"/>
    <n v="6666583"/>
    <x v="3"/>
    <s v="Johnson &amp; Johnson"/>
    <x v="2"/>
    <n v="0.28199999999999997"/>
    <x v="17"/>
    <x v="1"/>
    <s v="June"/>
    <s v="Profit"/>
    <n v="1.6899999999999977"/>
    <n v="-18.10400000000001"/>
  </r>
  <r>
    <s v="2024-06-18"/>
    <n v="145.96"/>
    <x v="1805"/>
    <n v="145.26499999999999"/>
    <n v="145.65"/>
    <n v="6156572"/>
    <x v="3"/>
    <s v="Johnson &amp; Johnson"/>
    <x v="2"/>
    <n v="-0.20599999999999999"/>
    <x v="17"/>
    <x v="1"/>
    <s v="June"/>
    <s v="Loss"/>
    <n v="1.125"/>
    <n v="-18.310000000000009"/>
  </r>
  <r>
    <s v="2024-06-20"/>
    <n v="145.27000000000001"/>
    <x v="1806"/>
    <n v="145.01"/>
    <n v="147.78"/>
    <n v="8749717"/>
    <x v="3"/>
    <s v="Johnson &amp; Johnson"/>
    <x v="2"/>
    <n v="1.462"/>
    <x v="17"/>
    <x v="1"/>
    <s v="June"/>
    <s v="Profit"/>
    <n v="3.0700000000000216"/>
    <n v="-16.84800000000001"/>
  </r>
  <r>
    <s v="2024-06-21"/>
    <n v="147.88999999999999"/>
    <x v="1807"/>
    <n v="147.37"/>
    <n v="148.75"/>
    <n v="15176869"/>
    <x v="3"/>
    <s v="Johnson &amp; Johnson"/>
    <x v="2"/>
    <n v="0.65600000000000003"/>
    <x v="17"/>
    <x v="1"/>
    <s v="June"/>
    <s v="Profit"/>
    <n v="1.710000000000008"/>
    <n v="-16.192000000000011"/>
  </r>
  <r>
    <s v="2024-06-24"/>
    <n v="149"/>
    <x v="1808"/>
    <n v="148.16999999999999"/>
    <n v="149.12"/>
    <n v="6914671"/>
    <x v="3"/>
    <s v="Johnson &amp; Johnson"/>
    <x v="2"/>
    <n v="0.249"/>
    <x v="17"/>
    <x v="1"/>
    <s v="June"/>
    <s v="Profit"/>
    <n v="1.5500000000000114"/>
    <n v="-15.94300000000001"/>
  </r>
  <r>
    <s v="2024-06-25"/>
    <n v="149.18"/>
    <x v="1809"/>
    <n v="146.94"/>
    <n v="147.19"/>
    <n v="6620303"/>
    <x v="3"/>
    <s v="Johnson &amp; Johnson"/>
    <x v="2"/>
    <n v="-1.294"/>
    <x v="17"/>
    <x v="1"/>
    <s v="June"/>
    <s v="Loss"/>
    <n v="2.2599999999999909"/>
    <n v="-17.237000000000009"/>
  </r>
  <r>
    <s v="2024-06-26"/>
    <n v="146.19999999999999"/>
    <x v="1810"/>
    <n v="145.78"/>
    <n v="146.87"/>
    <n v="5267809"/>
    <x v="3"/>
    <s v="Johnson &amp; Johnson"/>
    <x v="2"/>
    <n v="-0.217"/>
    <x v="17"/>
    <x v="1"/>
    <s v="June"/>
    <s v="Loss"/>
    <n v="1.4099999999999966"/>
    <n v="-17.454000000000008"/>
  </r>
  <r>
    <s v="2024-06-27"/>
    <n v="146.80000000000001"/>
    <x v="1811"/>
    <n v="144.84"/>
    <n v="145.80000000000001"/>
    <n v="5739246"/>
    <x v="3"/>
    <s v="Johnson &amp; Johnson"/>
    <x v="2"/>
    <n v="-0.72899999999999998"/>
    <x v="17"/>
    <x v="1"/>
    <s v="June"/>
    <s v="Loss"/>
    <n v="2.5200000000000102"/>
    <n v="-18.183000000000007"/>
  </r>
  <r>
    <s v="2024-06-28"/>
    <n v="146.04"/>
    <x v="1812"/>
    <n v="145.65"/>
    <n v="146.16"/>
    <n v="10495735"/>
    <x v="3"/>
    <s v="Johnson &amp; Johnson"/>
    <x v="2"/>
    <n v="0.247"/>
    <x v="17"/>
    <x v="1"/>
    <s v="June"/>
    <s v="Profit"/>
    <n v="1.4199999999999875"/>
    <n v="-17.936000000000007"/>
  </r>
  <r>
    <s v="2024-07-01"/>
    <n v="146.07"/>
    <x v="1813"/>
    <n v="145.62"/>
    <n v="146.44"/>
    <n v="5144443"/>
    <x v="3"/>
    <s v="Johnson &amp; Johnson"/>
    <x v="2"/>
    <n v="0.192"/>
    <x v="18"/>
    <x v="1"/>
    <s v="July"/>
    <s v="Profit"/>
    <n v="3.0799999999999841"/>
    <n v="-17.744000000000007"/>
  </r>
  <r>
    <s v="2024-07-02"/>
    <n v="146.43"/>
    <x v="1814"/>
    <n v="145.74"/>
    <n v="146.03"/>
    <n v="5491962"/>
    <x v="3"/>
    <s v="Johnson &amp; Johnson"/>
    <x v="2"/>
    <n v="-0.28000000000000003"/>
    <x v="18"/>
    <x v="1"/>
    <s v="July"/>
    <s v="Loss"/>
    <n v="1.4099999999999966"/>
    <n v="-18.024000000000008"/>
  </r>
  <r>
    <s v="2024-07-03"/>
    <n v="146.19999999999999"/>
    <x v="1244"/>
    <n v="144.74"/>
    <n v="145.69"/>
    <n v="3246157"/>
    <x v="3"/>
    <s v="Johnson &amp; Johnson"/>
    <x v="2"/>
    <n v="-0.23300000000000001"/>
    <x v="18"/>
    <x v="1"/>
    <s v="July"/>
    <s v="Loss"/>
    <n v="1.9099999999999966"/>
    <n v="-18.257000000000009"/>
  </r>
  <r>
    <s v="2024-07-05"/>
    <n v="145.77000000000001"/>
    <x v="1815"/>
    <n v="144.5"/>
    <n v="146.47999999999999"/>
    <n v="4888535"/>
    <x v="3"/>
    <s v="Johnson &amp; Johnson"/>
    <x v="2"/>
    <n v="0.54200000000000004"/>
    <x v="18"/>
    <x v="1"/>
    <s v="July"/>
    <s v="Profit"/>
    <n v="2.0500000000000114"/>
    <n v="-17.715000000000007"/>
  </r>
  <r>
    <s v="2024-07-08"/>
    <n v="146.4"/>
    <x v="1773"/>
    <n v="145.25"/>
    <n v="145.47999999999999"/>
    <n v="5260229"/>
    <x v="3"/>
    <s v="Johnson &amp; Johnson"/>
    <x v="2"/>
    <n v="-0.68300000000000005"/>
    <x v="18"/>
    <x v="1"/>
    <s v="July"/>
    <s v="Loss"/>
    <n v="1.9699999999999989"/>
    <n v="-18.398000000000007"/>
  </r>
  <r>
    <s v="2024-07-09"/>
    <n v="145.66999999999999"/>
    <x v="1816"/>
    <n v="145.18"/>
    <n v="147.05000000000001"/>
    <n v="5892187"/>
    <x v="3"/>
    <s v="Johnson &amp; Johnson"/>
    <x v="2"/>
    <n v="1.079"/>
    <x v="18"/>
    <x v="1"/>
    <s v="July"/>
    <s v="Profit"/>
    <n v="1.9499999999999886"/>
    <n v="-17.319000000000006"/>
  </r>
  <r>
    <s v="2024-07-10"/>
    <n v="147.26"/>
    <x v="1817"/>
    <n v="146.68"/>
    <n v="149.43"/>
    <n v="6093187"/>
    <x v="3"/>
    <s v="Johnson &amp; Johnson"/>
    <x v="2"/>
    <n v="1.6180000000000001"/>
    <x v="18"/>
    <x v="1"/>
    <s v="July"/>
    <s v="Profit"/>
    <n v="2.789999999999992"/>
    <n v="-15.701000000000006"/>
  </r>
  <r>
    <s v="2024-07-11"/>
    <n v="149.58000000000001"/>
    <x v="1818"/>
    <n v="148.63999999999999"/>
    <n v="149.69999999999999"/>
    <n v="6352109"/>
    <x v="3"/>
    <s v="Johnson &amp; Johnson"/>
    <x v="2"/>
    <n v="0.18099999999999999"/>
    <x v="18"/>
    <x v="1"/>
    <s v="July"/>
    <s v="Profit"/>
    <n v="1.9400000000000261"/>
    <n v="-15.520000000000007"/>
  </r>
  <r>
    <s v="2024-07-12"/>
    <n v="150"/>
    <x v="1819"/>
    <n v="149.24"/>
    <n v="149.88"/>
    <n v="5336394"/>
    <x v="3"/>
    <s v="Johnson &amp; Johnson"/>
    <x v="2"/>
    <n v="0.12"/>
    <x v="18"/>
    <x v="1"/>
    <s v="July"/>
    <s v="Profit"/>
    <n v="1.6399999999999864"/>
    <n v="-15.400000000000007"/>
  </r>
  <r>
    <s v="2024-07-15"/>
    <n v="150.08000000000001"/>
    <x v="1820"/>
    <n v="148.87"/>
    <n v="149.24"/>
    <n v="6711354"/>
    <x v="3"/>
    <s v="Johnson &amp; Johnson"/>
    <x v="2"/>
    <n v="-0.42699999999999999"/>
    <x v="18"/>
    <x v="1"/>
    <s v="July"/>
    <s v="Loss"/>
    <n v="1.3799999999999955"/>
    <n v="-15.827000000000007"/>
  </r>
  <r>
    <s v="2024-07-16"/>
    <n v="149.69"/>
    <x v="1821"/>
    <n v="149.16"/>
    <n v="151.01"/>
    <n v="6469582"/>
    <x v="3"/>
    <s v="Johnson &amp; Johnson"/>
    <x v="2"/>
    <n v="1.1859999999999999"/>
    <x v="18"/>
    <x v="1"/>
    <s v="July"/>
    <s v="Profit"/>
    <n v="1.9200000000000159"/>
    <n v="-14.641000000000007"/>
  </r>
  <r>
    <s v="2024-07-17"/>
    <n v="151.55000000000001"/>
    <x v="1822"/>
    <n v="151.41499999999999"/>
    <n v="156.58000000000001"/>
    <n v="13801429"/>
    <x v="3"/>
    <s v="Johnson &amp; Johnson"/>
    <x v="2"/>
    <n v="3.6880000000000002"/>
    <x v="18"/>
    <x v="1"/>
    <s v="July"/>
    <s v="Profit"/>
    <n v="6.0750000000000171"/>
    <n v="-10.953000000000007"/>
  </r>
  <r>
    <s v="2024-07-18"/>
    <n v="155.6"/>
    <x v="1302"/>
    <n v="154.62"/>
    <n v="155.41999999999999"/>
    <n v="10166247"/>
    <x v="3"/>
    <s v="Johnson &amp; Johnson"/>
    <x v="2"/>
    <n v="-0.74099999999999999"/>
    <x v="18"/>
    <x v="1"/>
    <s v="July"/>
    <s v="Loss"/>
    <n v="2.4499999999999886"/>
    <n v="-11.694000000000006"/>
  </r>
  <r>
    <s v="2024-07-19"/>
    <n v="156.51"/>
    <x v="1823"/>
    <n v="154.12"/>
    <n v="154.69"/>
    <n v="7398036"/>
    <x v="3"/>
    <s v="Johnson &amp; Johnson"/>
    <x v="2"/>
    <n v="-0.47"/>
    <x v="18"/>
    <x v="1"/>
    <s v="July"/>
    <s v="Loss"/>
    <n v="2.3899999999999864"/>
    <n v="-12.164000000000007"/>
  </r>
  <r>
    <s v="2024-07-22"/>
    <n v="154.77000000000001"/>
    <x v="1824"/>
    <n v="153.59"/>
    <n v="154.24"/>
    <n v="6840609"/>
    <x v="3"/>
    <s v="Johnson &amp; Johnson"/>
    <x v="2"/>
    <n v="-0.29099999999999998"/>
    <x v="18"/>
    <x v="1"/>
    <s v="July"/>
    <s v="Loss"/>
    <n v="1.5200000000000102"/>
    <n v="-12.455000000000007"/>
  </r>
  <r>
    <s v="2024-07-23"/>
    <n v="153.31"/>
    <x v="1661"/>
    <n v="151.57"/>
    <n v="152.35"/>
    <n v="6261870"/>
    <x v="3"/>
    <s v="Johnson &amp; Johnson"/>
    <x v="2"/>
    <n v="-1.2250000000000001"/>
    <x v="18"/>
    <x v="1"/>
    <s v="July"/>
    <s v="Loss"/>
    <n v="1.9300000000000068"/>
    <n v="-13.680000000000007"/>
  </r>
  <r>
    <s v="2024-07-24"/>
    <n v="152.76"/>
    <x v="1825"/>
    <n v="152.33000000000001"/>
    <n v="156.28"/>
    <n v="7168217"/>
    <x v="3"/>
    <s v="Johnson &amp; Johnson"/>
    <x v="2"/>
    <n v="2.58"/>
    <x v="18"/>
    <x v="1"/>
    <s v="July"/>
    <s v="Profit"/>
    <n v="4.0799999999999841"/>
    <n v="-11.100000000000007"/>
  </r>
  <r>
    <s v="2024-07-25"/>
    <n v="156.47999999999999"/>
    <x v="1826"/>
    <n v="156"/>
    <n v="159.63999999999999"/>
    <n v="10019578"/>
    <x v="3"/>
    <s v="Johnson &amp; Johnson"/>
    <x v="2"/>
    <n v="2.15"/>
    <x v="18"/>
    <x v="1"/>
    <s v="July"/>
    <s v="Profit"/>
    <n v="4.5800000000000125"/>
    <n v="-8.9500000000000064"/>
  </r>
  <r>
    <s v="2024-07-26"/>
    <n v="159.75"/>
    <x v="1827"/>
    <n v="159.47200000000001"/>
    <n v="160.63999999999999"/>
    <n v="8356878"/>
    <x v="3"/>
    <s v="Johnson &amp; Johnson"/>
    <x v="2"/>
    <n v="0.626"/>
    <x v="18"/>
    <x v="1"/>
    <s v="July"/>
    <s v="Profit"/>
    <n v="2.1080000000000041"/>
    <n v="-8.3240000000000069"/>
  </r>
  <r>
    <s v="2024-07-29"/>
    <n v="159.97"/>
    <x v="1628"/>
    <n v="158.05000000000001"/>
    <n v="158.56"/>
    <n v="5625204"/>
    <x v="3"/>
    <s v="Johnson &amp; Johnson"/>
    <x v="2"/>
    <n v="-1.2949999999999999"/>
    <x v="18"/>
    <x v="1"/>
    <s v="July"/>
    <s v="Loss"/>
    <n v="1.9499999999999886"/>
    <n v="-9.6190000000000069"/>
  </r>
  <r>
    <s v="2024-07-30"/>
    <n v="158.54"/>
    <x v="1828"/>
    <n v="158.36000000000001"/>
    <n v="161.33000000000001"/>
    <n v="6545677"/>
    <x v="3"/>
    <s v="Johnson &amp; Johnson"/>
    <x v="2"/>
    <n v="1.7470000000000001"/>
    <x v="18"/>
    <x v="1"/>
    <s v="July"/>
    <s v="Profit"/>
    <n v="3.1899999999999977"/>
    <n v="-7.872000000000007"/>
  </r>
  <r>
    <s v="2024-07-31"/>
    <n v="159.85"/>
    <x v="1503"/>
    <n v="157.74"/>
    <n v="157.85"/>
    <n v="8293239"/>
    <x v="3"/>
    <s v="Johnson &amp; Johnson"/>
    <x v="2"/>
    <n v="-2.157"/>
    <x v="18"/>
    <x v="1"/>
    <s v="July"/>
    <s v="Loss"/>
    <n v="2.6099999999999852"/>
    <n v="-10.029000000000007"/>
  </r>
  <r>
    <s v="2024-08-01"/>
    <n v="158.47999999999999"/>
    <x v="1829"/>
    <n v="157.71"/>
    <n v="160.76"/>
    <n v="7213419"/>
    <x v="3"/>
    <s v="Johnson &amp; Johnson"/>
    <x v="2"/>
    <n v="1.8440000000000001"/>
    <x v="19"/>
    <x v="1"/>
    <s v="August"/>
    <s v="Profit"/>
    <n v="3.0999999999999943"/>
    <n v="-8.1850000000000076"/>
  </r>
  <r>
    <s v="2024-08-02"/>
    <n v="161.9"/>
    <x v="1830"/>
    <n v="161"/>
    <n v="164.14"/>
    <n v="11280357"/>
    <x v="3"/>
    <s v="Johnson &amp; Johnson"/>
    <x v="2"/>
    <n v="2.1030000000000002"/>
    <x v="19"/>
    <x v="1"/>
    <s v="August"/>
    <s v="Profit"/>
    <n v="3.8499999999999943"/>
    <n v="-6.0820000000000078"/>
  </r>
  <r>
    <s v="2024-08-05"/>
    <n v="163.79499999999999"/>
    <x v="1831"/>
    <n v="160.58000000000001"/>
    <n v="161.25"/>
    <n v="12032209"/>
    <x v="3"/>
    <s v="Johnson &amp; Johnson"/>
    <x v="2"/>
    <n v="-1.7609999999999999"/>
    <x v="19"/>
    <x v="1"/>
    <s v="August"/>
    <s v="Loss"/>
    <n v="5.1999999999999886"/>
    <n v="-7.843000000000008"/>
  </r>
  <r>
    <s v="2024-08-06"/>
    <n v="161.05000000000001"/>
    <x v="1832"/>
    <n v="158.94"/>
    <n v="158.97"/>
    <n v="7607144"/>
    <x v="3"/>
    <s v="Johnson &amp; Johnson"/>
    <x v="2"/>
    <n v="-1.4139999999999999"/>
    <x v="19"/>
    <x v="1"/>
    <s v="August"/>
    <s v="Loss"/>
    <n v="2.539999999999992"/>
    <n v="-9.2570000000000086"/>
  </r>
  <r>
    <s v="2024-08-07"/>
    <n v="158.87"/>
    <x v="1833"/>
    <n v="158.19"/>
    <n v="158.9"/>
    <n v="5993028"/>
    <x v="3"/>
    <s v="Johnson &amp; Johnson"/>
    <x v="2"/>
    <n v="-4.3999999999999997E-2"/>
    <x v="19"/>
    <x v="1"/>
    <s v="August"/>
    <s v="Loss"/>
    <n v="2.4250000000000114"/>
    <n v="-9.301000000000009"/>
  </r>
  <r>
    <s v="2024-08-08"/>
    <n v="158.57"/>
    <x v="1834"/>
    <n v="158.03"/>
    <n v="160.22"/>
    <n v="5094830"/>
    <x v="3"/>
    <s v="Johnson &amp; Johnson"/>
    <x v="2"/>
    <n v="0.83099999999999996"/>
    <x v="19"/>
    <x v="1"/>
    <s v="August"/>
    <s v="Profit"/>
    <n v="2.6699999999999875"/>
    <n v="-8.4700000000000095"/>
  </r>
  <r>
    <s v="2024-08-09"/>
    <n v="160.12"/>
    <x v="1742"/>
    <n v="159.34"/>
    <n v="160.62"/>
    <n v="4579186"/>
    <x v="3"/>
    <s v="Johnson &amp; Johnson"/>
    <x v="2"/>
    <n v="0.25"/>
    <x v="19"/>
    <x v="1"/>
    <s v="August"/>
    <s v="Profit"/>
    <n v="1.5900000000000034"/>
    <n v="-8.2200000000000095"/>
  </r>
  <r>
    <s v="2024-08-12"/>
    <n v="160.97"/>
    <x v="1835"/>
    <n v="158.71"/>
    <n v="159.88"/>
    <n v="7605419"/>
    <x v="3"/>
    <s v="Johnson &amp; Johnson"/>
    <x v="2"/>
    <n v="-0.46100000000000002"/>
    <x v="19"/>
    <x v="1"/>
    <s v="August"/>
    <s v="Loss"/>
    <n v="2.9899999999999807"/>
    <n v="-8.6810000000000098"/>
  </r>
  <r>
    <s v="2024-08-13"/>
    <n v="160.27000000000001"/>
    <x v="1836"/>
    <n v="156.44"/>
    <n v="158.38999999999999"/>
    <n v="9711395"/>
    <x v="3"/>
    <s v="Johnson &amp; Johnson"/>
    <x v="2"/>
    <n v="-0.93200000000000005"/>
    <x v="19"/>
    <x v="1"/>
    <s v="August"/>
    <s v="Loss"/>
    <n v="3.9300000000000068"/>
    <n v="-9.6130000000000102"/>
  </r>
  <r>
    <s v="2024-08-14"/>
    <n v="157.83000000000001"/>
    <x v="1837"/>
    <n v="157.4"/>
    <n v="158.47999999999999"/>
    <n v="5141249"/>
    <x v="3"/>
    <s v="Johnson &amp; Johnson"/>
    <x v="2"/>
    <n v="5.7000000000000002E-2"/>
    <x v="19"/>
    <x v="1"/>
    <s v="August"/>
    <s v="Profit"/>
    <n v="2.1500000000000057"/>
    <n v="-9.5560000000000098"/>
  </r>
  <r>
    <s v="2024-08-15"/>
    <n v="158.37"/>
    <x v="1838"/>
    <n v="157.84"/>
    <n v="159.09"/>
    <n v="7237785"/>
    <x v="3"/>
    <s v="Johnson &amp; Johnson"/>
    <x v="2"/>
    <n v="0.38500000000000001"/>
    <x v="19"/>
    <x v="1"/>
    <s v="August"/>
    <s v="Profit"/>
    <n v="1.6550000000000011"/>
    <n v="-9.17100000000001"/>
  </r>
  <r>
    <s v="2024-08-16"/>
    <n v="159.13999999999999"/>
    <x v="1839"/>
    <n v="158.18"/>
    <n v="159.38999999999999"/>
    <n v="5012774"/>
    <x v="3"/>
    <s v="Johnson &amp; Johnson"/>
    <x v="2"/>
    <n v="0.189"/>
    <x v="19"/>
    <x v="1"/>
    <s v="August"/>
    <s v="Profit"/>
    <n v="1.7599999999999909"/>
    <n v="-8.98200000000001"/>
  </r>
  <r>
    <s v="2024-08-19"/>
    <n v="159.46"/>
    <x v="1840"/>
    <n v="159.13"/>
    <n v="159.63"/>
    <n v="4408517"/>
    <x v="3"/>
    <s v="Johnson &amp; Johnson"/>
    <x v="2"/>
    <n v="0.151"/>
    <x v="19"/>
    <x v="1"/>
    <s v="August"/>
    <s v="Profit"/>
    <n v="1.164999999999992"/>
    <n v="-8.8310000000000102"/>
  </r>
  <r>
    <s v="2024-08-20"/>
    <n v="160"/>
    <x v="1742"/>
    <n v="159.66999999999999"/>
    <n v="160.16"/>
    <n v="7275133"/>
    <x v="3"/>
    <s v="Johnson &amp; Johnson"/>
    <x v="2"/>
    <n v="0.33200000000000002"/>
    <x v="19"/>
    <x v="1"/>
    <s v="August"/>
    <s v="Profit"/>
    <n v="1.2600000000000193"/>
    <n v="-8.4990000000000094"/>
  </r>
  <r>
    <s v="2024-08-21"/>
    <n v="160.4"/>
    <x v="1832"/>
    <n v="160.31"/>
    <n v="161.43"/>
    <n v="5019375"/>
    <x v="3"/>
    <s v="Johnson &amp; Johnson"/>
    <x v="2"/>
    <n v="0.79300000000000004"/>
    <x v="19"/>
    <x v="1"/>
    <s v="August"/>
    <s v="Profit"/>
    <n v="1.1699999999999875"/>
    <n v="-7.7060000000000093"/>
  </r>
  <r>
    <s v="2024-08-22"/>
    <n v="162"/>
    <x v="1841"/>
    <n v="160.79"/>
    <n v="162.35"/>
    <n v="6552142"/>
    <x v="3"/>
    <s v="Johnson &amp; Johnson"/>
    <x v="2"/>
    <n v="0.56999999999999995"/>
    <x v="19"/>
    <x v="1"/>
    <s v="August"/>
    <s v="Profit"/>
    <n v="1.7000000000000171"/>
    <n v="-7.136000000000009"/>
  </r>
  <r>
    <s v="2024-08-23"/>
    <n v="162.5"/>
    <x v="1842"/>
    <n v="161.69499999999999"/>
    <n v="164.13"/>
    <n v="7093429"/>
    <x v="3"/>
    <s v="Johnson &amp; Johnson"/>
    <x v="2"/>
    <n v="1.0960000000000001"/>
    <x v="19"/>
    <x v="1"/>
    <s v="August"/>
    <s v="Profit"/>
    <n v="2.5250000000000057"/>
    <n v="-6.0400000000000089"/>
  </r>
  <r>
    <s v="2024-08-26"/>
    <n v="164.17"/>
    <x v="1843"/>
    <n v="163.54"/>
    <n v="164.61"/>
    <n v="6870622"/>
    <x v="3"/>
    <s v="Johnson &amp; Johnson"/>
    <x v="2"/>
    <n v="0.29199999999999998"/>
    <x v="19"/>
    <x v="1"/>
    <s v="August"/>
    <s v="Profit"/>
    <n v="2.1700000000000159"/>
    <n v="-5.7480000000000091"/>
  </r>
  <r>
    <s v="2024-08-27"/>
    <n v="163.5"/>
    <x v="1844"/>
    <n v="162.16"/>
    <n v="162.94999999999999"/>
    <n v="4388728"/>
    <x v="3"/>
    <s v="Johnson &amp; Johnson"/>
    <x v="2"/>
    <n v="-1.008"/>
    <x v="19"/>
    <x v="1"/>
    <s v="August"/>
    <s v="Loss"/>
    <n v="1.875"/>
    <n v="-6.7560000000000091"/>
  </r>
  <r>
    <s v="2024-08-28"/>
    <n v="163"/>
    <x v="1845"/>
    <n v="162.71"/>
    <n v="163.92"/>
    <n v="5187198"/>
    <x v="3"/>
    <s v="Johnson &amp; Johnson"/>
    <x v="2"/>
    <n v="0.59499999999999997"/>
    <x v="19"/>
    <x v="1"/>
    <s v="August"/>
    <s v="Profit"/>
    <n v="2.289999999999992"/>
    <n v="-6.1610000000000094"/>
  </r>
  <r>
    <s v="2024-08-29"/>
    <n v="164.63"/>
    <x v="1846"/>
    <n v="163.36000000000001"/>
    <n v="164.23"/>
    <n v="7390125"/>
    <x v="3"/>
    <s v="Johnson &amp; Johnson"/>
    <x v="2"/>
    <n v="0.189"/>
    <x v="19"/>
    <x v="1"/>
    <s v="August"/>
    <s v="Profit"/>
    <n v="1.3599999999999852"/>
    <n v="-5.9720000000000093"/>
  </r>
  <r>
    <s v="2024-08-30"/>
    <n v="164.12"/>
    <x v="1490"/>
    <n v="163.81"/>
    <n v="165.86"/>
    <n v="7971017"/>
    <x v="3"/>
    <s v="Johnson &amp; Johnson"/>
    <x v="2"/>
    <n v="0.99299999999999999"/>
    <x v="19"/>
    <x v="1"/>
    <s v="August"/>
    <s v="Profit"/>
    <n v="2.1699999999999875"/>
    <n v="-4.979000000000009"/>
  </r>
  <r>
    <s v="2024-09-03"/>
    <n v="165.24"/>
    <x v="1847"/>
    <n v="164.77"/>
    <n v="167.16"/>
    <n v="6956452"/>
    <x v="3"/>
    <s v="Johnson &amp; Johnson"/>
    <x v="2"/>
    <n v="0.78400000000000003"/>
    <x v="20"/>
    <x v="1"/>
    <s v="September"/>
    <s v="Profit"/>
    <n v="3.039999999999992"/>
    <n v="-4.1950000000000092"/>
  </r>
  <r>
    <s v="2024-09-04"/>
    <n v="167.81"/>
    <x v="1848"/>
    <n v="166.04"/>
    <n v="167.36"/>
    <n v="6939132"/>
    <x v="3"/>
    <s v="Johnson &amp; Johnson"/>
    <x v="2"/>
    <n v="0.12"/>
    <x v="20"/>
    <x v="1"/>
    <s v="September"/>
    <s v="Profit"/>
    <n v="2.8100000000000023"/>
    <n v="-4.0750000000000091"/>
  </r>
  <r>
    <s v="2024-09-05"/>
    <n v="167.2"/>
    <x v="1849"/>
    <n v="164.83"/>
    <n v="164.99"/>
    <n v="4600392"/>
    <x v="3"/>
    <s v="Johnson &amp; Johnson"/>
    <x v="2"/>
    <n v="-1.4159999999999999"/>
    <x v="20"/>
    <x v="1"/>
    <s v="September"/>
    <s v="Loss"/>
    <n v="2.539999999999992"/>
    <n v="-5.4910000000000085"/>
  </r>
  <r>
    <s v="2024-09-06"/>
    <n v="165.18"/>
    <x v="1588"/>
    <n v="164.12"/>
    <n v="164.38"/>
    <n v="6016884"/>
    <x v="3"/>
    <s v="Johnson &amp; Johnson"/>
    <x v="2"/>
    <n v="-0.37"/>
    <x v="20"/>
    <x v="1"/>
    <s v="September"/>
    <s v="Loss"/>
    <n v="1.8199999999999932"/>
    <n v="-5.8610000000000086"/>
  </r>
  <r>
    <s v="2024-09-09"/>
    <n v="164.84"/>
    <x v="1850"/>
    <n v="164.47"/>
    <n v="166.61"/>
    <n v="7538233"/>
    <x v="3"/>
    <s v="Johnson &amp; Johnson"/>
    <x v="2"/>
    <n v="1.357"/>
    <x v="20"/>
    <x v="1"/>
    <s v="September"/>
    <s v="Profit"/>
    <n v="2.9350000000000023"/>
    <n v="-4.5040000000000084"/>
  </r>
  <r>
    <s v="2024-09-10"/>
    <n v="167.5"/>
    <x v="1851"/>
    <n v="166.745"/>
    <n v="167.38"/>
    <n v="6559734"/>
    <x v="3"/>
    <s v="Johnson &amp; Johnson"/>
    <x v="2"/>
    <n v="0.46200000000000002"/>
    <x v="20"/>
    <x v="1"/>
    <s v="September"/>
    <s v="Profit"/>
    <n v="1.7150000000000034"/>
    <n v="-4.0420000000000087"/>
  </r>
  <r>
    <s v="2024-09-11"/>
    <n v="166.79"/>
    <x v="1852"/>
    <n v="164.09"/>
    <n v="164.82"/>
    <n v="5920165"/>
    <x v="3"/>
    <s v="Johnson &amp; Johnson"/>
    <x v="2"/>
    <n v="-1.5289999999999999"/>
    <x v="20"/>
    <x v="1"/>
    <s v="September"/>
    <s v="Loss"/>
    <n v="2.6999999999999886"/>
    <n v="-5.5710000000000086"/>
  </r>
  <r>
    <s v="2024-09-12"/>
    <n v="164.2"/>
    <x v="1853"/>
    <n v="162.71"/>
    <n v="164.64"/>
    <n v="4541046"/>
    <x v="3"/>
    <s v="Johnson &amp; Johnson"/>
    <x v="2"/>
    <n v="-0.109"/>
    <x v="20"/>
    <x v="1"/>
    <s v="September"/>
    <s v="Loss"/>
    <n v="2.3899999999999864"/>
    <n v="-5.6800000000000086"/>
  </r>
  <r>
    <s v="2024-09-13"/>
    <n v="164.74"/>
    <x v="1854"/>
    <n v="163.82"/>
    <n v="165.52"/>
    <n v="3693548"/>
    <x v="3"/>
    <s v="Johnson &amp; Johnson"/>
    <x v="2"/>
    <n v="0.53400000000000003"/>
    <x v="20"/>
    <x v="1"/>
    <s v="September"/>
    <s v="Profit"/>
    <n v="1.9300000000000068"/>
    <n v="-5.1460000000000088"/>
  </r>
  <r>
    <s v="2024-09-16"/>
    <n v="166.36"/>
    <x v="1855"/>
    <n v="165.78"/>
    <n v="166.99"/>
    <n v="5187887"/>
    <x v="3"/>
    <s v="Johnson &amp; Johnson"/>
    <x v="2"/>
    <n v="0.88800000000000001"/>
    <x v="20"/>
    <x v="1"/>
    <s v="September"/>
    <s v="Profit"/>
    <n v="1.4699999999999989"/>
    <n v="-4.2580000000000089"/>
  </r>
  <r>
    <s v="2024-09-17"/>
    <n v="166.24"/>
    <x v="1856"/>
    <n v="165.93"/>
    <n v="167.07"/>
    <n v="5066586"/>
    <x v="3"/>
    <s v="Johnson &amp; Johnson"/>
    <x v="2"/>
    <n v="4.8000000000000001E-2"/>
    <x v="20"/>
    <x v="1"/>
    <s v="September"/>
    <s v="Profit"/>
    <n v="1.789999999999992"/>
    <n v="-4.2100000000000088"/>
  </r>
  <r>
    <s v="2024-09-18"/>
    <n v="166.63"/>
    <x v="1857"/>
    <n v="165.74"/>
    <n v="166.15"/>
    <n v="4722765"/>
    <x v="3"/>
    <s v="Johnson &amp; Johnson"/>
    <x v="2"/>
    <n v="-0.55100000000000005"/>
    <x v="20"/>
    <x v="1"/>
    <s v="September"/>
    <s v="Loss"/>
    <n v="2.6099999999999852"/>
    <n v="-4.761000000000009"/>
  </r>
  <r>
    <s v="2024-09-19"/>
    <n v="166.23"/>
    <x v="1858"/>
    <n v="164.42"/>
    <n v="164.82"/>
    <n v="4956119"/>
    <x v="3"/>
    <s v="Johnson &amp; Johnson"/>
    <x v="2"/>
    <n v="-0.8"/>
    <x v="20"/>
    <x v="1"/>
    <s v="September"/>
    <s v="Loss"/>
    <n v="1.9500000000000171"/>
    <n v="-5.5610000000000088"/>
  </r>
  <r>
    <s v="2024-09-20"/>
    <n v="164.3"/>
    <x v="1859"/>
    <n v="163.55000000000001"/>
    <n v="164.16"/>
    <n v="11838967"/>
    <x v="3"/>
    <s v="Johnson &amp; Johnson"/>
    <x v="2"/>
    <n v="-0.4"/>
    <x v="20"/>
    <x v="1"/>
    <s v="September"/>
    <s v="Loss"/>
    <n v="1.3199999999999932"/>
    <n v="-5.9610000000000092"/>
  </r>
  <r>
    <s v="2024-09-23"/>
    <n v="164.4"/>
    <x v="1860"/>
    <n v="162.72"/>
    <n v="163.22"/>
    <n v="4671645"/>
    <x v="3"/>
    <s v="Johnson &amp; Johnson"/>
    <x v="2"/>
    <n v="-0.57299999999999995"/>
    <x v="20"/>
    <x v="1"/>
    <s v="September"/>
    <s v="Loss"/>
    <n v="1.7800000000000011"/>
    <n v="-6.5340000000000096"/>
  </r>
  <r>
    <s v="2024-09-24"/>
    <n v="162.79"/>
    <x v="1861"/>
    <n v="161.55000000000001"/>
    <n v="162.78"/>
    <n v="6041561"/>
    <x v="3"/>
    <s v="Johnson &amp; Johnson"/>
    <x v="2"/>
    <n v="-0.27"/>
    <x v="20"/>
    <x v="1"/>
    <s v="September"/>
    <s v="Loss"/>
    <n v="1.9399999999999977"/>
    <n v="-6.8040000000000092"/>
  </r>
  <r>
    <s v="2024-09-25"/>
    <n v="163"/>
    <x v="1862"/>
    <n v="160.36000000000001"/>
    <n v="160.6"/>
    <n v="5420011"/>
    <x v="3"/>
    <s v="Johnson &amp; Johnson"/>
    <x v="2"/>
    <n v="-1.339"/>
    <x v="20"/>
    <x v="1"/>
    <s v="September"/>
    <s v="Loss"/>
    <n v="2.9549999999999841"/>
    <n v="-8.1430000000000096"/>
  </r>
  <r>
    <s v="2024-09-26"/>
    <n v="160.24"/>
    <x v="1746"/>
    <n v="160.02000000000001"/>
    <n v="161.38999999999999"/>
    <n v="6122231"/>
    <x v="3"/>
    <s v="Johnson &amp; Johnson"/>
    <x v="2"/>
    <n v="0.49199999999999999"/>
    <x v="20"/>
    <x v="1"/>
    <s v="September"/>
    <s v="Profit"/>
    <n v="1.5199999999999818"/>
    <n v="-7.6510000000000096"/>
  </r>
  <r>
    <s v="2024-09-27"/>
    <n v="162"/>
    <x v="1489"/>
    <n v="161.34"/>
    <n v="161.4"/>
    <n v="7553905"/>
    <x v="3"/>
    <s v="Johnson &amp; Johnson"/>
    <x v="2"/>
    <n v="6.0000000000000001E-3"/>
    <x v="20"/>
    <x v="1"/>
    <s v="September"/>
    <s v="Profit"/>
    <n v="2.0900000000000034"/>
    <n v="-7.6450000000000093"/>
  </r>
  <r>
    <s v="2024-09-30"/>
    <n v="161.41999999999999"/>
    <x v="1863"/>
    <n v="160.68"/>
    <n v="162.06"/>
    <n v="6010407"/>
    <x v="3"/>
    <s v="Johnson &amp; Johnson"/>
    <x v="2"/>
    <n v="0.40899999999999997"/>
    <x v="20"/>
    <x v="1"/>
    <s v="September"/>
    <s v="Profit"/>
    <n v="1.5"/>
    <n v="-7.2360000000000095"/>
  </r>
  <r>
    <s v="2024-10-01"/>
    <n v="162.43"/>
    <x v="1864"/>
    <n v="161.18"/>
    <n v="161.99"/>
    <n v="4408019"/>
    <x v="3"/>
    <s v="Johnson &amp; Johnson"/>
    <x v="2"/>
    <n v="-4.2999999999999997E-2"/>
    <x v="21"/>
    <x v="1"/>
    <s v="October"/>
    <s v="Loss"/>
    <n v="1.5699999999999932"/>
    <n v="-7.2790000000000097"/>
  </r>
  <r>
    <s v="2024-10-02"/>
    <n v="161.51"/>
    <x v="1865"/>
    <n v="160.65"/>
    <n v="161.16999999999999"/>
    <n v="4684472"/>
    <x v="3"/>
    <s v="Johnson &amp; Johnson"/>
    <x v="2"/>
    <n v="-0.50600000000000001"/>
    <x v="21"/>
    <x v="1"/>
    <s v="October"/>
    <s v="Loss"/>
    <n v="1.4699999999999989"/>
    <n v="-7.7850000000000099"/>
  </r>
  <r>
    <s v="2024-10-03"/>
    <n v="160.78"/>
    <x v="1707"/>
    <n v="160.22"/>
    <n v="160.5"/>
    <n v="4791223"/>
    <x v="3"/>
    <s v="Johnson &amp; Johnson"/>
    <x v="2"/>
    <n v="-0.41599999999999998"/>
    <x v="21"/>
    <x v="1"/>
    <s v="October"/>
    <s v="Loss"/>
    <n v="1.2199999999999989"/>
    <n v="-8.2010000000000094"/>
  </r>
  <r>
    <s v="2024-10-04"/>
    <n v="159.63"/>
    <x v="1866"/>
    <n v="158.77500000000001"/>
    <n v="160.29"/>
    <n v="5331694"/>
    <x v="3"/>
    <s v="Johnson &amp; Johnson"/>
    <x v="2"/>
    <n v="-0.13100000000000001"/>
    <x v="21"/>
    <x v="1"/>
    <s v="October"/>
    <s v="Loss"/>
    <n v="1.7249999999999943"/>
    <n v="-8.3320000000000096"/>
  </r>
  <r>
    <s v="2024-10-07"/>
    <n v="160.25"/>
    <x v="1867"/>
    <n v="159.22"/>
    <n v="159.53"/>
    <n v="4265971"/>
    <x v="3"/>
    <s v="Johnson &amp; Johnson"/>
    <x v="2"/>
    <n v="-0.47399999999999998"/>
    <x v="21"/>
    <x v="1"/>
    <s v="October"/>
    <s v="Loss"/>
    <n v="1.6400000000000148"/>
    <n v="-8.8060000000000098"/>
  </r>
  <r>
    <s v="2024-10-08"/>
    <n v="159.49"/>
    <x v="1868"/>
    <n v="158.94999999999999"/>
    <n v="159.69"/>
    <n v="4766250"/>
    <x v="3"/>
    <s v="Johnson &amp; Johnson"/>
    <x v="2"/>
    <n v="0.1"/>
    <x v="21"/>
    <x v="1"/>
    <s v="October"/>
    <s v="Profit"/>
    <n v="1.2950000000000159"/>
    <n v="-8.7060000000000102"/>
  </r>
  <r>
    <s v="2024-10-09"/>
    <n v="159.91999999999999"/>
    <x v="1869"/>
    <n v="159.51"/>
    <n v="160.65"/>
    <n v="6047269"/>
    <x v="3"/>
    <s v="Johnson &amp; Johnson"/>
    <x v="2"/>
    <n v="0.60099999999999998"/>
    <x v="21"/>
    <x v="1"/>
    <s v="October"/>
    <s v="Profit"/>
    <n v="1.7050000000000125"/>
    <n v="-8.1050000000000111"/>
  </r>
  <r>
    <s v="2024-10-10"/>
    <n v="161.36000000000001"/>
    <x v="1870"/>
    <n v="159.995"/>
    <n v="160.51"/>
    <n v="4793889"/>
    <x v="3"/>
    <s v="Johnson &amp; Johnson"/>
    <x v="2"/>
    <n v="-8.6999999999999994E-2"/>
    <x v="21"/>
    <x v="1"/>
    <s v="October"/>
    <s v="Loss"/>
    <n v="1.3949999999999818"/>
    <n v="-8.1920000000000108"/>
  </r>
  <r>
    <s v="2024-10-11"/>
    <n v="162.18"/>
    <x v="1871"/>
    <n v="161.19999999999999"/>
    <n v="161.46"/>
    <n v="5253459"/>
    <x v="3"/>
    <s v="Johnson &amp; Johnson"/>
    <x v="2"/>
    <n v="0.59199999999999997"/>
    <x v="21"/>
    <x v="1"/>
    <s v="October"/>
    <s v="Profit"/>
    <n v="1.460000000000008"/>
    <n v="-7.6000000000000112"/>
  </r>
  <r>
    <s v="2024-10-14"/>
    <n v="161.4"/>
    <x v="1872"/>
    <n v="160.9"/>
    <n v="161.6"/>
    <n v="5963961"/>
    <x v="3"/>
    <s v="Johnson &amp; Johnson"/>
    <x v="2"/>
    <n v="8.6999999999999994E-2"/>
    <x v="21"/>
    <x v="1"/>
    <s v="October"/>
    <s v="Profit"/>
    <n v="1.2399999999999807"/>
    <n v="-7.5130000000000114"/>
  </r>
  <r>
    <s v="2024-10-15"/>
    <n v="160"/>
    <x v="1873"/>
    <n v="159"/>
    <n v="164.1"/>
    <n v="10547966"/>
    <x v="3"/>
    <s v="Johnson &amp; Johnson"/>
    <x v="2"/>
    <n v="1.5469999999999999"/>
    <x v="21"/>
    <x v="1"/>
    <s v="October"/>
    <s v="Profit"/>
    <n v="7.75"/>
    <n v="-5.9660000000000117"/>
  </r>
  <r>
    <s v="2024-10-16"/>
    <n v="164"/>
    <x v="1580"/>
    <n v="162.63999999999999"/>
    <n v="164.28"/>
    <n v="5982291"/>
    <x v="3"/>
    <s v="Johnson &amp; Johnson"/>
    <x v="2"/>
    <n v="0.11"/>
    <x v="21"/>
    <x v="1"/>
    <s v="October"/>
    <s v="Profit"/>
    <n v="2.3500000000000227"/>
    <n v="-5.8560000000000114"/>
  </r>
  <r>
    <s v="2024-10-17"/>
    <n v="164.26"/>
    <x v="1845"/>
    <n v="163.63"/>
    <n v="164.47"/>
    <n v="4798238"/>
    <x v="3"/>
    <s v="Johnson &amp; Johnson"/>
    <x v="2"/>
    <n v="0.11600000000000001"/>
    <x v="21"/>
    <x v="1"/>
    <s v="October"/>
    <s v="Profit"/>
    <n v="1.3700000000000045"/>
    <n v="-5.7400000000000118"/>
  </r>
  <r>
    <s v="2024-10-18"/>
    <n v="164.89"/>
    <x v="1874"/>
    <n v="163.93"/>
    <n v="165.12"/>
    <n v="5908012"/>
    <x v="3"/>
    <s v="Johnson &amp; Johnson"/>
    <x v="2"/>
    <n v="0.39500000000000002"/>
    <x v="21"/>
    <x v="1"/>
    <s v="October"/>
    <s v="Profit"/>
    <n v="1.3599999999999852"/>
    <n v="-5.3450000000000113"/>
  </r>
  <r>
    <s v="2024-10-21"/>
    <n v="165.1"/>
    <x v="1875"/>
    <n v="162.31"/>
    <n v="162.83000000000001"/>
    <n v="6082736"/>
    <x v="3"/>
    <s v="Johnson &amp; Johnson"/>
    <x v="2"/>
    <n v="-1.387"/>
    <x v="21"/>
    <x v="1"/>
    <s v="October"/>
    <s v="Loss"/>
    <n v="2.9399999999999977"/>
    <n v="-6.7320000000000118"/>
  </r>
  <r>
    <s v="2024-10-22"/>
    <n v="162.32"/>
    <x v="1876"/>
    <n v="161.9"/>
    <n v="163.44999999999999"/>
    <n v="5680612"/>
    <x v="3"/>
    <s v="Johnson &amp; Johnson"/>
    <x v="2"/>
    <n v="0.38100000000000001"/>
    <x v="21"/>
    <x v="1"/>
    <s v="October"/>
    <s v="Profit"/>
    <n v="1.8299999999999841"/>
    <n v="-6.3510000000000115"/>
  </r>
  <r>
    <s v="2024-10-23"/>
    <n v="162.82"/>
    <x v="1877"/>
    <n v="162.41999999999999"/>
    <n v="165.86"/>
    <n v="7442026"/>
    <x v="3"/>
    <s v="Johnson &amp; Johnson"/>
    <x v="2"/>
    <n v="1.474"/>
    <x v="21"/>
    <x v="1"/>
    <s v="October"/>
    <s v="Profit"/>
    <n v="3.5800000000000125"/>
    <n v="-4.8770000000000113"/>
  </r>
  <r>
    <s v="2024-10-24"/>
    <n v="165"/>
    <x v="1408"/>
    <n v="163.34"/>
    <n v="163.66999999999999"/>
    <n v="5386525"/>
    <x v="3"/>
    <s v="Johnson &amp; Johnson"/>
    <x v="2"/>
    <n v="-1.32"/>
    <x v="21"/>
    <x v="1"/>
    <s v="October"/>
    <s v="Loss"/>
    <n v="2.1699999999999875"/>
    <n v="-6.1970000000000116"/>
  </r>
  <r>
    <s v="2024-10-25"/>
    <n v="163.68"/>
    <x v="1589"/>
    <n v="160.61000000000001"/>
    <n v="160.88"/>
    <n v="6400449"/>
    <x v="3"/>
    <s v="Johnson &amp; Johnson"/>
    <x v="2"/>
    <n v="-1.7050000000000001"/>
    <x v="21"/>
    <x v="1"/>
    <s v="October"/>
    <s v="Loss"/>
    <n v="3.3099999999999739"/>
    <n v="-7.9020000000000117"/>
  </r>
  <r>
    <s v="2024-10-28"/>
    <n v="161.13"/>
    <x v="1555"/>
    <n v="161"/>
    <n v="161.6"/>
    <n v="4842653"/>
    <x v="3"/>
    <s v="Johnson &amp; Johnson"/>
    <x v="2"/>
    <n v="0.44800000000000001"/>
    <x v="21"/>
    <x v="1"/>
    <s v="October"/>
    <s v="Profit"/>
    <n v="0.96999999999999886"/>
    <n v="-7.4540000000000113"/>
  </r>
  <r>
    <s v="2024-10-29"/>
    <n v="161.46"/>
    <x v="1878"/>
    <n v="160.06"/>
    <n v="160.09"/>
    <n v="5216879"/>
    <x v="3"/>
    <s v="Johnson &amp; Johnson"/>
    <x v="2"/>
    <n v="-0.93400000000000005"/>
    <x v="21"/>
    <x v="1"/>
    <s v="October"/>
    <s v="Loss"/>
    <n v="2.1099999999999852"/>
    <n v="-8.3880000000000106"/>
  </r>
  <r>
    <s v="2024-10-30"/>
    <n v="159.44999999999999"/>
    <x v="1879"/>
    <n v="159.03"/>
    <n v="160.61000000000001"/>
    <n v="5820530"/>
    <x v="3"/>
    <s v="Johnson &amp; Johnson"/>
    <x v="2"/>
    <n v="0.32500000000000001"/>
    <x v="21"/>
    <x v="1"/>
    <s v="October"/>
    <s v="Profit"/>
    <n v="2.25"/>
    <n v="-8.0630000000000113"/>
  </r>
  <r>
    <s v="2024-10-31"/>
    <n v="159.99"/>
    <x v="1880"/>
    <n v="159.46"/>
    <n v="159.86000000000001"/>
    <n v="8613860"/>
    <x v="3"/>
    <s v="Johnson &amp; Johnson"/>
    <x v="2"/>
    <n v="-0.46700000000000003"/>
    <x v="21"/>
    <x v="1"/>
    <s v="October"/>
    <s v="Loss"/>
    <n v="1.4099999999999966"/>
    <n v="-8.5300000000000118"/>
  </r>
  <r>
    <s v="2024-11-01"/>
    <n v="160.58000000000001"/>
    <x v="1629"/>
    <n v="159.88"/>
    <n v="160.13"/>
    <n v="5256652"/>
    <x v="3"/>
    <s v="Johnson &amp; Johnson"/>
    <x v="2"/>
    <n v="0.16900000000000001"/>
    <x v="22"/>
    <x v="1"/>
    <s v="November"/>
    <s v="Profit"/>
    <n v="1.1800000000000068"/>
    <n v="-8.3610000000000113"/>
  </r>
  <r>
    <s v="2024-11-04"/>
    <n v="159.91999999999999"/>
    <x v="1881"/>
    <n v="158.07"/>
    <n v="158.24"/>
    <n v="4644011"/>
    <x v="3"/>
    <s v="Johnson &amp; Johnson"/>
    <x v="2"/>
    <n v="-1.18"/>
    <x v="22"/>
    <x v="1"/>
    <s v="November"/>
    <s v="Loss"/>
    <n v="2.210000000000008"/>
    <n v="-9.541000000000011"/>
  </r>
  <r>
    <s v="2024-11-05"/>
    <n v="157.66999999999999"/>
    <x v="1882"/>
    <n v="156.35"/>
    <n v="158.35"/>
    <n v="6547074"/>
    <x v="3"/>
    <s v="Johnson &amp; Johnson"/>
    <x v="2"/>
    <n v="7.0000000000000007E-2"/>
    <x v="22"/>
    <x v="1"/>
    <s v="November"/>
    <s v="Profit"/>
    <n v="2.2400000000000091"/>
    <n v="-9.4710000000000107"/>
  </r>
  <r>
    <s v="2024-11-06"/>
    <n v="159.44"/>
    <x v="1883"/>
    <n v="157.35499999999999"/>
    <n v="157.88"/>
    <n v="8926601"/>
    <x v="3"/>
    <s v="Johnson &amp; Johnson"/>
    <x v="2"/>
    <n v="-0.29699999999999999"/>
    <x v="22"/>
    <x v="1"/>
    <s v="November"/>
    <s v="Loss"/>
    <n v="3.4950000000000045"/>
    <n v="-9.7680000000000113"/>
  </r>
  <r>
    <s v="2024-11-07"/>
    <n v="158.47"/>
    <x v="59"/>
    <n v="156.51"/>
    <n v="156.72999999999999"/>
    <n v="7522812"/>
    <x v="3"/>
    <s v="Johnson &amp; Johnson"/>
    <x v="2"/>
    <n v="-0.72799999999999998"/>
    <x v="22"/>
    <x v="1"/>
    <s v="November"/>
    <s v="Loss"/>
    <n v="2.2400000000000091"/>
    <n v="-10.496000000000011"/>
  </r>
  <r>
    <s v="2024-11-08"/>
    <n v="157"/>
    <x v="1884"/>
    <n v="155.41"/>
    <n v="155.47"/>
    <n v="8926134"/>
    <x v="3"/>
    <s v="Johnson &amp; Johnson"/>
    <x v="2"/>
    <n v="-0.80400000000000005"/>
    <x v="22"/>
    <x v="1"/>
    <s v="November"/>
    <s v="Loss"/>
    <n v="1.6700000000000159"/>
    <n v="-11.300000000000011"/>
  </r>
  <r>
    <s v="2024-11-11"/>
    <n v="155.62"/>
    <x v="1885"/>
    <n v="154.91"/>
    <n v="155.04"/>
    <n v="7146759"/>
    <x v="3"/>
    <s v="Johnson &amp; Johnson"/>
    <x v="2"/>
    <n v="-0.27700000000000002"/>
    <x v="22"/>
    <x v="1"/>
    <s v="November"/>
    <s v="Loss"/>
    <n v="2.6700000000000159"/>
    <n v="-11.577000000000011"/>
  </r>
  <r>
    <s v="2024-11-12"/>
    <n v="154.50700000000001"/>
    <x v="1570"/>
    <n v="152.37"/>
    <n v="152.63999999999999"/>
    <n v="7181408"/>
    <x v="3"/>
    <s v="Johnson &amp; Johnson"/>
    <x v="2"/>
    <n v="-1.548"/>
    <x v="22"/>
    <x v="1"/>
    <s v="November"/>
    <s v="Loss"/>
    <n v="2.6699999999999875"/>
    <n v="-13.125000000000011"/>
  </r>
  <r>
    <s v="2024-11-13"/>
    <n v="152.495"/>
    <x v="1886"/>
    <n v="151.42400000000001"/>
    <n v="153.24"/>
    <n v="7162233"/>
    <x v="3"/>
    <s v="Johnson &amp; Johnson"/>
    <x v="2"/>
    <n v="0.39300000000000002"/>
    <x v="22"/>
    <x v="1"/>
    <s v="November"/>
    <s v="Profit"/>
    <n v="2.0859999999999843"/>
    <n v="-12.73200000000001"/>
  </r>
  <r>
    <s v="2024-11-14"/>
    <n v="153.25"/>
    <x v="1887"/>
    <n v="150.76"/>
    <n v="151.87"/>
    <n v="7716385"/>
    <x v="3"/>
    <s v="Johnson &amp; Johnson"/>
    <x v="2"/>
    <n v="-0.89400000000000002"/>
    <x v="22"/>
    <x v="1"/>
    <s v="November"/>
    <s v="Loss"/>
    <n v="2.8320000000000221"/>
    <n v="-13.62600000000001"/>
  </r>
  <r>
    <s v="2024-11-15"/>
    <n v="151.30000000000001"/>
    <x v="1888"/>
    <n v="150.9"/>
    <n v="154"/>
    <n v="11328515"/>
    <x v="3"/>
    <s v="Johnson &amp; Johnson"/>
    <x v="2"/>
    <n v="1.403"/>
    <x v="22"/>
    <x v="1"/>
    <s v="November"/>
    <s v="Profit"/>
    <n v="3.5300000000000011"/>
    <n v="-12.22300000000001"/>
  </r>
  <r>
    <s v="2024-11-18"/>
    <n v="152.97999999999999"/>
    <x v="1889"/>
    <n v="152.33000000000001"/>
    <n v="154.77000000000001"/>
    <n v="7514177"/>
    <x v="3"/>
    <s v="Johnson &amp; Johnson"/>
    <x v="2"/>
    <n v="0.5"/>
    <x v="22"/>
    <x v="1"/>
    <s v="November"/>
    <s v="Profit"/>
    <n v="3"/>
    <n v="-11.72300000000001"/>
  </r>
  <r>
    <s v="2024-11-19"/>
    <n v="153.94499999999999"/>
    <x v="1890"/>
    <n v="152.05000000000001"/>
    <n v="153"/>
    <n v="8233678"/>
    <x v="3"/>
    <s v="Johnson &amp; Johnson"/>
    <x v="2"/>
    <n v="-1.1439999999999999"/>
    <x v="22"/>
    <x v="1"/>
    <s v="November"/>
    <s v="Loss"/>
    <n v="1.9399999999999977"/>
    <n v="-12.86700000000001"/>
  </r>
  <r>
    <s v="2024-11-20"/>
    <n v="153.13999999999999"/>
    <x v="1891"/>
    <n v="151.81"/>
    <n v="153.11000000000001"/>
    <n v="9061274"/>
    <x v="3"/>
    <s v="Johnson &amp; Johnson"/>
    <x v="2"/>
    <n v="7.1999999999999995E-2"/>
    <x v="22"/>
    <x v="1"/>
    <s v="November"/>
    <s v="Profit"/>
    <n v="1.4399999999999977"/>
    <n v="-12.795000000000011"/>
  </r>
  <r>
    <s v="2024-11-21"/>
    <n v="153.6"/>
    <x v="1892"/>
    <n v="152.81"/>
    <n v="155.5"/>
    <n v="10141056"/>
    <x v="3"/>
    <s v="Johnson &amp; Johnson"/>
    <x v="2"/>
    <n v="1.5609999999999999"/>
    <x v="22"/>
    <x v="1"/>
    <s v="November"/>
    <s v="Profit"/>
    <n v="3.25"/>
    <n v="-11.234000000000011"/>
  </r>
  <r>
    <s v="2024-11-22"/>
    <n v="155.9"/>
    <x v="1893"/>
    <n v="154.11000000000001"/>
    <n v="155.16999999999999"/>
    <n v="8265961"/>
    <x v="3"/>
    <s v="Johnson &amp; Johnson"/>
    <x v="2"/>
    <n v="-0.21199999999999999"/>
    <x v="22"/>
    <x v="1"/>
    <s v="November"/>
    <s v="Loss"/>
    <n v="3.0049999999999955"/>
    <n v="-11.44600000000001"/>
  </r>
  <r>
    <s v="2024-11-25"/>
    <n v="155.16999999999999"/>
    <x v="1894"/>
    <n v="155.13999999999999"/>
    <n v="155.78"/>
    <n v="12256242"/>
    <x v="3"/>
    <s v="Johnson &amp; Johnson"/>
    <x v="2"/>
    <n v="0.39300000000000002"/>
    <x v="22"/>
    <x v="1"/>
    <s v="November"/>
    <s v="Profit"/>
    <n v="1.8950000000000102"/>
    <n v="-11.05300000000001"/>
  </r>
  <r>
    <s v="2024-11-26"/>
    <n v="155.185"/>
    <x v="1895"/>
    <n v="153.16"/>
    <n v="154.52000000000001"/>
    <n v="5683499"/>
    <x v="3"/>
    <s v="Johnson &amp; Johnson"/>
    <x v="2"/>
    <n v="-0.80900000000000005"/>
    <x v="22"/>
    <x v="1"/>
    <s v="November"/>
    <s v="Loss"/>
    <n v="2.0900000000000034"/>
    <n v="-11.862000000000009"/>
  </r>
  <r>
    <s v="2024-11-27"/>
    <n v="154.61000000000001"/>
    <x v="1896"/>
    <n v="154.6"/>
    <n v="155.4"/>
    <n v="4140444"/>
    <x v="3"/>
    <s v="Johnson &amp; Johnson"/>
    <x v="2"/>
    <n v="0.56999999999999995"/>
    <x v="22"/>
    <x v="1"/>
    <s v="November"/>
    <s v="Profit"/>
    <n v="2.0300000000000011"/>
    <n v="-11.292000000000009"/>
  </r>
  <r>
    <s v="2024-11-29"/>
    <n v="154.16900000000001"/>
    <x v="1897"/>
    <n v="154.16900000000001"/>
    <n v="155.01"/>
    <n v="5687821"/>
    <x v="3"/>
    <s v="Johnson &amp; Johnson"/>
    <x v="2"/>
    <n v="-0.251"/>
    <x v="22"/>
    <x v="1"/>
    <s v="November"/>
    <s v="Loss"/>
    <n v="1.5009999999999764"/>
    <n v="-11.543000000000008"/>
  </r>
  <r>
    <s v="2024-12-02"/>
    <n v="154.86000000000001"/>
    <x v="1898"/>
    <n v="153.92599999999999"/>
    <n v="154.80000000000001"/>
    <n v="6946494"/>
    <x v="3"/>
    <s v="Johnson &amp; Johnson"/>
    <x v="2"/>
    <n v="-0.13500000000000001"/>
    <x v="23"/>
    <x v="1"/>
    <s v="December"/>
    <s v="Loss"/>
    <n v="1.0740000000000123"/>
    <n v="-11.678000000000008"/>
  </r>
  <r>
    <s v="2024-12-03"/>
    <n v="154.44999999999999"/>
    <x v="1899"/>
    <n v="152.30500000000001"/>
    <n v="152.36000000000001"/>
    <n v="8674415"/>
    <x v="3"/>
    <s v="Johnson &amp; Johnson"/>
    <x v="2"/>
    <n v="-1.5760000000000001"/>
    <x v="23"/>
    <x v="1"/>
    <s v="December"/>
    <s v="Loss"/>
    <n v="2.4950000000000045"/>
    <n v="-13.254000000000008"/>
  </r>
  <r>
    <s v="2024-12-04"/>
    <n v="151.16999999999999"/>
    <x v="1900"/>
    <n v="149.75"/>
    <n v="150.47"/>
    <n v="10333110"/>
    <x v="3"/>
    <s v="Johnson &amp; Johnson"/>
    <x v="2"/>
    <n v="-1.24"/>
    <x v="23"/>
    <x v="1"/>
    <s v="December"/>
    <s v="Loss"/>
    <n v="1.8100000000000023"/>
    <n v="-14.494000000000009"/>
  </r>
  <r>
    <s v="2024-12-05"/>
    <n v="150"/>
    <x v="1901"/>
    <n v="148.94999999999999"/>
    <n v="149.52000000000001"/>
    <n v="7898098"/>
    <x v="3"/>
    <s v="Johnson &amp; Johnson"/>
    <x v="2"/>
    <n v="-0.63100000000000001"/>
    <x v="23"/>
    <x v="1"/>
    <s v="December"/>
    <s v="Loss"/>
    <n v="1.4300000000000068"/>
    <n v="-15.125000000000009"/>
  </r>
  <r>
    <s v="2024-12-06"/>
    <n v="149.38999999999999"/>
    <x v="1778"/>
    <n v="148.38"/>
    <n v="149.31"/>
    <n v="8389611"/>
    <x v="3"/>
    <s v="Johnson &amp; Johnson"/>
    <x v="2"/>
    <n v="-0.14000000000000001"/>
    <x v="23"/>
    <x v="1"/>
    <s v="December"/>
    <s v="Loss"/>
    <n v="1.6700000000000159"/>
    <n v="-15.265000000000009"/>
  </r>
  <r>
    <s v="2024-12-09"/>
    <n v="149.29"/>
    <x v="1902"/>
    <n v="148.44"/>
    <n v="149.6"/>
    <n v="8410303"/>
    <x v="3"/>
    <s v="Johnson &amp; Johnson"/>
    <x v="2"/>
    <n v="0.19400000000000001"/>
    <x v="23"/>
    <x v="1"/>
    <s v="December"/>
    <s v="Profit"/>
    <n v="2.4499999999999886"/>
    <n v="-15.071000000000009"/>
  </r>
  <r>
    <s v="2024-12-10"/>
    <n v="149.88999999999999"/>
    <x v="1903"/>
    <n v="148.33000000000001"/>
    <n v="149.22999999999999"/>
    <n v="9398671"/>
    <x v="3"/>
    <s v="Johnson &amp; Johnson"/>
    <x v="2"/>
    <n v="-0.247"/>
    <x v="23"/>
    <x v="1"/>
    <s v="December"/>
    <s v="Loss"/>
    <n v="2.5"/>
    <n v="-15.318000000000008"/>
  </r>
  <r>
    <s v="2024-12-11"/>
    <n v="148.5"/>
    <x v="1675"/>
    <n v="146.37"/>
    <n v="146.63999999999999"/>
    <n v="13446656"/>
    <x v="3"/>
    <s v="Johnson &amp; Johnson"/>
    <x v="2"/>
    <n v="-1.736"/>
    <x v="23"/>
    <x v="1"/>
    <s v="December"/>
    <s v="Loss"/>
    <n v="2.1299999999999955"/>
    <n v="-17.054000000000009"/>
  </r>
  <r>
    <s v="2024-12-12"/>
    <n v="147.13999999999999"/>
    <x v="1904"/>
    <n v="146.01"/>
    <n v="146.24"/>
    <n v="6176269"/>
    <x v="3"/>
    <s v="Johnson &amp; Johnson"/>
    <x v="2"/>
    <n v="-0.27300000000000002"/>
    <x v="23"/>
    <x v="1"/>
    <s v="December"/>
    <s v="Loss"/>
    <n v="1.7600000000000193"/>
    <n v="-17.327000000000009"/>
  </r>
  <r>
    <s v="2024-12-13"/>
    <n v="145.69999999999999"/>
    <x v="720"/>
    <n v="145.04"/>
    <n v="146.62"/>
    <n v="8324900"/>
    <x v="3"/>
    <s v="Johnson &amp; Johnson"/>
    <x v="2"/>
    <n v="0.26"/>
    <x v="23"/>
    <x v="1"/>
    <s v="December"/>
    <s v="Profit"/>
    <n v="1.8900000000000148"/>
    <n v="-17.067000000000007"/>
  </r>
  <r>
    <s v="2024-12-16"/>
    <n v="146.80000000000001"/>
    <x v="1905"/>
    <n v="143.52000000000001"/>
    <n v="143.85"/>
    <n v="8732378"/>
    <x v="3"/>
    <s v="Johnson &amp; Johnson"/>
    <x v="2"/>
    <n v="-1.889"/>
    <x v="23"/>
    <x v="1"/>
    <s v="December"/>
    <s v="Loss"/>
    <n v="3.7299999999999898"/>
    <n v="-18.956000000000007"/>
  </r>
  <r>
    <s v="2024-12-17"/>
    <n v="143.84"/>
    <x v="1906"/>
    <n v="143.71"/>
    <n v="146.41"/>
    <n v="10342958"/>
    <x v="3"/>
    <s v="Johnson &amp; Johnson"/>
    <x v="2"/>
    <n v="1.78"/>
    <x v="23"/>
    <x v="1"/>
    <s v="December"/>
    <s v="Profit"/>
    <n v="2.9499999999999886"/>
    <n v="-17.176000000000005"/>
  </r>
  <r>
    <s v="2024-12-18"/>
    <n v="145.678"/>
    <x v="1907"/>
    <n v="144.66999999999999"/>
    <n v="144.75"/>
    <n v="9336094"/>
    <x v="3"/>
    <s v="Johnson &amp; Johnson"/>
    <x v="2"/>
    <n v="-1.1339999999999999"/>
    <x v="23"/>
    <x v="1"/>
    <s v="December"/>
    <s v="Loss"/>
    <n v="2.0700000000000216"/>
    <n v="-18.310000000000006"/>
  </r>
  <r>
    <s v="2024-12-19"/>
    <n v="144.27000000000001"/>
    <x v="1908"/>
    <n v="143.37"/>
    <n v="143.58000000000001"/>
    <n v="9516653"/>
    <x v="3"/>
    <s v="Johnson &amp; Johnson"/>
    <x v="2"/>
    <n v="-0.80800000000000005"/>
    <x v="23"/>
    <x v="1"/>
    <s v="December"/>
    <s v="Loss"/>
    <n v="1.8499999999999943"/>
    <n v="-19.118000000000006"/>
  </r>
  <r>
    <s v="2024-12-20"/>
    <n v="142.75399999999999"/>
    <x v="1909"/>
    <n v="142.75"/>
    <n v="144.47"/>
    <n v="17702755"/>
    <x v="3"/>
    <s v="Johnson &amp; Johnson"/>
    <x v="2"/>
    <n v="0.62"/>
    <x v="23"/>
    <x v="1"/>
    <s v="December"/>
    <s v="Profit"/>
    <n v="2.7199999999999989"/>
    <n v="-18.498000000000005"/>
  </r>
  <r>
    <s v="2024-12-23"/>
    <n v="144.31"/>
    <x v="1910"/>
    <n v="143.44999999999999"/>
    <n v="145.27000000000001"/>
    <n v="8720824"/>
    <x v="3"/>
    <s v="Johnson &amp; Johnson"/>
    <x v="2"/>
    <n v="0.55400000000000005"/>
    <x v="23"/>
    <x v="1"/>
    <s v="December"/>
    <s v="Profit"/>
    <n v="1.8800000000000239"/>
    <n v="-17.944000000000006"/>
  </r>
  <r>
    <s v="2024-12-24"/>
    <n v="145.01"/>
    <x v="1911"/>
    <n v="144.333"/>
    <n v="145.85"/>
    <n v="3164071"/>
    <x v="3"/>
    <s v="Johnson &amp; Johnson"/>
    <x v="2"/>
    <n v="0.39900000000000002"/>
    <x v="23"/>
    <x v="1"/>
    <s v="December"/>
    <s v="Profit"/>
    <n v="1.5169999999999959"/>
    <n v="-17.545000000000005"/>
  </r>
  <r>
    <s v="2024-12-26"/>
    <n v="145.55000000000001"/>
    <x v="1912"/>
    <n v="145.09"/>
    <n v="145.58000000000001"/>
    <n v="4656981"/>
    <x v="3"/>
    <s v="Johnson &amp; Johnson"/>
    <x v="2"/>
    <n v="-0.185"/>
    <x v="23"/>
    <x v="1"/>
    <s v="December"/>
    <s v="Loss"/>
    <n v="1.2800000000000011"/>
    <n v="-17.730000000000004"/>
  </r>
  <r>
    <s v="2024-12-27"/>
    <n v="144.80000000000001"/>
    <x v="1913"/>
    <n v="144.68"/>
    <n v="145.05000000000001"/>
    <n v="5588306"/>
    <x v="3"/>
    <s v="Johnson &amp; Johnson"/>
    <x v="2"/>
    <n v="-0.36399999999999999"/>
    <x v="23"/>
    <x v="1"/>
    <s v="December"/>
    <s v="Loss"/>
    <n v="1.9199999999999875"/>
    <n v="-18.094000000000005"/>
  </r>
  <r>
    <s v="2024-12-30"/>
    <n v="144.80000000000001"/>
    <x v="1914"/>
    <n v="142.94999999999999"/>
    <n v="143.34"/>
    <n v="6268692"/>
    <x v="3"/>
    <s v="Johnson &amp; Johnson"/>
    <x v="2"/>
    <n v="-1.179"/>
    <x v="23"/>
    <x v="1"/>
    <s v="December"/>
    <s v="Loss"/>
    <n v="1.9300000000000068"/>
    <n v="-19.273000000000003"/>
  </r>
  <r>
    <s v="2024-12-31"/>
    <n v="143.67500000000001"/>
    <x v="1915"/>
    <n v="143.31"/>
    <n v="144.62"/>
    <n v="5811401"/>
    <x v="3"/>
    <s v="Johnson &amp; Johnson"/>
    <x v="2"/>
    <n v="0.89300000000000002"/>
    <x v="23"/>
    <x v="1"/>
    <s v="December"/>
    <s v="Profit"/>
    <n v="1.3599999999999852"/>
    <n v="-18.380000000000003"/>
  </r>
  <r>
    <s v="2023-01-03"/>
    <n v="135.24"/>
    <x v="1916"/>
    <n v="133.88999999999999"/>
    <n v="135.12"/>
    <n v="11054778"/>
    <x v="4"/>
    <s v="JP Morgan"/>
    <x v="3"/>
    <m/>
    <x v="0"/>
    <x v="0"/>
    <s v="January"/>
    <m/>
    <n v="2.8500000000000227"/>
    <n v="0"/>
  </r>
  <r>
    <s v="2023-01-04"/>
    <n v="135.99"/>
    <x v="1917"/>
    <n v="135.57"/>
    <n v="136.38"/>
    <n v="11687643"/>
    <x v="4"/>
    <s v="JP Morgan"/>
    <x v="3"/>
    <n v="0.93300000000000005"/>
    <x v="0"/>
    <x v="0"/>
    <s v="January"/>
    <s v="Profit"/>
    <n v="2.1100000000000136"/>
    <n v="0.93300000000000005"/>
  </r>
  <r>
    <s v="2023-01-05"/>
    <n v="135.66"/>
    <x v="1918"/>
    <n v="133.69999999999999"/>
    <n v="135.35"/>
    <n v="8381265"/>
    <x v="4"/>
    <s v="JP Morgan"/>
    <x v="3"/>
    <n v="-0.755"/>
    <x v="0"/>
    <x v="0"/>
    <s v="January"/>
    <s v="Loss"/>
    <n v="2.0100000000000193"/>
    <n v="0.17800000000000005"/>
  </r>
  <r>
    <s v="2023-01-06"/>
    <n v="136.125"/>
    <x v="1919"/>
    <n v="134.49"/>
    <n v="137.94"/>
    <n v="10029076"/>
    <x v="4"/>
    <s v="JP Morgan"/>
    <x v="3"/>
    <n v="1.9139999999999999"/>
    <x v="0"/>
    <x v="0"/>
    <s v="January"/>
    <s v="Profit"/>
    <n v="3.8899999999999864"/>
    <n v="2.0920000000000001"/>
  </r>
  <r>
    <s v="2023-01-09"/>
    <n v="138.6"/>
    <x v="1920"/>
    <n v="136.88"/>
    <n v="137.37"/>
    <n v="8482297"/>
    <x v="4"/>
    <s v="JP Morgan"/>
    <x v="3"/>
    <n v="-0.41299999999999998"/>
    <x v="0"/>
    <x v="0"/>
    <s v="January"/>
    <s v="Loss"/>
    <n v="2"/>
    <n v="1.679"/>
  </r>
  <r>
    <s v="2023-01-10"/>
    <n v="137.79"/>
    <x v="1921"/>
    <n v="137.31"/>
    <n v="138.6"/>
    <n v="9048665"/>
    <x v="4"/>
    <s v="JP Morgan"/>
    <x v="3"/>
    <n v="0.89500000000000002"/>
    <x v="0"/>
    <x v="0"/>
    <s v="January"/>
    <s v="Profit"/>
    <n v="1.4099999999999966"/>
    <n v="2.5739999999999998"/>
  </r>
  <r>
    <s v="2023-01-11"/>
    <n v="138.9"/>
    <x v="1922"/>
    <n v="138.1"/>
    <n v="139.63"/>
    <n v="8703698"/>
    <x v="4"/>
    <s v="JP Morgan"/>
    <x v="3"/>
    <n v="0.74299999999999999"/>
    <x v="0"/>
    <x v="0"/>
    <s v="January"/>
    <s v="Profit"/>
    <n v="1.6500000000000057"/>
    <n v="3.3169999999999997"/>
  </r>
  <r>
    <s v="2023-01-12"/>
    <n v="140"/>
    <x v="1923"/>
    <n v="139.22"/>
    <n v="139.49"/>
    <n v="11001666"/>
    <x v="4"/>
    <s v="JP Morgan"/>
    <x v="3"/>
    <n v="-0.1"/>
    <x v="0"/>
    <x v="0"/>
    <s v="January"/>
    <s v="Loss"/>
    <n v="1.6400000000000148"/>
    <n v="3.2169999999999996"/>
  </r>
  <r>
    <s v="2023-01-13"/>
    <n v="135.6"/>
    <x v="1924"/>
    <n v="134.80000000000001"/>
    <n v="143.01"/>
    <n v="20200047"/>
    <x v="4"/>
    <s v="JP Morgan"/>
    <x v="3"/>
    <n v="2.5230000000000001"/>
    <x v="0"/>
    <x v="0"/>
    <s v="January"/>
    <s v="Profit"/>
    <n v="8.6899999999999977"/>
    <n v="5.74"/>
  </r>
  <r>
    <s v="2023-01-17"/>
    <n v="141.16999999999999"/>
    <x v="1925"/>
    <n v="139.22499999999999"/>
    <n v="140.80000000000001"/>
    <n v="14292881"/>
    <x v="4"/>
    <s v="JP Morgan"/>
    <x v="3"/>
    <n v="-1.5449999999999999"/>
    <x v="0"/>
    <x v="0"/>
    <s v="January"/>
    <s v="Loss"/>
    <n v="2.3149999999999977"/>
    <n v="4.1950000000000003"/>
  </r>
  <r>
    <s v="2023-01-18"/>
    <n v="138.91999999999999"/>
    <x v="703"/>
    <n v="136.41"/>
    <n v="136.57"/>
    <n v="13392601"/>
    <x v="4"/>
    <s v="JP Morgan"/>
    <x v="3"/>
    <n v="-3.004"/>
    <x v="0"/>
    <x v="0"/>
    <s v="January"/>
    <s v="Loss"/>
    <n v="4.3199999999999932"/>
    <n v="1.1910000000000003"/>
  </r>
  <r>
    <s v="2023-01-19"/>
    <n v="135.32"/>
    <x v="1926"/>
    <n v="133.59"/>
    <n v="134.75"/>
    <n v="13303371"/>
    <x v="4"/>
    <s v="JP Morgan"/>
    <x v="3"/>
    <n v="-1.333"/>
    <x v="0"/>
    <x v="0"/>
    <s v="January"/>
    <s v="Loss"/>
    <n v="2.3100000000000023"/>
    <n v="-0.14199999999999968"/>
  </r>
  <r>
    <s v="2023-01-20"/>
    <n v="135.16"/>
    <x v="1927"/>
    <n v="133.55000000000001"/>
    <n v="135.08000000000001"/>
    <n v="13092492"/>
    <x v="4"/>
    <s v="JP Morgan"/>
    <x v="3"/>
    <n v="0.245"/>
    <x v="0"/>
    <x v="0"/>
    <s v="January"/>
    <s v="Profit"/>
    <n v="1.9399999999999977"/>
    <n v="0.10300000000000031"/>
  </r>
  <r>
    <s v="2023-01-23"/>
    <n v="135.11500000000001"/>
    <x v="1928"/>
    <n v="134.82"/>
    <n v="137.27000000000001"/>
    <n v="10487128"/>
    <x v="4"/>
    <s v="JP Morgan"/>
    <x v="3"/>
    <n v="1.621"/>
    <x v="0"/>
    <x v="0"/>
    <s v="January"/>
    <s v="Profit"/>
    <n v="3.1400000000000148"/>
    <n v="1.7240000000000002"/>
  </r>
  <r>
    <s v="2023-01-24"/>
    <n v="140.29"/>
    <x v="1929"/>
    <n v="135"/>
    <n v="138.44999999999999"/>
    <n v="6944991"/>
    <x v="4"/>
    <s v="JP Morgan"/>
    <x v="3"/>
    <n v="0.86"/>
    <x v="0"/>
    <x v="0"/>
    <s v="January"/>
    <s v="Profit"/>
    <n v="5.289999999999992"/>
    <n v="2.5840000000000001"/>
  </r>
  <r>
    <s v="2023-01-25"/>
    <n v="138.05000000000001"/>
    <x v="1930"/>
    <n v="137.25"/>
    <n v="139.12"/>
    <n v="8967007"/>
    <x v="4"/>
    <s v="JP Morgan"/>
    <x v="3"/>
    <n v="0.48399999999999999"/>
    <x v="0"/>
    <x v="0"/>
    <s v="January"/>
    <s v="Profit"/>
    <n v="1.8700000000000045"/>
    <n v="3.0680000000000001"/>
  </r>
  <r>
    <s v="2023-01-26"/>
    <n v="139.41999999999999"/>
    <x v="1931"/>
    <n v="138.36000000000001"/>
    <n v="139.97999999999999"/>
    <n v="7487631"/>
    <x v="4"/>
    <s v="JP Morgan"/>
    <x v="3"/>
    <n v="0.61799999999999999"/>
    <x v="0"/>
    <x v="0"/>
    <s v="January"/>
    <s v="Profit"/>
    <n v="1.6999999999999886"/>
    <n v="3.6859999999999999"/>
  </r>
  <r>
    <s v="2023-01-27"/>
    <n v="140.61000000000001"/>
    <x v="1932"/>
    <n v="139.75"/>
    <n v="140.32"/>
    <n v="7489946"/>
    <x v="4"/>
    <s v="JP Morgan"/>
    <x v="3"/>
    <n v="0.24299999999999999"/>
    <x v="0"/>
    <x v="0"/>
    <s v="January"/>
    <s v="Profit"/>
    <n v="1.5049999999999955"/>
    <n v="3.9289999999999998"/>
  </r>
  <r>
    <s v="2023-01-30"/>
    <n v="139.22999999999999"/>
    <x v="1933"/>
    <n v="138.91"/>
    <n v="139.13"/>
    <n v="6729255"/>
    <x v="4"/>
    <s v="JP Morgan"/>
    <x v="3"/>
    <n v="-0.84799999999999998"/>
    <x v="0"/>
    <x v="0"/>
    <s v="January"/>
    <s v="Loss"/>
    <n v="1.1800000000000068"/>
    <n v="3.081"/>
  </r>
  <r>
    <s v="2023-01-31"/>
    <n v="139.88"/>
    <x v="1934"/>
    <n v="138.25"/>
    <n v="139.96"/>
    <n v="9188738"/>
    <x v="4"/>
    <s v="JP Morgan"/>
    <x v="3"/>
    <n v="0.59699999999999998"/>
    <x v="0"/>
    <x v="0"/>
    <s v="January"/>
    <s v="Profit"/>
    <n v="1.8199999999999932"/>
    <n v="3.6779999999999999"/>
  </r>
  <r>
    <s v="2023-02-01"/>
    <n v="138.21"/>
    <x v="1935"/>
    <n v="138.12"/>
    <n v="139.59"/>
    <n v="8841846"/>
    <x v="4"/>
    <s v="JP Morgan"/>
    <x v="3"/>
    <n v="-0.26400000000000001"/>
    <x v="1"/>
    <x v="0"/>
    <s v="February"/>
    <s v="Loss"/>
    <n v="2.7549999999999955"/>
    <n v="3.4139999999999997"/>
  </r>
  <r>
    <s v="2023-02-02"/>
    <n v="140"/>
    <x v="1936"/>
    <n v="138"/>
    <n v="138.94"/>
    <n v="11822064"/>
    <x v="4"/>
    <s v="JP Morgan"/>
    <x v="3"/>
    <n v="-0.46600000000000003"/>
    <x v="1"/>
    <x v="0"/>
    <s v="February"/>
    <s v="Loss"/>
    <n v="2.460000000000008"/>
    <n v="2.9479999999999995"/>
  </r>
  <r>
    <s v="2023-02-03"/>
    <n v="138.18"/>
    <x v="1937"/>
    <n v="138.13"/>
    <n v="141.09"/>
    <n v="11501232"/>
    <x v="4"/>
    <s v="JP Morgan"/>
    <x v="3"/>
    <n v="1.5469999999999999"/>
    <x v="1"/>
    <x v="0"/>
    <s v="February"/>
    <s v="Profit"/>
    <n v="4.2000000000000171"/>
    <n v="4.4949999999999992"/>
  </r>
  <r>
    <s v="2023-02-06"/>
    <n v="140.22999999999999"/>
    <x v="1938"/>
    <n v="140.03100000000001"/>
    <n v="141.91999999999999"/>
    <n v="8406231"/>
    <x v="4"/>
    <s v="JP Morgan"/>
    <x v="3"/>
    <n v="0.58799999999999997"/>
    <x v="1"/>
    <x v="0"/>
    <s v="February"/>
    <s v="Profit"/>
    <n v="2.2090000000000032"/>
    <n v="5.0829999999999993"/>
  </r>
  <r>
    <s v="2023-02-07"/>
    <n v="141.38"/>
    <x v="1939"/>
    <n v="141.18"/>
    <n v="143.65"/>
    <n v="10447888"/>
    <x v="4"/>
    <s v="JP Morgan"/>
    <x v="3"/>
    <n v="1.2190000000000001"/>
    <x v="1"/>
    <x v="0"/>
    <s v="February"/>
    <s v="Profit"/>
    <n v="3.1599999999999966"/>
    <n v="6.3019999999999996"/>
  </r>
  <r>
    <s v="2023-02-08"/>
    <n v="142.65"/>
    <x v="1940"/>
    <n v="142.27600000000001"/>
    <n v="142.63999999999999"/>
    <n v="6957965"/>
    <x v="4"/>
    <s v="JP Morgan"/>
    <x v="3"/>
    <n v="-0.70299999999999996"/>
    <x v="1"/>
    <x v="0"/>
    <s v="February"/>
    <s v="Loss"/>
    <n v="1.7639999999999816"/>
    <n v="5.5989999999999993"/>
  </r>
  <r>
    <s v="2023-02-09"/>
    <n v="143.12"/>
    <x v="1941"/>
    <n v="139.87"/>
    <n v="140.41999999999999"/>
    <n v="6443109"/>
    <x v="4"/>
    <s v="JP Morgan"/>
    <x v="3"/>
    <n v="-1.556"/>
    <x v="1"/>
    <x v="0"/>
    <s v="February"/>
    <s v="Loss"/>
    <n v="3.4699999999999989"/>
    <n v="4.0429999999999993"/>
  </r>
  <r>
    <s v="2023-02-10"/>
    <n v="139.78"/>
    <x v="1942"/>
    <n v="138.59"/>
    <n v="141.04"/>
    <n v="6582853"/>
    <x v="4"/>
    <s v="JP Morgan"/>
    <x v="3"/>
    <n v="0.442"/>
    <x v="1"/>
    <x v="0"/>
    <s v="February"/>
    <s v="Profit"/>
    <n v="2.6899999999999977"/>
    <n v="4.4849999999999994"/>
  </r>
  <r>
    <s v="2023-02-13"/>
    <n v="141.30000000000001"/>
    <x v="1943"/>
    <n v="140.74"/>
    <n v="142.57"/>
    <n v="7134607"/>
    <x v="4"/>
    <s v="JP Morgan"/>
    <x v="3"/>
    <n v="1.085"/>
    <x v="1"/>
    <x v="0"/>
    <s v="February"/>
    <s v="Profit"/>
    <n v="1.9899999999999807"/>
    <n v="5.5699999999999994"/>
  </r>
  <r>
    <s v="2023-02-14"/>
    <n v="142.5"/>
    <x v="1944"/>
    <n v="141.595"/>
    <n v="143.19999999999999"/>
    <n v="9249399"/>
    <x v="4"/>
    <s v="JP Morgan"/>
    <x v="3"/>
    <n v="0.442"/>
    <x v="1"/>
    <x v="0"/>
    <s v="February"/>
    <s v="Profit"/>
    <n v="2.2150000000000034"/>
    <n v="6.0119999999999996"/>
  </r>
  <r>
    <s v="2023-02-15"/>
    <n v="141.61000000000001"/>
    <x v="1945"/>
    <n v="141.30000000000001"/>
    <n v="143.80000000000001"/>
    <n v="6731172"/>
    <x v="4"/>
    <s v="JP Morgan"/>
    <x v="3"/>
    <n v="0.41899999999999998"/>
    <x v="1"/>
    <x v="0"/>
    <s v="February"/>
    <s v="Profit"/>
    <n v="2.589999999999975"/>
    <n v="6.4309999999999992"/>
  </r>
  <r>
    <s v="2023-02-16"/>
    <n v="142.91"/>
    <x v="1946"/>
    <n v="141.67599999999999"/>
    <n v="141.82"/>
    <n v="8165306"/>
    <x v="4"/>
    <s v="JP Morgan"/>
    <x v="3"/>
    <n v="-1.377"/>
    <x v="1"/>
    <x v="0"/>
    <s v="February"/>
    <s v="Loss"/>
    <n v="1.7139999999999986"/>
    <n v="5.0539999999999994"/>
  </r>
  <r>
    <s v="2023-02-17"/>
    <n v="140.97999999999999"/>
    <x v="1947"/>
    <n v="140.07"/>
    <n v="142.24"/>
    <n v="7948829"/>
    <x v="4"/>
    <s v="JP Morgan"/>
    <x v="3"/>
    <n v="0.29599999999999999"/>
    <x v="1"/>
    <x v="0"/>
    <s v="February"/>
    <s v="Profit"/>
    <n v="2.7600000000000193"/>
    <n v="5.35"/>
  </r>
  <r>
    <s v="2023-02-21"/>
    <n v="140.69"/>
    <x v="1948"/>
    <n v="138.75"/>
    <n v="139.63"/>
    <n v="9996283"/>
    <x v="4"/>
    <s v="JP Morgan"/>
    <x v="3"/>
    <n v="-1.835"/>
    <x v="1"/>
    <x v="0"/>
    <s v="February"/>
    <s v="Loss"/>
    <n v="2.5900000000000034"/>
    <n v="3.5149999999999997"/>
  </r>
  <r>
    <s v="2023-02-22"/>
    <n v="138.91999999999999"/>
    <x v="1949"/>
    <n v="137.435"/>
    <n v="138.56"/>
    <n v="11107501"/>
    <x v="4"/>
    <s v="JP Morgan"/>
    <x v="3"/>
    <n v="-0.76600000000000001"/>
    <x v="1"/>
    <x v="0"/>
    <s v="February"/>
    <s v="Loss"/>
    <n v="1.9950000000000045"/>
    <n v="2.7489999999999997"/>
  </r>
  <r>
    <s v="2023-02-23"/>
    <n v="138.72999999999999"/>
    <x v="1950"/>
    <n v="137.94"/>
    <n v="139.66999999999999"/>
    <n v="8068010"/>
    <x v="4"/>
    <s v="JP Morgan"/>
    <x v="3"/>
    <n v="0.80100000000000005"/>
    <x v="1"/>
    <x v="0"/>
    <s v="February"/>
    <s v="Profit"/>
    <n v="2.2299999999999898"/>
    <n v="3.55"/>
  </r>
  <r>
    <s v="2023-02-24"/>
    <n v="139.11000000000001"/>
    <x v="1951"/>
    <n v="138.93"/>
    <n v="140.93"/>
    <n v="9126888"/>
    <x v="4"/>
    <s v="JP Morgan"/>
    <x v="3"/>
    <n v="0.90200000000000002"/>
    <x v="1"/>
    <x v="0"/>
    <s v="February"/>
    <s v="Profit"/>
    <n v="2.4300000000000068"/>
    <n v="4.452"/>
  </r>
  <r>
    <s v="2023-02-27"/>
    <n v="142.11000000000001"/>
    <x v="1952"/>
    <n v="141.72"/>
    <n v="142.16"/>
    <n v="10014654"/>
    <x v="4"/>
    <s v="JP Morgan"/>
    <x v="3"/>
    <n v="0.873"/>
    <x v="1"/>
    <x v="0"/>
    <s v="February"/>
    <s v="Profit"/>
    <n v="1.5900000000000034"/>
    <n v="5.3250000000000002"/>
  </r>
  <r>
    <s v="2023-02-28"/>
    <n v="142.94"/>
    <x v="1953"/>
    <n v="141.9"/>
    <n v="143.35"/>
    <n v="11019757"/>
    <x v="4"/>
    <s v="JP Morgan"/>
    <x v="3"/>
    <n v="0.83699999999999997"/>
    <x v="1"/>
    <x v="0"/>
    <s v="February"/>
    <s v="Profit"/>
    <n v="1.8599999999999852"/>
    <n v="6.1619999999999999"/>
  </r>
  <r>
    <s v="2023-03-01"/>
    <n v="142.1"/>
    <x v="1954"/>
    <n v="141.80000000000001"/>
    <n v="142.55000000000001"/>
    <n v="7139155"/>
    <x v="4"/>
    <s v="JP Morgan"/>
    <x v="3"/>
    <n v="-0.55800000000000005"/>
    <x v="2"/>
    <x v="0"/>
    <s v="March"/>
    <s v="Loss"/>
    <n v="1.657999999999987"/>
    <n v="5.6040000000000001"/>
  </r>
  <r>
    <s v="2023-03-02"/>
    <n v="142.24"/>
    <x v="1955"/>
    <n v="139.54"/>
    <n v="141.07"/>
    <n v="11107549"/>
    <x v="4"/>
    <s v="JP Morgan"/>
    <x v="3"/>
    <n v="-1.038"/>
    <x v="2"/>
    <x v="0"/>
    <s v="March"/>
    <s v="Loss"/>
    <n v="2.8900000000000148"/>
    <n v="4.5659999999999998"/>
  </r>
  <r>
    <s v="2023-03-03"/>
    <n v="141.51"/>
    <x v="1956"/>
    <n v="141.08000000000001"/>
    <n v="143.66"/>
    <n v="9513063"/>
    <x v="4"/>
    <s v="JP Morgan"/>
    <x v="3"/>
    <n v="1.8360000000000001"/>
    <x v="2"/>
    <x v="0"/>
    <s v="March"/>
    <s v="Profit"/>
    <n v="2.6599999999999966"/>
    <n v="6.4020000000000001"/>
  </r>
  <r>
    <s v="2023-03-06"/>
    <n v="143.44"/>
    <x v="1940"/>
    <n v="142.66"/>
    <n v="142.82"/>
    <n v="9261255"/>
    <x v="4"/>
    <s v="JP Morgan"/>
    <x v="3"/>
    <n v="-0.58499999999999996"/>
    <x v="2"/>
    <x v="0"/>
    <s v="March"/>
    <s v="Loss"/>
    <n v="1.3799999999999955"/>
    <n v="5.8170000000000002"/>
  </r>
  <r>
    <s v="2023-03-07"/>
    <n v="142.01"/>
    <x v="1957"/>
    <n v="137.81"/>
    <n v="138.62"/>
    <n v="11747620"/>
    <x v="4"/>
    <s v="JP Morgan"/>
    <x v="3"/>
    <n v="-2.9409999999999998"/>
    <x v="2"/>
    <x v="0"/>
    <s v="March"/>
    <s v="Loss"/>
    <n v="4.5"/>
    <n v="2.8760000000000003"/>
  </r>
  <r>
    <s v="2023-03-08"/>
    <n v="138"/>
    <x v="1958"/>
    <n v="136.88499999999999"/>
    <n v="137.80000000000001"/>
    <n v="10002548"/>
    <x v="4"/>
    <s v="JP Morgan"/>
    <x v="3"/>
    <n v="-0.59199999999999997"/>
    <x v="2"/>
    <x v="0"/>
    <s v="March"/>
    <s v="Loss"/>
    <n v="1.7050000000000125"/>
    <n v="2.2840000000000003"/>
  </r>
  <r>
    <s v="2023-03-09"/>
    <n v="136.76"/>
    <x v="700"/>
    <n v="129.215"/>
    <n v="130.34"/>
    <n v="25888097"/>
    <x v="4"/>
    <s v="JP Morgan"/>
    <x v="3"/>
    <n v="-5.4139999999999997"/>
    <x v="2"/>
    <x v="0"/>
    <s v="March"/>
    <s v="Loss"/>
    <n v="8.1349999999999909"/>
    <n v="-3.1299999999999994"/>
  </r>
  <r>
    <s v="2023-03-10"/>
    <n v="128.96"/>
    <x v="1959"/>
    <n v="127.82"/>
    <n v="133.65"/>
    <n v="37599655"/>
    <x v="4"/>
    <s v="JP Morgan"/>
    <x v="3"/>
    <n v="2.54"/>
    <x v="2"/>
    <x v="0"/>
    <s v="March"/>
    <s v="Profit"/>
    <n v="7.4399999999999977"/>
    <n v="-0.58999999999999941"/>
  </r>
  <r>
    <s v="2023-03-13"/>
    <n v="131.21"/>
    <x v="1960"/>
    <n v="129.41"/>
    <n v="131.25"/>
    <n v="42901132"/>
    <x v="4"/>
    <s v="JP Morgan"/>
    <x v="3"/>
    <n v="-1.796"/>
    <x v="2"/>
    <x v="0"/>
    <s v="March"/>
    <s v="Loss"/>
    <n v="4.4699999999999989"/>
    <n v="-2.3859999999999992"/>
  </r>
  <r>
    <s v="2023-03-14"/>
    <n v="135.28"/>
    <x v="1961"/>
    <n v="131.29"/>
    <n v="134.62"/>
    <n v="29648116"/>
    <x v="4"/>
    <s v="JP Morgan"/>
    <x v="3"/>
    <n v="2.5680000000000001"/>
    <x v="2"/>
    <x v="0"/>
    <s v="March"/>
    <s v="Profit"/>
    <n v="4.2400000000000091"/>
    <n v="0.18200000000000083"/>
  </r>
  <r>
    <s v="2023-03-15"/>
    <n v="130.97999999999999"/>
    <x v="1962"/>
    <n v="126.73"/>
    <n v="128.26"/>
    <n v="34280607"/>
    <x v="4"/>
    <s v="JP Morgan"/>
    <x v="3"/>
    <n v="-4.7240000000000002"/>
    <x v="2"/>
    <x v="0"/>
    <s v="March"/>
    <s v="Loss"/>
    <n v="4.2600000000000051"/>
    <n v="-4.5419999999999998"/>
  </r>
  <r>
    <s v="2023-03-16"/>
    <n v="128.01"/>
    <x v="1963"/>
    <n v="126.02"/>
    <n v="130.75"/>
    <n v="24570587"/>
    <x v="4"/>
    <s v="JP Morgan"/>
    <x v="3"/>
    <n v="1.9410000000000001"/>
    <x v="2"/>
    <x v="0"/>
    <s v="March"/>
    <s v="Profit"/>
    <n v="5.9299999999999926"/>
    <n v="-2.601"/>
  </r>
  <r>
    <s v="2023-03-17"/>
    <n v="128.38"/>
    <x v="1964"/>
    <n v="125.45"/>
    <n v="125.81"/>
    <n v="38395982"/>
    <x v="4"/>
    <s v="JP Morgan"/>
    <x v="3"/>
    <n v="-3.778"/>
    <x v="2"/>
    <x v="0"/>
    <s v="March"/>
    <s v="Loss"/>
    <n v="3.0299999999999869"/>
    <n v="-6.3789999999999996"/>
  </r>
  <r>
    <s v="2023-03-20"/>
    <n v="126.99"/>
    <x v="1965"/>
    <n v="126.01"/>
    <n v="127.14"/>
    <n v="22875505"/>
    <x v="4"/>
    <s v="JP Morgan"/>
    <x v="3"/>
    <n v="1.0569999999999999"/>
    <x v="2"/>
    <x v="0"/>
    <s v="March"/>
    <s v="Profit"/>
    <n v="3.4599999999999937"/>
    <n v="-5.3219999999999992"/>
  </r>
  <r>
    <s v="2023-03-21"/>
    <n v="130.59"/>
    <x v="1966"/>
    <n v="130.19"/>
    <n v="130.55000000000001"/>
    <n v="17807808"/>
    <x v="4"/>
    <s v="JP Morgan"/>
    <x v="3"/>
    <n v="2.6819999999999999"/>
    <x v="2"/>
    <x v="0"/>
    <s v="March"/>
    <s v="Profit"/>
    <n v="1.539999999999992"/>
    <n v="-2.6399999999999992"/>
  </r>
  <r>
    <s v="2023-03-22"/>
    <n v="130.56"/>
    <x v="1967"/>
    <n v="127.08"/>
    <n v="127.18"/>
    <n v="17250168"/>
    <x v="4"/>
    <s v="JP Morgan"/>
    <x v="3"/>
    <n v="-2.581"/>
    <x v="2"/>
    <x v="0"/>
    <s v="March"/>
    <s v="Loss"/>
    <n v="3.5750000000000028"/>
    <n v="-5.2209999999999992"/>
  </r>
  <r>
    <s v="2023-03-23"/>
    <n v="127.9"/>
    <x v="1968"/>
    <n v="126.02"/>
    <n v="126.84"/>
    <n v="16677640"/>
    <x v="4"/>
    <s v="JP Morgan"/>
    <x v="3"/>
    <n v="-0.26700000000000002"/>
    <x v="2"/>
    <x v="0"/>
    <s v="March"/>
    <s v="Loss"/>
    <n v="3.5100000000000051"/>
    <n v="-5.4879999999999995"/>
  </r>
  <r>
    <s v="2023-03-24"/>
    <n v="125.63"/>
    <x v="1969"/>
    <n v="123.11"/>
    <n v="124.91"/>
    <n v="22326916"/>
    <x v="4"/>
    <s v="JP Morgan"/>
    <x v="3"/>
    <n v="-1.522"/>
    <x v="2"/>
    <x v="0"/>
    <s v="March"/>
    <s v="Loss"/>
    <n v="2.5700000000000074"/>
    <n v="-7.01"/>
  </r>
  <r>
    <s v="2023-03-27"/>
    <n v="126.79"/>
    <x v="1970"/>
    <n v="126.29"/>
    <n v="128.49"/>
    <n v="18853935"/>
    <x v="4"/>
    <s v="JP Morgan"/>
    <x v="3"/>
    <n v="2.8660000000000001"/>
    <x v="2"/>
    <x v="0"/>
    <s v="March"/>
    <s v="Profit"/>
    <n v="3.0899999999999892"/>
    <n v="-4.1440000000000001"/>
  </r>
  <r>
    <s v="2023-03-28"/>
    <n v="128.71"/>
    <x v="1971"/>
    <n v="127.744"/>
    <n v="128.88"/>
    <n v="10820466"/>
    <x v="4"/>
    <s v="JP Morgan"/>
    <x v="3"/>
    <n v="0.30399999999999999"/>
    <x v="2"/>
    <x v="0"/>
    <s v="March"/>
    <s v="Profit"/>
    <n v="1.5980000000000132"/>
    <n v="-3.8400000000000003"/>
  </r>
  <r>
    <s v="2023-03-29"/>
    <n v="130.1"/>
    <x v="1972"/>
    <n v="127.77"/>
    <n v="129.13999999999999"/>
    <n v="14595260"/>
    <x v="4"/>
    <s v="JP Morgan"/>
    <x v="3"/>
    <n v="0.20200000000000001"/>
    <x v="2"/>
    <x v="0"/>
    <s v="March"/>
    <s v="Profit"/>
    <n v="2.4500000000000028"/>
    <n v="-3.6380000000000003"/>
  </r>
  <r>
    <s v="2023-03-30"/>
    <n v="129.94999999999999"/>
    <x v="1973"/>
    <n v="127.65"/>
    <n v="128.75"/>
    <n v="12134675"/>
    <x v="4"/>
    <s v="JP Morgan"/>
    <x v="3"/>
    <n v="-0.30199999999999999"/>
    <x v="2"/>
    <x v="0"/>
    <s v="March"/>
    <s v="Loss"/>
    <n v="2.4699999999999989"/>
    <n v="-3.9400000000000004"/>
  </r>
  <r>
    <s v="2023-03-31"/>
    <n v="129.66"/>
    <x v="1974"/>
    <n v="128.851"/>
    <n v="130.31"/>
    <n v="13105215"/>
    <x v="4"/>
    <s v="JP Morgan"/>
    <x v="3"/>
    <n v="1.212"/>
    <x v="2"/>
    <x v="0"/>
    <s v="March"/>
    <s v="Profit"/>
    <n v="1.4890000000000043"/>
    <n v="-2.7280000000000006"/>
  </r>
  <r>
    <s v="2023-04-03"/>
    <n v="129.91"/>
    <x v="1975"/>
    <n v="129.41"/>
    <n v="130.16"/>
    <n v="11775388"/>
    <x v="4"/>
    <s v="JP Morgan"/>
    <x v="3"/>
    <n v="-0.115"/>
    <x v="3"/>
    <x v="0"/>
    <s v="April"/>
    <s v="Loss"/>
    <n v="2.0300000000000011"/>
    <n v="-2.8430000000000009"/>
  </r>
  <r>
    <s v="2023-04-04"/>
    <n v="130.5"/>
    <x v="1976"/>
    <n v="127.41"/>
    <n v="128.41999999999999"/>
    <n v="11579916"/>
    <x v="4"/>
    <s v="JP Morgan"/>
    <x v="3"/>
    <n v="-1.337"/>
    <x v="3"/>
    <x v="0"/>
    <s v="April"/>
    <s v="Loss"/>
    <n v="3.1800000000000068"/>
    <n v="-4.1800000000000006"/>
  </r>
  <r>
    <s v="2023-04-05"/>
    <n v="126.8"/>
    <x v="1977"/>
    <n v="126.46"/>
    <n v="127.61"/>
    <n v="9614692"/>
    <x v="4"/>
    <s v="JP Morgan"/>
    <x v="3"/>
    <n v="-0.63100000000000001"/>
    <x v="3"/>
    <x v="0"/>
    <s v="April"/>
    <s v="Loss"/>
    <n v="1.6900000000000119"/>
    <n v="-4.8110000000000008"/>
  </r>
  <r>
    <s v="2023-04-06"/>
    <n v="127"/>
    <x v="1978"/>
    <n v="126.855"/>
    <n v="127.47"/>
    <n v="8760220"/>
    <x v="4"/>
    <s v="JP Morgan"/>
    <x v="3"/>
    <n v="-0.11"/>
    <x v="3"/>
    <x v="0"/>
    <s v="April"/>
    <s v="Loss"/>
    <n v="1.2250000000000085"/>
    <n v="-4.9210000000000012"/>
  </r>
  <r>
    <s v="2023-04-10"/>
    <n v="126.54"/>
    <x v="1979"/>
    <n v="126.22"/>
    <n v="127.89"/>
    <n v="9477292"/>
    <x v="4"/>
    <s v="JP Morgan"/>
    <x v="3"/>
    <n v="0.32900000000000001"/>
    <x v="3"/>
    <x v="0"/>
    <s v="April"/>
    <s v="Profit"/>
    <n v="2.0099999999999909"/>
    <n v="-4.5920000000000014"/>
  </r>
  <r>
    <s v="2023-04-11"/>
    <n v="128.30000000000001"/>
    <x v="1980"/>
    <n v="127.54"/>
    <n v="128.52000000000001"/>
    <n v="10516267"/>
    <x v="4"/>
    <s v="JP Morgan"/>
    <x v="3"/>
    <n v="0.49299999999999999"/>
    <x v="3"/>
    <x v="0"/>
    <s v="April"/>
    <s v="Profit"/>
    <n v="1.3999999999999915"/>
    <n v="-4.0990000000000011"/>
  </r>
  <r>
    <s v="2023-04-12"/>
    <n v="129.18"/>
    <x v="1981"/>
    <n v="128.06"/>
    <n v="128.5"/>
    <n v="11820995"/>
    <x v="4"/>
    <s v="JP Morgan"/>
    <x v="3"/>
    <n v="-1.6E-2"/>
    <x v="3"/>
    <x v="0"/>
    <s v="April"/>
    <s v="Loss"/>
    <n v="2.3700000000000045"/>
    <n v="-4.1150000000000011"/>
  </r>
  <r>
    <s v="2023-04-13"/>
    <n v="128.46"/>
    <x v="1982"/>
    <n v="126.83"/>
    <n v="128.99"/>
    <n v="12450242"/>
    <x v="4"/>
    <s v="JP Morgan"/>
    <x v="3"/>
    <n v="0.38100000000000001"/>
    <x v="3"/>
    <x v="0"/>
    <s v="April"/>
    <s v="Profit"/>
    <n v="2.2099999999999937"/>
    <n v="-3.7340000000000009"/>
  </r>
  <r>
    <s v="2023-04-14"/>
    <n v="135.15"/>
    <x v="1930"/>
    <n v="134.9"/>
    <n v="138.72999999999999"/>
    <n v="43931328"/>
    <x v="4"/>
    <s v="JP Morgan"/>
    <x v="3"/>
    <n v="7.5510000000000002"/>
    <x v="3"/>
    <x v="0"/>
    <s v="April"/>
    <s v="Profit"/>
    <n v="4.2199999999999989"/>
    <n v="3.8169999999999993"/>
  </r>
  <r>
    <s v="2023-04-17"/>
    <n v="139.94999999999999"/>
    <x v="1931"/>
    <n v="137.66"/>
    <n v="139.83000000000001"/>
    <n v="16050486"/>
    <x v="4"/>
    <s v="JP Morgan"/>
    <x v="3"/>
    <n v="0.79300000000000004"/>
    <x v="3"/>
    <x v="0"/>
    <s v="April"/>
    <s v="Profit"/>
    <n v="2.4000000000000057"/>
    <n v="4.6099999999999994"/>
  </r>
  <r>
    <s v="2023-04-18"/>
    <n v="140.27000000000001"/>
    <x v="1983"/>
    <n v="139.03"/>
    <n v="141.4"/>
    <n v="13760139"/>
    <x v="4"/>
    <s v="JP Morgan"/>
    <x v="3"/>
    <n v="1.123"/>
    <x v="3"/>
    <x v="0"/>
    <s v="April"/>
    <s v="Profit"/>
    <n v="2.75"/>
    <n v="5.7329999999999997"/>
  </r>
  <r>
    <s v="2023-04-19"/>
    <n v="141.22999999999999"/>
    <x v="1984"/>
    <n v="140.4"/>
    <n v="141.22"/>
    <n v="9158112"/>
    <x v="4"/>
    <s v="JP Morgan"/>
    <x v="3"/>
    <n v="-0.127"/>
    <x v="3"/>
    <x v="0"/>
    <s v="April"/>
    <s v="Loss"/>
    <n v="1.0999999999999943"/>
    <n v="5.6059999999999999"/>
  </r>
  <r>
    <s v="2023-04-20"/>
    <n v="139.91"/>
    <x v="1985"/>
    <n v="139.84"/>
    <n v="140.81"/>
    <n v="10586245"/>
    <x v="4"/>
    <s v="JP Morgan"/>
    <x v="3"/>
    <n v="-0.28999999999999998"/>
    <x v="3"/>
    <x v="0"/>
    <s v="April"/>
    <s v="Loss"/>
    <n v="1.5900000000000034"/>
    <n v="5.3159999999999998"/>
  </r>
  <r>
    <s v="2023-04-21"/>
    <n v="139.74"/>
    <x v="1986"/>
    <n v="138.78"/>
    <n v="140.54"/>
    <n v="11842537"/>
    <x v="4"/>
    <s v="JP Morgan"/>
    <x v="3"/>
    <n v="-0.192"/>
    <x v="3"/>
    <x v="0"/>
    <s v="April"/>
    <s v="Loss"/>
    <n v="2.3300000000000125"/>
    <n v="5.1239999999999997"/>
  </r>
  <r>
    <s v="2023-04-24"/>
    <n v="140.45500000000001"/>
    <x v="1987"/>
    <n v="140.04"/>
    <n v="140.72999999999999"/>
    <n v="7567666"/>
    <x v="4"/>
    <s v="JP Morgan"/>
    <x v="3"/>
    <n v="0.13500000000000001"/>
    <x v="3"/>
    <x v="0"/>
    <s v="April"/>
    <s v="Profit"/>
    <n v="1.0600000000000023"/>
    <n v="5.2589999999999995"/>
  </r>
  <r>
    <s v="2023-04-25"/>
    <n v="139.6"/>
    <x v="660"/>
    <n v="137.625"/>
    <n v="137.66999999999999"/>
    <n v="10629325"/>
    <x v="4"/>
    <s v="JP Morgan"/>
    <x v="3"/>
    <n v="-2.1739999999999999"/>
    <x v="3"/>
    <x v="0"/>
    <s v="April"/>
    <s v="Loss"/>
    <n v="2.335000000000008"/>
    <n v="3.0849999999999995"/>
  </r>
  <r>
    <s v="2023-04-26"/>
    <n v="137.62"/>
    <x v="1988"/>
    <n v="134"/>
    <n v="135.22999999999999"/>
    <n v="14416145"/>
    <x v="4"/>
    <s v="JP Morgan"/>
    <x v="3"/>
    <n v="-1.772"/>
    <x v="3"/>
    <x v="0"/>
    <s v="April"/>
    <s v="Loss"/>
    <n v="3.8089999999999975"/>
    <n v="1.3129999999999995"/>
  </r>
  <r>
    <s v="2023-04-27"/>
    <n v="136"/>
    <x v="1162"/>
    <n v="135.66"/>
    <n v="137.05000000000001"/>
    <n v="9041092"/>
    <x v="4"/>
    <s v="JP Morgan"/>
    <x v="3"/>
    <n v="1.3460000000000001"/>
    <x v="3"/>
    <x v="0"/>
    <s v="April"/>
    <s v="Profit"/>
    <n v="2.25"/>
    <n v="2.6589999999999998"/>
  </r>
  <r>
    <s v="2023-04-28"/>
    <n v="136.56"/>
    <x v="1989"/>
    <n v="135.66999999999999"/>
    <n v="138.24"/>
    <n v="9887262"/>
    <x v="4"/>
    <s v="JP Morgan"/>
    <x v="3"/>
    <n v="0.86799999999999999"/>
    <x v="3"/>
    <x v="0"/>
    <s v="April"/>
    <s v="Profit"/>
    <n v="2.6500000000000057"/>
    <n v="3.5269999999999997"/>
  </r>
  <r>
    <s v="2023-05-01"/>
    <n v="142.26"/>
    <x v="704"/>
    <n v="140.83000000000001"/>
    <n v="141.19999999999999"/>
    <n v="20415762"/>
    <x v="4"/>
    <s v="JP Morgan"/>
    <x v="3"/>
    <n v="2.141"/>
    <x v="4"/>
    <x v="0"/>
    <s v="May"/>
    <s v="Profit"/>
    <n v="2.539999999999992"/>
    <n v="5.6679999999999993"/>
  </r>
  <r>
    <s v="2023-05-02"/>
    <n v="141.4"/>
    <x v="1990"/>
    <n v="138.43"/>
    <n v="138.91999999999999"/>
    <n v="14113447"/>
    <x v="4"/>
    <s v="JP Morgan"/>
    <x v="3"/>
    <n v="-1.615"/>
    <x v="4"/>
    <x v="0"/>
    <s v="May"/>
    <s v="Loss"/>
    <n v="3.9799999999999898"/>
    <n v="4.052999999999999"/>
  </r>
  <r>
    <s v="2023-05-03"/>
    <n v="138.44"/>
    <x v="1991"/>
    <n v="135.76"/>
    <n v="135.97999999999999"/>
    <n v="12930906"/>
    <x v="4"/>
    <s v="JP Morgan"/>
    <x v="3"/>
    <n v="-2.1160000000000001"/>
    <x v="4"/>
    <x v="0"/>
    <s v="May"/>
    <s v="Loss"/>
    <n v="2.9090000000000202"/>
    <n v="1.9369999999999989"/>
  </r>
  <r>
    <s v="2023-05-04"/>
    <n v="134.96"/>
    <x v="1992"/>
    <n v="131.81"/>
    <n v="134.12"/>
    <n v="17089164"/>
    <x v="4"/>
    <s v="JP Morgan"/>
    <x v="3"/>
    <n v="-1.3680000000000001"/>
    <x v="4"/>
    <x v="0"/>
    <s v="May"/>
    <s v="Loss"/>
    <n v="3.9099999999999966"/>
    <n v="0.56899999999999884"/>
  </r>
  <r>
    <s v="2023-05-05"/>
    <n v="136.44"/>
    <x v="1993"/>
    <n v="135.91200000000001"/>
    <n v="136.74"/>
    <n v="11261394"/>
    <x v="4"/>
    <s v="JP Morgan"/>
    <x v="3"/>
    <n v="1.9530000000000001"/>
    <x v="4"/>
    <x v="0"/>
    <s v="May"/>
    <s v="Profit"/>
    <n v="1.9679999999999893"/>
    <n v="2.5219999999999989"/>
  </r>
  <r>
    <s v="2023-05-08"/>
    <n v="137.49"/>
    <x v="1994"/>
    <n v="136.47499999999999"/>
    <n v="137.07"/>
    <n v="7484872"/>
    <x v="4"/>
    <s v="JP Morgan"/>
    <x v="3"/>
    <n v="0.24099999999999999"/>
    <x v="4"/>
    <x v="0"/>
    <s v="May"/>
    <s v="Profit"/>
    <n v="1.4950000000000045"/>
    <n v="2.762999999999999"/>
  </r>
  <r>
    <s v="2023-05-09"/>
    <n v="135.93"/>
    <x v="1995"/>
    <n v="135.21"/>
    <n v="136.41"/>
    <n v="7343573"/>
    <x v="4"/>
    <s v="JP Morgan"/>
    <x v="3"/>
    <n v="-0.48199999999999998"/>
    <x v="4"/>
    <x v="0"/>
    <s v="May"/>
    <s v="Loss"/>
    <n v="1.7399999999999807"/>
    <n v="2.2809999999999988"/>
  </r>
  <r>
    <s v="2023-05-10"/>
    <n v="137.94999999999999"/>
    <x v="1216"/>
    <n v="134.87"/>
    <n v="136.47999999999999"/>
    <n v="8133416"/>
    <x v="4"/>
    <s v="JP Morgan"/>
    <x v="3"/>
    <n v="5.0999999999999997E-2"/>
    <x v="4"/>
    <x v="0"/>
    <s v="May"/>
    <s v="Profit"/>
    <n v="3.1899999999999977"/>
    <n v="2.331999999999999"/>
  </r>
  <r>
    <s v="2023-05-11"/>
    <n v="135"/>
    <x v="1996"/>
    <n v="134.9"/>
    <n v="136.05000000000001"/>
    <n v="7057277"/>
    <x v="4"/>
    <s v="JP Morgan"/>
    <x v="3"/>
    <n v="-0.315"/>
    <x v="4"/>
    <x v="0"/>
    <s v="May"/>
    <s v="Loss"/>
    <n v="1.9099999999999966"/>
    <n v="2.016999999999999"/>
  </r>
  <r>
    <s v="2023-05-12"/>
    <n v="136.82"/>
    <x v="1997"/>
    <n v="133.13"/>
    <n v="134.1"/>
    <n v="9988598"/>
    <x v="4"/>
    <s v="JP Morgan"/>
    <x v="3"/>
    <n v="-1.4330000000000001"/>
    <x v="4"/>
    <x v="0"/>
    <s v="May"/>
    <s v="Loss"/>
    <n v="3.8600000000000136"/>
    <n v="0.58399999999999896"/>
  </r>
  <r>
    <s v="2023-05-15"/>
    <n v="134.27000000000001"/>
    <x v="1998"/>
    <n v="133.96"/>
    <n v="135.22999999999999"/>
    <n v="7639451"/>
    <x v="4"/>
    <s v="JP Morgan"/>
    <x v="3"/>
    <n v="0.84299999999999997"/>
    <x v="4"/>
    <x v="0"/>
    <s v="May"/>
    <s v="Profit"/>
    <n v="1.7099999999999795"/>
    <n v="1.4269999999999989"/>
  </r>
  <r>
    <s v="2023-05-16"/>
    <n v="135.46"/>
    <x v="1999"/>
    <n v="133.96"/>
    <n v="134.32"/>
    <n v="6483267"/>
    <x v="4"/>
    <s v="JP Morgan"/>
    <x v="3"/>
    <n v="-0.67300000000000004"/>
    <x v="4"/>
    <x v="0"/>
    <s v="May"/>
    <s v="Loss"/>
    <n v="1.9779999999999802"/>
    <n v="0.75399999999999889"/>
  </r>
  <r>
    <s v="2023-05-17"/>
    <n v="135.9"/>
    <x v="1958"/>
    <n v="135.46"/>
    <n v="138.44999999999999"/>
    <n v="12711522"/>
    <x v="4"/>
    <s v="JP Morgan"/>
    <x v="3"/>
    <n v="3.0750000000000002"/>
    <x v="4"/>
    <x v="0"/>
    <s v="May"/>
    <s v="Profit"/>
    <n v="3.1299999999999955"/>
    <n v="3.8289999999999988"/>
  </r>
  <r>
    <s v="2023-05-18"/>
    <n v="138.27000000000001"/>
    <x v="2000"/>
    <n v="137.76"/>
    <n v="139.5"/>
    <n v="10999607"/>
    <x v="4"/>
    <s v="JP Morgan"/>
    <x v="3"/>
    <n v="0.75800000000000001"/>
    <x v="4"/>
    <x v="0"/>
    <s v="May"/>
    <s v="Profit"/>
    <n v="1.9699999999999989"/>
    <n v="4.5869999999999989"/>
  </r>
  <r>
    <s v="2023-05-19"/>
    <n v="139.79"/>
    <x v="2001"/>
    <n v="138.125"/>
    <n v="139.18"/>
    <n v="13492239"/>
    <x v="4"/>
    <s v="JP Morgan"/>
    <x v="3"/>
    <n v="-0.22900000000000001"/>
    <x v="4"/>
    <x v="0"/>
    <s v="May"/>
    <s v="Loss"/>
    <n v="2.3650000000000091"/>
    <n v="4.3579999999999988"/>
  </r>
  <r>
    <s v="2023-05-22"/>
    <n v="141"/>
    <x v="2002"/>
    <n v="137.66"/>
    <n v="138.03"/>
    <n v="11402476"/>
    <x v="4"/>
    <s v="JP Morgan"/>
    <x v="3"/>
    <n v="-0.82599999999999996"/>
    <x v="4"/>
    <x v="0"/>
    <s v="May"/>
    <s v="Loss"/>
    <n v="3.9799999999999898"/>
    <n v="3.5319999999999987"/>
  </r>
  <r>
    <s v="2023-05-23"/>
    <n v="137.54"/>
    <x v="2003"/>
    <n v="136.45500000000001"/>
    <n v="136.59"/>
    <n v="9514897"/>
    <x v="4"/>
    <s v="JP Morgan"/>
    <x v="3"/>
    <n v="-1.0429999999999999"/>
    <x v="4"/>
    <x v="0"/>
    <s v="May"/>
    <s v="Loss"/>
    <n v="2.5749999999999886"/>
    <n v="2.488999999999999"/>
  </r>
  <r>
    <s v="2023-05-24"/>
    <n v="135.4"/>
    <x v="2004"/>
    <n v="135.08000000000001"/>
    <n v="135.34"/>
    <n v="8577997"/>
    <x v="4"/>
    <s v="JP Morgan"/>
    <x v="3"/>
    <n v="-0.91500000000000004"/>
    <x v="4"/>
    <x v="0"/>
    <s v="May"/>
    <s v="Loss"/>
    <n v="1.2699999999999818"/>
    <n v="1.573999999999999"/>
  </r>
  <r>
    <s v="2023-05-25"/>
    <n v="134.82"/>
    <x v="2005"/>
    <n v="134.58000000000001"/>
    <n v="135.66999999999999"/>
    <n v="8472505"/>
    <x v="4"/>
    <s v="JP Morgan"/>
    <x v="3"/>
    <n v="0.24399999999999999"/>
    <x v="4"/>
    <x v="0"/>
    <s v="May"/>
    <s v="Profit"/>
    <n v="1.6899999999999977"/>
    <n v="1.817999999999999"/>
  </r>
  <r>
    <s v="2023-05-26"/>
    <n v="136.11000000000001"/>
    <x v="2006"/>
    <n v="135.63"/>
    <n v="136.94"/>
    <n v="8579941"/>
    <x v="4"/>
    <s v="JP Morgan"/>
    <x v="3"/>
    <n v="0.93600000000000005"/>
    <x v="4"/>
    <x v="0"/>
    <s v="May"/>
    <s v="Profit"/>
    <n v="1.9699999999999989"/>
    <n v="2.7539999999999991"/>
  </r>
  <r>
    <s v="2023-05-30"/>
    <n v="136.80000000000001"/>
    <x v="2007"/>
    <n v="136.02000000000001"/>
    <n v="137.46"/>
    <n v="7399867"/>
    <x v="4"/>
    <s v="JP Morgan"/>
    <x v="3"/>
    <n v="0.38"/>
    <x v="4"/>
    <x v="0"/>
    <s v="May"/>
    <s v="Profit"/>
    <n v="1.6999999999999886"/>
    <n v="3.133999999999999"/>
  </r>
  <r>
    <s v="2023-05-31"/>
    <n v="136.72999999999999"/>
    <x v="2008"/>
    <n v="134.404"/>
    <n v="135.71"/>
    <n v="14219906"/>
    <x v="4"/>
    <s v="JP Morgan"/>
    <x v="3"/>
    <n v="-1.2729999999999999"/>
    <x v="4"/>
    <x v="0"/>
    <s v="May"/>
    <s v="Loss"/>
    <n v="2.436000000000007"/>
    <n v="1.8609999999999991"/>
  </r>
  <r>
    <s v="2023-06-01"/>
    <n v="136.52000000000001"/>
    <x v="2009"/>
    <n v="135.44499999999999"/>
    <n v="137.58000000000001"/>
    <n v="12248094"/>
    <x v="4"/>
    <s v="JP Morgan"/>
    <x v="3"/>
    <n v="1.3779999999999999"/>
    <x v="5"/>
    <x v="0"/>
    <s v="June"/>
    <s v="Profit"/>
    <n v="2.7849999999999966"/>
    <n v="3.238999999999999"/>
  </r>
  <r>
    <s v="2023-06-02"/>
    <n v="139.56"/>
    <x v="2010"/>
    <n v="139.34"/>
    <n v="140.47"/>
    <n v="12922471"/>
    <x v="4"/>
    <s v="JP Morgan"/>
    <x v="3"/>
    <n v="2.101"/>
    <x v="5"/>
    <x v="0"/>
    <s v="June"/>
    <s v="Profit"/>
    <n v="2.1399999999999864"/>
    <n v="5.339999999999999"/>
  </r>
  <r>
    <s v="2023-06-05"/>
    <n v="140.11000000000001"/>
    <x v="2011"/>
    <n v="138.13"/>
    <n v="139.09"/>
    <n v="8511902"/>
    <x v="4"/>
    <s v="JP Morgan"/>
    <x v="3"/>
    <n v="-0.98199999999999998"/>
    <x v="5"/>
    <x v="0"/>
    <s v="June"/>
    <s v="Loss"/>
    <n v="1.9800000000000182"/>
    <n v="4.3579999999999988"/>
  </r>
  <r>
    <s v="2023-06-06"/>
    <n v="138.68"/>
    <x v="2012"/>
    <n v="138.20699999999999"/>
    <n v="139.34"/>
    <n v="9329541"/>
    <x v="4"/>
    <s v="JP Morgan"/>
    <x v="3"/>
    <n v="0.18"/>
    <x v="5"/>
    <x v="0"/>
    <s v="June"/>
    <s v="Profit"/>
    <n v="1.8930000000000007"/>
    <n v="4.5379999999999985"/>
  </r>
  <r>
    <s v="2023-06-07"/>
    <n v="139.55000000000001"/>
    <x v="2013"/>
    <n v="138.83000000000001"/>
    <n v="140.69"/>
    <n v="9281389"/>
    <x v="4"/>
    <s v="JP Morgan"/>
    <x v="3"/>
    <n v="0.96899999999999997"/>
    <x v="5"/>
    <x v="0"/>
    <s v="June"/>
    <s v="Profit"/>
    <n v="2.4399999999999977"/>
    <n v="5.5069999999999988"/>
  </r>
  <r>
    <s v="2023-06-08"/>
    <n v="140.66999999999999"/>
    <x v="2014"/>
    <n v="139.48099999999999"/>
    <n v="140.72999999999999"/>
    <n v="7370043"/>
    <x v="4"/>
    <s v="JP Morgan"/>
    <x v="3"/>
    <n v="2.8000000000000001E-2"/>
    <x v="5"/>
    <x v="0"/>
    <s v="June"/>
    <s v="Profit"/>
    <n v="1.4089999999999918"/>
    <n v="5.5349999999999984"/>
  </r>
  <r>
    <s v="2023-06-09"/>
    <n v="140.35"/>
    <x v="2015"/>
    <n v="140.21"/>
    <n v="141.01"/>
    <n v="7253946"/>
    <x v="4"/>
    <s v="JP Morgan"/>
    <x v="3"/>
    <n v="0.19900000000000001"/>
    <x v="5"/>
    <x v="0"/>
    <s v="June"/>
    <s v="Profit"/>
    <n v="1.5900000000000034"/>
    <n v="5.7339999999999982"/>
  </r>
  <r>
    <s v="2023-06-12"/>
    <n v="141.07"/>
    <x v="2016"/>
    <n v="139.76"/>
    <n v="141"/>
    <n v="7600196"/>
    <x v="4"/>
    <s v="JP Morgan"/>
    <x v="3"/>
    <n v="-7.0000000000000001E-3"/>
    <x v="5"/>
    <x v="0"/>
    <s v="June"/>
    <s v="Loss"/>
    <n v="1.5600000000000023"/>
    <n v="5.7269999999999985"/>
  </r>
  <r>
    <s v="2023-06-13"/>
    <n v="140.47999999999999"/>
    <x v="2017"/>
    <n v="140.13999999999999"/>
    <n v="142.02000000000001"/>
    <n v="7701567"/>
    <x v="4"/>
    <s v="JP Morgan"/>
    <x v="3"/>
    <n v="0.72299999999999998"/>
    <x v="5"/>
    <x v="0"/>
    <s v="June"/>
    <s v="Profit"/>
    <n v="2.7300000000000182"/>
    <n v="6.4499999999999984"/>
  </r>
  <r>
    <s v="2023-06-14"/>
    <n v="143"/>
    <x v="2018"/>
    <n v="140.69999999999999"/>
    <n v="141.49"/>
    <n v="9068729"/>
    <x v="4"/>
    <s v="JP Morgan"/>
    <x v="3"/>
    <n v="-0.373"/>
    <x v="5"/>
    <x v="0"/>
    <s v="June"/>
    <s v="Loss"/>
    <n v="2.910000000000025"/>
    <n v="6.0769999999999982"/>
  </r>
  <r>
    <s v="2023-06-15"/>
    <n v="140.59"/>
    <x v="2019"/>
    <n v="140.03"/>
    <n v="143.09"/>
    <n v="9343096"/>
    <x v="4"/>
    <s v="JP Morgan"/>
    <x v="3"/>
    <n v="1.131"/>
    <x v="5"/>
    <x v="0"/>
    <s v="June"/>
    <s v="Profit"/>
    <n v="3.3700000000000045"/>
    <n v="7.2079999999999984"/>
  </r>
  <r>
    <s v="2023-06-16"/>
    <n v="143.05000000000001"/>
    <x v="2020"/>
    <n v="142.5"/>
    <n v="143.26"/>
    <n v="13813512"/>
    <x v="4"/>
    <s v="JP Morgan"/>
    <x v="3"/>
    <n v="0.11899999999999999"/>
    <x v="5"/>
    <x v="0"/>
    <s v="June"/>
    <s v="Profit"/>
    <n v="1.4650000000000034"/>
    <n v="7.3269999999999982"/>
  </r>
  <r>
    <s v="2023-06-20"/>
    <n v="142.61000000000001"/>
    <x v="666"/>
    <n v="141.04"/>
    <n v="142.53"/>
    <n v="8431008"/>
    <x v="4"/>
    <s v="JP Morgan"/>
    <x v="3"/>
    <n v="-0.51"/>
    <x v="5"/>
    <x v="0"/>
    <s v="June"/>
    <s v="Loss"/>
    <n v="1.960000000000008"/>
    <n v="6.8169999999999984"/>
  </r>
  <r>
    <s v="2023-06-21"/>
    <n v="142.9"/>
    <x v="2021"/>
    <n v="141.691"/>
    <n v="142.32"/>
    <n v="9926459"/>
    <x v="4"/>
    <s v="JP Morgan"/>
    <x v="3"/>
    <n v="-0.14699999999999999"/>
    <x v="5"/>
    <x v="0"/>
    <s v="June"/>
    <s v="Loss"/>
    <n v="2.3290000000000077"/>
    <n v="6.6699999999999982"/>
  </r>
  <r>
    <s v="2023-06-22"/>
    <n v="142.31"/>
    <x v="2022"/>
    <n v="138.94999999999999"/>
    <n v="139.58000000000001"/>
    <n v="10076325"/>
    <x v="4"/>
    <s v="JP Morgan"/>
    <x v="3"/>
    <n v="-1.925"/>
    <x v="5"/>
    <x v="0"/>
    <s v="June"/>
    <s v="Loss"/>
    <n v="3.6500000000000057"/>
    <n v="4.7449999999999983"/>
  </r>
  <r>
    <s v="2023-06-23"/>
    <n v="138.54"/>
    <x v="2023"/>
    <n v="137.62"/>
    <n v="138.85"/>
    <n v="9919539"/>
    <x v="4"/>
    <s v="JP Morgan"/>
    <x v="3"/>
    <n v="-0.52300000000000002"/>
    <x v="5"/>
    <x v="0"/>
    <s v="June"/>
    <s v="Loss"/>
    <n v="1.5600000000000023"/>
    <n v="4.2219999999999986"/>
  </r>
  <r>
    <s v="2023-06-26"/>
    <n v="138.87"/>
    <x v="2024"/>
    <n v="137.69"/>
    <n v="139.19"/>
    <n v="8429727"/>
    <x v="4"/>
    <s v="JP Morgan"/>
    <x v="3"/>
    <n v="0.245"/>
    <x v="5"/>
    <x v="0"/>
    <s v="June"/>
    <s v="Profit"/>
    <n v="2.3199999999999932"/>
    <n v="4.4669999999999987"/>
  </r>
  <r>
    <s v="2023-06-27"/>
    <n v="139"/>
    <x v="2025"/>
    <n v="138.54"/>
    <n v="139.19999999999999"/>
    <n v="8154024"/>
    <x v="4"/>
    <s v="JP Morgan"/>
    <x v="3"/>
    <n v="7.0000000000000001E-3"/>
    <x v="5"/>
    <x v="0"/>
    <s v="June"/>
    <s v="Profit"/>
    <n v="1.3000000000000114"/>
    <n v="4.4739999999999984"/>
  </r>
  <r>
    <s v="2023-06-28"/>
    <n v="139.16"/>
    <x v="2026"/>
    <n v="137.96"/>
    <n v="138.59"/>
    <n v="7558644"/>
    <x v="4"/>
    <s v="JP Morgan"/>
    <x v="3"/>
    <n v="-0.438"/>
    <x v="5"/>
    <x v="0"/>
    <s v="June"/>
    <s v="Loss"/>
    <n v="1.25"/>
    <n v="4.0359999999999987"/>
  </r>
  <r>
    <s v="2023-06-29"/>
    <n v="140.07"/>
    <x v="2027"/>
    <n v="139.85"/>
    <n v="143.43"/>
    <n v="15423230"/>
    <x v="4"/>
    <s v="JP Morgan"/>
    <x v="3"/>
    <n v="3.492"/>
    <x v="5"/>
    <x v="0"/>
    <s v="June"/>
    <s v="Profit"/>
    <n v="3.710000000000008"/>
    <n v="7.5279999999999987"/>
  </r>
  <r>
    <s v="2023-06-30"/>
    <n v="144.6"/>
    <x v="1802"/>
    <n v="143.66"/>
    <n v="145.44"/>
    <n v="14212816"/>
    <x v="4"/>
    <s v="JP Morgan"/>
    <x v="3"/>
    <n v="1.401"/>
    <x v="5"/>
    <x v="0"/>
    <s v="June"/>
    <s v="Profit"/>
    <n v="2.3400000000000034"/>
    <n v="8.9289999999999985"/>
  </r>
  <r>
    <s v="2023-07-03"/>
    <n v="146.19"/>
    <x v="1794"/>
    <n v="146"/>
    <n v="146.61000000000001"/>
    <n v="8021622"/>
    <x v="4"/>
    <s v="JP Morgan"/>
    <x v="3"/>
    <n v="0.80400000000000005"/>
    <x v="6"/>
    <x v="0"/>
    <s v="July"/>
    <s v="Profit"/>
    <n v="1.4799999999999898"/>
    <n v="9.7329999999999988"/>
  </r>
  <r>
    <s v="2023-07-05"/>
    <n v="144.94"/>
    <x v="2028"/>
    <n v="144.36000000000001"/>
    <n v="144.63999999999999"/>
    <n v="8935519"/>
    <x v="4"/>
    <s v="JP Morgan"/>
    <x v="3"/>
    <n v="-1.3440000000000001"/>
    <x v="6"/>
    <x v="0"/>
    <s v="July"/>
    <s v="Loss"/>
    <n v="1.0699999999999932"/>
    <n v="8.3889999999999993"/>
  </r>
  <r>
    <s v="2023-07-06"/>
    <n v="143.02000000000001"/>
    <x v="1946"/>
    <n v="141.44"/>
    <n v="143.21"/>
    <n v="9714100"/>
    <x v="4"/>
    <s v="JP Morgan"/>
    <x v="3"/>
    <n v="-0.98899999999999999"/>
    <x v="6"/>
    <x v="0"/>
    <s v="July"/>
    <s v="Loss"/>
    <n v="1.9499999999999886"/>
    <n v="7.3999999999999995"/>
  </r>
  <r>
    <s v="2023-07-07"/>
    <n v="143.91"/>
    <x v="2029"/>
    <n v="143"/>
    <n v="144.34"/>
    <n v="8981456"/>
    <x v="4"/>
    <s v="JP Morgan"/>
    <x v="3"/>
    <n v="0.78900000000000003"/>
    <x v="6"/>
    <x v="0"/>
    <s v="July"/>
    <s v="Profit"/>
    <n v="2.8439999999999941"/>
    <n v="8.1890000000000001"/>
  </r>
  <r>
    <s v="2023-07-10"/>
    <n v="144.5"/>
    <x v="2030"/>
    <n v="144.5"/>
    <n v="145.15"/>
    <n v="9100060"/>
    <x v="4"/>
    <s v="JP Morgan"/>
    <x v="3"/>
    <n v="0.56100000000000005"/>
    <x v="6"/>
    <x v="0"/>
    <s v="July"/>
    <s v="Profit"/>
    <n v="1.4900000000000091"/>
    <n v="8.75"/>
  </r>
  <r>
    <s v="2023-07-11"/>
    <n v="146.33500000000001"/>
    <x v="2031"/>
    <n v="145.70500000000001"/>
    <n v="147.41999999999999"/>
    <n v="11265592"/>
    <x v="4"/>
    <s v="JP Morgan"/>
    <x v="3"/>
    <n v="1.5640000000000001"/>
    <x v="6"/>
    <x v="0"/>
    <s v="July"/>
    <s v="Profit"/>
    <n v="2.1149999999999807"/>
    <n v="10.314"/>
  </r>
  <r>
    <s v="2023-07-12"/>
    <n v="147.44999999999999"/>
    <x v="2032"/>
    <n v="147"/>
    <n v="148.15"/>
    <n v="11323228"/>
    <x v="4"/>
    <s v="JP Morgan"/>
    <x v="3"/>
    <n v="0.495"/>
    <x v="6"/>
    <x v="0"/>
    <s v="July"/>
    <s v="Profit"/>
    <n v="2.8700000000000045"/>
    <n v="10.808999999999999"/>
  </r>
  <r>
    <s v="2023-07-13"/>
    <n v="148.69999999999999"/>
    <x v="2033"/>
    <n v="147.75"/>
    <n v="148.87"/>
    <n v="11234925"/>
    <x v="4"/>
    <s v="JP Morgan"/>
    <x v="3"/>
    <n v="0.48599999999999999"/>
    <x v="6"/>
    <x v="0"/>
    <s v="July"/>
    <s v="Profit"/>
    <n v="1.6200000000000045"/>
    <n v="11.295"/>
  </r>
  <r>
    <s v="2023-07-14"/>
    <n v="151.55000000000001"/>
    <x v="2034"/>
    <n v="148.41"/>
    <n v="149.77000000000001"/>
    <n v="27028429"/>
    <x v="4"/>
    <s v="JP Morgan"/>
    <x v="3"/>
    <n v="0.60499999999999998"/>
    <x v="6"/>
    <x v="0"/>
    <s v="July"/>
    <s v="Profit"/>
    <n v="4.4799999999999898"/>
    <n v="11.9"/>
  </r>
  <r>
    <s v="2023-07-17"/>
    <n v="150.35"/>
    <x v="2035"/>
    <n v="150.35"/>
    <n v="153.38"/>
    <n v="17262394"/>
    <x v="4"/>
    <s v="JP Morgan"/>
    <x v="3"/>
    <n v="2.41"/>
    <x v="6"/>
    <x v="0"/>
    <s v="July"/>
    <s v="Profit"/>
    <n v="3.4000000000000057"/>
    <n v="14.31"/>
  </r>
  <r>
    <s v="2023-07-18"/>
    <n v="153.38"/>
    <x v="2036"/>
    <n v="152.82"/>
    <n v="153.66"/>
    <n v="13491725"/>
    <x v="4"/>
    <s v="JP Morgan"/>
    <x v="3"/>
    <n v="0.183"/>
    <x v="6"/>
    <x v="0"/>
    <s v="July"/>
    <s v="Profit"/>
    <n v="1.5800000000000125"/>
    <n v="14.493"/>
  </r>
  <r>
    <s v="2023-07-19"/>
    <n v="152.75"/>
    <x v="2037"/>
    <n v="152.22"/>
    <n v="154.25"/>
    <n v="12510000"/>
    <x v="4"/>
    <s v="JP Morgan"/>
    <x v="3"/>
    <n v="0.38400000000000001"/>
    <x v="6"/>
    <x v="0"/>
    <s v="July"/>
    <s v="Profit"/>
    <n v="2.9850000000000136"/>
    <n v="14.877000000000001"/>
  </r>
  <r>
    <s v="2023-07-20"/>
    <n v="154.53"/>
    <x v="2038"/>
    <n v="154.41"/>
    <n v="156.15"/>
    <n v="9935907"/>
    <x v="4"/>
    <s v="JP Morgan"/>
    <x v="3"/>
    <n v="1.232"/>
    <x v="6"/>
    <x v="0"/>
    <s v="July"/>
    <s v="Profit"/>
    <n v="2.1800000000000068"/>
    <n v="16.109000000000002"/>
  </r>
  <r>
    <s v="2023-07-21"/>
    <n v="155.80000000000001"/>
    <x v="2039"/>
    <n v="154.69"/>
    <n v="154.94999999999999"/>
    <n v="10636378"/>
    <x v="4"/>
    <s v="JP Morgan"/>
    <x v="3"/>
    <n v="-0.76800000000000002"/>
    <x v="6"/>
    <x v="0"/>
    <s v="July"/>
    <s v="Loss"/>
    <n v="1.4499999999999886"/>
    <n v="15.341000000000001"/>
  </r>
  <r>
    <s v="2023-07-24"/>
    <n v="154.97"/>
    <x v="2040"/>
    <n v="154.72999999999999"/>
    <n v="158"/>
    <n v="14381425"/>
    <x v="4"/>
    <s v="JP Morgan"/>
    <x v="3"/>
    <n v="1.968"/>
    <x v="6"/>
    <x v="0"/>
    <s v="July"/>
    <s v="Profit"/>
    <n v="4.0550000000000068"/>
    <n v="17.309000000000001"/>
  </r>
  <r>
    <s v="2023-07-25"/>
    <n v="157.30000000000001"/>
    <x v="2041"/>
    <n v="155.96"/>
    <n v="156.82"/>
    <n v="9944679"/>
    <x v="4"/>
    <s v="JP Morgan"/>
    <x v="3"/>
    <n v="-0.747"/>
    <x v="6"/>
    <x v="0"/>
    <s v="July"/>
    <s v="Loss"/>
    <n v="1.7599999999999909"/>
    <n v="16.562000000000001"/>
  </r>
  <r>
    <s v="2023-07-26"/>
    <n v="156.71"/>
    <x v="1656"/>
    <n v="156.27500000000001"/>
    <n v="157.76"/>
    <n v="8728593"/>
    <x v="4"/>
    <s v="JP Morgan"/>
    <x v="3"/>
    <n v="0.59899999999999998"/>
    <x v="6"/>
    <x v="0"/>
    <s v="July"/>
    <s v="Profit"/>
    <n v="1.9749999999999943"/>
    <n v="17.161000000000001"/>
  </r>
  <r>
    <s v="2023-07-27"/>
    <n v="157.77000000000001"/>
    <x v="2042"/>
    <n v="155.554"/>
    <n v="156.02000000000001"/>
    <n v="10778406"/>
    <x v="4"/>
    <s v="JP Morgan"/>
    <x v="3"/>
    <n v="-1.103"/>
    <x v="6"/>
    <x v="0"/>
    <s v="July"/>
    <s v="Loss"/>
    <n v="3.2259999999999991"/>
    <n v="16.058"/>
  </r>
  <r>
    <s v="2023-07-28"/>
    <n v="157.28"/>
    <x v="1645"/>
    <n v="156.44"/>
    <n v="156.91"/>
    <n v="9105974"/>
    <x v="4"/>
    <s v="JP Morgan"/>
    <x v="3"/>
    <n v="0.56999999999999995"/>
    <x v="6"/>
    <x v="0"/>
    <s v="July"/>
    <s v="Profit"/>
    <n v="1.1599999999999966"/>
    <n v="16.628"/>
  </r>
  <r>
    <s v="2023-07-31"/>
    <n v="157.18"/>
    <x v="2043"/>
    <n v="157.15100000000001"/>
    <n v="157.96"/>
    <n v="8894353"/>
    <x v="4"/>
    <s v="JP Morgan"/>
    <x v="3"/>
    <n v="0.66900000000000004"/>
    <x v="6"/>
    <x v="0"/>
    <s v="July"/>
    <s v="Profit"/>
    <n v="2.228999999999985"/>
    <n v="17.297000000000001"/>
  </r>
  <r>
    <s v="2023-08-01"/>
    <n v="157.43"/>
    <x v="2044"/>
    <n v="156.15"/>
    <n v="157.18"/>
    <n v="6855682"/>
    <x v="4"/>
    <s v="JP Morgan"/>
    <x v="3"/>
    <n v="-0.49399999999999999"/>
    <x v="7"/>
    <x v="0"/>
    <s v="August"/>
    <s v="Loss"/>
    <n v="1.8499999999999943"/>
    <n v="16.803000000000001"/>
  </r>
  <r>
    <s v="2023-08-02"/>
    <n v="155.56"/>
    <x v="1569"/>
    <n v="153.94"/>
    <n v="155.4"/>
    <n v="8303708"/>
    <x v="4"/>
    <s v="JP Morgan"/>
    <x v="3"/>
    <n v="-1.1319999999999999"/>
    <x v="7"/>
    <x v="0"/>
    <s v="August"/>
    <s v="Loss"/>
    <n v="1.75"/>
    <n v="15.671000000000001"/>
  </r>
  <r>
    <s v="2023-08-03"/>
    <n v="155"/>
    <x v="2045"/>
    <n v="154.35"/>
    <n v="156.35"/>
    <n v="6087542"/>
    <x v="4"/>
    <s v="JP Morgan"/>
    <x v="3"/>
    <n v="0.61099999999999999"/>
    <x v="7"/>
    <x v="0"/>
    <s v="August"/>
    <s v="Profit"/>
    <n v="2.5699999999999932"/>
    <n v="16.282"/>
  </r>
  <r>
    <s v="2023-08-04"/>
    <n v="156.4"/>
    <x v="2046"/>
    <n v="155.69499999999999"/>
    <n v="156.02000000000001"/>
    <n v="6209397"/>
    <x v="4"/>
    <s v="JP Morgan"/>
    <x v="3"/>
    <n v="-0.21099999999999999"/>
    <x v="7"/>
    <x v="0"/>
    <s v="August"/>
    <s v="Loss"/>
    <n v="2.1050000000000182"/>
    <n v="16.071000000000002"/>
  </r>
  <r>
    <s v="2023-08-07"/>
    <n v="156.6"/>
    <x v="2047"/>
    <n v="156.6"/>
    <n v="156.76"/>
    <n v="7251832"/>
    <x v="4"/>
    <s v="JP Morgan"/>
    <x v="3"/>
    <n v="0.47399999999999998"/>
    <x v="7"/>
    <x v="0"/>
    <s v="August"/>
    <s v="Profit"/>
    <n v="1.0999999999999943"/>
    <n v="16.545000000000002"/>
  </r>
  <r>
    <s v="2023-08-08"/>
    <n v="154.32"/>
    <x v="2048"/>
    <n v="152.59"/>
    <n v="155.88"/>
    <n v="8623379"/>
    <x v="4"/>
    <s v="JP Morgan"/>
    <x v="3"/>
    <n v="-0.56100000000000005"/>
    <x v="7"/>
    <x v="0"/>
    <s v="August"/>
    <s v="Loss"/>
    <n v="3.3899999999999864"/>
    <n v="15.984000000000002"/>
  </r>
  <r>
    <s v="2023-08-09"/>
    <n v="155.32"/>
    <x v="2049"/>
    <n v="153.47"/>
    <n v="153.79"/>
    <n v="6277813"/>
    <x v="4"/>
    <s v="JP Morgan"/>
    <x v="3"/>
    <n v="-1.341"/>
    <x v="7"/>
    <x v="0"/>
    <s v="August"/>
    <s v="Loss"/>
    <n v="2.0500000000000114"/>
    <n v="14.643000000000002"/>
  </r>
  <r>
    <s v="2023-08-10"/>
    <n v="154.38"/>
    <x v="2050"/>
    <n v="153.09"/>
    <n v="153.56"/>
    <n v="5995076"/>
    <x v="4"/>
    <s v="JP Morgan"/>
    <x v="3"/>
    <n v="-0.15"/>
    <x v="7"/>
    <x v="0"/>
    <s v="August"/>
    <s v="Loss"/>
    <n v="2.3499999999999943"/>
    <n v="14.493000000000002"/>
  </r>
  <r>
    <s v="2023-08-11"/>
    <n v="153.03"/>
    <x v="1289"/>
    <n v="152.63"/>
    <n v="154.44999999999999"/>
    <n v="5180690"/>
    <x v="4"/>
    <s v="JP Morgan"/>
    <x v="3"/>
    <n v="0.57999999999999996"/>
    <x v="7"/>
    <x v="0"/>
    <s v="August"/>
    <s v="Profit"/>
    <n v="1.8900000000000148"/>
    <n v="15.073000000000002"/>
  </r>
  <r>
    <s v="2023-08-14"/>
    <n v="153.61000000000001"/>
    <x v="2051"/>
    <n v="152.91999999999999"/>
    <n v="154.77000000000001"/>
    <n v="5044282"/>
    <x v="4"/>
    <s v="JP Morgan"/>
    <x v="3"/>
    <n v="0.20699999999999999"/>
    <x v="7"/>
    <x v="0"/>
    <s v="August"/>
    <s v="Profit"/>
    <n v="1.9980000000000189"/>
    <n v="15.280000000000003"/>
  </r>
  <r>
    <s v="2023-08-15"/>
    <n v="152.85"/>
    <x v="2052"/>
    <n v="150.22999999999999"/>
    <n v="150.83000000000001"/>
    <n v="10300303"/>
    <x v="4"/>
    <s v="JP Morgan"/>
    <x v="3"/>
    <n v="-2.5459999999999998"/>
    <x v="7"/>
    <x v="0"/>
    <s v="August"/>
    <s v="Loss"/>
    <n v="3.0360000000000014"/>
    <n v="12.734000000000004"/>
  </r>
  <r>
    <s v="2023-08-16"/>
    <n v="150.6"/>
    <x v="2053"/>
    <n v="149.68"/>
    <n v="150.19"/>
    <n v="6978235"/>
    <x v="4"/>
    <s v="JP Morgan"/>
    <x v="3"/>
    <n v="-0.42399999999999999"/>
    <x v="7"/>
    <x v="0"/>
    <s v="August"/>
    <s v="Loss"/>
    <n v="1.2800000000000011"/>
    <n v="12.310000000000004"/>
  </r>
  <r>
    <s v="2023-08-17"/>
    <n v="150.88"/>
    <x v="2054"/>
    <n v="148.4"/>
    <n v="148.63"/>
    <n v="9953912"/>
    <x v="4"/>
    <s v="JP Morgan"/>
    <x v="3"/>
    <n v="-1.0389999999999999"/>
    <x v="7"/>
    <x v="0"/>
    <s v="August"/>
    <s v="Loss"/>
    <n v="2.8619999999999948"/>
    <n v="11.271000000000004"/>
  </r>
  <r>
    <s v="2023-08-18"/>
    <n v="147.65"/>
    <x v="2055"/>
    <n v="147.44399999999999"/>
    <n v="148.97"/>
    <n v="8517460"/>
    <x v="4"/>
    <s v="JP Morgan"/>
    <x v="3"/>
    <n v="0.22900000000000001"/>
    <x v="7"/>
    <x v="0"/>
    <s v="August"/>
    <s v="Profit"/>
    <n v="2.0560000000000116"/>
    <n v="11.500000000000004"/>
  </r>
  <r>
    <s v="2023-08-21"/>
    <n v="149.65"/>
    <x v="2056"/>
    <n v="148.02000000000001"/>
    <n v="149.47999999999999"/>
    <n v="8327018"/>
    <x v="4"/>
    <s v="JP Morgan"/>
    <x v="3"/>
    <n v="0.34200000000000003"/>
    <x v="7"/>
    <x v="0"/>
    <s v="August"/>
    <s v="Profit"/>
    <n v="2.0849999999999795"/>
    <n v="11.842000000000004"/>
  </r>
  <r>
    <s v="2023-08-22"/>
    <n v="149.26"/>
    <x v="2057"/>
    <n v="145.85"/>
    <n v="146.38"/>
    <n v="9681972"/>
    <x v="4"/>
    <s v="JP Morgan"/>
    <x v="3"/>
    <n v="-2.0739999999999998"/>
    <x v="7"/>
    <x v="0"/>
    <s v="August"/>
    <s v="Loss"/>
    <n v="3.7890000000000157"/>
    <n v="9.7680000000000042"/>
  </r>
  <r>
    <s v="2023-08-23"/>
    <n v="146.35"/>
    <x v="2058"/>
    <n v="145.46"/>
    <n v="147.37"/>
    <n v="7858021"/>
    <x v="4"/>
    <s v="JP Morgan"/>
    <x v="3"/>
    <n v="0.67600000000000005"/>
    <x v="7"/>
    <x v="0"/>
    <s v="August"/>
    <s v="Profit"/>
    <n v="2.125"/>
    <n v="10.444000000000004"/>
  </r>
  <r>
    <s v="2023-08-24"/>
    <n v="147.5"/>
    <x v="2059"/>
    <n v="146.988"/>
    <n v="147.22999999999999"/>
    <n v="6534026"/>
    <x v="4"/>
    <s v="JP Morgan"/>
    <x v="3"/>
    <n v="-9.5000000000000001E-2"/>
    <x v="7"/>
    <x v="0"/>
    <s v="August"/>
    <s v="Loss"/>
    <n v="2.421999999999997"/>
    <n v="10.349000000000004"/>
  </r>
  <r>
    <s v="2023-08-25"/>
    <n v="147.28"/>
    <x v="2060"/>
    <n v="145.85"/>
    <n v="147.05000000000001"/>
    <n v="6695537"/>
    <x v="4"/>
    <s v="JP Morgan"/>
    <x v="3"/>
    <n v="-0.122"/>
    <x v="7"/>
    <x v="0"/>
    <s v="August"/>
    <s v="Loss"/>
    <n v="2.7700000000000102"/>
    <n v="10.227000000000004"/>
  </r>
  <r>
    <s v="2023-08-28"/>
    <n v="147.57"/>
    <x v="2061"/>
    <n v="147.13"/>
    <n v="147.56"/>
    <n v="5094201"/>
    <x v="4"/>
    <s v="JP Morgan"/>
    <x v="3"/>
    <n v="0.34699999999999998"/>
    <x v="7"/>
    <x v="0"/>
    <s v="August"/>
    <s v="Profit"/>
    <n v="1.4800000000000182"/>
    <n v="10.574000000000003"/>
  </r>
  <r>
    <s v="2023-08-29"/>
    <n v="147.71"/>
    <x v="2062"/>
    <n v="147.18"/>
    <n v="148.76"/>
    <n v="6336962"/>
    <x v="4"/>
    <s v="JP Morgan"/>
    <x v="3"/>
    <n v="0.81299999999999994"/>
    <x v="7"/>
    <x v="0"/>
    <s v="August"/>
    <s v="Profit"/>
    <n v="1.6699999999999875"/>
    <n v="11.387000000000004"/>
  </r>
  <r>
    <s v="2023-08-30"/>
    <n v="148.62"/>
    <x v="2063"/>
    <n v="147.19"/>
    <n v="148.16"/>
    <n v="6277318"/>
    <x v="4"/>
    <s v="JP Morgan"/>
    <x v="3"/>
    <n v="-0.40300000000000002"/>
    <x v="7"/>
    <x v="0"/>
    <s v="August"/>
    <s v="Loss"/>
    <n v="1.960000000000008"/>
    <n v="10.984000000000004"/>
  </r>
  <r>
    <s v="2023-08-31"/>
    <n v="148.26"/>
    <x v="2064"/>
    <n v="145.96"/>
    <n v="146.33000000000001"/>
    <n v="10933938"/>
    <x v="4"/>
    <s v="JP Morgan"/>
    <x v="3"/>
    <n v="-1.2350000000000001"/>
    <x v="7"/>
    <x v="0"/>
    <s v="August"/>
    <s v="Loss"/>
    <n v="2.3899999999999864"/>
    <n v="9.7490000000000041"/>
  </r>
  <r>
    <s v="2023-09-01"/>
    <n v="146.09"/>
    <x v="1806"/>
    <n v="145.69999999999999"/>
    <n v="146.82"/>
    <n v="7903496"/>
    <x v="4"/>
    <s v="JP Morgan"/>
    <x v="3"/>
    <n v="0.33500000000000002"/>
    <x v="8"/>
    <x v="0"/>
    <s v="September"/>
    <s v="Profit"/>
    <n v="2.3800000000000239"/>
    <n v="10.084000000000005"/>
  </r>
  <r>
    <s v="2023-09-05"/>
    <n v="147.16"/>
    <x v="2065"/>
    <n v="145.01"/>
    <n v="145.19999999999999"/>
    <n v="7854739"/>
    <x v="4"/>
    <s v="JP Morgan"/>
    <x v="3"/>
    <n v="-1.103"/>
    <x v="8"/>
    <x v="0"/>
    <s v="September"/>
    <s v="Loss"/>
    <n v="3.2000000000000171"/>
    <n v="8.9810000000000052"/>
  </r>
  <r>
    <s v="2023-09-06"/>
    <n v="144.69999999999999"/>
    <x v="2066"/>
    <n v="144.11000000000001"/>
    <n v="144.96"/>
    <n v="8629164"/>
    <x v="4"/>
    <s v="JP Morgan"/>
    <x v="3"/>
    <n v="-0.16500000000000001"/>
    <x v="8"/>
    <x v="0"/>
    <s v="September"/>
    <s v="Loss"/>
    <n v="1.4299999999999784"/>
    <n v="8.8160000000000061"/>
  </r>
  <r>
    <s v="2023-09-07"/>
    <n v="144.13"/>
    <x v="2067"/>
    <n v="143.38999999999999"/>
    <n v="143.72"/>
    <n v="8373738"/>
    <x v="4"/>
    <s v="JP Morgan"/>
    <x v="3"/>
    <n v="-0.85499999999999998"/>
    <x v="8"/>
    <x v="0"/>
    <s v="September"/>
    <s v="Loss"/>
    <n v="1.8780000000000143"/>
    <n v="7.9610000000000056"/>
  </r>
  <r>
    <s v="2023-09-08"/>
    <n v="143.37"/>
    <x v="2068"/>
    <n v="142.65"/>
    <n v="143.83000000000001"/>
    <n v="7110254"/>
    <x v="4"/>
    <s v="JP Morgan"/>
    <x v="3"/>
    <n v="7.6999999999999999E-2"/>
    <x v="8"/>
    <x v="0"/>
    <s v="September"/>
    <s v="Profit"/>
    <n v="1.4699999999999989"/>
    <n v="8.0380000000000056"/>
  </r>
  <r>
    <s v="2023-09-11"/>
    <n v="144.75"/>
    <x v="2069"/>
    <n v="143.69"/>
    <n v="144.46"/>
    <n v="6854220"/>
    <x v="4"/>
    <s v="JP Morgan"/>
    <x v="3"/>
    <n v="0.438"/>
    <x v="8"/>
    <x v="0"/>
    <s v="September"/>
    <s v="Profit"/>
    <n v="1.3600000000000136"/>
    <n v="8.4760000000000062"/>
  </r>
  <r>
    <s v="2023-09-12"/>
    <n v="144.5"/>
    <x v="2070"/>
    <n v="144.05000000000001"/>
    <n v="146.34"/>
    <n v="8363165"/>
    <x v="4"/>
    <s v="JP Morgan"/>
    <x v="3"/>
    <n v="1.3009999999999999"/>
    <x v="8"/>
    <x v="0"/>
    <s v="September"/>
    <s v="Profit"/>
    <n v="3.2699999999999818"/>
    <n v="9.7770000000000064"/>
  </r>
  <r>
    <s v="2023-09-13"/>
    <n v="147.34"/>
    <x v="2071"/>
    <n v="145.82"/>
    <n v="146.41"/>
    <n v="8325914"/>
    <x v="4"/>
    <s v="JP Morgan"/>
    <x v="3"/>
    <n v="4.8000000000000001E-2"/>
    <x v="8"/>
    <x v="0"/>
    <s v="September"/>
    <s v="Profit"/>
    <n v="1.8799999999999955"/>
    <n v="9.8250000000000064"/>
  </r>
  <r>
    <s v="2023-09-14"/>
    <n v="147.84"/>
    <x v="2072"/>
    <n v="147.52000000000001"/>
    <n v="149.25"/>
    <n v="10034931"/>
    <x v="4"/>
    <s v="JP Morgan"/>
    <x v="3"/>
    <n v="1.94"/>
    <x v="8"/>
    <x v="0"/>
    <s v="September"/>
    <s v="Profit"/>
    <n v="2.375"/>
    <n v="11.765000000000006"/>
  </r>
  <r>
    <s v="2023-09-15"/>
    <n v="148.91999999999999"/>
    <x v="2073"/>
    <n v="148.31"/>
    <n v="148.81"/>
    <n v="19863383"/>
    <x v="4"/>
    <s v="JP Morgan"/>
    <x v="3"/>
    <n v="-0.29499999999999998"/>
    <x v="8"/>
    <x v="0"/>
    <s v="September"/>
    <s v="Loss"/>
    <n v="1.4159999999999968"/>
    <n v="11.470000000000006"/>
  </r>
  <r>
    <s v="2023-09-18"/>
    <n v="148.16"/>
    <x v="2074"/>
    <n v="147.75"/>
    <n v="149.12"/>
    <n v="6512360"/>
    <x v="4"/>
    <s v="JP Morgan"/>
    <x v="3"/>
    <n v="0.20799999999999999"/>
    <x v="8"/>
    <x v="0"/>
    <s v="September"/>
    <s v="Profit"/>
    <n v="1.3899999999999864"/>
    <n v="11.678000000000006"/>
  </r>
  <r>
    <s v="2023-09-19"/>
    <n v="149.5"/>
    <x v="1808"/>
    <n v="147.21"/>
    <n v="148.93"/>
    <n v="7945606"/>
    <x v="4"/>
    <s v="JP Morgan"/>
    <x v="3"/>
    <n v="-0.127"/>
    <x v="8"/>
    <x v="0"/>
    <s v="September"/>
    <s v="Loss"/>
    <n v="2.5099999999999909"/>
    <n v="11.551000000000005"/>
  </r>
  <r>
    <s v="2023-09-20"/>
    <n v="149.65"/>
    <x v="1820"/>
    <n v="148.13499999999999"/>
    <n v="148.30000000000001"/>
    <n v="7334257"/>
    <x v="4"/>
    <s v="JP Morgan"/>
    <x v="3"/>
    <n v="-0.42299999999999999"/>
    <x v="8"/>
    <x v="0"/>
    <s v="September"/>
    <s v="Loss"/>
    <n v="2.1150000000000091"/>
    <n v="11.128000000000005"/>
  </r>
  <r>
    <s v="2023-09-21"/>
    <n v="147.58000000000001"/>
    <x v="2075"/>
    <n v="146.63"/>
    <n v="147.13999999999999"/>
    <n v="8053410"/>
    <x v="4"/>
    <s v="JP Morgan"/>
    <x v="3"/>
    <n v="-0.78200000000000003"/>
    <x v="8"/>
    <x v="0"/>
    <s v="September"/>
    <s v="Loss"/>
    <n v="2.2249999999999943"/>
    <n v="10.346000000000005"/>
  </r>
  <r>
    <s v="2023-09-22"/>
    <n v="147.29"/>
    <x v="2076"/>
    <n v="145.19"/>
    <n v="145.72999999999999"/>
    <n v="7071975"/>
    <x v="4"/>
    <s v="JP Morgan"/>
    <x v="3"/>
    <n v="-0.95799999999999996"/>
    <x v="8"/>
    <x v="0"/>
    <s v="September"/>
    <s v="Loss"/>
    <n v="2.3199999999999932"/>
    <n v="9.3880000000000052"/>
  </r>
  <r>
    <s v="2023-09-25"/>
    <n v="145.35"/>
    <x v="2077"/>
    <n v="143.69999999999999"/>
    <n v="146.44999999999999"/>
    <n v="7044672"/>
    <x v="4"/>
    <s v="JP Morgan"/>
    <x v="3"/>
    <n v="0.49399999999999999"/>
    <x v="8"/>
    <x v="0"/>
    <s v="September"/>
    <s v="Profit"/>
    <n v="2.8200000000000216"/>
    <n v="9.882000000000005"/>
  </r>
  <r>
    <s v="2023-09-26"/>
    <n v="144.6"/>
    <x v="2078"/>
    <n v="144.22999999999999"/>
    <n v="144.93"/>
    <n v="7468405"/>
    <x v="4"/>
    <s v="JP Morgan"/>
    <x v="3"/>
    <n v="-1.038"/>
    <x v="8"/>
    <x v="0"/>
    <s v="September"/>
    <s v="Loss"/>
    <n v="1.6100000000000136"/>
    <n v="8.8440000000000047"/>
  </r>
  <r>
    <s v="2023-09-27"/>
    <n v="145.19"/>
    <x v="2079"/>
    <n v="144.512"/>
    <n v="145.78"/>
    <n v="6717822"/>
    <x v="4"/>
    <s v="JP Morgan"/>
    <x v="3"/>
    <n v="0.58599999999999997"/>
    <x v="8"/>
    <x v="0"/>
    <s v="September"/>
    <s v="Profit"/>
    <n v="1.578000000000003"/>
    <n v="9.430000000000005"/>
  </r>
  <r>
    <s v="2023-09-28"/>
    <n v="146.28"/>
    <x v="2080"/>
    <n v="146.01"/>
    <n v="147.59"/>
    <n v="8868063"/>
    <x v="4"/>
    <s v="JP Morgan"/>
    <x v="3"/>
    <n v="1.242"/>
    <x v="8"/>
    <x v="0"/>
    <s v="September"/>
    <s v="Profit"/>
    <n v="2.8600000000000136"/>
    <n v="10.672000000000004"/>
  </r>
  <r>
    <s v="2023-09-29"/>
    <n v="148.6"/>
    <x v="2081"/>
    <n v="144.86000000000001"/>
    <n v="145.02000000000001"/>
    <n v="11917826"/>
    <x v="4"/>
    <s v="JP Morgan"/>
    <x v="3"/>
    <n v="-1.7410000000000001"/>
    <x v="8"/>
    <x v="0"/>
    <s v="September"/>
    <s v="Loss"/>
    <n v="3.8999999999999773"/>
    <n v="8.9310000000000045"/>
  </r>
  <r>
    <s v="2023-10-02"/>
    <n v="144.83000000000001"/>
    <x v="2082"/>
    <n v="142.63"/>
    <n v="143.77000000000001"/>
    <n v="9170644"/>
    <x v="4"/>
    <s v="JP Morgan"/>
    <x v="3"/>
    <n v="-0.86199999999999999"/>
    <x v="9"/>
    <x v="0"/>
    <s v="October"/>
    <s v="Loss"/>
    <n v="2.9920000000000186"/>
    <n v="8.0690000000000044"/>
  </r>
  <r>
    <s v="2023-10-03"/>
    <n v="143.19999999999999"/>
    <x v="2083"/>
    <n v="142.35499999999999"/>
    <n v="142.71"/>
    <n v="9431118"/>
    <x v="4"/>
    <s v="JP Morgan"/>
    <x v="3"/>
    <n v="-0.73699999999999999"/>
    <x v="9"/>
    <x v="0"/>
    <s v="October"/>
    <s v="Loss"/>
    <n v="1.2350000000000136"/>
    <n v="7.3320000000000043"/>
  </r>
  <r>
    <s v="2023-10-04"/>
    <n v="143.19"/>
    <x v="2084"/>
    <n v="141.93"/>
    <n v="143.35"/>
    <n v="8128748"/>
    <x v="4"/>
    <s v="JP Morgan"/>
    <x v="3"/>
    <n v="0.44800000000000001"/>
    <x v="9"/>
    <x v="0"/>
    <s v="October"/>
    <s v="Profit"/>
    <n v="1.539999999999992"/>
    <n v="7.7800000000000047"/>
  </r>
  <r>
    <s v="2023-10-05"/>
    <n v="142.04"/>
    <x v="2085"/>
    <n v="140.83000000000001"/>
    <n v="142.9"/>
    <n v="8576237"/>
    <x v="4"/>
    <s v="JP Morgan"/>
    <x v="3"/>
    <n v="-0.314"/>
    <x v="9"/>
    <x v="0"/>
    <s v="October"/>
    <s v="Loss"/>
    <n v="2.2699999999999818"/>
    <n v="7.4660000000000046"/>
  </r>
  <r>
    <s v="2023-10-06"/>
    <n v="142.91"/>
    <x v="2086"/>
    <n v="142.13999999999999"/>
    <n v="145.1"/>
    <n v="10270621"/>
    <x v="4"/>
    <s v="JP Morgan"/>
    <x v="3"/>
    <n v="1.54"/>
    <x v="9"/>
    <x v="0"/>
    <s v="October"/>
    <s v="Profit"/>
    <n v="3.7400000000000091"/>
    <n v="9.0060000000000038"/>
  </r>
  <r>
    <s v="2023-10-09"/>
    <n v="143.66"/>
    <x v="2087"/>
    <n v="143.5"/>
    <n v="144.77000000000001"/>
    <n v="6964907"/>
    <x v="4"/>
    <s v="JP Morgan"/>
    <x v="3"/>
    <n v="-0.22700000000000001"/>
    <x v="9"/>
    <x v="0"/>
    <s v="October"/>
    <s v="Loss"/>
    <n v="1.8950000000000102"/>
    <n v="8.7790000000000035"/>
  </r>
  <r>
    <s v="2023-10-10"/>
    <n v="145.41999999999999"/>
    <x v="2088"/>
    <n v="145.28"/>
    <n v="145.65"/>
    <n v="11288769"/>
    <x v="4"/>
    <s v="JP Morgan"/>
    <x v="3"/>
    <n v="0.60799999999999998"/>
    <x v="9"/>
    <x v="0"/>
    <s v="October"/>
    <s v="Profit"/>
    <n v="1.4900000000000091"/>
    <n v="9.387000000000004"/>
  </r>
  <r>
    <s v="2023-10-11"/>
    <n v="146.51"/>
    <x v="2089"/>
    <n v="145.02000000000001"/>
    <n v="146.15"/>
    <n v="8698175"/>
    <x v="4"/>
    <s v="JP Morgan"/>
    <x v="3"/>
    <n v="0.34300000000000003"/>
    <x v="9"/>
    <x v="0"/>
    <s v="October"/>
    <s v="Profit"/>
    <n v="2.2099999999999795"/>
    <n v="9.730000000000004"/>
  </r>
  <r>
    <s v="2023-10-12"/>
    <n v="146.30000000000001"/>
    <x v="2090"/>
    <n v="145.13"/>
    <n v="145.81"/>
    <n v="10484436"/>
    <x v="4"/>
    <s v="JP Morgan"/>
    <x v="3"/>
    <n v="-0.23300000000000001"/>
    <x v="9"/>
    <x v="0"/>
    <s v="October"/>
    <s v="Loss"/>
    <n v="1.8300000000000125"/>
    <n v="9.4970000000000034"/>
  </r>
  <r>
    <s v="2023-10-13"/>
    <n v="148.5"/>
    <x v="2091"/>
    <n v="147.84"/>
    <n v="148"/>
    <n v="29487199"/>
    <x v="4"/>
    <s v="JP Morgan"/>
    <x v="3"/>
    <n v="1.502"/>
    <x v="9"/>
    <x v="0"/>
    <s v="October"/>
    <s v="Profit"/>
    <n v="5.2700000000000102"/>
    <n v="10.999000000000004"/>
  </r>
  <r>
    <s v="2023-10-16"/>
    <n v="149.44999999999999"/>
    <x v="2092"/>
    <n v="146.72"/>
    <n v="147.85"/>
    <n v="12663461"/>
    <x v="4"/>
    <s v="JP Morgan"/>
    <x v="3"/>
    <n v="-0.10100000000000001"/>
    <x v="9"/>
    <x v="0"/>
    <s v="October"/>
    <s v="Loss"/>
    <n v="2.8000000000000114"/>
    <n v="10.898000000000003"/>
  </r>
  <r>
    <s v="2023-10-17"/>
    <n v="147.57"/>
    <x v="2093"/>
    <n v="146.79"/>
    <n v="147.53"/>
    <n v="11482739"/>
    <x v="4"/>
    <s v="JP Morgan"/>
    <x v="3"/>
    <n v="-0.216"/>
    <x v="9"/>
    <x v="0"/>
    <s v="October"/>
    <s v="Loss"/>
    <n v="2.5200000000000102"/>
    <n v="10.682000000000004"/>
  </r>
  <r>
    <s v="2023-10-18"/>
    <n v="146.59"/>
    <x v="1794"/>
    <n v="145.37"/>
    <n v="145.91"/>
    <n v="9620257"/>
    <x v="4"/>
    <s v="JP Morgan"/>
    <x v="3"/>
    <n v="-1.0980000000000001"/>
    <x v="9"/>
    <x v="0"/>
    <s v="October"/>
    <s v="Loss"/>
    <n v="2.1099999999999852"/>
    <n v="9.5840000000000032"/>
  </r>
  <r>
    <s v="2023-10-19"/>
    <n v="145.47999999999999"/>
    <x v="2094"/>
    <n v="144.88"/>
    <n v="145.29"/>
    <n v="11143631"/>
    <x v="4"/>
    <s v="JP Morgan"/>
    <x v="3"/>
    <n v="-0.42499999999999999"/>
    <x v="9"/>
    <x v="0"/>
    <s v="October"/>
    <s v="Loss"/>
    <n v="2.1400000000000148"/>
    <n v="9.1590000000000025"/>
  </r>
  <r>
    <s v="2023-10-20"/>
    <n v="144.57"/>
    <x v="2095"/>
    <n v="142.12"/>
    <n v="142.94999999999999"/>
    <n v="13332867"/>
    <x v="4"/>
    <s v="JP Morgan"/>
    <x v="3"/>
    <n v="-1.611"/>
    <x v="9"/>
    <x v="0"/>
    <s v="October"/>
    <s v="Loss"/>
    <n v="3.0199999999999818"/>
    <n v="7.5480000000000027"/>
  </r>
  <r>
    <s v="2023-10-23"/>
    <n v="142.94"/>
    <x v="2096"/>
    <n v="140.72999999999999"/>
    <n v="141"/>
    <n v="10133410"/>
    <x v="4"/>
    <s v="JP Morgan"/>
    <x v="3"/>
    <n v="-1.3640000000000001"/>
    <x v="9"/>
    <x v="0"/>
    <s v="October"/>
    <s v="Loss"/>
    <n v="2.9500000000000171"/>
    <n v="6.1840000000000028"/>
  </r>
  <r>
    <s v="2023-10-24"/>
    <n v="141.19"/>
    <x v="2097"/>
    <n v="140.36000000000001"/>
    <n v="141.16999999999999"/>
    <n v="8881354"/>
    <x v="4"/>
    <s v="JP Morgan"/>
    <x v="3"/>
    <n v="0.121"/>
    <x v="9"/>
    <x v="0"/>
    <s v="October"/>
    <s v="Profit"/>
    <n v="1.3699999999999761"/>
    <n v="6.3050000000000033"/>
  </r>
  <r>
    <s v="2023-10-25"/>
    <n v="140.57"/>
    <x v="2098"/>
    <n v="139.51"/>
    <n v="140.4"/>
    <n v="8242565"/>
    <x v="4"/>
    <s v="JP Morgan"/>
    <x v="3"/>
    <n v="-0.54500000000000004"/>
    <x v="9"/>
    <x v="0"/>
    <s v="October"/>
    <s v="Loss"/>
    <n v="1.6700000000000159"/>
    <n v="5.7600000000000033"/>
  </r>
  <r>
    <s v="2023-10-26"/>
    <n v="139.76"/>
    <x v="2099"/>
    <n v="139.43"/>
    <n v="140.76"/>
    <n v="9109431"/>
    <x v="4"/>
    <s v="JP Morgan"/>
    <x v="3"/>
    <n v="0.25600000000000001"/>
    <x v="9"/>
    <x v="0"/>
    <s v="October"/>
    <s v="Profit"/>
    <n v="2.2349999999999852"/>
    <n v="6.0160000000000036"/>
  </r>
  <r>
    <s v="2023-10-27"/>
    <n v="138.94999999999999"/>
    <x v="2100"/>
    <n v="135.19"/>
    <n v="135.69"/>
    <n v="17434717"/>
    <x v="4"/>
    <s v="JP Morgan"/>
    <x v="3"/>
    <n v="-3.6019999999999999"/>
    <x v="9"/>
    <x v="0"/>
    <s v="October"/>
    <s v="Loss"/>
    <n v="3.9099999999999966"/>
    <n v="2.4140000000000037"/>
  </r>
  <r>
    <s v="2023-10-30"/>
    <n v="136.44"/>
    <x v="2101"/>
    <n v="136.04"/>
    <n v="137.41999999999999"/>
    <n v="9855540"/>
    <x v="4"/>
    <s v="JP Morgan"/>
    <x v="3"/>
    <n v="1.2749999999999999"/>
    <x v="9"/>
    <x v="0"/>
    <s v="October"/>
    <s v="Profit"/>
    <n v="2"/>
    <n v="3.6890000000000036"/>
  </r>
  <r>
    <s v="2023-10-31"/>
    <n v="137.71"/>
    <x v="2102"/>
    <n v="137.47300000000001"/>
    <n v="139.06"/>
    <n v="9672460"/>
    <x v="4"/>
    <s v="JP Morgan"/>
    <x v="3"/>
    <n v="1.1930000000000001"/>
    <x v="9"/>
    <x v="0"/>
    <s v="October"/>
    <s v="Profit"/>
    <n v="1.7669999999999959"/>
    <n v="4.8820000000000032"/>
  </r>
  <r>
    <s v="2023-11-01"/>
    <n v="139.25"/>
    <x v="2103"/>
    <n v="138.47"/>
    <n v="138.94"/>
    <n v="9432048"/>
    <x v="4"/>
    <s v="JP Morgan"/>
    <x v="3"/>
    <n v="-8.5999999999999993E-2"/>
    <x v="10"/>
    <x v="0"/>
    <s v="November"/>
    <s v="Loss"/>
    <n v="2.0600000000000023"/>
    <n v="4.7960000000000029"/>
  </r>
  <r>
    <s v="2023-11-02"/>
    <n v="140.09"/>
    <x v="2010"/>
    <n v="139.22999999999999"/>
    <n v="141.41999999999999"/>
    <n v="10186175"/>
    <x v="4"/>
    <s v="JP Morgan"/>
    <x v="3"/>
    <n v="1.7849999999999999"/>
    <x v="10"/>
    <x v="0"/>
    <s v="November"/>
    <s v="Profit"/>
    <n v="2.25"/>
    <n v="6.5810000000000031"/>
  </r>
  <r>
    <s v="2023-11-03"/>
    <n v="142.19"/>
    <x v="2104"/>
    <n v="141.85"/>
    <n v="143"/>
    <n v="9538719"/>
    <x v="4"/>
    <s v="JP Morgan"/>
    <x v="3"/>
    <n v="1.117"/>
    <x v="10"/>
    <x v="0"/>
    <s v="November"/>
    <s v="Profit"/>
    <n v="1.9200000000000159"/>
    <n v="7.6980000000000031"/>
  </r>
  <r>
    <s v="2023-11-06"/>
    <n v="143.16999999999999"/>
    <x v="2105"/>
    <n v="142.79"/>
    <n v="144.08000000000001"/>
    <n v="7625063"/>
    <x v="4"/>
    <s v="JP Morgan"/>
    <x v="3"/>
    <n v="0.755"/>
    <x v="10"/>
    <x v="0"/>
    <s v="November"/>
    <s v="Profit"/>
    <n v="1.4000000000000057"/>
    <n v="8.453000000000003"/>
  </r>
  <r>
    <s v="2023-11-07"/>
    <n v="143.51"/>
    <x v="2106"/>
    <n v="142.82"/>
    <n v="144.01"/>
    <n v="6297915"/>
    <x v="4"/>
    <s v="JP Morgan"/>
    <x v="3"/>
    <n v="-4.9000000000000002E-2"/>
    <x v="10"/>
    <x v="0"/>
    <s v="November"/>
    <s v="Loss"/>
    <n v="1.4410000000000025"/>
    <n v="8.4040000000000035"/>
  </r>
  <r>
    <s v="2023-11-08"/>
    <n v="144.11000000000001"/>
    <x v="2107"/>
    <n v="143.62"/>
    <n v="144.72"/>
    <n v="7618169"/>
    <x v="4"/>
    <s v="JP Morgan"/>
    <x v="3"/>
    <n v="0.49299999999999999"/>
    <x v="10"/>
    <x v="0"/>
    <s v="November"/>
    <s v="Profit"/>
    <n v="1.2199999999999989"/>
    <n v="8.8970000000000038"/>
  </r>
  <r>
    <s v="2023-11-09"/>
    <n v="145.44"/>
    <x v="2108"/>
    <n v="143.69999999999999"/>
    <n v="144.29"/>
    <n v="7992477"/>
    <x v="4"/>
    <s v="JP Morgan"/>
    <x v="3"/>
    <n v="-0.29699999999999999"/>
    <x v="10"/>
    <x v="0"/>
    <s v="November"/>
    <s v="Loss"/>
    <n v="1.9500000000000171"/>
    <n v="8.6000000000000032"/>
  </r>
  <r>
    <s v="2023-11-10"/>
    <n v="144.94"/>
    <x v="2109"/>
    <n v="144.077"/>
    <n v="146.43"/>
    <n v="7983935"/>
    <x v="4"/>
    <s v="JP Morgan"/>
    <x v="3"/>
    <n v="1.4830000000000001"/>
    <x v="10"/>
    <x v="0"/>
    <s v="November"/>
    <s v="Profit"/>
    <n v="2.4029999999999916"/>
    <n v="10.083000000000004"/>
  </r>
  <r>
    <s v="2023-11-13"/>
    <n v="145.69999999999999"/>
    <x v="1764"/>
    <n v="145.16"/>
    <n v="145.78"/>
    <n v="6676364"/>
    <x v="4"/>
    <s v="JP Morgan"/>
    <x v="3"/>
    <n v="-0.44400000000000001"/>
    <x v="10"/>
    <x v="0"/>
    <s v="November"/>
    <s v="Loss"/>
    <n v="1.0900000000000034"/>
    <n v="9.6390000000000029"/>
  </r>
  <r>
    <s v="2023-11-14"/>
    <n v="146.68"/>
    <x v="2110"/>
    <n v="146.52000000000001"/>
    <n v="148.44"/>
    <n v="9927723"/>
    <x v="4"/>
    <s v="JP Morgan"/>
    <x v="3"/>
    <n v="1.825"/>
    <x v="10"/>
    <x v="0"/>
    <s v="November"/>
    <s v="Profit"/>
    <n v="2.7299999999999898"/>
    <n v="11.464000000000002"/>
  </r>
  <r>
    <s v="2023-11-15"/>
    <n v="148.46"/>
    <x v="2111"/>
    <n v="148.46"/>
    <n v="149.74"/>
    <n v="8365296"/>
    <x v="4"/>
    <s v="JP Morgan"/>
    <x v="3"/>
    <n v="0.876"/>
    <x v="10"/>
    <x v="0"/>
    <s v="November"/>
    <s v="Profit"/>
    <n v="1.6999999999999886"/>
    <n v="12.340000000000002"/>
  </r>
  <r>
    <s v="2023-11-16"/>
    <n v="150.09"/>
    <x v="2112"/>
    <n v="150.09"/>
    <n v="151.44999999999999"/>
    <n v="8126188"/>
    <x v="4"/>
    <s v="JP Morgan"/>
    <x v="3"/>
    <n v="1.1419999999999999"/>
    <x v="10"/>
    <x v="0"/>
    <s v="November"/>
    <s v="Profit"/>
    <n v="1.4350000000000023"/>
    <n v="13.482000000000001"/>
  </r>
  <r>
    <s v="2023-11-17"/>
    <n v="152.19999999999999"/>
    <x v="2113"/>
    <n v="151.54"/>
    <n v="152.82"/>
    <n v="7814064"/>
    <x v="4"/>
    <s v="JP Morgan"/>
    <x v="3"/>
    <n v="0.90500000000000003"/>
    <x v="10"/>
    <x v="0"/>
    <s v="November"/>
    <s v="Profit"/>
    <n v="1.3200000000000216"/>
    <n v="14.387"/>
  </r>
  <r>
    <s v="2023-11-20"/>
    <n v="152.08000000000001"/>
    <x v="2035"/>
    <n v="151.91999999999999"/>
    <n v="153.29"/>
    <n v="7020349"/>
    <x v="4"/>
    <s v="JP Morgan"/>
    <x v="3"/>
    <n v="0.308"/>
    <x v="10"/>
    <x v="0"/>
    <s v="November"/>
    <s v="Profit"/>
    <n v="1.8300000000000125"/>
    <n v="14.695"/>
  </r>
  <r>
    <s v="2023-11-21"/>
    <n v="153.19999999999999"/>
    <x v="2114"/>
    <n v="152.57"/>
    <n v="152.97"/>
    <n v="7083506"/>
    <x v="4"/>
    <s v="JP Morgan"/>
    <x v="3"/>
    <n v="-0.20899999999999999"/>
    <x v="10"/>
    <x v="0"/>
    <s v="November"/>
    <s v="Loss"/>
    <n v="1.0600000000000023"/>
    <n v="14.486000000000001"/>
  </r>
  <r>
    <s v="2023-11-22"/>
    <n v="153.41"/>
    <x v="2115"/>
    <n v="152.9"/>
    <n v="153.33000000000001"/>
    <n v="5175135"/>
    <x v="4"/>
    <s v="JP Morgan"/>
    <x v="3"/>
    <n v="0.23499999999999999"/>
    <x v="10"/>
    <x v="0"/>
    <s v="November"/>
    <s v="Profit"/>
    <n v="0.97999999999998977"/>
    <n v="14.721"/>
  </r>
  <r>
    <s v="2023-11-24"/>
    <n v="153.59"/>
    <x v="2116"/>
    <n v="153.27500000000001"/>
    <n v="153.54"/>
    <n v="3496941"/>
    <x v="4"/>
    <s v="JP Morgan"/>
    <x v="3"/>
    <n v="0.13700000000000001"/>
    <x v="10"/>
    <x v="0"/>
    <s v="November"/>
    <s v="Profit"/>
    <n v="1.1629999999999825"/>
    <n v="14.858000000000001"/>
  </r>
  <r>
    <s v="2023-11-27"/>
    <n v="153.43"/>
    <x v="2117"/>
    <n v="152.71"/>
    <n v="153.19"/>
    <n v="6259116"/>
    <x v="4"/>
    <s v="JP Morgan"/>
    <x v="3"/>
    <n v="-0.22800000000000001"/>
    <x v="10"/>
    <x v="0"/>
    <s v="November"/>
    <s v="Loss"/>
    <n v="0.81999999999999318"/>
    <n v="14.63"/>
  </r>
  <r>
    <s v="2023-11-28"/>
    <n v="153.22"/>
    <x v="1660"/>
    <n v="152.72"/>
    <n v="153.54"/>
    <n v="6582937"/>
    <x v="4"/>
    <s v="JP Morgan"/>
    <x v="3"/>
    <n v="0.22800000000000001"/>
    <x v="10"/>
    <x v="0"/>
    <s v="November"/>
    <s v="Profit"/>
    <n v="1.1500000000000057"/>
    <n v="14.858000000000001"/>
  </r>
  <r>
    <s v="2023-11-29"/>
    <n v="154.16999999999999"/>
    <x v="2118"/>
    <n v="154"/>
    <n v="154.32"/>
    <n v="9126053"/>
    <x v="4"/>
    <s v="JP Morgan"/>
    <x v="3"/>
    <n v="0.50800000000000001"/>
    <x v="10"/>
    <x v="0"/>
    <s v="November"/>
    <s v="Profit"/>
    <n v="1.625"/>
    <n v="15.366"/>
  </r>
  <r>
    <s v="2023-11-30"/>
    <n v="154.91"/>
    <x v="2119"/>
    <n v="154.381"/>
    <n v="156.08000000000001"/>
    <n v="9869790"/>
    <x v="4"/>
    <s v="JP Morgan"/>
    <x v="3"/>
    <n v="1.1399999999999999"/>
    <x v="10"/>
    <x v="0"/>
    <s v="November"/>
    <s v="Profit"/>
    <n v="1.7489999999999952"/>
    <n v="16.506"/>
  </r>
  <r>
    <s v="2023-12-01"/>
    <n v="155.82"/>
    <x v="2120"/>
    <n v="155.82"/>
    <n v="156.84"/>
    <n v="8916001"/>
    <x v="4"/>
    <s v="JP Morgan"/>
    <x v="3"/>
    <n v="0.48699999999999999"/>
    <x v="11"/>
    <x v="0"/>
    <s v="December"/>
    <s v="Profit"/>
    <n v="2.0400000000000205"/>
    <n v="16.992999999999999"/>
  </r>
  <r>
    <s v="2023-12-04"/>
    <n v="156.02000000000001"/>
    <x v="56"/>
    <n v="155.88"/>
    <n v="157.99"/>
    <n v="9607465"/>
    <x v="4"/>
    <s v="JP Morgan"/>
    <x v="3"/>
    <n v="0.73299999999999998"/>
    <x v="11"/>
    <x v="0"/>
    <s v="December"/>
    <s v="Profit"/>
    <n v="2.1700000000000159"/>
    <n v="17.725999999999999"/>
  </r>
  <r>
    <s v="2023-12-05"/>
    <n v="157.26"/>
    <x v="2121"/>
    <n v="156.97"/>
    <n v="157.97"/>
    <n v="9135597"/>
    <x v="4"/>
    <s v="JP Morgan"/>
    <x v="3"/>
    <n v="-1.2999999999999999E-2"/>
    <x v="11"/>
    <x v="0"/>
    <s v="December"/>
    <s v="Loss"/>
    <n v="1.5300000000000011"/>
    <n v="17.712999999999997"/>
  </r>
  <r>
    <s v="2023-12-06"/>
    <n v="158.84"/>
    <x v="2122"/>
    <n v="156"/>
    <n v="156.31"/>
    <n v="9366004"/>
    <x v="4"/>
    <s v="JP Morgan"/>
    <x v="3"/>
    <n v="-1.0509999999999999"/>
    <x v="11"/>
    <x v="0"/>
    <s v="December"/>
    <s v="Loss"/>
    <n v="3.2199999999999989"/>
    <n v="16.661999999999999"/>
  </r>
  <r>
    <s v="2023-12-07"/>
    <n v="156.69"/>
    <x v="1571"/>
    <n v="156.15"/>
    <n v="156.79"/>
    <n v="8130874"/>
    <x v="4"/>
    <s v="JP Morgan"/>
    <x v="3"/>
    <n v="0.307"/>
    <x v="11"/>
    <x v="0"/>
    <s v="December"/>
    <s v="Profit"/>
    <n v="1.1599999999999966"/>
    <n v="16.968999999999998"/>
  </r>
  <r>
    <s v="2023-12-08"/>
    <n v="157.26"/>
    <x v="2042"/>
    <n v="156.97999999999999"/>
    <n v="158.52000000000001"/>
    <n v="7369370"/>
    <x v="4"/>
    <s v="JP Morgan"/>
    <x v="3"/>
    <n v="1.103"/>
    <x v="11"/>
    <x v="0"/>
    <s v="December"/>
    <s v="Profit"/>
    <n v="1.8000000000000114"/>
    <n v="18.071999999999999"/>
  </r>
  <r>
    <s v="2023-12-11"/>
    <n v="158.52000000000001"/>
    <x v="2123"/>
    <n v="158.15"/>
    <n v="159.1"/>
    <n v="8093908"/>
    <x v="4"/>
    <s v="JP Morgan"/>
    <x v="3"/>
    <n v="0.36599999999999999"/>
    <x v="11"/>
    <x v="0"/>
    <s v="December"/>
    <s v="Profit"/>
    <n v="1.1500000000000057"/>
    <n v="18.437999999999999"/>
  </r>
  <r>
    <s v="2023-12-12"/>
    <n v="159.22999999999999"/>
    <x v="2124"/>
    <n v="158.88"/>
    <n v="160.52000000000001"/>
    <n v="10222978"/>
    <x v="4"/>
    <s v="JP Morgan"/>
    <x v="3"/>
    <n v="0.89300000000000002"/>
    <x v="11"/>
    <x v="0"/>
    <s v="December"/>
    <s v="Profit"/>
    <n v="1.7650000000000148"/>
    <n v="19.331"/>
  </r>
  <r>
    <s v="2023-12-13"/>
    <n v="160.52000000000001"/>
    <x v="2125"/>
    <n v="159.77000000000001"/>
    <n v="161.06"/>
    <n v="12379098"/>
    <x v="4"/>
    <s v="JP Morgan"/>
    <x v="3"/>
    <n v="0.33600000000000002"/>
    <x v="11"/>
    <x v="0"/>
    <s v="December"/>
    <s v="Profit"/>
    <n v="2.2599999999999909"/>
    <n v="19.666999999999998"/>
  </r>
  <r>
    <s v="2023-12-14"/>
    <n v="161.83000000000001"/>
    <x v="1535"/>
    <n v="161.70500000000001"/>
    <n v="163.99"/>
    <n v="13642990"/>
    <x v="4"/>
    <s v="JP Morgan"/>
    <x v="3"/>
    <n v="1.819"/>
    <x v="11"/>
    <x v="0"/>
    <s v="December"/>
    <s v="Profit"/>
    <n v="3.1349999999999909"/>
    <n v="21.485999999999997"/>
  </r>
  <r>
    <s v="2023-12-15"/>
    <n v="163.08000000000001"/>
    <x v="1536"/>
    <n v="162.38999999999999"/>
    <n v="165.23"/>
    <n v="20309348"/>
    <x v="4"/>
    <s v="JP Morgan"/>
    <x v="3"/>
    <n v="0.75600000000000001"/>
    <x v="11"/>
    <x v="0"/>
    <s v="December"/>
    <s v="Profit"/>
    <n v="2.8900000000000148"/>
    <n v="22.241999999999997"/>
  </r>
  <r>
    <s v="2023-12-18"/>
    <n v="165.92"/>
    <x v="2126"/>
    <n v="165.63"/>
    <n v="166.23"/>
    <n v="8469608"/>
    <x v="4"/>
    <s v="JP Morgan"/>
    <x v="3"/>
    <n v="0.60499999999999998"/>
    <x v="11"/>
    <x v="0"/>
    <s v="December"/>
    <s v="Profit"/>
    <n v="1.5"/>
    <n v="22.846999999999998"/>
  </r>
  <r>
    <s v="2023-12-19"/>
    <n v="166"/>
    <x v="2127"/>
    <n v="165.55"/>
    <n v="168.45"/>
    <n v="10345691"/>
    <x v="4"/>
    <s v="JP Morgan"/>
    <x v="3"/>
    <n v="1.335"/>
    <x v="11"/>
    <x v="0"/>
    <s v="December"/>
    <s v="Profit"/>
    <n v="2.9199999999999875"/>
    <n v="24.181999999999999"/>
  </r>
  <r>
    <s v="2023-12-20"/>
    <n v="167.99"/>
    <x v="2128"/>
    <n v="166.45"/>
    <n v="166.55"/>
    <n v="10734709"/>
    <x v="4"/>
    <s v="JP Morgan"/>
    <x v="3"/>
    <n v="-1.1279999999999999"/>
    <x v="11"/>
    <x v="0"/>
    <s v="December"/>
    <s v="Loss"/>
    <n v="2.960000000000008"/>
    <n v="23.053999999999998"/>
  </r>
  <r>
    <s v="2023-12-21"/>
    <n v="166.84"/>
    <x v="2129"/>
    <n v="165.67500000000001"/>
    <n v="167.5"/>
    <n v="7601678"/>
    <x v="4"/>
    <s v="JP Morgan"/>
    <x v="3"/>
    <n v="0.56999999999999995"/>
    <x v="11"/>
    <x v="0"/>
    <s v="December"/>
    <s v="Profit"/>
    <n v="2.414999999999992"/>
    <n v="23.623999999999999"/>
  </r>
  <r>
    <s v="2023-12-22"/>
    <n v="167.5"/>
    <x v="2130"/>
    <n v="167.23"/>
    <n v="167.4"/>
    <n v="6576322"/>
    <x v="4"/>
    <s v="JP Morgan"/>
    <x v="3"/>
    <n v="-0.06"/>
    <x v="11"/>
    <x v="0"/>
    <s v="December"/>
    <s v="Loss"/>
    <n v="1"/>
    <n v="23.564"/>
  </r>
  <r>
    <s v="2023-12-26"/>
    <n v="167.46"/>
    <x v="2131"/>
    <n v="167.18"/>
    <n v="168.39"/>
    <n v="4683605"/>
    <x v="4"/>
    <s v="JP Morgan"/>
    <x v="3"/>
    <n v="0.59099999999999997"/>
    <x v="11"/>
    <x v="0"/>
    <s v="December"/>
    <s v="Profit"/>
    <n v="1.5849999999999795"/>
    <n v="24.155000000000001"/>
  </r>
  <r>
    <s v="2023-12-27"/>
    <n v="167.84"/>
    <x v="2132"/>
    <n v="167.58"/>
    <n v="169.4"/>
    <n v="6428643"/>
    <x v="4"/>
    <s v="JP Morgan"/>
    <x v="3"/>
    <n v="0.6"/>
    <x v="11"/>
    <x v="0"/>
    <s v="December"/>
    <s v="Profit"/>
    <n v="1.8899999999999864"/>
    <n v="24.755000000000003"/>
  </r>
  <r>
    <s v="2023-12-28"/>
    <n v="169.35"/>
    <x v="2133"/>
    <n v="168.995"/>
    <n v="170.3"/>
    <n v="6320129"/>
    <x v="4"/>
    <s v="JP Morgan"/>
    <x v="3"/>
    <n v="0.53100000000000003"/>
    <x v="11"/>
    <x v="0"/>
    <s v="December"/>
    <s v="Profit"/>
    <n v="1.664999999999992"/>
    <n v="25.286000000000001"/>
  </r>
  <r>
    <s v="2023-12-29"/>
    <n v="170"/>
    <x v="2134"/>
    <n v="169.63"/>
    <n v="170.1"/>
    <n v="6435102"/>
    <x v="4"/>
    <s v="JP Morgan"/>
    <x v="3"/>
    <n v="-0.11700000000000001"/>
    <x v="11"/>
    <x v="0"/>
    <s v="December"/>
    <s v="Loss"/>
    <n v="1.0600000000000023"/>
    <n v="25.169"/>
  </r>
  <r>
    <s v="2024-01-02"/>
    <n v="169.09"/>
    <x v="2135"/>
    <n v="168.91"/>
    <n v="172.08"/>
    <n v="9977424"/>
    <x v="4"/>
    <s v="JP Morgan"/>
    <x v="3"/>
    <n v="1.1639999999999999"/>
    <x v="12"/>
    <x v="1"/>
    <s v="January"/>
    <s v="Profit"/>
    <n v="3.2599999999999909"/>
    <n v="26.333000000000002"/>
  </r>
  <r>
    <s v="2024-01-03"/>
    <n v="171.86"/>
    <x v="2136"/>
    <n v="170.37"/>
    <n v="171.33"/>
    <n v="9852335"/>
    <x v="4"/>
    <s v="JP Morgan"/>
    <x v="3"/>
    <n v="-0.436"/>
    <x v="12"/>
    <x v="1"/>
    <s v="January"/>
    <s v="Loss"/>
    <n v="1.6699999999999875"/>
    <n v="25.897000000000002"/>
  </r>
  <r>
    <s v="2024-01-04"/>
    <n v="170.64"/>
    <x v="2137"/>
    <n v="170.54"/>
    <n v="171.41"/>
    <n v="11972545"/>
    <x v="4"/>
    <s v="JP Morgan"/>
    <x v="3"/>
    <n v="4.7E-2"/>
    <x v="12"/>
    <x v="1"/>
    <s v="January"/>
    <s v="Profit"/>
    <n v="2.8100000000000023"/>
    <n v="25.944000000000003"/>
  </r>
  <r>
    <s v="2024-01-05"/>
    <n v="171.47"/>
    <x v="2138"/>
    <n v="171.47"/>
    <n v="172.27"/>
    <n v="10066029"/>
    <x v="4"/>
    <s v="JP Morgan"/>
    <x v="3"/>
    <n v="0.502"/>
    <x v="12"/>
    <x v="1"/>
    <s v="January"/>
    <s v="Profit"/>
    <n v="1.9099999999999966"/>
    <n v="26.446000000000002"/>
  </r>
  <r>
    <s v="2024-01-08"/>
    <n v="172.02"/>
    <x v="2139"/>
    <n v="169.48500000000001"/>
    <n v="172.02"/>
    <n v="11229916"/>
    <x v="4"/>
    <s v="JP Morgan"/>
    <x v="3"/>
    <n v="-0.14499999999999999"/>
    <x v="12"/>
    <x v="1"/>
    <s v="January"/>
    <s v="Loss"/>
    <n v="2.875"/>
    <n v="26.301000000000002"/>
  </r>
  <r>
    <s v="2024-01-09"/>
    <n v="171.62"/>
    <x v="2140"/>
    <n v="170.095"/>
    <n v="170.66"/>
    <n v="9923630"/>
    <x v="4"/>
    <s v="JP Morgan"/>
    <x v="3"/>
    <n v="-0.79100000000000004"/>
    <x v="12"/>
    <x v="1"/>
    <s v="January"/>
    <s v="Loss"/>
    <n v="1.6949999999999932"/>
    <n v="25.51"/>
  </r>
  <r>
    <s v="2024-01-10"/>
    <n v="170"/>
    <x v="2141"/>
    <n v="168.95"/>
    <n v="171.02"/>
    <n v="9670218"/>
    <x v="4"/>
    <s v="JP Morgan"/>
    <x v="3"/>
    <n v="0.21099999999999999"/>
    <x v="12"/>
    <x v="1"/>
    <s v="January"/>
    <s v="Profit"/>
    <n v="2.1300000000000239"/>
    <n v="25.721"/>
  </r>
  <r>
    <s v="2024-01-11"/>
    <n v="170.33"/>
    <x v="2142"/>
    <n v="168.64"/>
    <n v="170.3"/>
    <n v="11919498"/>
    <x v="4"/>
    <s v="JP Morgan"/>
    <x v="3"/>
    <n v="-0.42099999999999999"/>
    <x v="12"/>
    <x v="1"/>
    <s v="January"/>
    <s v="Loss"/>
    <n v="1.7200000000000273"/>
    <n v="25.3"/>
  </r>
  <r>
    <s v="2024-01-12"/>
    <n v="173.8"/>
    <x v="2143"/>
    <n v="168.9"/>
    <n v="169.05"/>
    <n v="19436504"/>
    <x v="4"/>
    <s v="JP Morgan"/>
    <x v="3"/>
    <n v="-0.73399999999999999"/>
    <x v="12"/>
    <x v="1"/>
    <s v="January"/>
    <s v="Loss"/>
    <n v="7.4099999999999966"/>
    <n v="24.566000000000003"/>
  </r>
  <r>
    <s v="2024-01-16"/>
    <n v="164.87"/>
    <x v="2129"/>
    <n v="164.3"/>
    <n v="167.99"/>
    <n v="17206420"/>
    <x v="4"/>
    <s v="JP Morgan"/>
    <x v="3"/>
    <n v="-0.627"/>
    <x v="12"/>
    <x v="1"/>
    <s v="January"/>
    <s v="Loss"/>
    <n v="3.789999999999992"/>
    <n v="23.939000000000004"/>
  </r>
  <r>
    <s v="2024-01-17"/>
    <n v="167.34"/>
    <x v="2144"/>
    <n v="166.49"/>
    <n v="167.09"/>
    <n v="11107466"/>
    <x v="4"/>
    <s v="JP Morgan"/>
    <x v="3"/>
    <n v="-0.53600000000000003"/>
    <x v="12"/>
    <x v="1"/>
    <s v="January"/>
    <s v="Loss"/>
    <n v="2.5799999999999841"/>
    <n v="23.403000000000002"/>
  </r>
  <r>
    <s v="2024-01-18"/>
    <n v="167.12"/>
    <x v="2145"/>
    <n v="165.24"/>
    <n v="167.42"/>
    <n v="9382255"/>
    <x v="4"/>
    <s v="JP Morgan"/>
    <x v="3"/>
    <n v="0.19700000000000001"/>
    <x v="12"/>
    <x v="1"/>
    <s v="January"/>
    <s v="Profit"/>
    <n v="2.289999999999992"/>
    <n v="23.6"/>
  </r>
  <r>
    <s v="2024-01-19"/>
    <n v="167.55"/>
    <x v="2146"/>
    <n v="167.08"/>
    <n v="170.31"/>
    <n v="13115664"/>
    <x v="4"/>
    <s v="JP Morgan"/>
    <x v="3"/>
    <n v="1.726"/>
    <x v="12"/>
    <x v="1"/>
    <s v="January"/>
    <s v="Profit"/>
    <n v="3.4899999999999807"/>
    <n v="25.326000000000001"/>
  </r>
  <r>
    <s v="2024-01-22"/>
    <n v="170.46"/>
    <x v="2147"/>
    <n v="169.71"/>
    <n v="170.11"/>
    <n v="12837505"/>
    <x v="4"/>
    <s v="JP Morgan"/>
    <x v="3"/>
    <n v="-0.11700000000000001"/>
    <x v="12"/>
    <x v="1"/>
    <s v="January"/>
    <s v="Loss"/>
    <n v="2.2699999999999818"/>
    <n v="25.209"/>
  </r>
  <r>
    <s v="2024-01-23"/>
    <n v="169.67"/>
    <x v="2148"/>
    <n v="168.44"/>
    <n v="168.99"/>
    <n v="8360829"/>
    <x v="4"/>
    <s v="JP Morgan"/>
    <x v="3"/>
    <n v="-0.65800000000000003"/>
    <x v="12"/>
    <x v="1"/>
    <s v="January"/>
    <s v="Loss"/>
    <n v="1.3100000000000023"/>
    <n v="24.550999999999998"/>
  </r>
  <r>
    <s v="2024-01-24"/>
    <n v="169.36"/>
    <x v="2149"/>
    <n v="168.863"/>
    <n v="170.5"/>
    <n v="9967060"/>
    <x v="4"/>
    <s v="JP Morgan"/>
    <x v="3"/>
    <n v="0.89400000000000002"/>
    <x v="12"/>
    <x v="1"/>
    <s v="January"/>
    <s v="Profit"/>
    <n v="2.1469999999999914"/>
    <n v="25.444999999999997"/>
  </r>
  <r>
    <s v="2024-01-25"/>
    <n v="172.31"/>
    <x v="2150"/>
    <n v="170.905"/>
    <n v="172.94"/>
    <n v="8873481"/>
    <x v="4"/>
    <s v="JP Morgan"/>
    <x v="3"/>
    <n v="1.431"/>
    <x v="12"/>
    <x v="1"/>
    <s v="January"/>
    <s v="Profit"/>
    <n v="2.085000000000008"/>
    <n v="26.875999999999998"/>
  </r>
  <r>
    <s v="2024-01-26"/>
    <n v="172.61"/>
    <x v="2151"/>
    <n v="171.78"/>
    <n v="172.28"/>
    <n v="7442955"/>
    <x v="4"/>
    <s v="JP Morgan"/>
    <x v="3"/>
    <n v="-0.38200000000000001"/>
    <x v="12"/>
    <x v="1"/>
    <s v="January"/>
    <s v="Loss"/>
    <n v="1.2800000000000011"/>
    <n v="26.493999999999996"/>
  </r>
  <r>
    <s v="2024-01-29"/>
    <n v="172.24"/>
    <x v="2152"/>
    <n v="171.3"/>
    <n v="172.73"/>
    <n v="6971192"/>
    <x v="4"/>
    <s v="JP Morgan"/>
    <x v="3"/>
    <n v="0.26100000000000001"/>
    <x v="12"/>
    <x v="1"/>
    <s v="January"/>
    <s v="Profit"/>
    <n v="1.539999999999992"/>
    <n v="26.754999999999995"/>
  </r>
  <r>
    <s v="2024-01-30"/>
    <n v="172.83"/>
    <x v="789"/>
    <n v="172.83"/>
    <n v="176.27"/>
    <n v="10822075"/>
    <x v="4"/>
    <s v="JP Morgan"/>
    <x v="3"/>
    <n v="2.0489999999999999"/>
    <x v="12"/>
    <x v="1"/>
    <s v="January"/>
    <s v="Profit"/>
    <n v="3.9299999999999784"/>
    <n v="28.803999999999995"/>
  </r>
  <r>
    <s v="2024-01-31"/>
    <n v="176.2"/>
    <x v="895"/>
    <n v="174.34"/>
    <n v="174.36"/>
    <n v="11521820"/>
    <x v="4"/>
    <s v="JP Morgan"/>
    <x v="3"/>
    <n v="-1.0840000000000001"/>
    <x v="12"/>
    <x v="1"/>
    <s v="January"/>
    <s v="Loss"/>
    <n v="3.960000000000008"/>
    <n v="27.719999999999995"/>
  </r>
  <r>
    <s v="2024-02-01"/>
    <n v="173.64"/>
    <x v="2153"/>
    <n v="171.43"/>
    <n v="173.73"/>
    <n v="9354798"/>
    <x v="4"/>
    <s v="JP Morgan"/>
    <x v="3"/>
    <n v="-0.36099999999999999"/>
    <x v="13"/>
    <x v="1"/>
    <s v="February"/>
    <s v="Loss"/>
    <n v="3.4099999999999966"/>
    <n v="27.358999999999995"/>
  </r>
  <r>
    <s v="2024-02-02"/>
    <n v="173.3"/>
    <x v="2154"/>
    <n v="173.26"/>
    <n v="174.73"/>
    <n v="8607839"/>
    <x v="4"/>
    <s v="JP Morgan"/>
    <x v="3"/>
    <n v="0.57599999999999996"/>
    <x v="13"/>
    <x v="1"/>
    <s v="February"/>
    <s v="Profit"/>
    <n v="2.5560000000000116"/>
    <n v="27.934999999999995"/>
  </r>
  <r>
    <s v="2024-02-05"/>
    <n v="173.86"/>
    <x v="2155"/>
    <n v="172.92"/>
    <n v="174.5"/>
    <n v="7820160"/>
    <x v="4"/>
    <s v="JP Morgan"/>
    <x v="3"/>
    <n v="-0.13200000000000001"/>
    <x v="13"/>
    <x v="1"/>
    <s v="February"/>
    <s v="Loss"/>
    <n v="2.1700000000000159"/>
    <n v="27.802999999999994"/>
  </r>
  <r>
    <s v="2024-02-06"/>
    <n v="174.61"/>
    <x v="2156"/>
    <n v="173.76"/>
    <n v="175.1"/>
    <n v="6765684"/>
    <x v="4"/>
    <s v="JP Morgan"/>
    <x v="3"/>
    <n v="0.34399999999999997"/>
    <x v="13"/>
    <x v="1"/>
    <s v="February"/>
    <s v="Profit"/>
    <n v="2.1100000000000136"/>
    <n v="28.146999999999995"/>
  </r>
  <r>
    <s v="2024-02-07"/>
    <n v="175.69"/>
    <x v="2156"/>
    <n v="173.96"/>
    <n v="175.43"/>
    <n v="7225478"/>
    <x v="4"/>
    <s v="JP Morgan"/>
    <x v="3"/>
    <n v="0.188"/>
    <x v="13"/>
    <x v="1"/>
    <s v="February"/>
    <s v="Profit"/>
    <n v="1.9099999999999966"/>
    <n v="28.334999999999994"/>
  </r>
  <r>
    <s v="2024-02-08"/>
    <n v="175"/>
    <x v="2157"/>
    <n v="173.57"/>
    <n v="174.8"/>
    <n v="6060285"/>
    <x v="4"/>
    <s v="JP Morgan"/>
    <x v="3"/>
    <n v="-0.35899999999999999"/>
    <x v="13"/>
    <x v="1"/>
    <s v="February"/>
    <s v="Loss"/>
    <n v="1.7360000000000184"/>
    <n v="27.975999999999992"/>
  </r>
  <r>
    <s v="2024-02-09"/>
    <n v="175"/>
    <x v="2158"/>
    <n v="173.673"/>
    <n v="175.01"/>
    <n v="6296729"/>
    <x v="4"/>
    <s v="JP Morgan"/>
    <x v="3"/>
    <n v="0.12"/>
    <x v="13"/>
    <x v="1"/>
    <s v="February"/>
    <s v="Profit"/>
    <n v="1.4269999999999925"/>
    <n v="28.095999999999993"/>
  </r>
  <r>
    <s v="2024-02-12"/>
    <n v="174.78"/>
    <x v="2159"/>
    <n v="173.7"/>
    <n v="175.79"/>
    <n v="8539316"/>
    <x v="4"/>
    <s v="JP Morgan"/>
    <x v="3"/>
    <n v="0.44600000000000001"/>
    <x v="13"/>
    <x v="1"/>
    <s v="February"/>
    <s v="Profit"/>
    <n v="3.1080000000000041"/>
    <n v="28.541999999999994"/>
  </r>
  <r>
    <s v="2024-02-13"/>
    <n v="175.32"/>
    <x v="2160"/>
    <n v="172.61500000000001"/>
    <n v="174.26"/>
    <n v="8397631"/>
    <x v="4"/>
    <s v="JP Morgan"/>
    <x v="3"/>
    <n v="-0.87"/>
    <x v="13"/>
    <x v="1"/>
    <s v="February"/>
    <s v="Loss"/>
    <n v="3.6149999999999807"/>
    <n v="27.671999999999993"/>
  </r>
  <r>
    <s v="2024-02-14"/>
    <n v="175.07"/>
    <x v="2161"/>
    <n v="174.42"/>
    <n v="176.03"/>
    <n v="7056664"/>
    <x v="4"/>
    <s v="JP Morgan"/>
    <x v="3"/>
    <n v="1.016"/>
    <x v="13"/>
    <x v="1"/>
    <s v="February"/>
    <s v="Profit"/>
    <n v="1.6800000000000068"/>
    <n v="28.687999999999995"/>
  </r>
  <r>
    <s v="2024-02-15"/>
    <n v="176.15"/>
    <x v="2162"/>
    <n v="176.15"/>
    <n v="179.87"/>
    <n v="8723390"/>
    <x v="4"/>
    <s v="JP Morgan"/>
    <x v="3"/>
    <n v="2.181"/>
    <x v="13"/>
    <x v="1"/>
    <s v="February"/>
    <s v="Profit"/>
    <n v="4.0600000000000023"/>
    <n v="30.868999999999996"/>
  </r>
  <r>
    <s v="2024-02-16"/>
    <n v="179.61"/>
    <x v="2163"/>
    <n v="178.16"/>
    <n v="179.03"/>
    <n v="8152647"/>
    <x v="4"/>
    <s v="JP Morgan"/>
    <x v="3"/>
    <n v="-0.46700000000000003"/>
    <x v="13"/>
    <x v="1"/>
    <s v="February"/>
    <s v="Loss"/>
    <n v="1.8199999999999932"/>
    <n v="30.401999999999997"/>
  </r>
  <r>
    <s v="2024-02-20"/>
    <n v="179.19"/>
    <x v="2164"/>
    <n v="178.405"/>
    <n v="179.73"/>
    <n v="9667959"/>
    <x v="4"/>
    <s v="JP Morgan"/>
    <x v="3"/>
    <n v="0.39100000000000001"/>
    <x v="13"/>
    <x v="1"/>
    <s v="February"/>
    <s v="Profit"/>
    <n v="2.0550000000000068"/>
    <n v="30.792999999999999"/>
  </r>
  <r>
    <s v="2024-02-21"/>
    <n v="179.95"/>
    <x v="798"/>
    <n v="178.52"/>
    <n v="180.9"/>
    <n v="7027857"/>
    <x v="4"/>
    <s v="JP Morgan"/>
    <x v="3"/>
    <n v="0.65100000000000002"/>
    <x v="13"/>
    <x v="1"/>
    <s v="February"/>
    <s v="Profit"/>
    <n v="2.4699999999999989"/>
    <n v="31.443999999999999"/>
  </r>
  <r>
    <s v="2024-02-22"/>
    <n v="181.82"/>
    <x v="2165"/>
    <n v="181.24"/>
    <n v="183.07"/>
    <n v="9296459"/>
    <x v="4"/>
    <s v="JP Morgan"/>
    <x v="3"/>
    <n v="1.2"/>
    <x v="13"/>
    <x v="1"/>
    <s v="February"/>
    <s v="Profit"/>
    <n v="2.1799999999999784"/>
    <n v="32.643999999999998"/>
  </r>
  <r>
    <s v="2024-02-23"/>
    <n v="183.81"/>
    <x v="2166"/>
    <n v="183.19"/>
    <n v="183.99"/>
    <n v="7105833"/>
    <x v="4"/>
    <s v="JP Morgan"/>
    <x v="3"/>
    <n v="0.503"/>
    <x v="13"/>
    <x v="1"/>
    <s v="February"/>
    <s v="Profit"/>
    <n v="2.0099999999999909"/>
    <n v="33.146999999999998"/>
  </r>
  <r>
    <s v="2024-02-26"/>
    <n v="183.75"/>
    <x v="2167"/>
    <n v="182.48"/>
    <n v="183.36"/>
    <n v="7145391"/>
    <x v="4"/>
    <s v="JP Morgan"/>
    <x v="3"/>
    <n v="-0.34200000000000003"/>
    <x v="13"/>
    <x v="1"/>
    <s v="February"/>
    <s v="Loss"/>
    <n v="1.9800000000000182"/>
    <n v="32.805"/>
  </r>
  <r>
    <s v="2024-02-27"/>
    <n v="183.31"/>
    <x v="2168"/>
    <n v="182.24"/>
    <n v="183.45"/>
    <n v="5717065"/>
    <x v="4"/>
    <s v="JP Morgan"/>
    <x v="3"/>
    <n v="4.9000000000000002E-2"/>
    <x v="13"/>
    <x v="1"/>
    <s v="February"/>
    <s v="Profit"/>
    <n v="1.2999999999999829"/>
    <n v="32.853999999999999"/>
  </r>
  <r>
    <s v="2024-02-28"/>
    <n v="183.43"/>
    <x v="2166"/>
    <n v="182.96"/>
    <n v="184.38"/>
    <n v="6131608"/>
    <x v="4"/>
    <s v="JP Morgan"/>
    <x v="3"/>
    <n v="0.50700000000000001"/>
    <x v="13"/>
    <x v="1"/>
    <s v="February"/>
    <s v="Profit"/>
    <n v="2.2399999999999807"/>
    <n v="33.360999999999997"/>
  </r>
  <r>
    <s v="2024-02-29"/>
    <n v="185.66"/>
    <x v="2169"/>
    <n v="183.85"/>
    <n v="186.06"/>
    <n v="9643012"/>
    <x v="4"/>
    <s v="JP Morgan"/>
    <x v="3"/>
    <n v="0.91100000000000003"/>
    <x v="13"/>
    <x v="1"/>
    <s v="February"/>
    <s v="Profit"/>
    <n v="2.5800000000000125"/>
    <n v="34.271999999999998"/>
  </r>
  <r>
    <s v="2024-03-01"/>
    <n v="185.7"/>
    <x v="2170"/>
    <n v="185.1"/>
    <n v="185.29"/>
    <n v="6311996"/>
    <x v="4"/>
    <s v="JP Morgan"/>
    <x v="3"/>
    <n v="-0.41399999999999998"/>
    <x v="14"/>
    <x v="1"/>
    <s v="March"/>
    <s v="Loss"/>
    <n v="1.3400000000000034"/>
    <n v="33.857999999999997"/>
  </r>
  <r>
    <s v="2024-03-04"/>
    <n v="184.71"/>
    <x v="2171"/>
    <n v="184.27"/>
    <n v="186.68"/>
    <n v="7063605"/>
    <x v="4"/>
    <s v="JP Morgan"/>
    <x v="3"/>
    <n v="0.75"/>
    <x v="14"/>
    <x v="1"/>
    <s v="March"/>
    <s v="Profit"/>
    <n v="3.3199999999999932"/>
    <n v="34.607999999999997"/>
  </r>
  <r>
    <s v="2024-03-05"/>
    <n v="186.36"/>
    <x v="2172"/>
    <n v="186.36"/>
    <n v="188.55"/>
    <n v="6617832"/>
    <x v="4"/>
    <s v="JP Morgan"/>
    <x v="3"/>
    <n v="1.002"/>
    <x v="14"/>
    <x v="1"/>
    <s v="March"/>
    <s v="Profit"/>
    <n v="2.9399999999999977"/>
    <n v="35.61"/>
  </r>
  <r>
    <s v="2024-03-06"/>
    <n v="189.25"/>
    <x v="2173"/>
    <n v="187.63"/>
    <n v="189.53"/>
    <n v="7572891"/>
    <x v="4"/>
    <s v="JP Morgan"/>
    <x v="3"/>
    <n v="0.52"/>
    <x v="14"/>
    <x v="1"/>
    <s v="March"/>
    <s v="Profit"/>
    <n v="2.4399999999999977"/>
    <n v="36.130000000000003"/>
  </r>
  <r>
    <s v="2024-03-07"/>
    <n v="189.91"/>
    <x v="2174"/>
    <n v="186.63"/>
    <n v="187.87"/>
    <n v="7618277"/>
    <x v="4"/>
    <s v="JP Morgan"/>
    <x v="3"/>
    <n v="-0.876"/>
    <x v="14"/>
    <x v="1"/>
    <s v="March"/>
    <s v="Loss"/>
    <n v="3.8700000000000045"/>
    <n v="35.254000000000005"/>
  </r>
  <r>
    <s v="2024-03-08"/>
    <n v="188.44"/>
    <x v="2175"/>
    <n v="187.92"/>
    <n v="188.22"/>
    <n v="6172199"/>
    <x v="4"/>
    <s v="JP Morgan"/>
    <x v="3"/>
    <n v="0.186"/>
    <x v="14"/>
    <x v="1"/>
    <s v="March"/>
    <s v="Profit"/>
    <n v="2.535000000000025"/>
    <n v="35.440000000000005"/>
  </r>
  <r>
    <s v="2024-03-11"/>
    <n v="187.28"/>
    <x v="2176"/>
    <n v="186.22"/>
    <n v="188.29"/>
    <n v="5762569"/>
    <x v="4"/>
    <s v="JP Morgan"/>
    <x v="3"/>
    <n v="3.6999999999999998E-2"/>
    <x v="14"/>
    <x v="1"/>
    <s v="March"/>
    <s v="Profit"/>
    <n v="2.2199999999999989"/>
    <n v="35.477000000000004"/>
  </r>
  <r>
    <s v="2024-03-12"/>
    <n v="188.95"/>
    <x v="2177"/>
    <n v="187.91"/>
    <n v="189.84"/>
    <n v="5708384"/>
    <x v="4"/>
    <s v="JP Morgan"/>
    <x v="3"/>
    <n v="0.82299999999999995"/>
    <x v="14"/>
    <x v="1"/>
    <s v="March"/>
    <s v="Profit"/>
    <n v="2.25"/>
    <n v="36.300000000000004"/>
  </r>
  <r>
    <s v="2024-03-13"/>
    <n v="190.36"/>
    <x v="2178"/>
    <n v="189.84"/>
    <n v="191.38"/>
    <n v="7795535"/>
    <x v="4"/>
    <s v="JP Morgan"/>
    <x v="3"/>
    <n v="0.81100000000000005"/>
    <x v="14"/>
    <x v="1"/>
    <s v="March"/>
    <s v="Profit"/>
    <n v="1.8899999999999864"/>
    <n v="37.111000000000004"/>
  </r>
  <r>
    <s v="2024-03-14"/>
    <n v="191.03"/>
    <x v="2179"/>
    <n v="187.10300000000001"/>
    <n v="187.97"/>
    <n v="10310948"/>
    <x v="4"/>
    <s v="JP Morgan"/>
    <x v="3"/>
    <n v="-1.782"/>
    <x v="14"/>
    <x v="1"/>
    <s v="March"/>
    <s v="Loss"/>
    <n v="4.5269999999999868"/>
    <n v="35.329000000000008"/>
  </r>
  <r>
    <s v="2024-03-15"/>
    <n v="186.48"/>
    <x v="2180"/>
    <n v="186.48"/>
    <n v="190.3"/>
    <n v="17214229"/>
    <x v="4"/>
    <s v="JP Morgan"/>
    <x v="3"/>
    <n v="1.24"/>
    <x v="14"/>
    <x v="1"/>
    <s v="March"/>
    <s v="Profit"/>
    <n v="4.460000000000008"/>
    <n v="36.56900000000001"/>
  </r>
  <r>
    <s v="2024-03-18"/>
    <n v="190.63"/>
    <x v="2181"/>
    <n v="189.89"/>
    <n v="192.66"/>
    <n v="9013843"/>
    <x v="4"/>
    <s v="JP Morgan"/>
    <x v="3"/>
    <n v="1.24"/>
    <x v="14"/>
    <x v="1"/>
    <s v="March"/>
    <s v="Profit"/>
    <n v="2.8100000000000023"/>
    <n v="37.809000000000012"/>
  </r>
  <r>
    <s v="2024-03-19"/>
    <n v="192.71"/>
    <x v="2182"/>
    <n v="192.38"/>
    <n v="193.79"/>
    <n v="8478717"/>
    <x v="4"/>
    <s v="JP Morgan"/>
    <x v="3"/>
    <n v="0.58699999999999997"/>
    <x v="14"/>
    <x v="1"/>
    <s v="March"/>
    <s v="Profit"/>
    <n v="1.5500000000000114"/>
    <n v="38.396000000000015"/>
  </r>
  <r>
    <s v="2024-03-20"/>
    <n v="194.19"/>
    <x v="2183"/>
    <n v="193.61"/>
    <n v="196.33"/>
    <n v="9367043"/>
    <x v="4"/>
    <s v="JP Morgan"/>
    <x v="3"/>
    <n v="1.3109999999999999"/>
    <x v="14"/>
    <x v="1"/>
    <s v="March"/>
    <s v="Profit"/>
    <n v="2.9499999999999886"/>
    <n v="39.707000000000015"/>
  </r>
  <r>
    <s v="2024-03-21"/>
    <n v="196.52"/>
    <x v="2184"/>
    <n v="196.33"/>
    <n v="199.06"/>
    <n v="11203796"/>
    <x v="4"/>
    <s v="JP Morgan"/>
    <x v="3"/>
    <n v="1.391"/>
    <x v="14"/>
    <x v="1"/>
    <s v="March"/>
    <s v="Profit"/>
    <n v="3.0999999999999943"/>
    <n v="41.098000000000013"/>
  </r>
  <r>
    <s v="2024-03-22"/>
    <n v="199.01"/>
    <x v="2185"/>
    <n v="196.54"/>
    <n v="196.62"/>
    <n v="8108840"/>
    <x v="4"/>
    <s v="JP Morgan"/>
    <x v="3"/>
    <n v="-1.226"/>
    <x v="14"/>
    <x v="1"/>
    <s v="March"/>
    <s v="Loss"/>
    <n v="3.9399999999999977"/>
    <n v="39.872000000000014"/>
  </r>
  <r>
    <s v="2024-03-25"/>
    <n v="196.6"/>
    <x v="2186"/>
    <n v="194.36"/>
    <n v="194.82"/>
    <n v="8620015"/>
    <x v="4"/>
    <s v="JP Morgan"/>
    <x v="3"/>
    <n v="-0.91500000000000004"/>
    <x v="14"/>
    <x v="1"/>
    <s v="March"/>
    <s v="Loss"/>
    <n v="2.5799999999999841"/>
    <n v="38.957000000000015"/>
  </r>
  <r>
    <s v="2024-03-26"/>
    <n v="194.59"/>
    <x v="2187"/>
    <n v="194.05500000000001"/>
    <n v="195.73"/>
    <n v="5961484"/>
    <x v="4"/>
    <s v="JP Morgan"/>
    <x v="3"/>
    <n v="0.46700000000000003"/>
    <x v="14"/>
    <x v="1"/>
    <s v="March"/>
    <s v="Profit"/>
    <n v="2.6049999999999898"/>
    <n v="39.424000000000014"/>
  </r>
  <r>
    <s v="2024-03-27"/>
    <n v="196.5"/>
    <x v="2188"/>
    <n v="196.38"/>
    <n v="199.52"/>
    <n v="8725757"/>
    <x v="4"/>
    <s v="JP Morgan"/>
    <x v="3"/>
    <n v="1.9359999999999999"/>
    <x v="14"/>
    <x v="1"/>
    <s v="March"/>
    <s v="Profit"/>
    <n v="3.2199999999999989"/>
    <n v="41.360000000000014"/>
  </r>
  <r>
    <s v="2024-03-28"/>
    <n v="199.49"/>
    <x v="2189"/>
    <n v="198.54"/>
    <n v="200.3"/>
    <n v="8628313"/>
    <x v="4"/>
    <s v="JP Morgan"/>
    <x v="3"/>
    <n v="0.39100000000000001"/>
    <x v="14"/>
    <x v="1"/>
    <s v="March"/>
    <s v="Profit"/>
    <n v="2.1800000000000068"/>
    <n v="41.751000000000012"/>
  </r>
  <r>
    <s v="2024-04-01"/>
    <n v="199.99"/>
    <x v="2190"/>
    <n v="198.565"/>
    <n v="198.94"/>
    <n v="7309009"/>
    <x v="4"/>
    <s v="JP Morgan"/>
    <x v="3"/>
    <n v="-0.67900000000000005"/>
    <x v="15"/>
    <x v="1"/>
    <s v="April"/>
    <s v="Loss"/>
    <n v="2.375"/>
    <n v="41.07200000000001"/>
  </r>
  <r>
    <s v="2024-04-02"/>
    <n v="198.39"/>
    <x v="2191"/>
    <n v="198.08"/>
    <n v="198.86"/>
    <n v="7014683"/>
    <x v="4"/>
    <s v="JP Morgan"/>
    <x v="3"/>
    <n v="-0.04"/>
    <x v="15"/>
    <x v="1"/>
    <s v="April"/>
    <s v="Loss"/>
    <n v="1.6999999999999886"/>
    <n v="41.032000000000011"/>
  </r>
  <r>
    <s v="2024-04-03"/>
    <n v="199.04"/>
    <x v="2192"/>
    <n v="197.7"/>
    <n v="198.3"/>
    <n v="9353426"/>
    <x v="4"/>
    <s v="JP Morgan"/>
    <x v="3"/>
    <n v="-0.28199999999999997"/>
    <x v="15"/>
    <x v="1"/>
    <s v="April"/>
    <s v="Loss"/>
    <n v="1.8600000000000136"/>
    <n v="40.750000000000014"/>
  </r>
  <r>
    <s v="2024-04-04"/>
    <n v="199.15"/>
    <x v="2193"/>
    <n v="195.55"/>
    <n v="195.65"/>
    <n v="9243793"/>
    <x v="4"/>
    <s v="JP Morgan"/>
    <x v="3"/>
    <n v="-1.3360000000000001"/>
    <x v="15"/>
    <x v="1"/>
    <s v="April"/>
    <s v="Loss"/>
    <n v="4.1299999999999955"/>
    <n v="39.414000000000016"/>
  </r>
  <r>
    <s v="2024-04-05"/>
    <n v="196.16"/>
    <x v="2194"/>
    <n v="195.11"/>
    <n v="197.45"/>
    <n v="6532278"/>
    <x v="4"/>
    <s v="JP Morgan"/>
    <x v="3"/>
    <n v="0.92"/>
    <x v="15"/>
    <x v="1"/>
    <s v="April"/>
    <s v="Profit"/>
    <n v="3.0120000000000005"/>
    <n v="40.334000000000017"/>
  </r>
  <r>
    <s v="2024-04-08"/>
    <n v="197.62"/>
    <x v="2195"/>
    <n v="197.62"/>
    <n v="198.48"/>
    <n v="8000963"/>
    <x v="4"/>
    <s v="JP Morgan"/>
    <x v="3"/>
    <n v="0.52200000000000002"/>
    <x v="15"/>
    <x v="1"/>
    <s v="April"/>
    <s v="Profit"/>
    <n v="1.3599999999999852"/>
    <n v="40.856000000000016"/>
  </r>
  <r>
    <s v="2024-04-09"/>
    <n v="198.07"/>
    <x v="2196"/>
    <n v="194.91"/>
    <n v="197.15"/>
    <n v="7358631"/>
    <x v="4"/>
    <s v="JP Morgan"/>
    <x v="3"/>
    <n v="-0.67"/>
    <x v="15"/>
    <x v="1"/>
    <s v="April"/>
    <s v="Loss"/>
    <n v="3.9699999999999989"/>
    <n v="40.186000000000014"/>
  </r>
  <r>
    <s v="2024-04-10"/>
    <n v="195.55"/>
    <x v="2197"/>
    <n v="194.18"/>
    <n v="195.47"/>
    <n v="7681377"/>
    <x v="4"/>
    <s v="JP Morgan"/>
    <x v="3"/>
    <n v="-0.85199999999999998"/>
    <x v="15"/>
    <x v="1"/>
    <s v="April"/>
    <s v="Loss"/>
    <n v="2.8899999999999864"/>
    <n v="39.334000000000017"/>
  </r>
  <r>
    <s v="2024-04-11"/>
    <n v="196"/>
    <x v="2198"/>
    <n v="193.24"/>
    <n v="195.43"/>
    <n v="10137699"/>
    <x v="4"/>
    <s v="JP Morgan"/>
    <x v="3"/>
    <n v="-0.02"/>
    <x v="15"/>
    <x v="1"/>
    <s v="April"/>
    <s v="Loss"/>
    <n v="3.3299999999999841"/>
    <n v="39.314000000000014"/>
  </r>
  <r>
    <s v="2024-04-12"/>
    <n v="188.32"/>
    <x v="2199"/>
    <n v="182.54"/>
    <n v="182.79"/>
    <n v="31532308"/>
    <x v="4"/>
    <s v="JP Morgan"/>
    <x v="3"/>
    <n v="-6.468"/>
    <x v="15"/>
    <x v="1"/>
    <s v="April"/>
    <s v="Loss"/>
    <n v="6.3900000000000148"/>
    <n v="32.846000000000018"/>
  </r>
  <r>
    <s v="2024-04-15"/>
    <n v="184.5"/>
    <x v="2200"/>
    <n v="182.19499999999999"/>
    <n v="182.89"/>
    <n v="14766592"/>
    <x v="4"/>
    <s v="JP Morgan"/>
    <x v="3"/>
    <n v="5.5E-2"/>
    <x v="15"/>
    <x v="1"/>
    <s v="April"/>
    <s v="Profit"/>
    <n v="5.2650000000000148"/>
    <n v="32.901000000000018"/>
  </r>
  <r>
    <s v="2024-04-16"/>
    <n v="182.9"/>
    <x v="2201"/>
    <n v="179.65"/>
    <n v="180.8"/>
    <n v="16451801"/>
    <x v="4"/>
    <s v="JP Morgan"/>
    <x v="3"/>
    <n v="-1.143"/>
    <x v="15"/>
    <x v="1"/>
    <s v="April"/>
    <s v="Loss"/>
    <n v="3.5099999999999909"/>
    <n v="31.758000000000017"/>
  </r>
  <r>
    <s v="2024-04-17"/>
    <n v="181.37"/>
    <x v="2202"/>
    <n v="179.2"/>
    <n v="180.08"/>
    <n v="9017093"/>
    <x v="4"/>
    <s v="JP Morgan"/>
    <x v="3"/>
    <n v="-0.39800000000000002"/>
    <x v="15"/>
    <x v="1"/>
    <s v="April"/>
    <s v="Loss"/>
    <n v="3.2199999999999989"/>
    <n v="31.360000000000017"/>
  </r>
  <r>
    <s v="2024-04-18"/>
    <n v="181.1"/>
    <x v="2203"/>
    <n v="179.97"/>
    <n v="181.25"/>
    <n v="9557720"/>
    <x v="4"/>
    <s v="JP Morgan"/>
    <x v="3"/>
    <n v="0.65"/>
    <x v="15"/>
    <x v="1"/>
    <s v="April"/>
    <s v="Profit"/>
    <n v="3.3900000000000148"/>
    <n v="32.010000000000019"/>
  </r>
  <r>
    <s v="2024-04-19"/>
    <n v="182.4"/>
    <x v="2204"/>
    <n v="181.41"/>
    <n v="185.8"/>
    <n v="13379451"/>
    <x v="4"/>
    <s v="JP Morgan"/>
    <x v="3"/>
    <n v="2.5099999999999998"/>
    <x v="15"/>
    <x v="1"/>
    <s v="April"/>
    <s v="Profit"/>
    <n v="4.4699999999999989"/>
    <n v="34.520000000000017"/>
  </r>
  <r>
    <s v="2024-04-22"/>
    <n v="185.99"/>
    <x v="2205"/>
    <n v="185.98"/>
    <n v="189.41"/>
    <n v="11529668"/>
    <x v="4"/>
    <s v="JP Morgan"/>
    <x v="3"/>
    <n v="1.9430000000000001"/>
    <x v="15"/>
    <x v="1"/>
    <s v="April"/>
    <s v="Profit"/>
    <n v="4.1450000000000102"/>
    <n v="36.463000000000015"/>
  </r>
  <r>
    <s v="2024-04-23"/>
    <n v="191.13"/>
    <x v="2206"/>
    <n v="190.52"/>
    <n v="192.14"/>
    <n v="9144372"/>
    <x v="4"/>
    <s v="JP Morgan"/>
    <x v="3"/>
    <n v="1.4410000000000001"/>
    <x v="15"/>
    <x v="1"/>
    <s v="April"/>
    <s v="Profit"/>
    <n v="1.7049999999999841"/>
    <n v="37.904000000000018"/>
  </r>
  <r>
    <s v="2024-04-24"/>
    <n v="190.53"/>
    <x v="2207"/>
    <n v="190.17"/>
    <n v="193.08"/>
    <n v="6964905"/>
    <x v="4"/>
    <s v="JP Morgan"/>
    <x v="3"/>
    <n v="0.48899999999999999"/>
    <x v="15"/>
    <x v="1"/>
    <s v="April"/>
    <s v="Profit"/>
    <n v="3.0600000000000023"/>
    <n v="38.393000000000015"/>
  </r>
  <r>
    <s v="2024-04-25"/>
    <n v="192.25"/>
    <x v="2208"/>
    <n v="191.18"/>
    <n v="193.37"/>
    <n v="9802265"/>
    <x v="4"/>
    <s v="JP Morgan"/>
    <x v="3"/>
    <n v="0.15"/>
    <x v="15"/>
    <x v="1"/>
    <s v="April"/>
    <s v="Profit"/>
    <n v="2.7549999999999955"/>
    <n v="38.543000000000013"/>
  </r>
  <r>
    <s v="2024-04-26"/>
    <n v="193.57"/>
    <x v="2209"/>
    <n v="193.06"/>
    <n v="193.49"/>
    <n v="6413655"/>
    <x v="4"/>
    <s v="JP Morgan"/>
    <x v="3"/>
    <n v="6.2E-2"/>
    <x v="15"/>
    <x v="1"/>
    <s v="April"/>
    <s v="Profit"/>
    <n v="1.8100000000000023"/>
    <n v="38.605000000000011"/>
  </r>
  <r>
    <s v="2024-04-29"/>
    <n v="193.48"/>
    <x v="2210"/>
    <n v="192.43"/>
    <n v="193.28"/>
    <n v="5411129"/>
    <x v="4"/>
    <s v="JP Morgan"/>
    <x v="3"/>
    <n v="-0.109"/>
    <x v="15"/>
    <x v="1"/>
    <s v="April"/>
    <s v="Loss"/>
    <n v="1.8299999999999841"/>
    <n v="38.496000000000009"/>
  </r>
  <r>
    <s v="2024-04-30"/>
    <n v="192.81"/>
    <x v="2211"/>
    <n v="191.64"/>
    <n v="191.74"/>
    <n v="8153681"/>
    <x v="4"/>
    <s v="JP Morgan"/>
    <x v="3"/>
    <n v="-0.79700000000000004"/>
    <x v="15"/>
    <x v="1"/>
    <s v="April"/>
    <s v="Loss"/>
    <n v="3.3500000000000227"/>
    <n v="37.699000000000012"/>
  </r>
  <r>
    <s v="2024-05-01"/>
    <n v="192.27"/>
    <x v="2212"/>
    <n v="190.79"/>
    <n v="191.86"/>
    <n v="7446703"/>
    <x v="4"/>
    <s v="JP Morgan"/>
    <x v="3"/>
    <n v="6.3E-2"/>
    <x v="16"/>
    <x v="1"/>
    <s v="May"/>
    <s v="Profit"/>
    <n v="3.6700000000000159"/>
    <n v="37.762000000000015"/>
  </r>
  <r>
    <s v="2024-05-02"/>
    <n v="193.07"/>
    <x v="2213"/>
    <n v="189.52"/>
    <n v="191.66"/>
    <n v="6501657"/>
    <x v="4"/>
    <s v="JP Morgan"/>
    <x v="3"/>
    <n v="-0.104"/>
    <x v="16"/>
    <x v="1"/>
    <s v="May"/>
    <s v="Loss"/>
    <n v="3.9799999999999898"/>
    <n v="37.658000000000015"/>
  </r>
  <r>
    <s v="2024-05-03"/>
    <n v="192"/>
    <x v="2214"/>
    <n v="188.46"/>
    <n v="190.51"/>
    <n v="8922775"/>
    <x v="4"/>
    <s v="JP Morgan"/>
    <x v="3"/>
    <n v="-0.6"/>
    <x v="16"/>
    <x v="1"/>
    <s v="May"/>
    <s v="Loss"/>
    <n v="4.0689999999999884"/>
    <n v="37.058000000000014"/>
  </r>
  <r>
    <s v="2024-05-06"/>
    <n v="191.73"/>
    <x v="2215"/>
    <n v="189.815"/>
    <n v="192"/>
    <n v="7911134"/>
    <x v="4"/>
    <s v="JP Morgan"/>
    <x v="3"/>
    <n v="0.78200000000000003"/>
    <x v="16"/>
    <x v="1"/>
    <s v="May"/>
    <s v="Profit"/>
    <n v="2.3849999999999909"/>
    <n v="37.840000000000018"/>
  </r>
  <r>
    <s v="2024-05-07"/>
    <n v="191.7"/>
    <x v="2216"/>
    <n v="191.65"/>
    <n v="191.75"/>
    <n v="7688771"/>
    <x v="4"/>
    <s v="JP Morgan"/>
    <x v="3"/>
    <n v="-0.13"/>
    <x v="16"/>
    <x v="1"/>
    <s v="May"/>
    <s v="Loss"/>
    <n v="1.2800000000000011"/>
    <n v="37.710000000000015"/>
  </r>
  <r>
    <s v="2024-05-08"/>
    <n v="191"/>
    <x v="2217"/>
    <n v="191"/>
    <n v="195.65"/>
    <n v="9227561"/>
    <x v="4"/>
    <s v="JP Morgan"/>
    <x v="3"/>
    <n v="2.0339999999999998"/>
    <x v="16"/>
    <x v="1"/>
    <s v="May"/>
    <s v="Profit"/>
    <n v="5.6500000000000057"/>
    <n v="39.744000000000014"/>
  </r>
  <r>
    <s v="2024-05-09"/>
    <n v="195.17"/>
    <x v="2218"/>
    <n v="195.1"/>
    <n v="197.5"/>
    <n v="7977291"/>
    <x v="4"/>
    <s v="JP Morgan"/>
    <x v="3"/>
    <n v="0.94599999999999995"/>
    <x v="16"/>
    <x v="1"/>
    <s v="May"/>
    <s v="Profit"/>
    <n v="2.4900000000000091"/>
    <n v="40.690000000000012"/>
  </r>
  <r>
    <s v="2024-05-10"/>
    <n v="198.54"/>
    <x v="2219"/>
    <n v="198.27"/>
    <n v="198.77"/>
    <n v="7529790"/>
    <x v="4"/>
    <s v="JP Morgan"/>
    <x v="3"/>
    <n v="0.64300000000000002"/>
    <x v="16"/>
    <x v="1"/>
    <s v="May"/>
    <s v="Profit"/>
    <n v="1.0699999999999932"/>
    <n v="41.333000000000013"/>
  </r>
  <r>
    <s v="2024-05-13"/>
    <n v="198.8"/>
    <x v="2220"/>
    <n v="198.04"/>
    <n v="198.73"/>
    <n v="7049241"/>
    <x v="4"/>
    <s v="JP Morgan"/>
    <x v="3"/>
    <n v="-0.02"/>
    <x v="16"/>
    <x v="1"/>
    <s v="May"/>
    <s v="Loss"/>
    <n v="1.8100000000000023"/>
    <n v="41.313000000000009"/>
  </r>
  <r>
    <s v="2024-05-14"/>
    <n v="199"/>
    <x v="2221"/>
    <n v="198.16"/>
    <n v="201.51"/>
    <n v="8596175"/>
    <x v="4"/>
    <s v="JP Morgan"/>
    <x v="3"/>
    <n v="1.399"/>
    <x v="16"/>
    <x v="1"/>
    <s v="May"/>
    <s v="Profit"/>
    <n v="3.4200000000000159"/>
    <n v="42.71200000000001"/>
  </r>
  <r>
    <s v="2024-05-15"/>
    <n v="202.01"/>
    <x v="2222"/>
    <n v="199.77"/>
    <n v="202.11"/>
    <n v="8369975"/>
    <x v="4"/>
    <s v="JP Morgan"/>
    <x v="3"/>
    <n v="0.29799999999999999"/>
    <x v="16"/>
    <x v="1"/>
    <s v="May"/>
    <s v="Profit"/>
    <n v="2.9199999999999875"/>
    <n v="43.010000000000012"/>
  </r>
  <r>
    <s v="2024-05-16"/>
    <n v="202.22"/>
    <x v="2223"/>
    <n v="201.99"/>
    <n v="202.47"/>
    <n v="8497927"/>
    <x v="4"/>
    <s v="JP Morgan"/>
    <x v="3"/>
    <n v="0.17799999999999999"/>
    <x v="16"/>
    <x v="1"/>
    <s v="May"/>
    <s v="Profit"/>
    <n v="2.4899999999999807"/>
    <n v="43.188000000000009"/>
  </r>
  <r>
    <s v="2024-05-17"/>
    <n v="203.81"/>
    <x v="2224"/>
    <n v="202.815"/>
    <n v="204.79"/>
    <n v="9260490"/>
    <x v="4"/>
    <s v="JP Morgan"/>
    <x v="3"/>
    <n v="1.1459999999999999"/>
    <x v="16"/>
    <x v="1"/>
    <s v="May"/>
    <s v="Profit"/>
    <n v="2.2350000000000136"/>
    <n v="44.33400000000001"/>
  </r>
  <r>
    <s v="2024-05-20"/>
    <n v="204.39"/>
    <x v="2225"/>
    <n v="195.4"/>
    <n v="195.58"/>
    <n v="17373253"/>
    <x v="4"/>
    <s v="JP Morgan"/>
    <x v="3"/>
    <n v="-4.4969999999999999"/>
    <x v="16"/>
    <x v="1"/>
    <s v="May"/>
    <s v="Loss"/>
    <n v="10.47999999999999"/>
    <n v="39.83700000000001"/>
  </r>
  <r>
    <s v="2024-05-21"/>
    <n v="197"/>
    <x v="2226"/>
    <n v="196.6"/>
    <n v="199.52"/>
    <n v="14420799"/>
    <x v="4"/>
    <s v="JP Morgan"/>
    <x v="3"/>
    <n v="2.0150000000000001"/>
    <x v="16"/>
    <x v="1"/>
    <s v="May"/>
    <s v="Profit"/>
    <n v="3.3000000000000114"/>
    <n v="41.852000000000011"/>
  </r>
  <r>
    <s v="2024-05-22"/>
    <n v="199"/>
    <x v="2227"/>
    <n v="197.69"/>
    <n v="198.31"/>
    <n v="9425338"/>
    <x v="4"/>
    <s v="JP Morgan"/>
    <x v="3"/>
    <n v="-0.60599999999999998"/>
    <x v="16"/>
    <x v="1"/>
    <s v="May"/>
    <s v="Loss"/>
    <n v="3.2450000000000045"/>
    <n v="41.246000000000009"/>
  </r>
  <r>
    <s v="2024-05-23"/>
    <n v="197.81"/>
    <x v="2228"/>
    <n v="196.07"/>
    <n v="196.92"/>
    <n v="8069445"/>
    <x v="4"/>
    <s v="JP Morgan"/>
    <x v="3"/>
    <n v="-0.70099999999999996"/>
    <x v="16"/>
    <x v="1"/>
    <s v="May"/>
    <s v="Loss"/>
    <n v="2.2300000000000182"/>
    <n v="40.545000000000009"/>
  </r>
  <r>
    <s v="2024-05-24"/>
    <n v="197.75"/>
    <x v="2229"/>
    <n v="197.56"/>
    <n v="200.71"/>
    <n v="7356233"/>
    <x v="4"/>
    <s v="JP Morgan"/>
    <x v="3"/>
    <n v="1.925"/>
    <x v="16"/>
    <x v="1"/>
    <s v="May"/>
    <s v="Profit"/>
    <n v="3.1999999999999886"/>
    <n v="42.470000000000006"/>
  </r>
  <r>
    <s v="2024-05-28"/>
    <n v="199.86"/>
    <x v="2230"/>
    <n v="198.66"/>
    <n v="199.5"/>
    <n v="6910206"/>
    <x v="4"/>
    <s v="JP Morgan"/>
    <x v="3"/>
    <n v="-0.60299999999999998"/>
    <x v="16"/>
    <x v="1"/>
    <s v="May"/>
    <s v="Loss"/>
    <n v="1.75"/>
    <n v="41.867000000000004"/>
  </r>
  <r>
    <s v="2024-05-29"/>
    <n v="198"/>
    <x v="2231"/>
    <n v="196.89"/>
    <n v="198.11"/>
    <n v="6120045"/>
    <x v="4"/>
    <s v="JP Morgan"/>
    <x v="3"/>
    <n v="-0.69699999999999995"/>
    <x v="16"/>
    <x v="1"/>
    <s v="May"/>
    <s v="Loss"/>
    <n v="2.1000000000000227"/>
    <n v="41.17"/>
  </r>
  <r>
    <s v="2024-05-30"/>
    <n v="198.56"/>
    <x v="2220"/>
    <n v="198.4"/>
    <n v="199.33"/>
    <n v="6829719"/>
    <x v="4"/>
    <s v="JP Morgan"/>
    <x v="3"/>
    <n v="0.61599999999999999"/>
    <x v="16"/>
    <x v="1"/>
    <s v="May"/>
    <s v="Profit"/>
    <n v="1.4499999999999886"/>
    <n v="41.786000000000001"/>
  </r>
  <r>
    <s v="2024-05-31"/>
    <n v="199.3"/>
    <x v="2232"/>
    <n v="198.35"/>
    <n v="202.63"/>
    <n v="14417885"/>
    <x v="4"/>
    <s v="JP Morgan"/>
    <x v="3"/>
    <n v="1.6559999999999999"/>
    <x v="16"/>
    <x v="1"/>
    <s v="May"/>
    <s v="Profit"/>
    <n v="4.9500000000000171"/>
    <n v="43.442"/>
  </r>
  <r>
    <s v="2024-06-03"/>
    <n v="202.31"/>
    <x v="2233"/>
    <n v="199.19"/>
    <n v="201.82"/>
    <n v="6444309"/>
    <x v="4"/>
    <s v="JP Morgan"/>
    <x v="3"/>
    <n v="-0.4"/>
    <x v="17"/>
    <x v="1"/>
    <s v="June"/>
    <s v="Loss"/>
    <n v="3.2299999999999898"/>
    <n v="43.042000000000002"/>
  </r>
  <r>
    <s v="2024-06-04"/>
    <n v="200.16"/>
    <x v="2234"/>
    <n v="198.28"/>
    <n v="199.16"/>
    <n v="6848338"/>
    <x v="4"/>
    <s v="JP Morgan"/>
    <x v="3"/>
    <n v="-1.3180000000000001"/>
    <x v="17"/>
    <x v="1"/>
    <s v="June"/>
    <s v="Loss"/>
    <n v="3.6999999999999886"/>
    <n v="41.724000000000004"/>
  </r>
  <r>
    <s v="2024-06-05"/>
    <n v="199.76"/>
    <x v="949"/>
    <n v="196.92"/>
    <n v="197.26"/>
    <n v="8351597"/>
    <x v="4"/>
    <s v="JP Morgan"/>
    <x v="3"/>
    <n v="-0.95399999999999996"/>
    <x v="17"/>
    <x v="1"/>
    <s v="June"/>
    <s v="Loss"/>
    <n v="2.9000000000000057"/>
    <n v="40.770000000000003"/>
  </r>
  <r>
    <s v="2024-06-06"/>
    <n v="197.26"/>
    <x v="2235"/>
    <n v="195.33"/>
    <n v="196.91"/>
    <n v="7640289"/>
    <x v="4"/>
    <s v="JP Morgan"/>
    <x v="3"/>
    <n v="-0.17699999999999999"/>
    <x v="17"/>
    <x v="1"/>
    <s v="June"/>
    <s v="Loss"/>
    <n v="2.6899999999999977"/>
    <n v="40.593000000000004"/>
  </r>
  <r>
    <s v="2024-06-07"/>
    <n v="197.43"/>
    <x v="2236"/>
    <n v="197.01"/>
    <n v="199.95"/>
    <n v="6964498"/>
    <x v="4"/>
    <s v="JP Morgan"/>
    <x v="3"/>
    <n v="1.544"/>
    <x v="17"/>
    <x v="1"/>
    <s v="June"/>
    <s v="Profit"/>
    <n v="3.9099999999999966"/>
    <n v="42.137"/>
  </r>
  <r>
    <s v="2024-06-10"/>
    <n v="199.24"/>
    <x v="2237"/>
    <n v="198.44"/>
    <n v="199.61"/>
    <n v="6071201"/>
    <x v="4"/>
    <s v="JP Morgan"/>
    <x v="3"/>
    <n v="-0.17"/>
    <x v="17"/>
    <x v="1"/>
    <s v="June"/>
    <s v="Loss"/>
    <n v="2.4000000000000057"/>
    <n v="41.966999999999999"/>
  </r>
  <r>
    <s v="2024-06-11"/>
    <n v="197.91"/>
    <x v="2238"/>
    <n v="193.6"/>
    <n v="194.36"/>
    <n v="9235302"/>
    <x v="4"/>
    <s v="JP Morgan"/>
    <x v="3"/>
    <n v="-2.63"/>
    <x v="17"/>
    <x v="1"/>
    <s v="June"/>
    <s v="Loss"/>
    <n v="4.3400000000000034"/>
    <n v="39.336999999999996"/>
  </r>
  <r>
    <s v="2024-06-12"/>
    <n v="196"/>
    <x v="2239"/>
    <n v="191.31"/>
    <n v="191.53"/>
    <n v="12751329"/>
    <x v="4"/>
    <s v="JP Morgan"/>
    <x v="3"/>
    <n v="-1.456"/>
    <x v="17"/>
    <x v="1"/>
    <s v="June"/>
    <s v="Loss"/>
    <n v="5.4099999999999966"/>
    <n v="37.880999999999993"/>
  </r>
  <r>
    <s v="2024-06-13"/>
    <n v="192.32"/>
    <x v="2240"/>
    <n v="190.88"/>
    <n v="193.66"/>
    <n v="8587786"/>
    <x v="4"/>
    <s v="JP Morgan"/>
    <x v="3"/>
    <n v="1.1120000000000001"/>
    <x v="17"/>
    <x v="1"/>
    <s v="June"/>
    <s v="Profit"/>
    <n v="3.7000000000000171"/>
    <n v="38.992999999999995"/>
  </r>
  <r>
    <s v="2024-06-14"/>
    <n v="191.45"/>
    <x v="2241"/>
    <n v="191.42"/>
    <n v="193.78"/>
    <n v="6874029"/>
    <x v="4"/>
    <s v="JP Morgan"/>
    <x v="3"/>
    <n v="6.2E-2"/>
    <x v="17"/>
    <x v="1"/>
    <s v="June"/>
    <s v="Profit"/>
    <n v="3.4400000000000261"/>
    <n v="39.054999999999993"/>
  </r>
  <r>
    <s v="2024-06-17"/>
    <n v="193.48"/>
    <x v="2242"/>
    <n v="192.64"/>
    <n v="194.98"/>
    <n v="8725445"/>
    <x v="4"/>
    <s v="JP Morgan"/>
    <x v="3"/>
    <n v="0.61899999999999999"/>
    <x v="17"/>
    <x v="1"/>
    <s v="June"/>
    <s v="Profit"/>
    <n v="2.9400000000000261"/>
    <n v="39.673999999999992"/>
  </r>
  <r>
    <s v="2024-06-18"/>
    <n v="194.6"/>
    <x v="2243"/>
    <n v="194.13"/>
    <n v="197"/>
    <n v="9022971"/>
    <x v="4"/>
    <s v="JP Morgan"/>
    <x v="3"/>
    <n v="1.036"/>
    <x v="17"/>
    <x v="1"/>
    <s v="June"/>
    <s v="Profit"/>
    <n v="3.8300000000000125"/>
    <n v="40.709999999999994"/>
  </r>
  <r>
    <s v="2024-06-20"/>
    <n v="196.39"/>
    <x v="2244"/>
    <n v="196.11"/>
    <n v="198.67"/>
    <n v="8731062"/>
    <x v="4"/>
    <s v="JP Morgan"/>
    <x v="3"/>
    <n v="0.84799999999999998"/>
    <x v="17"/>
    <x v="1"/>
    <s v="June"/>
    <s v="Profit"/>
    <n v="3.339999999999975"/>
    <n v="41.557999999999993"/>
  </r>
  <r>
    <s v="2024-06-21"/>
    <n v="196.71"/>
    <x v="2245"/>
    <n v="194.22"/>
    <n v="196.3"/>
    <n v="20972495"/>
    <x v="4"/>
    <s v="JP Morgan"/>
    <x v="3"/>
    <n v="-1.1930000000000001"/>
    <x v="17"/>
    <x v="1"/>
    <s v="June"/>
    <s v="Loss"/>
    <n v="2.9499999999999886"/>
    <n v="40.364999999999995"/>
  </r>
  <r>
    <s v="2024-06-24"/>
    <n v="197.81"/>
    <x v="2246"/>
    <n v="197.1"/>
    <n v="198.88"/>
    <n v="9785929"/>
    <x v="4"/>
    <s v="JP Morgan"/>
    <x v="3"/>
    <n v="1.3140000000000001"/>
    <x v="17"/>
    <x v="1"/>
    <s v="June"/>
    <s v="Profit"/>
    <n v="2.1299999999999955"/>
    <n v="41.678999999999995"/>
  </r>
  <r>
    <s v="2024-06-25"/>
    <n v="198.09"/>
    <x v="2247"/>
    <n v="197.74"/>
    <n v="198.07"/>
    <n v="6915909"/>
    <x v="4"/>
    <s v="JP Morgan"/>
    <x v="3"/>
    <n v="-0.40699999999999997"/>
    <x v="17"/>
    <x v="1"/>
    <s v="June"/>
    <s v="Loss"/>
    <n v="2.3299999999999841"/>
    <n v="41.271999999999998"/>
  </r>
  <r>
    <s v="2024-06-26"/>
    <n v="197.45"/>
    <x v="2238"/>
    <n v="196.27500000000001"/>
    <n v="197.43"/>
    <n v="7758582"/>
    <x v="4"/>
    <s v="JP Morgan"/>
    <x v="3"/>
    <n v="-0.32300000000000001"/>
    <x v="17"/>
    <x v="1"/>
    <s v="June"/>
    <s v="Loss"/>
    <n v="1.664999999999992"/>
    <n v="40.948999999999998"/>
  </r>
  <r>
    <s v="2024-06-27"/>
    <n v="197.44"/>
    <x v="2248"/>
    <n v="196.9"/>
    <n v="199.17"/>
    <n v="7913453"/>
    <x v="4"/>
    <s v="JP Morgan"/>
    <x v="3"/>
    <n v="0.88100000000000001"/>
    <x v="17"/>
    <x v="1"/>
    <s v="June"/>
    <s v="Profit"/>
    <n v="2.960000000000008"/>
    <n v="41.83"/>
  </r>
  <r>
    <s v="2024-06-28"/>
    <n v="200.01"/>
    <x v="2249"/>
    <n v="199.30199999999999"/>
    <n v="202.26"/>
    <n v="15307616"/>
    <x v="4"/>
    <s v="JP Morgan"/>
    <x v="3"/>
    <n v="1.5509999999999999"/>
    <x v="17"/>
    <x v="1"/>
    <s v="June"/>
    <s v="Profit"/>
    <n v="3.2980000000000018"/>
    <n v="43.381"/>
  </r>
  <r>
    <s v="2024-07-01"/>
    <n v="202.84"/>
    <x v="2250"/>
    <n v="202.66"/>
    <n v="205.45"/>
    <n v="10205836"/>
    <x v="4"/>
    <s v="JP Morgan"/>
    <x v="3"/>
    <n v="1.577"/>
    <x v="18"/>
    <x v="1"/>
    <s v="July"/>
    <s v="Profit"/>
    <n v="4.4300000000000068"/>
    <n v="44.957999999999998"/>
  </r>
  <r>
    <s v="2024-07-02"/>
    <n v="205.29"/>
    <x v="2251"/>
    <n v="204.77"/>
    <n v="208.83"/>
    <n v="7802936"/>
    <x v="4"/>
    <s v="JP Morgan"/>
    <x v="3"/>
    <n v="1.645"/>
    <x v="18"/>
    <x v="1"/>
    <s v="July"/>
    <s v="Profit"/>
    <n v="4.0900000000000034"/>
    <n v="46.603000000000002"/>
  </r>
  <r>
    <s v="2024-07-03"/>
    <n v="209.55"/>
    <x v="2252"/>
    <n v="207.65"/>
    <n v="208.69"/>
    <n v="5560925"/>
    <x v="4"/>
    <s v="JP Morgan"/>
    <x v="3"/>
    <n v="-6.7000000000000004E-2"/>
    <x v="18"/>
    <x v="1"/>
    <s v="July"/>
    <s v="Loss"/>
    <n v="2.7299999999999898"/>
    <n v="46.536000000000001"/>
  </r>
  <r>
    <s v="2024-07-05"/>
    <n v="206.99"/>
    <x v="2253"/>
    <n v="204.52"/>
    <n v="204.79"/>
    <n v="8093096"/>
    <x v="4"/>
    <s v="JP Morgan"/>
    <x v="3"/>
    <n v="-1.869"/>
    <x v="18"/>
    <x v="1"/>
    <s v="July"/>
    <s v="Loss"/>
    <n v="2.8499999999999943"/>
    <n v="44.667000000000002"/>
  </r>
  <r>
    <s v="2024-07-08"/>
    <n v="205.04"/>
    <x v="2254"/>
    <n v="203.97"/>
    <n v="205.17"/>
    <n v="8706967"/>
    <x v="4"/>
    <s v="JP Morgan"/>
    <x v="3"/>
    <n v="0.186"/>
    <x v="18"/>
    <x v="1"/>
    <s v="July"/>
    <s v="Profit"/>
    <n v="2.9300000000000068"/>
    <n v="44.853000000000002"/>
  </r>
  <r>
    <s v="2024-07-09"/>
    <n v="205.63"/>
    <x v="2255"/>
    <n v="205.45"/>
    <n v="207.63"/>
    <n v="9060258"/>
    <x v="4"/>
    <s v="JP Morgan"/>
    <x v="3"/>
    <n v="1.1990000000000001"/>
    <x v="18"/>
    <x v="1"/>
    <s v="July"/>
    <s v="Profit"/>
    <n v="4.3100000000000023"/>
    <n v="46.052"/>
  </r>
  <r>
    <s v="2024-07-10"/>
    <n v="206.14"/>
    <x v="2256"/>
    <n v="205.58"/>
    <n v="207.8"/>
    <n v="8328493"/>
    <x v="4"/>
    <s v="JP Morgan"/>
    <x v="3"/>
    <n v="8.2000000000000003E-2"/>
    <x v="18"/>
    <x v="1"/>
    <s v="July"/>
    <s v="Profit"/>
    <n v="2.3899999999999864"/>
    <n v="46.134"/>
  </r>
  <r>
    <s v="2024-07-11"/>
    <n v="206.21"/>
    <x v="2257"/>
    <n v="205.38"/>
    <n v="207.45"/>
    <n v="10666937"/>
    <x v="4"/>
    <s v="JP Morgan"/>
    <x v="3"/>
    <n v="-0.16800000000000001"/>
    <x v="18"/>
    <x v="1"/>
    <s v="July"/>
    <s v="Loss"/>
    <n v="2.7199999999999989"/>
    <n v="45.966000000000001"/>
  </r>
  <r>
    <s v="2024-07-12"/>
    <n v="204"/>
    <x v="2258"/>
    <n v="202.1"/>
    <n v="204.94"/>
    <n v="15443441"/>
    <x v="4"/>
    <s v="JP Morgan"/>
    <x v="3"/>
    <n v="-1.21"/>
    <x v="18"/>
    <x v="1"/>
    <s v="July"/>
    <s v="Loss"/>
    <n v="5.3499999999999943"/>
    <n v="44.756"/>
  </r>
  <r>
    <s v="2024-07-15"/>
    <n v="207.19"/>
    <x v="2259"/>
    <n v="206.72"/>
    <n v="210.05"/>
    <n v="10719670"/>
    <x v="4"/>
    <s v="JP Morgan"/>
    <x v="3"/>
    <n v="2.4929999999999999"/>
    <x v="18"/>
    <x v="1"/>
    <s v="July"/>
    <s v="Profit"/>
    <n v="4.8900000000000148"/>
    <n v="47.249000000000002"/>
  </r>
  <r>
    <s v="2024-07-16"/>
    <n v="210"/>
    <x v="2260"/>
    <n v="208.08"/>
    <n v="213.62"/>
    <n v="11557018"/>
    <x v="4"/>
    <s v="JP Morgan"/>
    <x v="3"/>
    <n v="1.7"/>
    <x v="18"/>
    <x v="1"/>
    <s v="July"/>
    <s v="Profit"/>
    <n v="5.6599999999999966"/>
    <n v="48.949000000000005"/>
  </r>
  <r>
    <s v="2024-07-17"/>
    <n v="213.8"/>
    <x v="2261"/>
    <n v="213.27"/>
    <n v="216.87"/>
    <n v="11572470"/>
    <x v="4"/>
    <s v="JP Morgan"/>
    <x v="3"/>
    <n v="1.5209999999999999"/>
    <x v="18"/>
    <x v="1"/>
    <s v="July"/>
    <s v="Profit"/>
    <n v="4.289999999999992"/>
    <n v="50.470000000000006"/>
  </r>
  <r>
    <s v="2024-07-18"/>
    <n v="215.63"/>
    <x v="2262"/>
    <n v="209.23500000000001"/>
    <n v="209.98"/>
    <n v="12415125"/>
    <x v="4"/>
    <s v="JP Morgan"/>
    <x v="3"/>
    <n v="-3.177"/>
    <x v="18"/>
    <x v="1"/>
    <s v="July"/>
    <s v="Loss"/>
    <n v="7.3999999999999773"/>
    <n v="47.293000000000006"/>
  </r>
  <r>
    <s v="2024-07-19"/>
    <n v="211.2"/>
    <x v="2263"/>
    <n v="208.92"/>
    <n v="209.78"/>
    <n v="8095898"/>
    <x v="4"/>
    <s v="JP Morgan"/>
    <x v="3"/>
    <n v="-9.5000000000000001E-2"/>
    <x v="18"/>
    <x v="1"/>
    <s v="July"/>
    <s v="Loss"/>
    <n v="3.4300000000000068"/>
    <n v="47.198000000000008"/>
  </r>
  <r>
    <s v="2024-07-22"/>
    <n v="210.46"/>
    <x v="2264"/>
    <n v="209.71"/>
    <n v="210.28"/>
    <n v="7663223"/>
    <x v="4"/>
    <s v="JP Morgan"/>
    <x v="3"/>
    <n v="0.23799999999999999"/>
    <x v="18"/>
    <x v="1"/>
    <s v="July"/>
    <s v="Profit"/>
    <n v="2.4599999999999795"/>
    <n v="47.436000000000007"/>
  </r>
  <r>
    <s v="2024-07-23"/>
    <n v="211.02"/>
    <x v="2265"/>
    <n v="209.35300000000001"/>
    <n v="210.33"/>
    <n v="5557262"/>
    <x v="4"/>
    <s v="JP Morgan"/>
    <x v="3"/>
    <n v="2.4E-2"/>
    <x v="18"/>
    <x v="1"/>
    <s v="July"/>
    <s v="Profit"/>
    <n v="2.1219999999999857"/>
    <n v="47.460000000000008"/>
  </r>
  <r>
    <s v="2024-07-24"/>
    <n v="209.55"/>
    <x v="2266"/>
    <n v="208.07"/>
    <n v="208.59"/>
    <n v="7118957"/>
    <x v="4"/>
    <s v="JP Morgan"/>
    <x v="3"/>
    <n v="-0.82699999999999996"/>
    <x v="18"/>
    <x v="1"/>
    <s v="July"/>
    <s v="Loss"/>
    <n v="3.960000000000008"/>
    <n v="46.63300000000001"/>
  </r>
  <r>
    <s v="2024-07-25"/>
    <n v="208.65"/>
    <x v="2267"/>
    <n v="208.05"/>
    <n v="208.67"/>
    <n v="6403774"/>
    <x v="4"/>
    <s v="JP Morgan"/>
    <x v="3"/>
    <n v="3.7999999999999999E-2"/>
    <x v="18"/>
    <x v="1"/>
    <s v="July"/>
    <s v="Profit"/>
    <n v="2.1399999999999864"/>
    <n v="46.671000000000006"/>
  </r>
  <r>
    <s v="2024-07-26"/>
    <n v="209.24"/>
    <x v="2268"/>
    <n v="208.62"/>
    <n v="212.24"/>
    <n v="8027787"/>
    <x v="4"/>
    <s v="JP Morgan"/>
    <x v="3"/>
    <n v="1.7110000000000001"/>
    <x v="18"/>
    <x v="1"/>
    <s v="July"/>
    <s v="Profit"/>
    <n v="4.539999999999992"/>
    <n v="48.382000000000005"/>
  </r>
  <r>
    <s v="2024-07-29"/>
    <n v="212.65"/>
    <x v="2269"/>
    <n v="210.54499999999999"/>
    <n v="210.85"/>
    <n v="6533636"/>
    <x v="4"/>
    <s v="JP Morgan"/>
    <x v="3"/>
    <n v="-0.65500000000000003"/>
    <x v="18"/>
    <x v="1"/>
    <s v="July"/>
    <s v="Loss"/>
    <n v="3.0650000000000261"/>
    <n v="47.727000000000004"/>
  </r>
  <r>
    <s v="2024-07-30"/>
    <n v="213.23"/>
    <x v="2270"/>
    <n v="212.96"/>
    <n v="215.19"/>
    <n v="8850705"/>
    <x v="4"/>
    <s v="JP Morgan"/>
    <x v="3"/>
    <n v="2.0579999999999998"/>
    <x v="18"/>
    <x v="1"/>
    <s v="July"/>
    <s v="Profit"/>
    <n v="2.8299999999999841"/>
    <n v="49.785000000000004"/>
  </r>
  <r>
    <s v="2024-07-31"/>
    <n v="214.78"/>
    <x v="2271"/>
    <n v="212.67"/>
    <n v="212.8"/>
    <n v="9071637"/>
    <x v="4"/>
    <s v="JP Morgan"/>
    <x v="3"/>
    <n v="-1.111"/>
    <x v="18"/>
    <x v="1"/>
    <s v="July"/>
    <s v="Loss"/>
    <n v="3.7199999999999989"/>
    <n v="48.674000000000007"/>
  </r>
  <r>
    <s v="2024-08-01"/>
    <n v="213.2"/>
    <x v="2272"/>
    <n v="206.38"/>
    <n v="207.96"/>
    <n v="10918644"/>
    <x v="4"/>
    <s v="JP Morgan"/>
    <x v="3"/>
    <n v="-2.274"/>
    <x v="19"/>
    <x v="1"/>
    <s v="August"/>
    <s v="Loss"/>
    <n v="7.4500000000000171"/>
    <n v="46.400000000000006"/>
  </r>
  <r>
    <s v="2024-08-02"/>
    <n v="203.88"/>
    <x v="958"/>
    <n v="196.89"/>
    <n v="199.14"/>
    <n v="18041676"/>
    <x v="4"/>
    <s v="JP Morgan"/>
    <x v="3"/>
    <n v="-4.2409999999999997"/>
    <x v="19"/>
    <x v="1"/>
    <s v="August"/>
    <s v="Loss"/>
    <n v="7.7800000000000011"/>
    <n v="42.159000000000006"/>
  </r>
  <r>
    <s v="2024-08-05"/>
    <n v="194.05"/>
    <x v="2273"/>
    <n v="190.9"/>
    <n v="194.9"/>
    <n v="13926997"/>
    <x v="4"/>
    <s v="JP Morgan"/>
    <x v="3"/>
    <n v="-2.129"/>
    <x v="19"/>
    <x v="1"/>
    <s v="August"/>
    <s v="Loss"/>
    <n v="5.2699999999999818"/>
    <n v="40.030000000000008"/>
  </r>
  <r>
    <s v="2024-08-06"/>
    <n v="195.4"/>
    <x v="2249"/>
    <n v="194"/>
    <n v="200.34"/>
    <n v="10605780"/>
    <x v="4"/>
    <s v="JP Morgan"/>
    <x v="3"/>
    <n v="2.7909999999999999"/>
    <x v="19"/>
    <x v="1"/>
    <s v="August"/>
    <s v="Profit"/>
    <n v="8.5999999999999943"/>
    <n v="42.821000000000005"/>
  </r>
  <r>
    <s v="2024-08-07"/>
    <n v="203.51"/>
    <x v="2274"/>
    <n v="200.2"/>
    <n v="200.4"/>
    <n v="9204434"/>
    <x v="4"/>
    <s v="JP Morgan"/>
    <x v="3"/>
    <n v="0.03"/>
    <x v="19"/>
    <x v="1"/>
    <s v="August"/>
    <s v="Profit"/>
    <n v="5.5500000000000114"/>
    <n v="42.851000000000006"/>
  </r>
  <r>
    <s v="2024-08-08"/>
    <n v="202.47"/>
    <x v="2275"/>
    <n v="201.79"/>
    <n v="204.06"/>
    <n v="7761199"/>
    <x v="4"/>
    <s v="JP Morgan"/>
    <x v="3"/>
    <n v="1.8260000000000001"/>
    <x v="19"/>
    <x v="1"/>
    <s v="August"/>
    <s v="Profit"/>
    <n v="3.1200000000000045"/>
    <n v="44.677000000000007"/>
  </r>
  <r>
    <s v="2024-08-09"/>
    <n v="203.47"/>
    <x v="2276"/>
    <n v="202.9"/>
    <n v="205.8"/>
    <n v="5540240"/>
    <x v="4"/>
    <s v="JP Morgan"/>
    <x v="3"/>
    <n v="0.85299999999999998"/>
    <x v="19"/>
    <x v="1"/>
    <s v="August"/>
    <s v="Profit"/>
    <n v="3.5699999999999932"/>
    <n v="45.530000000000008"/>
  </r>
  <r>
    <s v="2024-08-12"/>
    <n v="206.41"/>
    <x v="2277"/>
    <n v="203.66"/>
    <n v="206.19"/>
    <n v="6935954"/>
    <x v="4"/>
    <s v="JP Morgan"/>
    <x v="3"/>
    <n v="0.19"/>
    <x v="19"/>
    <x v="1"/>
    <s v="August"/>
    <s v="Profit"/>
    <n v="3.4799999999999898"/>
    <n v="45.720000000000006"/>
  </r>
  <r>
    <s v="2024-08-13"/>
    <n v="207.73"/>
    <x v="2278"/>
    <n v="205.4"/>
    <n v="207.94"/>
    <n v="6387942"/>
    <x v="4"/>
    <s v="JP Morgan"/>
    <x v="3"/>
    <n v="0.84899999999999998"/>
    <x v="19"/>
    <x v="1"/>
    <s v="August"/>
    <s v="Profit"/>
    <n v="2.6899999999999977"/>
    <n v="46.569000000000003"/>
  </r>
  <r>
    <s v="2024-08-14"/>
    <n v="207.74"/>
    <x v="2279"/>
    <n v="207.12"/>
    <n v="210.24"/>
    <n v="6999809"/>
    <x v="4"/>
    <s v="JP Morgan"/>
    <x v="3"/>
    <n v="1.1060000000000001"/>
    <x v="19"/>
    <x v="1"/>
    <s v="August"/>
    <s v="Profit"/>
    <n v="3.6349999999999909"/>
    <n v="47.675000000000004"/>
  </r>
  <r>
    <s v="2024-08-15"/>
    <n v="213"/>
    <x v="2280"/>
    <n v="211.1"/>
    <n v="211.55"/>
    <n v="7001005"/>
    <x v="4"/>
    <s v="JP Morgan"/>
    <x v="3"/>
    <n v="0.623"/>
    <x v="19"/>
    <x v="1"/>
    <s v="August"/>
    <s v="Profit"/>
    <n v="2.789999999999992"/>
    <n v="48.298000000000002"/>
  </r>
  <r>
    <s v="2024-08-16"/>
    <n v="211.69"/>
    <x v="2281"/>
    <n v="211.58500000000001"/>
    <n v="213.97"/>
    <n v="7931234"/>
    <x v="4"/>
    <s v="JP Morgan"/>
    <x v="3"/>
    <n v="1.1439999999999999"/>
    <x v="19"/>
    <x v="1"/>
    <s v="August"/>
    <s v="Profit"/>
    <n v="2.5049999999999955"/>
    <n v="49.442"/>
  </r>
  <r>
    <s v="2024-08-19"/>
    <n v="214"/>
    <x v="2282"/>
    <n v="213.82"/>
    <n v="215.45"/>
    <n v="6090818"/>
    <x v="4"/>
    <s v="JP Morgan"/>
    <x v="3"/>
    <n v="0.69199999999999995"/>
    <x v="19"/>
    <x v="1"/>
    <s v="August"/>
    <s v="Profit"/>
    <n v="1.710000000000008"/>
    <n v="50.134"/>
  </r>
  <r>
    <s v="2024-08-20"/>
    <n v="215"/>
    <x v="2283"/>
    <n v="213.68"/>
    <n v="214.52"/>
    <n v="5640223"/>
    <x v="4"/>
    <s v="JP Morgan"/>
    <x v="3"/>
    <n v="-0.432"/>
    <x v="19"/>
    <x v="1"/>
    <s v="August"/>
    <s v="Loss"/>
    <n v="2.3199999999999932"/>
    <n v="49.701999999999998"/>
  </r>
  <r>
    <s v="2024-08-21"/>
    <n v="214.43"/>
    <x v="2284"/>
    <n v="212.84"/>
    <n v="214.6"/>
    <n v="5202472"/>
    <x v="4"/>
    <s v="JP Morgan"/>
    <x v="3"/>
    <n v="3.6999999999999998E-2"/>
    <x v="19"/>
    <x v="1"/>
    <s v="August"/>
    <s v="Profit"/>
    <n v="2.1599999999999966"/>
    <n v="49.738999999999997"/>
  </r>
  <r>
    <s v="2024-08-22"/>
    <n v="214.58"/>
    <x v="2285"/>
    <n v="214.33500000000001"/>
    <n v="216.63"/>
    <n v="5247098"/>
    <x v="4"/>
    <s v="JP Morgan"/>
    <x v="3"/>
    <n v="0.94599999999999995"/>
    <x v="19"/>
    <x v="1"/>
    <s v="August"/>
    <s v="Profit"/>
    <n v="2.4650000000000034"/>
    <n v="50.684999999999995"/>
  </r>
  <r>
    <s v="2024-08-23"/>
    <n v="217.6"/>
    <x v="2286"/>
    <n v="216.5"/>
    <n v="218.31"/>
    <n v="7213981"/>
    <x v="4"/>
    <s v="JP Morgan"/>
    <x v="3"/>
    <n v="0.77600000000000002"/>
    <x v="19"/>
    <x v="1"/>
    <s v="August"/>
    <s v="Profit"/>
    <n v="2.6899999999999977"/>
    <n v="51.460999999999999"/>
  </r>
  <r>
    <s v="2024-08-26"/>
    <n v="219.01"/>
    <x v="2287"/>
    <n v="218.05"/>
    <n v="219.17"/>
    <n v="5105245"/>
    <x v="4"/>
    <s v="JP Morgan"/>
    <x v="3"/>
    <n v="0.39400000000000002"/>
    <x v="19"/>
    <x v="1"/>
    <s v="August"/>
    <s v="Profit"/>
    <n v="1.6299999999999955"/>
    <n v="51.854999999999997"/>
  </r>
  <r>
    <s v="2024-08-27"/>
    <n v="219.51"/>
    <x v="2288"/>
    <n v="219.19"/>
    <n v="220.18"/>
    <n v="5185221"/>
    <x v="4"/>
    <s v="JP Morgan"/>
    <x v="3"/>
    <n v="0.46100000000000002"/>
    <x v="19"/>
    <x v="1"/>
    <s v="August"/>
    <s v="Profit"/>
    <n v="1.2299999999999898"/>
    <n v="52.315999999999995"/>
  </r>
  <r>
    <s v="2024-08-28"/>
    <n v="219.25"/>
    <x v="2289"/>
    <n v="219.19"/>
    <n v="221.29"/>
    <n v="6506402"/>
    <x v="4"/>
    <s v="JP Morgan"/>
    <x v="3"/>
    <n v="0.504"/>
    <x v="19"/>
    <x v="1"/>
    <s v="August"/>
    <s v="Profit"/>
    <n v="3.0200000000000102"/>
    <n v="52.819999999999993"/>
  </r>
  <r>
    <s v="2024-08-29"/>
    <n v="222.15"/>
    <x v="2290"/>
    <n v="218.94"/>
    <n v="222.21"/>
    <n v="6416149"/>
    <x v="4"/>
    <s v="JP Morgan"/>
    <x v="3"/>
    <n v="0.41599999999999998"/>
    <x v="19"/>
    <x v="1"/>
    <s v="August"/>
    <s v="Profit"/>
    <n v="4.039999999999992"/>
    <n v="53.23599999999999"/>
  </r>
  <r>
    <s v="2024-08-30"/>
    <n v="222.5"/>
    <x v="2291"/>
    <n v="221.93"/>
    <n v="224.8"/>
    <n v="8574128"/>
    <x v="4"/>
    <s v="JP Morgan"/>
    <x v="3"/>
    <n v="1.1659999999999999"/>
    <x v="19"/>
    <x v="1"/>
    <s v="August"/>
    <s v="Profit"/>
    <n v="3.5499999999999829"/>
    <n v="54.401999999999987"/>
  </r>
  <r>
    <s v="2024-09-03"/>
    <n v="222.3"/>
    <x v="2292"/>
    <n v="219.24"/>
    <n v="220.3"/>
    <n v="8956089"/>
    <x v="4"/>
    <s v="JP Morgan"/>
    <x v="3"/>
    <n v="-2.0019999999999998"/>
    <x v="20"/>
    <x v="1"/>
    <s v="September"/>
    <s v="Loss"/>
    <n v="4.8599999999999852"/>
    <n v="52.399999999999984"/>
  </r>
  <r>
    <s v="2024-09-04"/>
    <n v="221.04"/>
    <x v="2293"/>
    <n v="217.21"/>
    <n v="219.33"/>
    <n v="7389474"/>
    <x v="4"/>
    <s v="JP Morgan"/>
    <x v="3"/>
    <n v="-0.44"/>
    <x v="20"/>
    <x v="1"/>
    <s v="September"/>
    <s v="Loss"/>
    <n v="4.8599999999999852"/>
    <n v="51.959999999999987"/>
  </r>
  <r>
    <s v="2024-09-05"/>
    <n v="220.15"/>
    <x v="2294"/>
    <n v="216.03"/>
    <n v="217.63"/>
    <n v="8067874"/>
    <x v="4"/>
    <s v="JP Morgan"/>
    <x v="3"/>
    <n v="-0.77500000000000002"/>
    <x v="20"/>
    <x v="1"/>
    <s v="September"/>
    <s v="Loss"/>
    <n v="4.7700000000000102"/>
    <n v="51.184999999999988"/>
  </r>
  <r>
    <s v="2024-09-06"/>
    <n v="217.6"/>
    <x v="2295"/>
    <n v="211.09"/>
    <n v="212.46"/>
    <n v="7776998"/>
    <x v="4"/>
    <s v="JP Morgan"/>
    <x v="3"/>
    <n v="-2.3759999999999999"/>
    <x v="20"/>
    <x v="1"/>
    <s v="September"/>
    <s v="Loss"/>
    <n v="7.6500000000000057"/>
    <n v="48.80899999999999"/>
  </r>
  <r>
    <s v="2024-09-09"/>
    <n v="215.19"/>
    <x v="2296"/>
    <n v="214.17500000000001"/>
    <n v="216.81"/>
    <n v="8935074"/>
    <x v="4"/>
    <s v="JP Morgan"/>
    <x v="3"/>
    <n v="2.0470000000000002"/>
    <x v="20"/>
    <x v="1"/>
    <s v="September"/>
    <s v="Profit"/>
    <n v="3.9749999999999943"/>
    <n v="50.855999999999987"/>
  </r>
  <r>
    <s v="2024-09-10"/>
    <n v="218.6"/>
    <x v="2297"/>
    <n v="200.61"/>
    <n v="205.56"/>
    <n v="28406903"/>
    <x v="4"/>
    <s v="JP Morgan"/>
    <x v="3"/>
    <n v="-5.1890000000000001"/>
    <x v="20"/>
    <x v="1"/>
    <s v="September"/>
    <s v="Loss"/>
    <n v="18.029999999999973"/>
    <n v="45.666999999999987"/>
  </r>
  <r>
    <s v="2024-09-11"/>
    <n v="205.25"/>
    <x v="2298"/>
    <n v="201.83099999999999"/>
    <n v="207.23"/>
    <n v="13658743"/>
    <x v="4"/>
    <s v="JP Morgan"/>
    <x v="3"/>
    <n v="0.81200000000000006"/>
    <x v="20"/>
    <x v="1"/>
    <s v="September"/>
    <s v="Profit"/>
    <n v="5.8689999999999998"/>
    <n v="46.478999999999985"/>
  </r>
  <r>
    <s v="2024-09-12"/>
    <n v="207.65"/>
    <x v="2299"/>
    <n v="204.89"/>
    <n v="206.6"/>
    <n v="9055756"/>
    <x v="4"/>
    <s v="JP Morgan"/>
    <x v="3"/>
    <n v="-0.30399999999999999"/>
    <x v="20"/>
    <x v="1"/>
    <s v="September"/>
    <s v="Loss"/>
    <n v="3.8900000000000148"/>
    <n v="46.174999999999983"/>
  </r>
  <r>
    <s v="2024-09-13"/>
    <n v="206.86"/>
    <x v="2300"/>
    <n v="203.02"/>
    <n v="204.32"/>
    <n v="10226694"/>
    <x v="4"/>
    <s v="JP Morgan"/>
    <x v="3"/>
    <n v="-1.1040000000000001"/>
    <x v="20"/>
    <x v="1"/>
    <s v="September"/>
    <s v="Loss"/>
    <n v="4.828000000000003"/>
    <n v="45.070999999999984"/>
  </r>
  <r>
    <s v="2024-09-16"/>
    <n v="205.83"/>
    <x v="2301"/>
    <n v="205.59"/>
    <n v="207.86"/>
    <n v="8634936"/>
    <x v="4"/>
    <s v="JP Morgan"/>
    <x v="3"/>
    <n v="1.7330000000000001"/>
    <x v="20"/>
    <x v="1"/>
    <s v="September"/>
    <s v="Profit"/>
    <n v="2.6200000000000045"/>
    <n v="46.803999999999981"/>
  </r>
  <r>
    <s v="2024-09-17"/>
    <n v="207.73"/>
    <x v="2302"/>
    <n v="207.66"/>
    <n v="209.25"/>
    <n v="7573345"/>
    <x v="4"/>
    <s v="JP Morgan"/>
    <x v="3"/>
    <n v="0.66900000000000004"/>
    <x v="20"/>
    <x v="1"/>
    <s v="September"/>
    <s v="Profit"/>
    <n v="2.2700000000000102"/>
    <n v="47.472999999999978"/>
  </r>
  <r>
    <s v="2024-09-18"/>
    <n v="209.01"/>
    <x v="2303"/>
    <n v="206.7"/>
    <n v="207.53"/>
    <n v="8259876"/>
    <x v="4"/>
    <s v="JP Morgan"/>
    <x v="3"/>
    <n v="-0.82199999999999995"/>
    <x v="20"/>
    <x v="1"/>
    <s v="September"/>
    <s v="Loss"/>
    <n v="4.6360000000000241"/>
    <n v="46.650999999999975"/>
  </r>
  <r>
    <s v="2024-09-19"/>
    <n v="209.78"/>
    <x v="2304"/>
    <n v="207.34"/>
    <n v="210.48"/>
    <n v="11635168"/>
    <x v="4"/>
    <s v="JP Morgan"/>
    <x v="3"/>
    <n v="1.421"/>
    <x v="20"/>
    <x v="1"/>
    <s v="September"/>
    <s v="Profit"/>
    <n v="4.5699999999999932"/>
    <n v="48.071999999999974"/>
  </r>
  <r>
    <s v="2024-09-20"/>
    <n v="209.93"/>
    <x v="2305"/>
    <n v="209.5"/>
    <n v="211.09"/>
    <n v="20884974"/>
    <x v="4"/>
    <s v="JP Morgan"/>
    <x v="3"/>
    <n v="0.28999999999999998"/>
    <x v="20"/>
    <x v="1"/>
    <s v="September"/>
    <s v="Profit"/>
    <n v="1.914999999999992"/>
    <n v="48.361999999999973"/>
  </r>
  <r>
    <s v="2024-09-23"/>
    <n v="211"/>
    <x v="2306"/>
    <n v="209.99"/>
    <n v="211.44"/>
    <n v="7223491"/>
    <x v="4"/>
    <s v="JP Morgan"/>
    <x v="3"/>
    <n v="0.16600000000000001"/>
    <x v="20"/>
    <x v="1"/>
    <s v="September"/>
    <s v="Profit"/>
    <n v="1.8100000000000023"/>
    <n v="48.52799999999997"/>
  </r>
  <r>
    <s v="2024-09-24"/>
    <n v="211.15"/>
    <x v="2307"/>
    <n v="210.37"/>
    <n v="211.59"/>
    <n v="7323239"/>
    <x v="4"/>
    <s v="JP Morgan"/>
    <x v="3"/>
    <n v="7.0999999999999994E-2"/>
    <x v="20"/>
    <x v="1"/>
    <s v="September"/>
    <s v="Profit"/>
    <n v="2.5799999999999841"/>
    <n v="48.598999999999968"/>
  </r>
  <r>
    <s v="2024-09-25"/>
    <n v="211.68"/>
    <x v="2308"/>
    <n v="208.61"/>
    <n v="210.19"/>
    <n v="8976520"/>
    <x v="4"/>
    <s v="JP Morgan"/>
    <x v="3"/>
    <n v="-0.66200000000000003"/>
    <x v="20"/>
    <x v="1"/>
    <s v="September"/>
    <s v="Loss"/>
    <n v="3.6299999999999955"/>
    <n v="47.936999999999969"/>
  </r>
  <r>
    <s v="2024-09-26"/>
    <n v="211.13"/>
    <x v="2309"/>
    <n v="209.01"/>
    <n v="209.78"/>
    <n v="7807480"/>
    <x v="4"/>
    <s v="JP Morgan"/>
    <x v="3"/>
    <n v="-0.19500000000000001"/>
    <x v="20"/>
    <x v="1"/>
    <s v="September"/>
    <s v="Loss"/>
    <n v="2.6899999999999977"/>
    <n v="47.741999999999969"/>
  </r>
  <r>
    <s v="2024-09-27"/>
    <n v="210.65"/>
    <x v="2310"/>
    <n v="209.33"/>
    <n v="210.5"/>
    <n v="7032450"/>
    <x v="4"/>
    <s v="JP Morgan"/>
    <x v="3"/>
    <n v="0.34300000000000003"/>
    <x v="20"/>
    <x v="1"/>
    <s v="September"/>
    <s v="Profit"/>
    <n v="3.1099999999999852"/>
    <n v="48.084999999999972"/>
  </r>
  <r>
    <s v="2024-09-30"/>
    <n v="206.31"/>
    <x v="2311"/>
    <n v="205.26"/>
    <n v="210.86"/>
    <n v="8668314"/>
    <x v="4"/>
    <s v="JP Morgan"/>
    <x v="3"/>
    <n v="0.17100000000000001"/>
    <x v="20"/>
    <x v="1"/>
    <s v="September"/>
    <s v="Profit"/>
    <n v="5.7000000000000171"/>
    <n v="48.255999999999972"/>
  </r>
  <r>
    <s v="2024-10-01"/>
    <n v="208.9"/>
    <x v="2312"/>
    <n v="206.19"/>
    <n v="207.04"/>
    <n v="8540064"/>
    <x v="4"/>
    <s v="JP Morgan"/>
    <x v="3"/>
    <n v="-1.8120000000000001"/>
    <x v="21"/>
    <x v="1"/>
    <s v="October"/>
    <s v="Loss"/>
    <n v="2.9000000000000057"/>
    <n v="46.443999999999974"/>
  </r>
  <r>
    <s v="2024-10-02"/>
    <n v="207.08"/>
    <x v="2313"/>
    <n v="205.69"/>
    <n v="207.29"/>
    <n v="5810931"/>
    <x v="4"/>
    <s v="JP Morgan"/>
    <x v="3"/>
    <n v="0.121"/>
    <x v="21"/>
    <x v="1"/>
    <s v="October"/>
    <s v="Profit"/>
    <n v="3.2599999999999909"/>
    <n v="46.564999999999976"/>
  </r>
  <r>
    <s v="2024-10-03"/>
    <n v="206.17"/>
    <x v="2314"/>
    <n v="204.34"/>
    <n v="205.23"/>
    <n v="7251325"/>
    <x v="4"/>
    <s v="JP Morgan"/>
    <x v="3"/>
    <n v="-0.99399999999999999"/>
    <x v="21"/>
    <x v="1"/>
    <s v="October"/>
    <s v="Loss"/>
    <n v="2.1500000000000057"/>
    <n v="45.570999999999977"/>
  </r>
  <r>
    <s v="2024-10-04"/>
    <n v="209.3"/>
    <x v="2315"/>
    <n v="206.91"/>
    <n v="211.22"/>
    <n v="10213415"/>
    <x v="4"/>
    <s v="JP Morgan"/>
    <x v="3"/>
    <n v="2.919"/>
    <x v="21"/>
    <x v="1"/>
    <s v="October"/>
    <s v="Profit"/>
    <n v="4.7599999999999909"/>
    <n v="48.489999999999974"/>
  </r>
  <r>
    <s v="2024-10-07"/>
    <n v="211.03"/>
    <x v="2316"/>
    <n v="209.69"/>
    <n v="210.93"/>
    <n v="6718898"/>
    <x v="4"/>
    <s v="JP Morgan"/>
    <x v="3"/>
    <n v="-0.13700000000000001"/>
    <x v="21"/>
    <x v="1"/>
    <s v="October"/>
    <s v="Loss"/>
    <n v="3.6400000000000148"/>
    <n v="48.352999999999973"/>
  </r>
  <r>
    <s v="2024-10-08"/>
    <n v="210.58"/>
    <x v="2317"/>
    <n v="208.38"/>
    <n v="210.75"/>
    <n v="6021772"/>
    <x v="4"/>
    <s v="JP Morgan"/>
    <x v="3"/>
    <n v="-8.5000000000000006E-2"/>
    <x v="21"/>
    <x v="1"/>
    <s v="October"/>
    <s v="Loss"/>
    <n v="2.9500000000000171"/>
    <n v="48.267999999999972"/>
  </r>
  <r>
    <s v="2024-10-09"/>
    <n v="209.7"/>
    <x v="2318"/>
    <n v="209.38"/>
    <n v="213.42"/>
    <n v="7023998"/>
    <x v="4"/>
    <s v="JP Morgan"/>
    <x v="3"/>
    <n v="1.2669999999999999"/>
    <x v="21"/>
    <x v="1"/>
    <s v="October"/>
    <s v="Profit"/>
    <n v="4.8600000000000136"/>
    <n v="49.534999999999975"/>
  </r>
  <r>
    <s v="2024-10-10"/>
    <n v="214.81"/>
    <x v="2319"/>
    <n v="211.47"/>
    <n v="212.84"/>
    <n v="7927051"/>
    <x v="4"/>
    <s v="JP Morgan"/>
    <x v="3"/>
    <n v="-0.27200000000000002"/>
    <x v="21"/>
    <x v="1"/>
    <s v="October"/>
    <s v="Loss"/>
    <n v="3.3400000000000034"/>
    <n v="49.262999999999977"/>
  </r>
  <r>
    <s v="2024-10-11"/>
    <n v="215.67"/>
    <x v="2320"/>
    <n v="215.16"/>
    <n v="222.29"/>
    <n v="18320650"/>
    <x v="4"/>
    <s v="JP Morgan"/>
    <x v="3"/>
    <n v="4.4400000000000004"/>
    <x v="21"/>
    <x v="1"/>
    <s v="October"/>
    <s v="Profit"/>
    <n v="9.4699999999999989"/>
    <n v="53.702999999999975"/>
  </r>
  <r>
    <s v="2024-10-14"/>
    <n v="223.2"/>
    <x v="2321"/>
    <n v="218.88"/>
    <n v="221.48"/>
    <n v="9048925"/>
    <x v="4"/>
    <s v="JP Morgan"/>
    <x v="3"/>
    <n v="-0.36399999999999999"/>
    <x v="21"/>
    <x v="1"/>
    <s v="October"/>
    <s v="Loss"/>
    <n v="4.8199999999999932"/>
    <n v="53.338999999999977"/>
  </r>
  <r>
    <s v="2024-10-15"/>
    <n v="223.66"/>
    <x v="2322"/>
    <n v="221.82"/>
    <n v="222.39"/>
    <n v="9235825"/>
    <x v="4"/>
    <s v="JP Morgan"/>
    <x v="3"/>
    <n v="0.41099999999999998"/>
    <x v="21"/>
    <x v="1"/>
    <s v="October"/>
    <s v="Profit"/>
    <n v="3.6299999999999955"/>
    <n v="53.749999999999979"/>
  </r>
  <r>
    <s v="2024-10-16"/>
    <n v="222.33"/>
    <x v="2323"/>
    <n v="221.04"/>
    <n v="223.64"/>
    <n v="6382515"/>
    <x v="4"/>
    <s v="JP Morgan"/>
    <x v="3"/>
    <n v="0.56200000000000006"/>
    <x v="21"/>
    <x v="1"/>
    <s v="October"/>
    <s v="Profit"/>
    <n v="2.6400000000000148"/>
    <n v="54.311999999999976"/>
  </r>
  <r>
    <s v="2024-10-17"/>
    <n v="224.27"/>
    <x v="2324"/>
    <n v="223.31"/>
    <n v="224.42"/>
    <n v="6470186"/>
    <x v="4"/>
    <s v="JP Morgan"/>
    <x v="3"/>
    <n v="0.34899999999999998"/>
    <x v="21"/>
    <x v="1"/>
    <s v="October"/>
    <s v="Profit"/>
    <n v="2.539999999999992"/>
    <n v="54.660999999999973"/>
  </r>
  <r>
    <s v="2024-10-18"/>
    <n v="225"/>
    <x v="2325"/>
    <n v="223.1"/>
    <n v="225.37"/>
    <n v="7000543"/>
    <x v="4"/>
    <s v="JP Morgan"/>
    <x v="3"/>
    <n v="0.42299999999999999"/>
    <x v="21"/>
    <x v="1"/>
    <s v="October"/>
    <s v="Profit"/>
    <n v="2.8199999999999932"/>
    <n v="55.083999999999975"/>
  </r>
  <r>
    <s v="2024-10-21"/>
    <n v="225.22"/>
    <x v="2326"/>
    <n v="222.9"/>
    <n v="223"/>
    <n v="5869959"/>
    <x v="4"/>
    <s v="JP Morgan"/>
    <x v="3"/>
    <n v="-1.052"/>
    <x v="21"/>
    <x v="1"/>
    <s v="October"/>
    <s v="Loss"/>
    <n v="2.7999999999999829"/>
    <n v="54.031999999999975"/>
  </r>
  <r>
    <s v="2024-10-22"/>
    <n v="223.02"/>
    <x v="2327"/>
    <n v="221.1"/>
    <n v="224.12"/>
    <n v="9586793"/>
    <x v="4"/>
    <s v="JP Morgan"/>
    <x v="3"/>
    <n v="0.502"/>
    <x v="21"/>
    <x v="1"/>
    <s v="October"/>
    <s v="Profit"/>
    <n v="4.1800000000000068"/>
    <n v="54.533999999999978"/>
  </r>
  <r>
    <s v="2024-10-23"/>
    <n v="223.66"/>
    <x v="2328"/>
    <n v="222.53"/>
    <n v="223.41"/>
    <n v="6180528"/>
    <x v="4"/>
    <s v="JP Morgan"/>
    <x v="3"/>
    <n v="-0.317"/>
    <x v="21"/>
    <x v="1"/>
    <s v="October"/>
    <s v="Loss"/>
    <n v="2.2700000000000102"/>
    <n v="54.216999999999977"/>
  </r>
  <r>
    <s v="2024-10-24"/>
    <n v="221.83"/>
    <x v="2329"/>
    <n v="221.66"/>
    <n v="224.98"/>
    <n v="6002202"/>
    <x v="4"/>
    <s v="JP Morgan"/>
    <x v="3"/>
    <n v="0.70299999999999996"/>
    <x v="21"/>
    <x v="1"/>
    <s v="October"/>
    <s v="Profit"/>
    <n v="3.4000000000000057"/>
    <n v="54.91999999999998"/>
  </r>
  <r>
    <s v="2024-10-25"/>
    <n v="225"/>
    <x v="2330"/>
    <n v="220.875"/>
    <n v="222.31"/>
    <n v="6369720"/>
    <x v="4"/>
    <s v="JP Morgan"/>
    <x v="3"/>
    <n v="-1.1870000000000001"/>
    <x v="21"/>
    <x v="1"/>
    <s v="October"/>
    <s v="Loss"/>
    <n v="4.7450000000000045"/>
    <n v="53.732999999999983"/>
  </r>
  <r>
    <s v="2024-10-28"/>
    <n v="223.35"/>
    <x v="2331"/>
    <n v="222.95"/>
    <n v="225.5"/>
    <n v="6842956"/>
    <x v="4"/>
    <s v="JP Morgan"/>
    <x v="3"/>
    <n v="1.4350000000000001"/>
    <x v="21"/>
    <x v="1"/>
    <s v="October"/>
    <s v="Profit"/>
    <n v="2.6899999999999977"/>
    <n v="55.167999999999985"/>
  </r>
  <r>
    <s v="2024-10-29"/>
    <n v="225.21"/>
    <x v="2332"/>
    <n v="222.81"/>
    <n v="222.9"/>
    <n v="6580004"/>
    <x v="4"/>
    <s v="JP Morgan"/>
    <x v="3"/>
    <n v="-1.153"/>
    <x v="21"/>
    <x v="1"/>
    <s v="October"/>
    <s v="Loss"/>
    <n v="3.9399999999999977"/>
    <n v="54.014999999999986"/>
  </r>
  <r>
    <s v="2024-10-30"/>
    <n v="222.54"/>
    <x v="2333"/>
    <n v="221.58"/>
    <n v="224.41"/>
    <n v="7110941"/>
    <x v="4"/>
    <s v="JP Morgan"/>
    <x v="3"/>
    <n v="0.67700000000000005"/>
    <x v="21"/>
    <x v="1"/>
    <s v="October"/>
    <s v="Profit"/>
    <n v="4.7299999999999898"/>
    <n v="54.691999999999986"/>
  </r>
  <r>
    <s v="2024-10-31"/>
    <n v="224.7"/>
    <x v="2334"/>
    <n v="221.82"/>
    <n v="221.92"/>
    <n v="7829932"/>
    <x v="4"/>
    <s v="JP Morgan"/>
    <x v="3"/>
    <n v="-1.1100000000000001"/>
    <x v="21"/>
    <x v="1"/>
    <s v="October"/>
    <s v="Loss"/>
    <n v="3.8700000000000045"/>
    <n v="53.581999999999987"/>
  </r>
  <r>
    <s v="2024-11-01"/>
    <n v="223.56"/>
    <x v="2335"/>
    <n v="222.7"/>
    <n v="222.94"/>
    <n v="6923452"/>
    <x v="4"/>
    <s v="JP Morgan"/>
    <x v="3"/>
    <n v="0.46"/>
    <x v="22"/>
    <x v="1"/>
    <s v="November"/>
    <s v="Profit"/>
    <n v="3.4500000000000171"/>
    <n v="54.041999999999987"/>
  </r>
  <r>
    <s v="2024-11-04"/>
    <n v="222.65"/>
    <x v="2336"/>
    <n v="219.17"/>
    <n v="219.78"/>
    <n v="8229588"/>
    <x v="4"/>
    <s v="JP Morgan"/>
    <x v="3"/>
    <n v="-1.417"/>
    <x v="22"/>
    <x v="1"/>
    <s v="November"/>
    <s v="Loss"/>
    <n v="4.5900000000000034"/>
    <n v="52.624999999999986"/>
  </r>
  <r>
    <s v="2024-11-05"/>
    <n v="220.03"/>
    <x v="2337"/>
    <n v="220"/>
    <n v="221.49"/>
    <n v="5600686"/>
    <x v="4"/>
    <s v="JP Morgan"/>
    <x v="3"/>
    <n v="0.77800000000000002"/>
    <x v="22"/>
    <x v="1"/>
    <s v="November"/>
    <s v="Profit"/>
    <n v="1.960000000000008"/>
    <n v="53.402999999999984"/>
  </r>
  <r>
    <s v="2024-11-06"/>
    <n v="235"/>
    <x v="2338"/>
    <n v="234.77"/>
    <n v="247.06"/>
    <n v="23987753"/>
    <x v="4"/>
    <s v="JP Morgan"/>
    <x v="3"/>
    <n v="11.545"/>
    <x v="22"/>
    <x v="1"/>
    <s v="November"/>
    <s v="Profit"/>
    <n v="13.22999999999999"/>
    <n v="64.947999999999979"/>
  </r>
  <r>
    <s v="2024-11-07"/>
    <n v="244.5"/>
    <x v="2339"/>
    <n v="235.22"/>
    <n v="236.38"/>
    <n v="16451071"/>
    <x v="4"/>
    <s v="JP Morgan"/>
    <x v="3"/>
    <n v="-4.3230000000000004"/>
    <x v="22"/>
    <x v="1"/>
    <s v="November"/>
    <s v="Loss"/>
    <n v="9.3499999999999943"/>
    <n v="60.624999999999979"/>
  </r>
  <r>
    <s v="2024-11-08"/>
    <n v="239.34"/>
    <x v="2340"/>
    <n v="235.78"/>
    <n v="236.98"/>
    <n v="9502100"/>
    <x v="4"/>
    <s v="JP Morgan"/>
    <x v="3"/>
    <n v="0.254"/>
    <x v="22"/>
    <x v="1"/>
    <s v="November"/>
    <s v="Profit"/>
    <n v="3.5600000000000023"/>
    <n v="60.878999999999976"/>
  </r>
  <r>
    <s v="2024-11-11"/>
    <n v="240.32"/>
    <x v="2341"/>
    <n v="239"/>
    <n v="239.29"/>
    <n v="9017079"/>
    <x v="4"/>
    <s v="JP Morgan"/>
    <x v="3"/>
    <n v="0.97499999999999998"/>
    <x v="22"/>
    <x v="1"/>
    <s v="November"/>
    <s v="Profit"/>
    <n v="3.0999999999999943"/>
    <n v="61.853999999999978"/>
  </r>
  <r>
    <s v="2024-11-12"/>
    <n v="240.47"/>
    <x v="2342"/>
    <n v="238.76"/>
    <n v="239.56"/>
    <n v="6860956"/>
    <x v="4"/>
    <s v="JP Morgan"/>
    <x v="3"/>
    <n v="0.113"/>
    <x v="22"/>
    <x v="1"/>
    <s v="November"/>
    <s v="Profit"/>
    <n v="2.7000000000000171"/>
    <n v="61.966999999999977"/>
  </r>
  <r>
    <s v="2024-11-13"/>
    <n v="240.64"/>
    <x v="2343"/>
    <n v="240.31"/>
    <n v="241.16"/>
    <n v="11472557"/>
    <x v="4"/>
    <s v="JP Morgan"/>
    <x v="3"/>
    <n v="0.66800000000000004"/>
    <x v="22"/>
    <x v="1"/>
    <s v="November"/>
    <s v="Profit"/>
    <n v="3.7800000000000011"/>
    <n v="62.634999999999977"/>
  </r>
  <r>
    <s v="2024-11-14"/>
    <n v="242.41499999999999"/>
    <x v="2344"/>
    <n v="241.05"/>
    <n v="241.87"/>
    <n v="10172202"/>
    <x v="4"/>
    <s v="JP Morgan"/>
    <x v="3"/>
    <n v="0.29399999999999998"/>
    <x v="22"/>
    <x v="1"/>
    <s v="November"/>
    <s v="Profit"/>
    <n v="3.2399999999999807"/>
    <n v="62.928999999999974"/>
  </r>
  <r>
    <s v="2024-11-15"/>
    <n v="242.63"/>
    <x v="2345"/>
    <n v="241.46"/>
    <n v="245.31"/>
    <n v="11518836"/>
    <x v="4"/>
    <s v="JP Morgan"/>
    <x v="3"/>
    <n v="1.4219999999999999"/>
    <x v="22"/>
    <x v="1"/>
    <s v="November"/>
    <s v="Profit"/>
    <n v="4.9599999999999795"/>
    <n v="64.350999999999971"/>
  </r>
  <r>
    <s v="2024-11-18"/>
    <n v="247.84"/>
    <x v="2346"/>
    <n v="242.68"/>
    <n v="245.03"/>
    <n v="9052575"/>
    <x v="4"/>
    <s v="JP Morgan"/>
    <x v="3"/>
    <n v="-0.114"/>
    <x v="22"/>
    <x v="1"/>
    <s v="November"/>
    <s v="Loss"/>
    <n v="5.25"/>
    <n v="64.236999999999966"/>
  </r>
  <r>
    <s v="2024-11-19"/>
    <n v="242.053"/>
    <x v="2347"/>
    <n v="241.55"/>
    <n v="243.09"/>
    <n v="6792660"/>
    <x v="4"/>
    <s v="JP Morgan"/>
    <x v="3"/>
    <n v="-0.79200000000000004"/>
    <x v="22"/>
    <x v="1"/>
    <s v="November"/>
    <s v="Loss"/>
    <n v="3.6009999999999991"/>
    <n v="63.444999999999965"/>
  </r>
  <r>
    <s v="2024-11-20"/>
    <n v="244.04"/>
    <x v="2348"/>
    <n v="238.64"/>
    <n v="240.78"/>
    <n v="9015290"/>
    <x v="4"/>
    <s v="JP Morgan"/>
    <x v="3"/>
    <n v="-0.95"/>
    <x v="22"/>
    <x v="1"/>
    <s v="November"/>
    <s v="Loss"/>
    <n v="5.9700000000000273"/>
    <n v="62.494999999999962"/>
  </r>
  <r>
    <s v="2024-11-21"/>
    <n v="243.23"/>
    <x v="2349"/>
    <n v="242.10499999999999"/>
    <n v="244.76"/>
    <n v="8783516"/>
    <x v="4"/>
    <s v="JP Morgan"/>
    <x v="3"/>
    <n v="1.653"/>
    <x v="22"/>
    <x v="1"/>
    <s v="November"/>
    <s v="Profit"/>
    <n v="3.3850000000000193"/>
    <n v="64.147999999999968"/>
  </r>
  <r>
    <s v="2024-11-22"/>
    <n v="243.06899999999999"/>
    <x v="2350"/>
    <n v="243.035"/>
    <n v="248.55"/>
    <n v="7997307"/>
    <x v="4"/>
    <s v="JP Morgan"/>
    <x v="3"/>
    <n v="1.548"/>
    <x v="22"/>
    <x v="1"/>
    <s v="November"/>
    <s v="Profit"/>
    <n v="6.1150000000000091"/>
    <n v="65.69599999999997"/>
  </r>
  <r>
    <s v="2024-11-25"/>
    <n v="249.9"/>
    <x v="2351"/>
    <n v="249.06"/>
    <n v="250.29"/>
    <n v="10295350"/>
    <x v="4"/>
    <s v="JP Morgan"/>
    <x v="3"/>
    <n v="0.7"/>
    <x v="22"/>
    <x v="1"/>
    <s v="November"/>
    <s v="Profit"/>
    <n v="5.25"/>
    <n v="66.395999999999972"/>
  </r>
  <r>
    <s v="2024-11-26"/>
    <n v="250.5"/>
    <x v="2352"/>
    <n v="248.34"/>
    <n v="249.97"/>
    <n v="6212142"/>
    <x v="4"/>
    <s v="JP Morgan"/>
    <x v="3"/>
    <n v="-0.128"/>
    <x v="22"/>
    <x v="1"/>
    <s v="November"/>
    <s v="Loss"/>
    <n v="2.6599999999999966"/>
    <n v="66.267999999999972"/>
  </r>
  <r>
    <s v="2024-11-27"/>
    <n v="249.34"/>
    <x v="2353"/>
    <n v="248.77099999999999"/>
    <n v="249.79"/>
    <n v="5472265"/>
    <x v="4"/>
    <s v="JP Morgan"/>
    <x v="3"/>
    <n v="-7.1999999999999995E-2"/>
    <x v="22"/>
    <x v="1"/>
    <s v="November"/>
    <s v="Loss"/>
    <n v="2.4190000000000111"/>
    <n v="66.19599999999997"/>
  </r>
  <r>
    <s v="2024-11-29"/>
    <n v="249.92"/>
    <x v="2354"/>
    <n v="249.44499999999999"/>
    <n v="249.72"/>
    <n v="5494825"/>
    <x v="4"/>
    <s v="JP Morgan"/>
    <x v="3"/>
    <n v="-2.8000000000000001E-2"/>
    <x v="22"/>
    <x v="1"/>
    <s v="November"/>
    <s v="Loss"/>
    <n v="2.3250000000000171"/>
    <n v="66.167999999999964"/>
  </r>
  <r>
    <s v="2024-12-02"/>
    <n v="249.7"/>
    <x v="2355"/>
    <n v="245.03"/>
    <n v="246.25"/>
    <n v="8899741"/>
    <x v="4"/>
    <s v="JP Morgan"/>
    <x v="3"/>
    <n v="-1.39"/>
    <x v="23"/>
    <x v="1"/>
    <s v="December"/>
    <s v="Loss"/>
    <n v="5.2199999999999989"/>
    <n v="64.777999999999963"/>
  </r>
  <r>
    <s v="2024-12-03"/>
    <n v="248.23"/>
    <x v="2356"/>
    <n v="244.63"/>
    <n v="244.82"/>
    <n v="6657694"/>
    <x v="4"/>
    <s v="JP Morgan"/>
    <x v="3"/>
    <n v="-0.58099999999999996"/>
    <x v="23"/>
    <x v="1"/>
    <s v="December"/>
    <s v="Loss"/>
    <n v="4.4099999999999966"/>
    <n v="64.19699999999996"/>
  </r>
  <r>
    <s v="2024-12-04"/>
    <n v="244.7"/>
    <x v="2357"/>
    <n v="242.23"/>
    <n v="243.4"/>
    <n v="7346265"/>
    <x v="4"/>
    <s v="JP Morgan"/>
    <x v="3"/>
    <n v="-0.57999999999999996"/>
    <x v="23"/>
    <x v="1"/>
    <s v="December"/>
    <s v="Loss"/>
    <n v="3.1150000000000091"/>
    <n v="63.616999999999962"/>
  </r>
  <r>
    <s v="2024-12-05"/>
    <n v="245.09"/>
    <x v="2358"/>
    <n v="244.62"/>
    <n v="245.48"/>
    <n v="6572536"/>
    <x v="4"/>
    <s v="JP Morgan"/>
    <x v="3"/>
    <n v="0.85499999999999998"/>
    <x v="23"/>
    <x v="1"/>
    <s v="December"/>
    <s v="Profit"/>
    <n v="2.5600000000000023"/>
    <n v="64.471999999999966"/>
  </r>
  <r>
    <s v="2024-12-06"/>
    <n v="245.75"/>
    <x v="2359"/>
    <n v="244.84"/>
    <n v="247.36"/>
    <n v="5519738"/>
    <x v="4"/>
    <s v="JP Morgan"/>
    <x v="3"/>
    <n v="0.76600000000000001"/>
    <x v="23"/>
    <x v="1"/>
    <s v="December"/>
    <s v="Profit"/>
    <n v="2.9000000000000057"/>
    <n v="65.237999999999971"/>
  </r>
  <r>
    <s v="2024-12-09"/>
    <n v="247"/>
    <x v="2360"/>
    <n v="243.76"/>
    <n v="243.81"/>
    <n v="7076466"/>
    <x v="4"/>
    <s v="JP Morgan"/>
    <x v="3"/>
    <n v="-1.4350000000000001"/>
    <x v="23"/>
    <x v="1"/>
    <s v="December"/>
    <s v="Loss"/>
    <n v="4.1100000000000136"/>
    <n v="63.802999999999969"/>
  </r>
  <r>
    <s v="2024-12-10"/>
    <n v="243.92"/>
    <x v="2361"/>
    <n v="242.22"/>
    <n v="242.86"/>
    <n v="9108339"/>
    <x v="4"/>
    <s v="JP Morgan"/>
    <x v="3"/>
    <n v="-0.39"/>
    <x v="23"/>
    <x v="1"/>
    <s v="December"/>
    <s v="Loss"/>
    <n v="5.7400000000000091"/>
    <n v="63.412999999999968"/>
  </r>
  <r>
    <s v="2024-12-11"/>
    <n v="244.27"/>
    <x v="2362"/>
    <n v="242.18"/>
    <n v="243.53"/>
    <n v="7884442"/>
    <x v="4"/>
    <s v="JP Morgan"/>
    <x v="3"/>
    <n v="0.27600000000000002"/>
    <x v="23"/>
    <x v="1"/>
    <s v="December"/>
    <s v="Profit"/>
    <n v="2.0900000000000034"/>
    <n v="63.688999999999972"/>
  </r>
  <r>
    <s v="2024-12-12"/>
    <n v="242.96"/>
    <x v="2363"/>
    <n v="241.04"/>
    <n v="241.53"/>
    <n v="6113771"/>
    <x v="4"/>
    <s v="JP Morgan"/>
    <x v="3"/>
    <n v="-0.82099999999999995"/>
    <x v="23"/>
    <x v="1"/>
    <s v="December"/>
    <s v="Loss"/>
    <n v="3.0600000000000023"/>
    <n v="62.867999999999974"/>
  </r>
  <r>
    <s v="2024-12-13"/>
    <n v="242.07"/>
    <x v="2364"/>
    <n v="239.14400000000001"/>
    <n v="239.94"/>
    <n v="10392749"/>
    <x v="4"/>
    <s v="JP Morgan"/>
    <x v="3"/>
    <n v="-0.65800000000000003"/>
    <x v="23"/>
    <x v="1"/>
    <s v="December"/>
    <s v="Loss"/>
    <n v="3.570999999999998"/>
    <n v="62.209999999999972"/>
  </r>
  <r>
    <s v="2024-12-16"/>
    <n v="240.26"/>
    <x v="2365"/>
    <n v="237.52"/>
    <n v="239.58"/>
    <n v="9032044"/>
    <x v="4"/>
    <s v="JP Morgan"/>
    <x v="3"/>
    <n v="-0.15"/>
    <x v="23"/>
    <x v="1"/>
    <s v="December"/>
    <s v="Loss"/>
    <n v="3.1499999999999773"/>
    <n v="62.059999999999974"/>
  </r>
  <r>
    <s v="2024-12-17"/>
    <n v="238.65"/>
    <x v="2366"/>
    <n v="236.63"/>
    <n v="238.36"/>
    <n v="8083635"/>
    <x v="4"/>
    <s v="JP Morgan"/>
    <x v="3"/>
    <n v="-0.50900000000000001"/>
    <x v="23"/>
    <x v="1"/>
    <s v="December"/>
    <s v="Loss"/>
    <n v="2.3900000000000148"/>
    <n v="61.550999999999974"/>
  </r>
  <r>
    <s v="2024-12-18"/>
    <n v="239.07"/>
    <x v="2367"/>
    <n v="229.53"/>
    <n v="230.37"/>
    <n v="11322358"/>
    <x v="4"/>
    <s v="JP Morgan"/>
    <x v="3"/>
    <n v="-3.3519999999999999"/>
    <x v="23"/>
    <x v="1"/>
    <s v="December"/>
    <s v="Loss"/>
    <n v="9.539999999999992"/>
    <n v="58.198999999999977"/>
  </r>
  <r>
    <s v="2024-12-19"/>
    <n v="232.27"/>
    <x v="2368"/>
    <n v="232.27"/>
    <n v="232.96"/>
    <n v="11790773"/>
    <x v="4"/>
    <s v="JP Morgan"/>
    <x v="3"/>
    <n v="1.1240000000000001"/>
    <x v="23"/>
    <x v="1"/>
    <s v="December"/>
    <s v="Profit"/>
    <n v="4.0900000000000034"/>
    <n v="59.322999999999979"/>
  </r>
  <r>
    <s v="2024-12-20"/>
    <n v="232"/>
    <x v="2369"/>
    <n v="231.58799999999999"/>
    <n v="237.6"/>
    <n v="32348414"/>
    <x v="4"/>
    <s v="JP Morgan"/>
    <x v="3"/>
    <n v="1.992"/>
    <x v="23"/>
    <x v="1"/>
    <s v="December"/>
    <s v="Profit"/>
    <n v="7.6220000000000141"/>
    <n v="61.314999999999976"/>
  </r>
  <r>
    <s v="2024-12-23"/>
    <n v="235.89"/>
    <x v="2370"/>
    <n v="234.88"/>
    <n v="238.39"/>
    <n v="8611528"/>
    <x v="4"/>
    <s v="JP Morgan"/>
    <x v="3"/>
    <n v="0.33200000000000002"/>
    <x v="23"/>
    <x v="1"/>
    <s v="December"/>
    <s v="Profit"/>
    <n v="3.7400000000000091"/>
    <n v="61.646999999999977"/>
  </r>
  <r>
    <s v="2024-12-24"/>
    <n v="239.41"/>
    <x v="2371"/>
    <n v="239.07"/>
    <n v="242.31"/>
    <n v="3729092"/>
    <x v="4"/>
    <s v="JP Morgan"/>
    <x v="3"/>
    <n v="1.6439999999999999"/>
    <x v="23"/>
    <x v="1"/>
    <s v="December"/>
    <s v="Profit"/>
    <n v="3.421999999999997"/>
    <n v="63.290999999999976"/>
  </r>
  <r>
    <s v="2024-12-26"/>
    <n v="241.3"/>
    <x v="2372"/>
    <n v="240.79"/>
    <n v="243.14"/>
    <n v="4452168"/>
    <x v="4"/>
    <s v="JP Morgan"/>
    <x v="3"/>
    <n v="0.34300000000000003"/>
    <x v="23"/>
    <x v="1"/>
    <s v="December"/>
    <s v="Profit"/>
    <n v="2.4699999999999989"/>
    <n v="63.633999999999979"/>
  </r>
  <r>
    <s v="2024-12-27"/>
    <n v="242.72"/>
    <x v="2373"/>
    <n v="240.04"/>
    <n v="241.17"/>
    <n v="5730607"/>
    <x v="4"/>
    <s v="JP Morgan"/>
    <x v="3"/>
    <n v="-0.81"/>
    <x v="23"/>
    <x v="1"/>
    <s v="December"/>
    <s v="Loss"/>
    <n v="3.3499999999999943"/>
    <n v="62.823999999999977"/>
  </r>
  <r>
    <s v="2024-12-30"/>
    <n v="238.8"/>
    <x v="2374"/>
    <n v="237.11"/>
    <n v="239.32"/>
    <n v="5723765"/>
    <x v="4"/>
    <s v="JP Morgan"/>
    <x v="3"/>
    <n v="-0.76700000000000002"/>
    <x v="23"/>
    <x v="1"/>
    <s v="December"/>
    <s v="Loss"/>
    <n v="3.7299999999999898"/>
    <n v="62.056999999999974"/>
  </r>
  <r>
    <s v="2024-12-31"/>
    <n v="240"/>
    <x v="2375"/>
    <n v="239.03"/>
    <n v="239.71"/>
    <n v="4870971"/>
    <x v="4"/>
    <s v="JP Morgan"/>
    <x v="3"/>
    <n v="0.16300000000000001"/>
    <x v="23"/>
    <x v="1"/>
    <s v="December"/>
    <s v="Profit"/>
    <n v="2.4089999999999918"/>
    <n v="62.21999999999997"/>
  </r>
  <r>
    <s v="2023-01-03"/>
    <n v="239.155"/>
    <x v="2376"/>
    <n v="233.566"/>
    <n v="235.71100000000001"/>
    <n v="26162457"/>
    <x v="5"/>
    <s v="Microsoft"/>
    <x v="0"/>
    <m/>
    <x v="0"/>
    <x v="0"/>
    <s v="January"/>
    <m/>
    <n v="8.2150000000000034"/>
    <n v="0"/>
  </r>
  <r>
    <s v="2023-01-04"/>
    <n v="228.52600000000001"/>
    <x v="2377"/>
    <n v="222.31100000000001"/>
    <n v="225.40199999999999"/>
    <n v="51454177"/>
    <x v="5"/>
    <s v="Microsoft"/>
    <x v="0"/>
    <n v="-4.3739999999999997"/>
    <x v="0"/>
    <x v="0"/>
    <s v="January"/>
    <s v="Loss"/>
    <n v="6.7980000000000018"/>
    <n v="-4.3739999999999997"/>
  </r>
  <r>
    <s v="2023-01-05"/>
    <n v="223.53100000000001"/>
    <x v="2378"/>
    <n v="218.179"/>
    <n v="218.721"/>
    <n v="40235265"/>
    <x v="5"/>
    <s v="Microsoft"/>
    <x v="0"/>
    <n v="-2.964"/>
    <x v="0"/>
    <x v="0"/>
    <s v="January"/>
    <s v="Loss"/>
    <n v="5.6970000000000027"/>
    <n v="-7.3379999999999992"/>
  </r>
  <r>
    <s v="2023-01-06"/>
    <n v="219.4"/>
    <x v="2379"/>
    <n v="215.809"/>
    <n v="221.297"/>
    <n v="44329319"/>
    <x v="5"/>
    <s v="Microsoft"/>
    <x v="0"/>
    <n v="1.1779999999999999"/>
    <x v="0"/>
    <x v="0"/>
    <s v="January"/>
    <s v="Profit"/>
    <n v="6.3060000000000116"/>
    <n v="-6.1599999999999993"/>
  </r>
  <r>
    <s v="2023-01-09"/>
    <n v="222.79400000000001"/>
    <x v="2380"/>
    <n v="222.755"/>
    <n v="223.452"/>
    <n v="27818951"/>
    <x v="5"/>
    <s v="Microsoft"/>
    <x v="0"/>
    <n v="0.97399999999999998"/>
    <x v="0"/>
    <x v="0"/>
    <s v="January"/>
    <s v="Profit"/>
    <n v="4.7489999999999952"/>
    <n v="-5.1859999999999991"/>
  </r>
  <r>
    <s v="2023-01-10"/>
    <n v="224.07599999999999"/>
    <x v="2381"/>
    <n v="223.65899999999999"/>
    <n v="225.154"/>
    <n v="27477535"/>
    <x v="5"/>
    <s v="Microsoft"/>
    <x v="0"/>
    <n v="0.76200000000000001"/>
    <x v="0"/>
    <x v="0"/>
    <s v="January"/>
    <s v="Profit"/>
    <n v="3.9170000000000016"/>
    <n v="-4.4239999999999995"/>
  </r>
  <r>
    <s v="2023-01-11"/>
    <n v="227.55699999999999"/>
    <x v="2382"/>
    <n v="227.37799999999999"/>
    <n v="231.964"/>
    <n v="29139825"/>
    <x v="5"/>
    <s v="Microsoft"/>
    <x v="0"/>
    <n v="3.0249999999999999"/>
    <x v="0"/>
    <x v="0"/>
    <s v="January"/>
    <s v="Profit"/>
    <n v="4.7620000000000005"/>
    <n v="-1.3989999999999996"/>
  </r>
  <r>
    <s v="2023-01-12"/>
    <n v="231.46199999999999"/>
    <x v="2383"/>
    <n v="229.78899999999999"/>
    <n v="234.65799999999999"/>
    <n v="27717007"/>
    <x v="5"/>
    <s v="Microsoft"/>
    <x v="0"/>
    <n v="1.161"/>
    <x v="0"/>
    <x v="0"/>
    <s v="January"/>
    <s v="Profit"/>
    <n v="6.2390000000000043"/>
    <n v="-0.23799999999999955"/>
  </r>
  <r>
    <s v="2023-01-13"/>
    <n v="233.17500000000001"/>
    <x v="2384"/>
    <n v="231.12700000000001"/>
    <n v="235.36699999999999"/>
    <n v="21683366"/>
    <x v="5"/>
    <s v="Microsoft"/>
    <x v="0"/>
    <n v="0.30199999999999999"/>
    <x v="0"/>
    <x v="0"/>
    <s v="January"/>
    <s v="Profit"/>
    <n v="4.3789999999999907"/>
    <n v="6.4000000000000445E-2"/>
  </r>
  <r>
    <s v="2023-01-17"/>
    <n v="234.12700000000001"/>
    <x v="2385"/>
    <n v="233.262"/>
    <n v="236.47"/>
    <n v="30320819"/>
    <x v="5"/>
    <s v="Microsoft"/>
    <x v="0"/>
    <n v="0.46899999999999997"/>
    <x v="0"/>
    <x v="0"/>
    <s v="January"/>
    <s v="Profit"/>
    <n v="3.7580000000000098"/>
    <n v="0.53300000000000036"/>
  </r>
  <r>
    <s v="2023-01-18"/>
    <n v="237.66399999999999"/>
    <x v="2386"/>
    <n v="231.71799999999999"/>
    <n v="232.00399999999999"/>
    <n v="30521494"/>
    <x v="5"/>
    <s v="Microsoft"/>
    <x v="0"/>
    <n v="-1.889"/>
    <x v="0"/>
    <x v="0"/>
    <s v="January"/>
    <s v="Loss"/>
    <n v="6.7480000000000189"/>
    <n v="-1.3559999999999997"/>
  </r>
  <r>
    <s v="2023-01-19"/>
    <n v="230.006"/>
    <x v="2387"/>
    <n v="226.95599999999999"/>
    <n v="228.185"/>
    <n v="29092767"/>
    <x v="5"/>
    <s v="Microsoft"/>
    <x v="0"/>
    <n v="-1.6459999999999999"/>
    <x v="0"/>
    <x v="0"/>
    <s v="January"/>
    <s v="Loss"/>
    <n v="4.7620000000000005"/>
    <n v="-3.0019999999999998"/>
  </r>
  <r>
    <s v="2023-01-20"/>
    <n v="231.06299999999999"/>
    <x v="2388"/>
    <n v="230.72300000000001"/>
    <n v="236.34100000000001"/>
    <n v="35970593"/>
    <x v="5"/>
    <s v="Microsoft"/>
    <x v="0"/>
    <n v="3.5739999999999998"/>
    <x v="0"/>
    <x v="0"/>
    <s v="January"/>
    <s v="Profit"/>
    <n v="6.1310000000000002"/>
    <n v="0.57200000000000006"/>
  </r>
  <r>
    <s v="2023-01-23"/>
    <n v="237.208"/>
    <x v="2389"/>
    <n v="235.78100000000001"/>
    <n v="238.66300000000001"/>
    <n v="32458021"/>
    <x v="5"/>
    <s v="Microsoft"/>
    <x v="0"/>
    <n v="0.98199999999999998"/>
    <x v="0"/>
    <x v="0"/>
    <s v="January"/>
    <s v="Profit"/>
    <n v="5.4240000000000066"/>
    <n v="1.554"/>
  </r>
  <r>
    <s v="2023-01-24"/>
    <n v="238.583"/>
    <x v="2390"/>
    <n v="236.55699999999999"/>
    <n v="238.131"/>
    <n v="40894734"/>
    <x v="5"/>
    <s v="Microsoft"/>
    <x v="0"/>
    <n v="-0.223"/>
    <x v="0"/>
    <x v="0"/>
    <s v="January"/>
    <s v="Loss"/>
    <n v="3.4550000000000125"/>
    <n v="1.331"/>
  </r>
  <r>
    <s v="2023-01-25"/>
    <n v="230.69300000000001"/>
    <x v="2391"/>
    <n v="227.172"/>
    <n v="236.72399999999999"/>
    <n v="67618414"/>
    <x v="5"/>
    <s v="Microsoft"/>
    <x v="0"/>
    <n v="-0.59099999999999997"/>
    <x v="0"/>
    <x v="0"/>
    <s v="January"/>
    <s v="Loss"/>
    <n v="12.200999999999993"/>
    <n v="0.74"/>
  </r>
  <r>
    <s v="2023-01-26"/>
    <n v="239.71600000000001"/>
    <x v="2392"/>
    <n v="238.09100000000001"/>
    <n v="243.994"/>
    <n v="34003514"/>
    <x v="5"/>
    <s v="Microsoft"/>
    <x v="0"/>
    <n v="3.0710000000000002"/>
    <x v="0"/>
    <x v="0"/>
    <s v="January"/>
    <s v="Profit"/>
    <n v="6.2109999999999843"/>
    <n v="3.8109999999999999"/>
  </r>
  <r>
    <s v="2023-01-27"/>
    <n v="244.96899999999999"/>
    <x v="2393"/>
    <n v="242.84299999999999"/>
    <n v="244.15299999999999"/>
    <n v="26933814"/>
    <x v="5"/>
    <s v="Microsoft"/>
    <x v="0"/>
    <n v="6.5000000000000002E-2"/>
    <x v="0"/>
    <x v="0"/>
    <s v="January"/>
    <s v="Profit"/>
    <n v="2.953000000000003"/>
    <n v="3.8759999999999999"/>
  </r>
  <r>
    <s v="2023-01-30"/>
    <n v="240.56200000000001"/>
    <x v="2394"/>
    <n v="238.291"/>
    <n v="238.79300000000001"/>
    <n v="26291876"/>
    <x v="5"/>
    <s v="Microsoft"/>
    <x v="0"/>
    <n v="-2.1949999999999998"/>
    <x v="0"/>
    <x v="0"/>
    <s v="January"/>
    <s v="Loss"/>
    <n v="3.3449999999999989"/>
    <n v="1.681"/>
  </r>
  <r>
    <s v="2023-01-31"/>
    <n v="239.51900000000001"/>
    <x v="2395"/>
    <n v="239.02199999999999"/>
    <n v="243.81"/>
    <n v="26976639"/>
    <x v="5"/>
    <s v="Microsoft"/>
    <x v="0"/>
    <n v="2.101"/>
    <x v="0"/>
    <x v="0"/>
    <s v="January"/>
    <s v="Profit"/>
    <n v="4.9240000000000066"/>
    <n v="3.782"/>
  </r>
  <r>
    <s v="2023-02-01"/>
    <n v="243.994"/>
    <x v="2396"/>
    <n v="241.50800000000001"/>
    <n v="248.67099999999999"/>
    <n v="31772920"/>
    <x v="5"/>
    <s v="Microsoft"/>
    <x v="0"/>
    <n v="1.994"/>
    <x v="1"/>
    <x v="0"/>
    <s v="February"/>
    <s v="Profit"/>
    <n v="9.5509999999999877"/>
    <n v="5.7759999999999998"/>
  </r>
  <r>
    <s v="2023-02-02"/>
    <n v="254.64"/>
    <x v="2397"/>
    <n v="253.095"/>
    <n v="260.32900000000001"/>
    <n v="40595902"/>
    <x v="5"/>
    <s v="Microsoft"/>
    <x v="0"/>
    <n v="4.6879999999999997"/>
    <x v="1"/>
    <x v="0"/>
    <s v="February"/>
    <s v="Profit"/>
    <n v="7.320999999999998"/>
    <n v="10.463999999999999"/>
  </r>
  <r>
    <s v="2023-02-03"/>
    <n v="255.352"/>
    <x v="2398"/>
    <n v="252.95"/>
    <n v="254.179"/>
    <n v="29554444"/>
    <x v="5"/>
    <s v="Microsoft"/>
    <x v="0"/>
    <n v="-2.3620000000000001"/>
    <x v="1"/>
    <x v="0"/>
    <s v="February"/>
    <s v="Loss"/>
    <n v="6.9840000000000373"/>
    <n v="8.1019999999999985"/>
  </r>
  <r>
    <s v="2023-02-06"/>
    <n v="253.28399999999999"/>
    <x v="2399"/>
    <n v="250.66499999999999"/>
    <n v="252.62299999999999"/>
    <n v="22887541"/>
    <x v="5"/>
    <s v="Microsoft"/>
    <x v="0"/>
    <n v="-0.61199999999999999"/>
    <x v="1"/>
    <x v="0"/>
    <s v="February"/>
    <s v="Loss"/>
    <n v="3.4639999999999986"/>
    <n v="7.4899999999999984"/>
  </r>
  <r>
    <s v="2023-02-07"/>
    <n v="256.32299999999998"/>
    <x v="2400"/>
    <n v="255.881"/>
    <n v="263.24"/>
    <n v="51675726"/>
    <x v="5"/>
    <s v="Microsoft"/>
    <x v="0"/>
    <n v="4.2030000000000003"/>
    <x v="1"/>
    <x v="0"/>
    <s v="February"/>
    <s v="Profit"/>
    <n v="8.5530000000000257"/>
    <n v="11.692999999999998"/>
  </r>
  <r>
    <s v="2023-02-08"/>
    <n v="268.78899999999999"/>
    <x v="2401"/>
    <n v="261.91199999999998"/>
    <n v="262.42399999999998"/>
    <n v="55583505"/>
    <x v="5"/>
    <s v="Microsoft"/>
    <x v="0"/>
    <n v="-0.31"/>
    <x v="1"/>
    <x v="0"/>
    <s v="February"/>
    <s v="Loss"/>
    <n v="10.379999999999995"/>
    <n v="11.382999999999997"/>
  </r>
  <r>
    <s v="2023-02-09"/>
    <n v="269.37799999999999"/>
    <x v="2402"/>
    <n v="258.55500000000001"/>
    <n v="259.36399999999998"/>
    <n v="43070522"/>
    <x v="5"/>
    <s v="Microsoft"/>
    <x v="0"/>
    <n v="-1.1659999999999999"/>
    <x v="1"/>
    <x v="0"/>
    <s v="February"/>
    <s v="Loss"/>
    <n v="11.000999999999976"/>
    <n v="10.216999999999997"/>
  </r>
  <r>
    <s v="2023-02-10"/>
    <n v="257.30799999999999"/>
    <x v="2403"/>
    <n v="256.45499999999998"/>
    <n v="258.85399999999998"/>
    <n v="26242197"/>
    <x v="5"/>
    <s v="Microsoft"/>
    <x v="0"/>
    <n v="-0.19700000000000001"/>
    <x v="1"/>
    <x v="0"/>
    <s v="February"/>
    <s v="Loss"/>
    <n v="3.3720000000000141"/>
    <n v="10.019999999999998"/>
  </r>
  <r>
    <s v="2023-02-13"/>
    <n v="263.31799999999998"/>
    <x v="2404"/>
    <n v="262.83699999999999"/>
    <n v="266.94"/>
    <n v="45363362"/>
    <x v="5"/>
    <s v="Microsoft"/>
    <x v="0"/>
    <n v="3.1240000000000001"/>
    <x v="1"/>
    <x v="0"/>
    <s v="February"/>
    <s v="Profit"/>
    <n v="7.3310000000000173"/>
    <n v="13.143999999999998"/>
  </r>
  <r>
    <s v="2023-02-14"/>
    <n v="268.26799999999997"/>
    <x v="2405"/>
    <n v="264.93200000000002"/>
    <n v="267.77499999999998"/>
    <n v="37655919"/>
    <x v="5"/>
    <s v="Microsoft"/>
    <x v="0"/>
    <n v="0.313"/>
    <x v="1"/>
    <x v="0"/>
    <s v="February"/>
    <s v="Profit"/>
    <n v="5.5979999999999563"/>
    <n v="13.456999999999999"/>
  </r>
  <r>
    <s v="2023-02-15"/>
    <n v="264.649"/>
    <x v="2406"/>
    <n v="262.53800000000001"/>
    <n v="265.63499999999999"/>
    <n v="29363915"/>
    <x v="5"/>
    <s v="Microsoft"/>
    <x v="0"/>
    <n v="-0.79900000000000004"/>
    <x v="1"/>
    <x v="0"/>
    <s v="February"/>
    <s v="Loss"/>
    <n v="4.4879999999999995"/>
    <n v="12.657999999999999"/>
  </r>
  <r>
    <s v="2023-02-16"/>
    <n v="260.40899999999999"/>
    <x v="2407"/>
    <n v="258.31700000000001"/>
    <n v="258.56200000000001"/>
    <n v="30014266"/>
    <x v="5"/>
    <s v="Microsoft"/>
    <x v="0"/>
    <n v="-2.6629999999999998"/>
    <x v="1"/>
    <x v="0"/>
    <s v="February"/>
    <s v="Loss"/>
    <n v="4.7740000000000009"/>
    <n v="9.9949999999999992"/>
  </r>
  <r>
    <s v="2023-02-17"/>
    <n v="255.84100000000001"/>
    <x v="2408"/>
    <n v="252.49799999999999"/>
    <n v="254.53"/>
    <n v="30416204"/>
    <x v="5"/>
    <s v="Microsoft"/>
    <x v="0"/>
    <n v="-1.5589999999999999"/>
    <x v="1"/>
    <x v="0"/>
    <s v="February"/>
    <s v="Loss"/>
    <n v="4.035000000000025"/>
    <n v="8.4359999999999999"/>
  </r>
  <r>
    <s v="2023-02-21"/>
    <n v="251"/>
    <x v="2409"/>
    <n v="248.149"/>
    <n v="249.21299999999999"/>
    <n v="28791362"/>
    <x v="5"/>
    <s v="Microsoft"/>
    <x v="0"/>
    <n v="-2.089"/>
    <x v="1"/>
    <x v="0"/>
    <s v="February"/>
    <s v="Loss"/>
    <n v="3.8460000000000036"/>
    <n v="6.3469999999999995"/>
  </r>
  <r>
    <s v="2023-02-22"/>
    <n v="250.613"/>
    <x v="2410"/>
    <n v="246.91499999999999"/>
    <n v="248.06899999999999"/>
    <n v="22803043"/>
    <x v="5"/>
    <s v="Microsoft"/>
    <x v="0"/>
    <n v="-0.45900000000000002"/>
    <x v="1"/>
    <x v="0"/>
    <s v="February"/>
    <s v="Loss"/>
    <n v="3.9450000000000216"/>
    <n v="5.8879999999999999"/>
  </r>
  <r>
    <s v="2023-02-23"/>
    <n v="252.06399999999999"/>
    <x v="2411"/>
    <n v="247.054"/>
    <n v="251.28399999999999"/>
    <n v="29624411"/>
    <x v="5"/>
    <s v="Microsoft"/>
    <x v="0"/>
    <n v="1.296"/>
    <x v="1"/>
    <x v="0"/>
    <s v="February"/>
    <s v="Profit"/>
    <n v="6.2719999999999914"/>
    <n v="7.1840000000000002"/>
  </r>
  <r>
    <s v="2023-02-24"/>
    <n v="246.542"/>
    <x v="2412"/>
    <n v="244.70599999999999"/>
    <n v="245.81"/>
    <n v="25337569"/>
    <x v="5"/>
    <s v="Microsoft"/>
    <x v="0"/>
    <n v="-2.1779999999999999"/>
    <x v="1"/>
    <x v="0"/>
    <s v="February"/>
    <s v="Loss"/>
    <n v="2.8600000000000136"/>
    <n v="5.0060000000000002"/>
  </r>
  <r>
    <s v="2023-02-27"/>
    <n v="249.006"/>
    <x v="2413"/>
    <n v="245.97900000000001"/>
    <n v="246.73599999999999"/>
    <n v="21483982"/>
    <x v="5"/>
    <s v="Microsoft"/>
    <x v="0"/>
    <n v="0.377"/>
    <x v="1"/>
    <x v="0"/>
    <s v="February"/>
    <s v="Profit"/>
    <n v="3.3829999999999814"/>
    <n v="5.383"/>
  </r>
  <r>
    <s v="2023-02-28"/>
    <n v="245.66200000000001"/>
    <x v="2414"/>
    <n v="245.327"/>
    <n v="246.00899999999999"/>
    <n v="22802936"/>
    <x v="5"/>
    <s v="Microsoft"/>
    <x v="0"/>
    <n v="-0.29499999999999998"/>
    <x v="1"/>
    <x v="0"/>
    <s v="February"/>
    <s v="Loss"/>
    <n v="2.7220000000000084"/>
    <n v="5.0880000000000001"/>
  </r>
  <r>
    <s v="2023-03-01"/>
    <n v="247.328"/>
    <x v="2415"/>
    <n v="242.42699999999999"/>
    <n v="242.9"/>
    <n v="27947633"/>
    <x v="5"/>
    <s v="Microsoft"/>
    <x v="0"/>
    <n v="-1.264"/>
    <x v="2"/>
    <x v="0"/>
    <s v="March"/>
    <s v="Loss"/>
    <n v="5.070999999999998"/>
    <n v="3.8239999999999998"/>
  </r>
  <r>
    <s v="2023-03-02"/>
    <n v="243.17699999999999"/>
    <x v="2416"/>
    <n v="242.249"/>
    <n v="247.67500000000001"/>
    <n v="25178129"/>
    <x v="5"/>
    <s v="Microsoft"/>
    <x v="0"/>
    <n v="1.966"/>
    <x v="2"/>
    <x v="0"/>
    <s v="March"/>
    <s v="Profit"/>
    <n v="5.7120000000000175"/>
    <n v="5.79"/>
  </r>
  <r>
    <s v="2023-03-03"/>
    <n v="248.739"/>
    <x v="494"/>
    <n v="247.95099999999999"/>
    <n v="251.797"/>
    <n v="31186829"/>
    <x v="5"/>
    <s v="Microsoft"/>
    <x v="0"/>
    <n v="1.6639999999999999"/>
    <x v="2"/>
    <x v="0"/>
    <s v="March"/>
    <s v="Profit"/>
    <n v="4.1710000000000207"/>
    <n v="7.4539999999999997"/>
  </r>
  <r>
    <s v="2023-03-06"/>
    <n v="252.917"/>
    <x v="2417"/>
    <n v="252.47800000000001"/>
    <n v="253.35499999999999"/>
    <n v="24444291"/>
    <x v="5"/>
    <s v="Microsoft"/>
    <x v="0"/>
    <n v="0.61899999999999999"/>
    <x v="2"/>
    <x v="0"/>
    <s v="March"/>
    <s v="Profit"/>
    <n v="4.08299999999997"/>
    <n v="8.0730000000000004"/>
  </r>
  <r>
    <s v="2023-03-07"/>
    <n v="252.79300000000001"/>
    <x v="2418"/>
    <n v="249.923"/>
    <n v="250.672"/>
    <n v="21771046"/>
    <x v="5"/>
    <s v="Microsoft"/>
    <x v="0"/>
    <n v="-1.0589999999999999"/>
    <x v="2"/>
    <x v="0"/>
    <s v="March"/>
    <s v="Loss"/>
    <n v="4.2409999999999854"/>
    <n v="7.0140000000000002"/>
  </r>
  <r>
    <s v="2023-03-08"/>
    <n v="250.56299999999999"/>
    <x v="2419"/>
    <n v="247.37799999999999"/>
    <n v="250.22900000000001"/>
    <n v="17580754"/>
    <x v="5"/>
    <s v="Microsoft"/>
    <x v="0"/>
    <n v="-0.17699999999999999"/>
    <x v="2"/>
    <x v="0"/>
    <s v="March"/>
    <s v="Loss"/>
    <n v="3.6800000000000068"/>
    <n v="6.8370000000000006"/>
  </r>
  <r>
    <s v="2023-03-09"/>
    <n v="252.32"/>
    <x v="2420"/>
    <n v="248.13900000000001"/>
    <n v="248.86799999999999"/>
    <n v="27023112"/>
    <x v="5"/>
    <s v="Microsoft"/>
    <x v="0"/>
    <n v="-0.54400000000000004"/>
    <x v="2"/>
    <x v="0"/>
    <s v="March"/>
    <s v="Loss"/>
    <n v="7.8709999999999809"/>
    <n v="6.293000000000001"/>
  </r>
  <r>
    <s v="2023-03-10"/>
    <n v="247.64500000000001"/>
    <x v="2421"/>
    <n v="244.21299999999999"/>
    <n v="245.18899999999999"/>
    <n v="28726967"/>
    <x v="5"/>
    <s v="Microsoft"/>
    <x v="0"/>
    <n v="-1.478"/>
    <x v="2"/>
    <x v="0"/>
    <s v="March"/>
    <s v="Loss"/>
    <n v="5.1189999999999998"/>
    <n v="4.8150000000000013"/>
  </r>
  <r>
    <s v="2023-03-13"/>
    <n v="244.01400000000001"/>
    <x v="2422"/>
    <n v="242.36699999999999"/>
    <n v="250.447"/>
    <n v="33802197"/>
    <x v="5"/>
    <s v="Microsoft"/>
    <x v="0"/>
    <n v="2.1440000000000001"/>
    <x v="2"/>
    <x v="0"/>
    <s v="March"/>
    <s v="Profit"/>
    <n v="12.01400000000001"/>
    <n v="6.9590000000000014"/>
  </r>
  <r>
    <s v="2023-03-14"/>
    <n v="253.23699999999999"/>
    <x v="2423"/>
    <n v="252.36"/>
    <n v="257.221"/>
    <n v="34086661"/>
    <x v="5"/>
    <s v="Microsoft"/>
    <x v="0"/>
    <n v="2.7050000000000001"/>
    <x v="2"/>
    <x v="0"/>
    <s v="March"/>
    <s v="Profit"/>
    <n v="5.13900000000001"/>
    <n v="9.6640000000000015"/>
  </r>
  <r>
    <s v="2023-03-15"/>
    <n v="256.42399999999998"/>
    <x v="2424"/>
    <n v="255.66399999999999"/>
    <n v="261.80799999999999"/>
    <n v="46666530"/>
    <x v="5"/>
    <s v="Microsoft"/>
    <x v="0"/>
    <n v="1.7829999999999999"/>
    <x v="2"/>
    <x v="0"/>
    <s v="March"/>
    <s v="Profit"/>
    <n v="7.1700000000000159"/>
    <n v="11.447000000000001"/>
  </r>
  <r>
    <s v="2023-03-16"/>
    <n v="261.577"/>
    <x v="2425"/>
    <n v="259.678"/>
    <n v="272.42200000000003"/>
    <n v="55592750"/>
    <x v="5"/>
    <s v="Microsoft"/>
    <x v="0"/>
    <n v="4.0540000000000003"/>
    <x v="2"/>
    <x v="0"/>
    <s v="March"/>
    <s v="Profit"/>
    <n v="13.098000000000013"/>
    <n v="15.501000000000001"/>
  </r>
  <r>
    <s v="2023-03-17"/>
    <n v="274.45299999999997"/>
    <x v="2426"/>
    <n v="272.53899999999999"/>
    <n v="275.60500000000002"/>
    <n v="70491828"/>
    <x v="5"/>
    <s v="Microsoft"/>
    <x v="0"/>
    <n v="1.1679999999999999"/>
    <x v="2"/>
    <x v="0"/>
    <s v="March"/>
    <s v="Profit"/>
    <n v="6.9150000000000205"/>
    <n v="16.669"/>
  </r>
  <r>
    <s v="2023-03-20"/>
    <n v="273.19"/>
    <x v="2427"/>
    <n v="266.15699999999998"/>
    <n v="268.50599999999997"/>
    <n v="44069602"/>
    <x v="5"/>
    <s v="Microsoft"/>
    <x v="0"/>
    <n v="-2.5760000000000001"/>
    <x v="2"/>
    <x v="0"/>
    <s v="March"/>
    <s v="Loss"/>
    <n v="7.5260000000000105"/>
    <n v="14.093"/>
  </r>
  <r>
    <s v="2023-03-21"/>
    <n v="271.11900000000003"/>
    <x v="2428"/>
    <n v="265.83199999999999"/>
    <n v="270.03399999999999"/>
    <n v="35038089"/>
    <x v="5"/>
    <s v="Microsoft"/>
    <x v="0"/>
    <n v="0.56899999999999995"/>
    <x v="2"/>
    <x v="0"/>
    <s v="March"/>
    <s v="Profit"/>
    <n v="5.4050000000000296"/>
    <n v="14.661999999999999"/>
  </r>
  <r>
    <s v="2023-03-22"/>
    <n v="269.661"/>
    <x v="2429"/>
    <n v="268.45600000000002"/>
    <n v="268.565"/>
    <n v="35357079"/>
    <x v="5"/>
    <s v="Microsoft"/>
    <x v="0"/>
    <n v="-0.54400000000000004"/>
    <x v="2"/>
    <x v="0"/>
    <s v="March"/>
    <s v="Loss"/>
    <n v="8.7389999999999759"/>
    <n v="14.117999999999999"/>
  </r>
  <r>
    <s v="2023-03-23"/>
    <n v="274.137"/>
    <x v="2430"/>
    <n v="271.43599999999998"/>
    <n v="273.86099999999999"/>
    <n v="37118731"/>
    <x v="5"/>
    <s v="Microsoft"/>
    <x v="0"/>
    <n v="1.972"/>
    <x v="2"/>
    <x v="0"/>
    <s v="March"/>
    <s v="Profit"/>
    <n v="5.7770000000000437"/>
    <n v="16.09"/>
  </r>
  <r>
    <s v="2023-03-24"/>
    <n v="273.447"/>
    <x v="2431"/>
    <n v="271.51499999999999"/>
    <n v="276.73099999999999"/>
    <n v="28591141"/>
    <x v="5"/>
    <s v="Microsoft"/>
    <x v="0"/>
    <n v="1.048"/>
    <x v="2"/>
    <x v="0"/>
    <s v="March"/>
    <s v="Profit"/>
    <n v="5.2750000000000341"/>
    <n v="17.137999999999998"/>
  </r>
  <r>
    <s v="2023-03-27"/>
    <n v="276.66199999999998"/>
    <x v="2432"/>
    <n v="271.75"/>
    <n v="272.59800000000001"/>
    <n v="27212529"/>
    <x v="5"/>
    <s v="Microsoft"/>
    <x v="0"/>
    <n v="-1.494"/>
    <x v="2"/>
    <x v="0"/>
    <s v="March"/>
    <s v="Loss"/>
    <n v="5.8580000000000041"/>
    <n v="15.643999999999998"/>
  </r>
  <r>
    <s v="2023-03-28"/>
    <n v="272.017"/>
    <x v="2433"/>
    <n v="268.322"/>
    <n v="271.46499999999997"/>
    <n v="22182139"/>
    <x v="5"/>
    <s v="Microsoft"/>
    <x v="0"/>
    <n v="-0.41599999999999998"/>
    <x v="2"/>
    <x v="0"/>
    <s v="March"/>
    <s v="Loss"/>
    <n v="4.0409999999999968"/>
    <n v="15.227999999999998"/>
  </r>
  <r>
    <s v="2023-03-29"/>
    <n v="275.14299999999997"/>
    <x v="2434"/>
    <n v="274.60000000000002"/>
    <n v="276.67099999999999"/>
    <n v="25435029"/>
    <x v="5"/>
    <s v="Microsoft"/>
    <x v="0"/>
    <n v="1.9179999999999999"/>
    <x v="2"/>
    <x v="0"/>
    <s v="March"/>
    <s v="Profit"/>
    <n v="2.6929999999999836"/>
    <n v="17.145999999999997"/>
  </r>
  <r>
    <s v="2023-03-30"/>
    <n v="280.34199999999998"/>
    <x v="2435"/>
    <n v="277.62900000000002"/>
    <n v="280.16300000000001"/>
    <n v="25400941"/>
    <x v="5"/>
    <s v="Microsoft"/>
    <x v="0"/>
    <n v="1.262"/>
    <x v="2"/>
    <x v="0"/>
    <s v="March"/>
    <s v="Profit"/>
    <n v="2.9379999999999882"/>
    <n v="18.407999999999998"/>
  </r>
  <r>
    <s v="2023-03-31"/>
    <n v="279.84899999999999"/>
    <x v="2436"/>
    <n v="279.12799999999999"/>
    <n v="284.35500000000002"/>
    <n v="33220493"/>
    <x v="5"/>
    <s v="Microsoft"/>
    <x v="0"/>
    <n v="1.496"/>
    <x v="2"/>
    <x v="0"/>
    <s v="March"/>
    <s v="Profit"/>
    <n v="6.1840000000000259"/>
    <n v="19.903999999999996"/>
  </r>
  <r>
    <s v="2023-04-03"/>
    <n v="282.59899999999999"/>
    <x v="2437"/>
    <n v="280.06400000000002"/>
    <n v="283.29899999999998"/>
    <n v="25228514"/>
    <x v="5"/>
    <s v="Microsoft"/>
    <x v="0"/>
    <n v="-0.371"/>
    <x v="3"/>
    <x v="0"/>
    <s v="April"/>
    <s v="Loss"/>
    <n v="4.2620000000000005"/>
    <n v="19.532999999999998"/>
  </r>
  <r>
    <s v="2023-04-04"/>
    <n v="283.29899999999998"/>
    <x v="2438"/>
    <n v="281.762"/>
    <n v="283.25099999999998"/>
    <n v="26182524"/>
    <x v="5"/>
    <s v="Microsoft"/>
    <x v="0"/>
    <n v="-1.7000000000000001E-2"/>
    <x v="3"/>
    <x v="0"/>
    <s v="April"/>
    <s v="Loss"/>
    <n v="4.7139999999999986"/>
    <n v="19.515999999999998"/>
  </r>
  <r>
    <s v="2023-04-05"/>
    <n v="281.93900000000002"/>
    <x v="2439"/>
    <n v="279.04899999999998"/>
    <n v="280.45100000000002"/>
    <n v="22370844"/>
    <x v="5"/>
    <s v="Microsoft"/>
    <x v="0"/>
    <n v="-0.98899999999999999"/>
    <x v="3"/>
    <x v="0"/>
    <s v="April"/>
    <s v="Loss"/>
    <n v="4.1720000000000255"/>
    <n v="18.526999999999997"/>
  </r>
  <r>
    <s v="2023-04-06"/>
    <n v="279.33600000000001"/>
    <x v="2440"/>
    <n v="278.17099999999999"/>
    <n v="287.61"/>
    <n v="30183296"/>
    <x v="5"/>
    <s v="Microsoft"/>
    <x v="0"/>
    <n v="2.5529999999999999"/>
    <x v="3"/>
    <x v="0"/>
    <s v="April"/>
    <s v="Profit"/>
    <n v="9.9120000000000346"/>
    <n v="21.08"/>
  </r>
  <r>
    <s v="2023-04-10"/>
    <n v="285.25200000000001"/>
    <x v="2441"/>
    <n v="280.81599999999997"/>
    <n v="285.43099999999998"/>
    <n v="23423470"/>
    <x v="5"/>
    <s v="Microsoft"/>
    <x v="0"/>
    <n v="-0.75800000000000001"/>
    <x v="3"/>
    <x v="0"/>
    <s v="April"/>
    <s v="Loss"/>
    <n v="4.8210000000000264"/>
    <n v="20.321999999999999"/>
  </r>
  <r>
    <s v="2023-04-11"/>
    <n v="281.84199999999998"/>
    <x v="2442"/>
    <n v="277.786"/>
    <n v="278.96100000000001"/>
    <n v="27654959"/>
    <x v="5"/>
    <s v="Microsoft"/>
    <x v="0"/>
    <n v="-2.2669999999999999"/>
    <x v="3"/>
    <x v="0"/>
    <s v="April"/>
    <s v="Loss"/>
    <n v="4.2799999999999727"/>
    <n v="18.055"/>
  </r>
  <r>
    <s v="2023-04-12"/>
    <n v="280.89499999999998"/>
    <x v="2443"/>
    <n v="278.10199999999998"/>
    <n v="279.61099999999999"/>
    <n v="27783562"/>
    <x v="5"/>
    <s v="Microsoft"/>
    <x v="0"/>
    <n v="0.23300000000000001"/>
    <x v="3"/>
    <x v="0"/>
    <s v="April"/>
    <s v="Profit"/>
    <n v="4.9810000000000514"/>
    <n v="18.288"/>
  </r>
  <r>
    <s v="2023-04-13"/>
    <n v="279.70999999999998"/>
    <x v="2444"/>
    <n v="279.29599999999999"/>
    <n v="285.87400000000002"/>
    <n v="24558685"/>
    <x v="5"/>
    <s v="Microsoft"/>
    <x v="0"/>
    <n v="2.2400000000000002"/>
    <x v="3"/>
    <x v="0"/>
    <s v="April"/>
    <s v="Profit"/>
    <n v="6.6380000000000337"/>
    <n v="20.527999999999999"/>
  </r>
  <r>
    <s v="2023-04-14"/>
    <n v="283.07299999999998"/>
    <x v="2445"/>
    <n v="279.80900000000003"/>
    <n v="282.22500000000002"/>
    <n v="21279053"/>
    <x v="5"/>
    <s v="Microsoft"/>
    <x v="0"/>
    <n v="-1.276"/>
    <x v="3"/>
    <x v="0"/>
    <s v="April"/>
    <s v="Loss"/>
    <n v="4.7239999999999895"/>
    <n v="19.251999999999999"/>
  </r>
  <r>
    <s v="2023-04-17"/>
    <n v="285.964"/>
    <x v="2446"/>
    <n v="282.245"/>
    <n v="284.84899999999999"/>
    <n v="24166870"/>
    <x v="5"/>
    <s v="Microsoft"/>
    <x v="0"/>
    <n v="0.93"/>
    <x v="3"/>
    <x v="0"/>
    <s v="April"/>
    <s v="Profit"/>
    <n v="5.3650000000000091"/>
    <n v="20.181999999999999"/>
  </r>
  <r>
    <s v="2023-04-18"/>
    <n v="287.58"/>
    <x v="2447"/>
    <n v="283.08300000000003"/>
    <n v="284.42399999999998"/>
    <n v="20441522"/>
    <x v="5"/>
    <s v="Microsoft"/>
    <x v="0"/>
    <n v="-0.14899999999999999"/>
    <x v="3"/>
    <x v="0"/>
    <s v="April"/>
    <s v="Loss"/>
    <n v="4.6809999999999832"/>
    <n v="20.032999999999998"/>
  </r>
  <r>
    <s v="2023-04-19"/>
    <n v="282.07600000000002"/>
    <x v="2448"/>
    <n v="280.64600000000002"/>
    <n v="284.50400000000002"/>
    <n v="17388173"/>
    <x v="5"/>
    <s v="Microsoft"/>
    <x v="0"/>
    <n v="2.8000000000000001E-2"/>
    <x v="3"/>
    <x v="0"/>
    <s v="April"/>
    <s v="Profit"/>
    <n v="4.4490000000000123"/>
    <n v="20.060999999999996"/>
  </r>
  <r>
    <s v="2023-04-20"/>
    <n v="281.34899999999999"/>
    <x v="2449"/>
    <n v="281.17899999999997"/>
    <n v="282.19499999999999"/>
    <n v="23566800"/>
    <x v="5"/>
    <s v="Microsoft"/>
    <x v="0"/>
    <n v="-0.81200000000000006"/>
    <x v="3"/>
    <x v="0"/>
    <s v="April"/>
    <s v="Loss"/>
    <n v="3.8970000000000482"/>
    <n v="19.248999999999995"/>
  </r>
  <r>
    <s v="2023-04-21"/>
    <n v="281.10899999999998"/>
    <x v="2450"/>
    <n v="279.18799999999999"/>
    <n v="281.85199999999998"/>
    <n v="21977073"/>
    <x v="5"/>
    <s v="Microsoft"/>
    <x v="0"/>
    <n v="-0.122"/>
    <x v="3"/>
    <x v="0"/>
    <s v="April"/>
    <s v="Loss"/>
    <n v="3.16700000000003"/>
    <n v="19.126999999999995"/>
  </r>
  <r>
    <s v="2023-04-24"/>
    <n v="278.23099999999999"/>
    <x v="2451"/>
    <n v="274.90699999999998"/>
    <n v="277.91500000000002"/>
    <n v="26980152"/>
    <x v="5"/>
    <s v="Microsoft"/>
    <x v="0"/>
    <n v="-1.397"/>
    <x v="3"/>
    <x v="0"/>
    <s v="April"/>
    <s v="Loss"/>
    <n v="6.1419999999999959"/>
    <n v="17.729999999999997"/>
  </r>
  <r>
    <s v="2023-04-25"/>
    <n v="275.685"/>
    <x v="2452"/>
    <n v="271.601"/>
    <n v="271.65100000000001"/>
    <n v="46407171"/>
    <x v="5"/>
    <s v="Microsoft"/>
    <x v="0"/>
    <n v="-2.254"/>
    <x v="3"/>
    <x v="0"/>
    <s v="April"/>
    <s v="Loss"/>
    <n v="6.1449999999999818"/>
    <n v="15.475999999999997"/>
  </r>
  <r>
    <s v="2023-04-26"/>
    <n v="292.64100000000002"/>
    <x v="2453"/>
    <n v="288.72500000000002"/>
    <n v="291.32900000000001"/>
    <n v="65495277"/>
    <x v="5"/>
    <s v="Microsoft"/>
    <x v="0"/>
    <n v="7.2439999999999998"/>
    <x v="3"/>
    <x v="0"/>
    <s v="April"/>
    <s v="Profit"/>
    <n v="6.7469999999999573"/>
    <n v="22.72"/>
  </r>
  <r>
    <s v="2023-04-27"/>
    <n v="291.92"/>
    <x v="2454"/>
    <n v="291.21100000000001"/>
    <n v="300.65899999999999"/>
    <n v="47107150"/>
    <x v="5"/>
    <s v="Microsoft"/>
    <x v="0"/>
    <n v="3.2029999999999998"/>
    <x v="3"/>
    <x v="0"/>
    <s v="April"/>
    <s v="Profit"/>
    <n v="9.8120000000000118"/>
    <n v="25.922999999999998"/>
  </r>
  <r>
    <s v="2023-04-28"/>
    <n v="299.85000000000002"/>
    <x v="2455"/>
    <n v="299.16000000000003"/>
    <n v="303.05500000000001"/>
    <n v="36975505"/>
    <x v="5"/>
    <s v="Microsoft"/>
    <x v="0"/>
    <n v="0.79700000000000004"/>
    <x v="3"/>
    <x v="0"/>
    <s v="April"/>
    <s v="Profit"/>
    <n v="5.5429999999999495"/>
    <n v="26.72"/>
  </r>
  <r>
    <s v="2023-05-01"/>
    <n v="302.77"/>
    <x v="2456"/>
    <n v="300.97500000000002"/>
    <n v="301.38"/>
    <n v="21589498"/>
    <x v="5"/>
    <s v="Microsoft"/>
    <x v="0"/>
    <n v="-0.55300000000000005"/>
    <x v="4"/>
    <x v="0"/>
    <s v="May"/>
    <s v="Loss"/>
    <n v="3.4029999999999632"/>
    <n v="26.166999999999998"/>
  </r>
  <r>
    <s v="2023-05-02"/>
    <n v="303.54899999999998"/>
    <x v="2457"/>
    <n v="299.75200000000001"/>
    <n v="301.23200000000003"/>
    <n v="26770703"/>
    <x v="5"/>
    <s v="Microsoft"/>
    <x v="0"/>
    <n v="-4.9000000000000002E-2"/>
    <x v="4"/>
    <x v="0"/>
    <s v="May"/>
    <s v="Loss"/>
    <n v="5.1979999999999791"/>
    <n v="26.117999999999999"/>
  </r>
  <r>
    <s v="2023-05-03"/>
    <n v="302.42599999999999"/>
    <x v="2458"/>
    <n v="299.93"/>
    <n v="300.23500000000001"/>
    <n v="22670934"/>
    <x v="5"/>
    <s v="Microsoft"/>
    <x v="0"/>
    <n v="-0.33100000000000002"/>
    <x v="4"/>
    <x v="0"/>
    <s v="May"/>
    <s v="Loss"/>
    <n v="4.45799999999997"/>
    <n v="25.786999999999999"/>
  </r>
  <r>
    <s v="2023-05-04"/>
    <n v="302.048"/>
    <x v="2459"/>
    <n v="299.24900000000002"/>
    <n v="301.23200000000003"/>
    <n v="22832294"/>
    <x v="5"/>
    <s v="Microsoft"/>
    <x v="0"/>
    <n v="0.33200000000000002"/>
    <x v="4"/>
    <x v="0"/>
    <s v="May"/>
    <s v="Profit"/>
    <n v="4.3019999999999641"/>
    <n v="26.119"/>
  </r>
  <r>
    <s v="2023-05-05"/>
    <n v="301.536"/>
    <x v="2460"/>
    <n v="300.10700000000003"/>
    <n v="306.399"/>
    <n v="28588190"/>
    <x v="5"/>
    <s v="Microsoft"/>
    <x v="0"/>
    <n v="1.7150000000000001"/>
    <x v="4"/>
    <x v="0"/>
    <s v="May"/>
    <s v="Profit"/>
    <n v="7.5939999999999941"/>
    <n v="27.834"/>
  </r>
  <r>
    <s v="2023-05-08"/>
    <n v="305.88799999999998"/>
    <x v="2461"/>
    <n v="301.90300000000002"/>
    <n v="304.42700000000002"/>
    <n v="21614336"/>
    <x v="5"/>
    <s v="Microsoft"/>
    <x v="0"/>
    <n v="-0.64400000000000002"/>
    <x v="4"/>
    <x v="0"/>
    <s v="May"/>
    <s v="Loss"/>
    <n v="4.0519999999999641"/>
    <n v="27.19"/>
  </r>
  <r>
    <s v="2023-05-09"/>
    <n v="303.786"/>
    <x v="2462"/>
    <n v="302.11799999999999"/>
    <n v="302.8"/>
    <n v="21636860"/>
    <x v="5"/>
    <s v="Microsoft"/>
    <x v="0"/>
    <n v="-0.53400000000000003"/>
    <x v="4"/>
    <x v="0"/>
    <s v="May"/>
    <s v="Loss"/>
    <n v="3.6800000000000068"/>
    <n v="26.656000000000002"/>
  </r>
  <r>
    <s v="2023-05-10"/>
    <n v="304.39800000000002"/>
    <x v="2463"/>
    <n v="303.46100000000001"/>
    <n v="308.03699999999998"/>
    <n v="30495275"/>
    <x v="5"/>
    <s v="Microsoft"/>
    <x v="0"/>
    <n v="1.73"/>
    <x v="4"/>
    <x v="0"/>
    <s v="May"/>
    <s v="Profit"/>
    <n v="5.2559999999999718"/>
    <n v="28.386000000000003"/>
  </r>
  <r>
    <s v="2023-05-11"/>
    <n v="305.858"/>
    <x v="2464"/>
    <n v="302.06799999999998"/>
    <n v="305.86799999999999"/>
    <n v="32119634"/>
    <x v="5"/>
    <s v="Microsoft"/>
    <x v="0"/>
    <n v="-0.70399999999999996"/>
    <x v="4"/>
    <x v="0"/>
    <s v="May"/>
    <s v="Loss"/>
    <n v="4.7950000000000159"/>
    <n v="27.682000000000002"/>
  </r>
  <r>
    <s v="2023-05-12"/>
    <n v="306.30099999999999"/>
    <x v="2465"/>
    <n v="302.40600000000001"/>
    <n v="304.74299999999999"/>
    <n v="20049003"/>
    <x v="5"/>
    <s v="Microsoft"/>
    <x v="0"/>
    <n v="-0.36799999999999999"/>
    <x v="4"/>
    <x v="0"/>
    <s v="May"/>
    <s v="Loss"/>
    <n v="3.992999999999995"/>
    <n v="27.314000000000004"/>
  </r>
  <r>
    <s v="2023-05-15"/>
    <n v="304.86599999999999"/>
    <x v="2466"/>
    <n v="303.38299999999998"/>
    <n v="305.226"/>
    <n v="16563161"/>
    <x v="5"/>
    <s v="Microsoft"/>
    <x v="0"/>
    <n v="0.158"/>
    <x v="4"/>
    <x v="0"/>
    <s v="May"/>
    <s v="Profit"/>
    <n v="2.2830000000000155"/>
    <n v="27.472000000000005"/>
  </r>
  <r>
    <s v="2023-05-16"/>
    <n v="305.59100000000001"/>
    <x v="2467"/>
    <n v="305.59100000000001"/>
    <n v="307.47500000000002"/>
    <n v="27101140"/>
    <x v="5"/>
    <s v="Microsoft"/>
    <x v="0"/>
    <n v="0.73699999999999999"/>
    <x v="4"/>
    <x v="0"/>
    <s v="May"/>
    <s v="Profit"/>
    <n v="3.8279999999999745"/>
    <n v="28.209000000000003"/>
  </r>
  <r>
    <s v="2023-05-17"/>
    <n v="308.69"/>
    <x v="2468"/>
    <n v="307.15800000000002"/>
    <n v="310.38099999999997"/>
    <n v="24598526"/>
    <x v="5"/>
    <s v="Microsoft"/>
    <x v="0"/>
    <n v="0.94499999999999995"/>
    <x v="4"/>
    <x v="0"/>
    <s v="May"/>
    <s v="Profit"/>
    <n v="3.6479999999999677"/>
    <n v="29.154000000000003"/>
  </r>
  <r>
    <s v="2023-05-18"/>
    <n v="310.90499999999997"/>
    <x v="2469"/>
    <n v="310.10399999999998"/>
    <n v="314.84800000000001"/>
    <n v="27594030"/>
    <x v="5"/>
    <s v="Microsoft"/>
    <x v="0"/>
    <n v="1.4390000000000001"/>
    <x v="4"/>
    <x v="0"/>
    <s v="May"/>
    <s v="Profit"/>
    <n v="5.2590000000000146"/>
    <n v="30.593000000000004"/>
  </r>
  <r>
    <s v="2023-05-19"/>
    <n v="313.08999999999997"/>
    <x v="2470"/>
    <n v="312.72399999999999"/>
    <n v="314.67099999999999"/>
    <n v="27867897"/>
    <x v="5"/>
    <s v="Microsoft"/>
    <x v="0"/>
    <n v="-5.6000000000000001E-2"/>
    <x v="4"/>
    <x v="0"/>
    <s v="May"/>
    <s v="Loss"/>
    <n v="2.3530000000000086"/>
    <n v="30.537000000000003"/>
  </r>
  <r>
    <s v="2023-05-22"/>
    <n v="314.928"/>
    <x v="2471"/>
    <n v="314.34399999999999"/>
    <n v="317.47899999999998"/>
    <n v="24396854"/>
    <x v="5"/>
    <s v="Microsoft"/>
    <x v="0"/>
    <n v="0.89200000000000002"/>
    <x v="4"/>
    <x v="0"/>
    <s v="May"/>
    <s v="Profit"/>
    <n v="4.52800000000002"/>
    <n v="31.429000000000002"/>
  </r>
  <r>
    <s v="2023-05-23"/>
    <n v="316.34199999999998"/>
    <x v="2472"/>
    <n v="311.61700000000002"/>
    <n v="311.62599999999998"/>
    <n v="31156269"/>
    <x v="5"/>
    <s v="Microsoft"/>
    <x v="0"/>
    <n v="-1.8440000000000001"/>
    <x v="4"/>
    <x v="0"/>
    <s v="May"/>
    <s v="Loss"/>
    <n v="7.3829999999999814"/>
    <n v="29.585000000000001"/>
  </r>
  <r>
    <s v="2023-05-24"/>
    <n v="311.10199999999998"/>
    <x v="2473"/>
    <n v="309.00700000000001"/>
    <n v="310.233"/>
    <n v="23657556"/>
    <x v="5"/>
    <s v="Microsoft"/>
    <x v="0"/>
    <n v="-0.44700000000000001"/>
    <x v="4"/>
    <x v="0"/>
    <s v="May"/>
    <s v="Loss"/>
    <n v="3.8449999999999704"/>
    <n v="29.138000000000002"/>
  </r>
  <r>
    <s v="2023-05-25"/>
    <n v="319.51400000000001"/>
    <x v="2474"/>
    <n v="316.31200000000001"/>
    <n v="322.16300000000001"/>
    <n v="43806644"/>
    <x v="5"/>
    <s v="Microsoft"/>
    <x v="0"/>
    <n v="3.8450000000000002"/>
    <x v="4"/>
    <x v="0"/>
    <s v="May"/>
    <s v="Profit"/>
    <n v="6.81899999999996"/>
    <n v="32.983000000000004"/>
  </r>
  <r>
    <s v="2023-05-26"/>
    <n v="320.28500000000003"/>
    <x v="2475"/>
    <n v="320.14699999999999"/>
    <n v="329.053"/>
    <n v="37057748"/>
    <x v="5"/>
    <s v="Microsoft"/>
    <x v="0"/>
    <n v="2.1389999999999998"/>
    <x v="4"/>
    <x v="0"/>
    <s v="May"/>
    <s v="Profit"/>
    <n v="9.410000000000025"/>
    <n v="35.122000000000007"/>
  </r>
  <r>
    <s v="2023-05-30"/>
    <n v="331.36700000000002"/>
    <x v="2476"/>
    <n v="326.70999999999998"/>
    <n v="327.39299999999997"/>
    <n v="29847077"/>
    <x v="5"/>
    <s v="Microsoft"/>
    <x v="0"/>
    <n v="-0.504"/>
    <x v="4"/>
    <x v="0"/>
    <s v="May"/>
    <s v="Loss"/>
    <n v="5.1610000000000014"/>
    <n v="34.618000000000009"/>
  </r>
  <r>
    <s v="2023-05-31"/>
    <n v="328.46"/>
    <x v="2477"/>
    <n v="323.55599999999998"/>
    <n v="324.60399999999998"/>
    <n v="46486339"/>
    <x v="5"/>
    <s v="Microsoft"/>
    <x v="0"/>
    <n v="-0.85199999999999998"/>
    <x v="4"/>
    <x v="0"/>
    <s v="May"/>
    <s v="Loss"/>
    <n v="8.5110000000000241"/>
    <n v="33.766000000000012"/>
  </r>
  <r>
    <s v="2023-06-01"/>
    <n v="322.173"/>
    <x v="2478"/>
    <n v="320.97800000000001"/>
    <n v="328.74700000000001"/>
    <n v="27086035"/>
    <x v="5"/>
    <s v="Microsoft"/>
    <x v="0"/>
    <n v="1.276"/>
    <x v="5"/>
    <x v="0"/>
    <s v="June"/>
    <s v="Profit"/>
    <n v="8.70799999999997"/>
    <n v="35.042000000000016"/>
  </r>
  <r>
    <s v="2023-06-02"/>
    <n v="330.39499999999998"/>
    <x v="2479"/>
    <n v="328.71699999999998"/>
    <n v="331.53300000000002"/>
    <n v="26175458"/>
    <x v="5"/>
    <s v="Microsoft"/>
    <x v="0"/>
    <n v="0.84699999999999998"/>
    <x v="5"/>
    <x v="0"/>
    <s v="June"/>
    <s v="Profit"/>
    <n v="4.8930000000000291"/>
    <n v="35.889000000000017"/>
  </r>
  <r>
    <s v="2023-06-05"/>
    <n v="331.35700000000003"/>
    <x v="2480"/>
    <n v="330.80399999999997"/>
    <n v="332.06700000000001"/>
    <n v="21555494"/>
    <x v="5"/>
    <s v="Microsoft"/>
    <x v="0"/>
    <n v="0.161"/>
    <x v="5"/>
    <x v="0"/>
    <s v="June"/>
    <s v="Profit"/>
    <n v="3.8550000000000182"/>
    <n v="36.050000000000018"/>
  </r>
  <r>
    <s v="2023-06-06"/>
    <n v="331.46600000000001"/>
    <x v="2481"/>
    <n v="328.34199999999998"/>
    <n v="329.83499999999998"/>
    <n v="20634044"/>
    <x v="5"/>
    <s v="Microsoft"/>
    <x v="0"/>
    <n v="-0.67200000000000004"/>
    <x v="5"/>
    <x v="0"/>
    <s v="June"/>
    <s v="Loss"/>
    <n v="3.1620000000000346"/>
    <n v="35.378000000000021"/>
  </r>
  <r>
    <s v="2023-06-07"/>
    <n v="327.827"/>
    <x v="2482"/>
    <n v="318.78300000000002"/>
    <n v="319.65300000000002"/>
    <n v="41191893"/>
    <x v="5"/>
    <s v="Microsoft"/>
    <x v="0"/>
    <n v="-3.0870000000000002"/>
    <x v="5"/>
    <x v="0"/>
    <s v="June"/>
    <s v="Loss"/>
    <n v="11.850999999999999"/>
    <n v="32.291000000000018"/>
  </r>
  <r>
    <s v="2023-06-08"/>
    <n v="320.202"/>
    <x v="2483"/>
    <n v="319.62299999999999"/>
    <n v="321.51100000000002"/>
    <n v="23549127"/>
    <x v="5"/>
    <s v="Microsoft"/>
    <x v="0"/>
    <n v="0.58099999999999996"/>
    <x v="5"/>
    <x v="0"/>
    <s v="June"/>
    <s v="Profit"/>
    <n v="3.2529999999999859"/>
    <n v="32.872000000000021"/>
  </r>
  <r>
    <s v="2023-06-09"/>
    <n v="321.24400000000003"/>
    <x v="2484"/>
    <n v="320.67099999999999"/>
    <n v="323.02300000000002"/>
    <n v="22791638"/>
    <x v="5"/>
    <s v="Microsoft"/>
    <x v="0"/>
    <n v="0.47"/>
    <x v="5"/>
    <x v="0"/>
    <s v="June"/>
    <s v="Profit"/>
    <n v="5.5149999999999864"/>
    <n v="33.34200000000002"/>
  </r>
  <r>
    <s v="2023-06-12"/>
    <n v="324.79300000000001"/>
    <x v="2485"/>
    <n v="321.41300000000001"/>
    <n v="328.02499999999998"/>
    <n v="24590171"/>
    <x v="5"/>
    <s v="Microsoft"/>
    <x v="0"/>
    <n v="1.548"/>
    <x v="5"/>
    <x v="0"/>
    <s v="June"/>
    <s v="Profit"/>
    <n v="6.8600000000000136"/>
    <n v="34.890000000000022"/>
  </r>
  <r>
    <s v="2023-06-13"/>
    <n v="330.60899999999998"/>
    <x v="2486"/>
    <n v="326.58199999999999"/>
    <n v="330.43799999999999"/>
    <n v="23218892"/>
    <x v="5"/>
    <s v="Microsoft"/>
    <x v="0"/>
    <n v="0.73599999999999999"/>
    <x v="5"/>
    <x v="0"/>
    <s v="June"/>
    <s v="Profit"/>
    <n v="6.51400000000001"/>
    <n v="35.626000000000019"/>
  </r>
  <r>
    <s v="2023-06-14"/>
    <n v="330.48599999999999"/>
    <x v="2487"/>
    <n v="328.97399999999999"/>
    <n v="333.452"/>
    <n v="26306996"/>
    <x v="5"/>
    <s v="Microsoft"/>
    <x v="0"/>
    <n v="0.91200000000000003"/>
    <x v="5"/>
    <x v="0"/>
    <s v="June"/>
    <s v="Profit"/>
    <n v="6.1589999999999918"/>
    <n v="36.538000000000018"/>
  </r>
  <r>
    <s v="2023-06-15"/>
    <n v="333.59100000000001"/>
    <x v="2488"/>
    <n v="333.31400000000002"/>
    <n v="344.08800000000002"/>
    <n v="39352640"/>
    <x v="5"/>
    <s v="Microsoft"/>
    <x v="0"/>
    <n v="3.19"/>
    <x v="5"/>
    <x v="0"/>
    <s v="June"/>
    <s v="Profit"/>
    <n v="12.493999999999971"/>
    <n v="39.728000000000016"/>
  </r>
  <r>
    <s v="2023-06-16"/>
    <n v="347.27100000000002"/>
    <x v="2489"/>
    <n v="338.00900000000001"/>
    <n v="338.38499999999999"/>
    <n v="47094784"/>
    <x v="5"/>
    <s v="Microsoft"/>
    <x v="0"/>
    <n v="-1.657"/>
    <x v="5"/>
    <x v="0"/>
    <s v="June"/>
    <s v="Loss"/>
    <n v="9.4110000000000014"/>
    <n v="38.071000000000012"/>
  </r>
  <r>
    <s v="2023-06-20"/>
    <n v="335.399"/>
    <x v="2490"/>
    <n v="331.988"/>
    <n v="334.15499999999997"/>
    <n v="26682945"/>
    <x v="5"/>
    <s v="Microsoft"/>
    <x v="0"/>
    <n v="-1.25"/>
    <x v="5"/>
    <x v="0"/>
    <s v="June"/>
    <s v="Loss"/>
    <n v="6.1490000000000009"/>
    <n v="36.821000000000012"/>
  </r>
  <r>
    <s v="2023-06-21"/>
    <n v="332.49299999999999"/>
    <x v="2491"/>
    <n v="328.24299999999999"/>
    <n v="329.71600000000001"/>
    <n v="25410674"/>
    <x v="5"/>
    <s v="Microsoft"/>
    <x v="0"/>
    <n v="-1.3280000000000001"/>
    <x v="5"/>
    <x v="0"/>
    <s v="June"/>
    <s v="Loss"/>
    <n v="5.5939999999999941"/>
    <n v="35.493000000000009"/>
  </r>
  <r>
    <s v="2023-06-22"/>
    <n v="330.27"/>
    <x v="2492"/>
    <n v="329.49700000000001"/>
    <n v="335.79500000000002"/>
    <n v="23831437"/>
    <x v="5"/>
    <s v="Microsoft"/>
    <x v="0"/>
    <n v="1.8440000000000001"/>
    <x v="5"/>
    <x v="0"/>
    <s v="June"/>
    <s v="Profit"/>
    <n v="6.7029999999999745"/>
    <n v="37.33700000000001"/>
  </r>
  <r>
    <s v="2023-06-23"/>
    <n v="330.50599999999997"/>
    <x v="2493"/>
    <n v="329.60700000000003"/>
    <n v="331.15800000000002"/>
    <n v="23416795"/>
    <x v="5"/>
    <s v="Microsoft"/>
    <x v="0"/>
    <n v="-1.381"/>
    <x v="5"/>
    <x v="0"/>
    <s v="June"/>
    <s v="Loss"/>
    <n v="4.45799999999997"/>
    <n v="35.95600000000001"/>
  </r>
  <r>
    <s v="2023-06-26"/>
    <n v="330.774"/>
    <x v="2494"/>
    <n v="324.70400000000001"/>
    <n v="324.81299999999999"/>
    <n v="21771513"/>
    <x v="5"/>
    <s v="Microsoft"/>
    <x v="0"/>
    <n v="-1.9159999999999999"/>
    <x v="5"/>
    <x v="0"/>
    <s v="June"/>
    <s v="Loss"/>
    <n v="7.5319999999999823"/>
    <n v="34.040000000000013"/>
  </r>
  <r>
    <s v="2023-06-27"/>
    <n v="328.03500000000003"/>
    <x v="2495"/>
    <n v="325.50400000000002"/>
    <n v="330.714"/>
    <n v="24638080"/>
    <x v="5"/>
    <s v="Microsoft"/>
    <x v="0"/>
    <n v="1.8169999999999999"/>
    <x v="5"/>
    <x v="0"/>
    <s v="June"/>
    <s v="Profit"/>
    <n v="6.7719999999999914"/>
    <n v="35.857000000000014"/>
  </r>
  <r>
    <s v="2023-06-28"/>
    <n v="330.80399999999997"/>
    <x v="2496"/>
    <n v="329.96300000000002"/>
    <n v="331.97800000000001"/>
    <n v="20495750"/>
    <x v="5"/>
    <s v="Microsoft"/>
    <x v="0"/>
    <n v="0.38200000000000001"/>
    <x v="5"/>
    <x v="0"/>
    <s v="June"/>
    <s v="Profit"/>
    <n v="4.1219999999999573"/>
    <n v="36.239000000000011"/>
  </r>
  <r>
    <s v="2023-06-29"/>
    <n v="330.85199999999998"/>
    <x v="2494"/>
    <n v="328.78699999999998"/>
    <n v="331.18799999999999"/>
    <n v="17195228"/>
    <x v="5"/>
    <s v="Microsoft"/>
    <x v="0"/>
    <n v="-0.23799999999999999"/>
    <x v="5"/>
    <x v="0"/>
    <s v="June"/>
    <s v="Loss"/>
    <n v="3.4490000000000123"/>
    <n v="36.001000000000012"/>
  </r>
  <r>
    <s v="2023-06-30"/>
    <n v="333.85700000000003"/>
    <x v="2497"/>
    <n v="333.31400000000002"/>
    <n v="336.61599999999999"/>
    <n v="27145627"/>
    <x v="5"/>
    <s v="Microsoft"/>
    <x v="0"/>
    <n v="1.639"/>
    <x v="5"/>
    <x v="0"/>
    <s v="June"/>
    <s v="Profit"/>
    <n v="5.4659999999999513"/>
    <n v="37.640000000000015"/>
  </r>
  <r>
    <s v="2023-07-03"/>
    <n v="335.28"/>
    <x v="2498"/>
    <n v="332.69200000000001"/>
    <n v="334.09500000000003"/>
    <n v="12654544"/>
    <x v="5"/>
    <s v="Microsoft"/>
    <x v="0"/>
    <n v="-0.749"/>
    <x v="6"/>
    <x v="0"/>
    <s v="July"/>
    <s v="Loss"/>
    <n v="4.2789999999999964"/>
    <n v="36.891000000000012"/>
  </r>
  <r>
    <s v="2023-07-05"/>
    <n v="331.22800000000001"/>
    <x v="2499"/>
    <n v="330.86900000000003"/>
    <n v="334.25299999999999"/>
    <n v="18384269"/>
    <x v="5"/>
    <s v="Microsoft"/>
    <x v="0"/>
    <n v="4.7E-2"/>
    <x v="6"/>
    <x v="0"/>
    <s v="July"/>
    <s v="Profit"/>
    <n v="6.8429999999999609"/>
    <n v="36.938000000000009"/>
  </r>
  <r>
    <s v="2023-07-06"/>
    <n v="333.41199999999998"/>
    <x v="2500"/>
    <n v="331.63299999999998"/>
    <n v="337.33699999999999"/>
    <n v="28524295"/>
    <x v="5"/>
    <s v="Microsoft"/>
    <x v="0"/>
    <n v="0.92300000000000004"/>
    <x v="6"/>
    <x v="0"/>
    <s v="July"/>
    <s v="Profit"/>
    <n v="7.4039999999999964"/>
    <n v="37.861000000000011"/>
  </r>
  <r>
    <s v="2023-07-07"/>
    <n v="335.40899999999999"/>
    <x v="2501"/>
    <n v="333.11599999999999"/>
    <n v="333.33300000000003"/>
    <n v="21462190"/>
    <x v="5"/>
    <s v="Microsoft"/>
    <x v="0"/>
    <n v="-1.1870000000000001"/>
    <x v="6"/>
    <x v="0"/>
    <s v="July"/>
    <s v="Loss"/>
    <n v="4.7350000000000136"/>
    <n v="36.674000000000014"/>
  </r>
  <r>
    <s v="2023-07-10"/>
    <n v="330.74400000000003"/>
    <x v="2502"/>
    <n v="323.815"/>
    <n v="328.005"/>
    <n v="33173799"/>
    <x v="5"/>
    <s v="Microsoft"/>
    <x v="0"/>
    <n v="-1.5980000000000001"/>
    <x v="6"/>
    <x v="0"/>
    <s v="July"/>
    <s v="Loss"/>
    <n v="7.5520000000000209"/>
    <n v="35.076000000000015"/>
  </r>
  <r>
    <s v="2023-07-11"/>
    <n v="327.24400000000003"/>
    <x v="2503"/>
    <n v="323.23099999999999"/>
    <n v="328.63799999999998"/>
    <n v="27009520"/>
    <x v="5"/>
    <s v="Microsoft"/>
    <x v="0"/>
    <n v="0.193"/>
    <x v="6"/>
    <x v="0"/>
    <s v="July"/>
    <s v="Profit"/>
    <n v="5.79200000000003"/>
    <n v="35.269000000000013"/>
  </r>
  <r>
    <s v="2023-07-12"/>
    <n v="332.721"/>
    <x v="2504"/>
    <n v="331.80200000000002"/>
    <n v="333.31400000000002"/>
    <n v="30345008"/>
    <x v="5"/>
    <s v="Microsoft"/>
    <x v="0"/>
    <n v="1.423"/>
    <x v="6"/>
    <x v="0"/>
    <s v="July"/>
    <s v="Profit"/>
    <n v="5.9119999999999777"/>
    <n v="36.692000000000014"/>
  </r>
  <r>
    <s v="2023-07-13"/>
    <n v="335.64699999999999"/>
    <x v="2505"/>
    <n v="335.113"/>
    <n v="338.71"/>
    <n v="20806973"/>
    <x v="5"/>
    <s v="Microsoft"/>
    <x v="0"/>
    <n v="1.619"/>
    <x v="6"/>
    <x v="0"/>
    <s v="July"/>
    <s v="Profit"/>
    <n v="4.6650000000000205"/>
    <n v="38.311000000000014"/>
  </r>
  <r>
    <s v="2023-07-14"/>
    <n v="343.58300000000003"/>
    <x v="2506"/>
    <n v="340.34199999999998"/>
    <n v="341.26100000000002"/>
    <n v="28683323"/>
    <x v="5"/>
    <s v="Microsoft"/>
    <x v="0"/>
    <n v="0.753"/>
    <x v="6"/>
    <x v="0"/>
    <s v="July"/>
    <s v="Profit"/>
    <n v="7.0389999999999873"/>
    <n v="39.064000000000014"/>
  </r>
  <r>
    <s v="2023-07-17"/>
    <n v="341.69400000000002"/>
    <x v="2507"/>
    <n v="338.25599999999997"/>
    <n v="341.745"/>
    <n v="20601371"/>
    <x v="5"/>
    <s v="Microsoft"/>
    <x v="0"/>
    <n v="0.14199999999999999"/>
    <x v="6"/>
    <x v="0"/>
    <s v="July"/>
    <s v="Profit"/>
    <n v="4.7350000000000136"/>
    <n v="39.206000000000017"/>
  </r>
  <r>
    <s v="2023-07-18"/>
    <n v="341.84399999999999"/>
    <x v="2508"/>
    <n v="338.226"/>
    <n v="355.346"/>
    <n v="65629124"/>
    <x v="5"/>
    <s v="Microsoft"/>
    <x v="0"/>
    <n v="3.98"/>
    <x v="6"/>
    <x v="0"/>
    <s v="July"/>
    <s v="Profit"/>
    <n v="24.326999999999998"/>
    <n v="43.186000000000014"/>
  </r>
  <r>
    <s v="2023-07-19"/>
    <n v="357.58100000000002"/>
    <x v="2509"/>
    <n v="348.37299999999999"/>
    <n v="350.98700000000002"/>
    <n v="40196189"/>
    <x v="5"/>
    <s v="Microsoft"/>
    <x v="0"/>
    <n v="-1.2270000000000001"/>
    <x v="6"/>
    <x v="0"/>
    <s v="July"/>
    <s v="Loss"/>
    <n v="9.9089999999999918"/>
    <n v="41.959000000000017"/>
  </r>
  <r>
    <s v="2023-07-20"/>
    <n v="349.49400000000003"/>
    <x v="2510"/>
    <n v="341.38900000000001"/>
    <n v="342.87200000000001"/>
    <n v="34172253"/>
    <x v="5"/>
    <s v="Microsoft"/>
    <x v="0"/>
    <n v="-2.3119999999999998"/>
    <x v="6"/>
    <x v="0"/>
    <s v="July"/>
    <s v="Loss"/>
    <n v="12.454999999999984"/>
    <n v="39.64700000000002"/>
  </r>
  <r>
    <s v="2023-07-21"/>
    <n v="345.125"/>
    <x v="2511"/>
    <n v="335.91300000000001"/>
    <n v="339.80799999999999"/>
    <n v="70214653"/>
    <x v="5"/>
    <s v="Microsoft"/>
    <x v="0"/>
    <n v="-0.89400000000000002"/>
    <x v="6"/>
    <x v="0"/>
    <s v="July"/>
    <s v="Loss"/>
    <n v="10.349999999999966"/>
    <n v="38.753000000000021"/>
  </r>
  <r>
    <s v="2023-07-24"/>
    <n v="341.86399999999998"/>
    <x v="2512"/>
    <n v="338.36500000000001"/>
    <n v="341.13200000000001"/>
    <n v="27030754"/>
    <x v="5"/>
    <s v="Microsoft"/>
    <x v="0"/>
    <n v="0.39"/>
    <x v="6"/>
    <x v="0"/>
    <s v="July"/>
    <s v="Profit"/>
    <n v="4.5570000000000164"/>
    <n v="39.143000000000022"/>
  </r>
  <r>
    <s v="2023-07-25"/>
    <n v="343.10899999999998"/>
    <x v="2513"/>
    <n v="341.09300000000002"/>
    <n v="346.935"/>
    <n v="42123237"/>
    <x v="5"/>
    <s v="Microsoft"/>
    <x v="0"/>
    <n v="1.7010000000000001"/>
    <x v="6"/>
    <x v="0"/>
    <s v="July"/>
    <s v="Profit"/>
    <n v="6.7419999999999618"/>
    <n v="40.844000000000023"/>
  </r>
  <r>
    <s v="2023-07-26"/>
    <n v="337.50400000000002"/>
    <x v="2514"/>
    <n v="329.27100000000002"/>
    <n v="333.87599999999998"/>
    <n v="59064459"/>
    <x v="5"/>
    <s v="Microsoft"/>
    <x v="0"/>
    <n v="-3.7639999999999998"/>
    <x v="6"/>
    <x v="0"/>
    <s v="July"/>
    <s v="Loss"/>
    <n v="11.425999999999988"/>
    <n v="37.08000000000002"/>
  </r>
  <r>
    <s v="2023-07-27"/>
    <n v="336.55599999999998"/>
    <x v="2515"/>
    <n v="325.25799999999998"/>
    <n v="326.90899999999999"/>
    <n v="40097411"/>
    <x v="5"/>
    <s v="Microsoft"/>
    <x v="0"/>
    <n v="-2.0870000000000002"/>
    <x v="6"/>
    <x v="0"/>
    <s v="July"/>
    <s v="Loss"/>
    <n v="12.13900000000001"/>
    <n v="34.993000000000016"/>
  </r>
  <r>
    <s v="2023-07-28"/>
    <n v="329.82499999999999"/>
    <x v="2516"/>
    <n v="329.33100000000002"/>
    <n v="334.47"/>
    <n v="28817003"/>
    <x v="5"/>
    <s v="Microsoft"/>
    <x v="0"/>
    <n v="2.3130000000000002"/>
    <x v="6"/>
    <x v="0"/>
    <s v="July"/>
    <s v="Profit"/>
    <n v="6.7599999999999909"/>
    <n v="37.306000000000019"/>
  </r>
  <r>
    <s v="2023-07-31"/>
    <n v="333.03699999999998"/>
    <x v="2517"/>
    <n v="329.517"/>
    <n v="332.048"/>
    <n v="25742724"/>
    <x v="5"/>
    <s v="Microsoft"/>
    <x v="0"/>
    <n v="-0.72399999999999998"/>
    <x v="6"/>
    <x v="0"/>
    <s v="July"/>
    <s v="Loss"/>
    <n v="4.2860000000000014"/>
    <n v="36.582000000000022"/>
  </r>
  <r>
    <s v="2023-08-01"/>
    <n v="331.327"/>
    <x v="2518"/>
    <n v="329.85500000000002"/>
    <n v="332.464"/>
    <n v="18595579"/>
    <x v="5"/>
    <s v="Microsoft"/>
    <x v="0"/>
    <n v="0.125"/>
    <x v="7"/>
    <x v="0"/>
    <s v="August"/>
    <s v="Profit"/>
    <n v="4.7839999999999918"/>
    <n v="36.707000000000022"/>
  </r>
  <r>
    <s v="2023-08-02"/>
    <n v="329.78500000000003"/>
    <x v="2519"/>
    <n v="322.59300000000002"/>
    <n v="323.72500000000002"/>
    <n v="28084954"/>
    <x v="5"/>
    <s v="Microsoft"/>
    <x v="0"/>
    <n v="-2.629"/>
    <x v="7"/>
    <x v="0"/>
    <s v="August"/>
    <s v="Loss"/>
    <n v="7.1920000000000073"/>
    <n v="34.078000000000024"/>
  </r>
  <r>
    <s v="2023-08-03"/>
    <n v="322.24299999999999"/>
    <x v="2520"/>
    <n v="322.19299999999998"/>
    <n v="322.89600000000002"/>
    <n v="18574434"/>
    <x v="5"/>
    <s v="Microsoft"/>
    <x v="0"/>
    <n v="-0.25600000000000001"/>
    <x v="7"/>
    <x v="0"/>
    <s v="August"/>
    <s v="Loss"/>
    <n v="3.8849999999999909"/>
    <n v="33.822000000000024"/>
  </r>
  <r>
    <s v="2023-08-04"/>
    <n v="328.05500000000001"/>
    <x v="2521"/>
    <n v="323.46899999999999"/>
    <n v="324"/>
    <n v="24018311"/>
    <x v="5"/>
    <s v="Microsoft"/>
    <x v="0"/>
    <n v="0.34200000000000003"/>
    <x v="7"/>
    <x v="0"/>
    <s v="August"/>
    <s v="Profit"/>
    <n v="7.8090000000000259"/>
    <n v="34.164000000000023"/>
  </r>
  <r>
    <s v="2023-08-07"/>
    <n v="324.584"/>
    <x v="2522"/>
    <n v="323.745"/>
    <n v="326.30599999999998"/>
    <n v="17948393"/>
    <x v="5"/>
    <s v="Microsoft"/>
    <x v="0"/>
    <n v="0.71199999999999997"/>
    <x v="7"/>
    <x v="0"/>
    <s v="August"/>
    <s v="Profit"/>
    <n v="3.5480000000000018"/>
    <n v="34.876000000000026"/>
  </r>
  <r>
    <s v="2023-08-08"/>
    <n v="323.19099999999997"/>
    <x v="2523"/>
    <n v="319.27699999999999"/>
    <n v="322.29199999999997"/>
    <n v="22587914"/>
    <x v="5"/>
    <s v="Microsoft"/>
    <x v="0"/>
    <n v="-1.23"/>
    <x v="7"/>
    <x v="0"/>
    <s v="August"/>
    <s v="Loss"/>
    <n v="5.6850000000000023"/>
    <n v="33.646000000000029"/>
  </r>
  <r>
    <s v="2023-08-09"/>
    <n v="322.70699999999999"/>
    <x v="2524"/>
    <n v="317.35000000000002"/>
    <n v="318.51600000000002"/>
    <n v="22634141"/>
    <x v="5"/>
    <s v="Microsoft"/>
    <x v="0"/>
    <n v="-1.1719999999999999"/>
    <x v="7"/>
    <x v="0"/>
    <s v="August"/>
    <s v="Loss"/>
    <n v="5.9909999999999854"/>
    <n v="32.474000000000032"/>
  </r>
  <r>
    <s v="2023-08-10"/>
    <n v="322.25799999999998"/>
    <x v="2525"/>
    <n v="317.47899999999998"/>
    <n v="319.20800000000003"/>
    <n v="20348252"/>
    <x v="5"/>
    <s v="Microsoft"/>
    <x v="0"/>
    <n v="0.217"/>
    <x v="7"/>
    <x v="0"/>
    <s v="August"/>
    <s v="Profit"/>
    <n v="6.9979999999999905"/>
    <n v="32.691000000000031"/>
  </r>
  <r>
    <s v="2023-08-11"/>
    <n v="316.56799999999998"/>
    <x v="2526"/>
    <n v="315.53100000000001"/>
    <n v="317.31"/>
    <n v="24639477"/>
    <x v="5"/>
    <s v="Microsoft"/>
    <x v="0"/>
    <n v="-0.59499999999999997"/>
    <x v="7"/>
    <x v="0"/>
    <s v="August"/>
    <s v="Loss"/>
    <n v="3.1619999999999777"/>
    <n v="32.096000000000032"/>
  </r>
  <r>
    <s v="2023-08-14"/>
    <n v="317.685"/>
    <x v="2527"/>
    <n v="316.392"/>
    <n v="320.30500000000001"/>
    <n v="19055769"/>
    <x v="5"/>
    <s v="Microsoft"/>
    <x v="0"/>
    <n v="0.94399999999999995"/>
    <x v="7"/>
    <x v="0"/>
    <s v="August"/>
    <s v="Profit"/>
    <n v="3.9320000000000164"/>
    <n v="33.040000000000035"/>
  </r>
  <r>
    <s v="2023-08-15"/>
    <n v="319.27699999999999"/>
    <x v="2528"/>
    <n v="317.20400000000001"/>
    <n v="318.149"/>
    <n v="17164112"/>
    <x v="5"/>
    <s v="Microsoft"/>
    <x v="0"/>
    <n v="-0.67300000000000004"/>
    <x v="7"/>
    <x v="0"/>
    <s v="August"/>
    <s v="Loss"/>
    <n v="4.13900000000001"/>
    <n v="32.367000000000033"/>
  </r>
  <r>
    <s v="2023-08-16"/>
    <n v="317.774"/>
    <x v="2529"/>
    <n v="316.78699999999998"/>
    <n v="317.37799999999999"/>
    <n v="20895973"/>
    <x v="5"/>
    <s v="Microsoft"/>
    <x v="0"/>
    <n v="-0.24199999999999999"/>
    <x v="7"/>
    <x v="0"/>
    <s v="August"/>
    <s v="Loss"/>
    <n v="4.5730000000000359"/>
    <n v="32.125000000000036"/>
  </r>
  <r>
    <s v="2023-08-17"/>
    <n v="317.517"/>
    <x v="2530"/>
    <n v="313.22800000000001"/>
    <n v="313.89100000000002"/>
    <n v="21459586"/>
    <x v="5"/>
    <s v="Microsoft"/>
    <x v="0"/>
    <n v="-1.099"/>
    <x v="7"/>
    <x v="0"/>
    <s v="August"/>
    <s v="Loss"/>
    <n v="5.6059999999999945"/>
    <n v="31.026000000000035"/>
  </r>
  <r>
    <s v="2023-08-18"/>
    <n v="311.52300000000002"/>
    <x v="2531"/>
    <n v="308.61200000000002"/>
    <n v="313.49400000000003"/>
    <n v="24990746"/>
    <x v="5"/>
    <s v="Microsoft"/>
    <x v="0"/>
    <n v="-0.126"/>
    <x v="7"/>
    <x v="0"/>
    <s v="August"/>
    <s v="Loss"/>
    <n v="6.7649999999999864"/>
    <n v="30.900000000000034"/>
  </r>
  <r>
    <s v="2023-08-21"/>
    <n v="314.93099999999998"/>
    <x v="2532"/>
    <n v="314.04899999999998"/>
    <n v="318.84399999999999"/>
    <n v="24268881"/>
    <x v="5"/>
    <s v="Microsoft"/>
    <x v="0"/>
    <n v="1.7070000000000001"/>
    <x v="7"/>
    <x v="0"/>
    <s v="August"/>
    <s v="Profit"/>
    <n v="5.6760000000000446"/>
    <n v="32.607000000000035"/>
  </r>
  <r>
    <s v="2023-08-22"/>
    <n v="322.43"/>
    <x v="2533"/>
    <n v="318.428"/>
    <n v="319.41899999999998"/>
    <n v="16255358"/>
    <x v="5"/>
    <s v="Microsoft"/>
    <x v="0"/>
    <n v="0.18"/>
    <x v="7"/>
    <x v="0"/>
    <s v="August"/>
    <s v="Profit"/>
    <n v="4.5710000000000264"/>
    <n v="32.787000000000035"/>
  </r>
  <r>
    <s v="2023-08-23"/>
    <n v="320.76499999999999"/>
    <x v="2534"/>
    <n v="320.40899999999999"/>
    <n v="323.91699999999997"/>
    <n v="21367943"/>
    <x v="5"/>
    <s v="Microsoft"/>
    <x v="0"/>
    <n v="1.4079999999999999"/>
    <x v="7"/>
    <x v="0"/>
    <s v="August"/>
    <s v="Profit"/>
    <n v="5.6860000000000355"/>
    <n v="34.195000000000036"/>
  </r>
  <r>
    <s v="2023-08-24"/>
    <n v="329.71100000000001"/>
    <x v="2535"/>
    <n v="316.94299999999998"/>
    <n v="316.95299999999997"/>
    <n v="23503136"/>
    <x v="5"/>
    <s v="Microsoft"/>
    <x v="0"/>
    <n v="-2.15"/>
    <x v="7"/>
    <x v="0"/>
    <s v="August"/>
    <s v="Loss"/>
    <n v="12.896999999999991"/>
    <n v="32.045000000000037"/>
  </r>
  <r>
    <s v="2023-08-25"/>
    <n v="318.43799999999999"/>
    <x v="2536"/>
    <n v="315.79300000000001"/>
    <n v="319.93400000000003"/>
    <n v="21890595"/>
    <x v="5"/>
    <s v="Microsoft"/>
    <x v="0"/>
    <n v="0.94099999999999995"/>
    <x v="7"/>
    <x v="0"/>
    <s v="August"/>
    <s v="Profit"/>
    <n v="6.4979999999999905"/>
    <n v="32.98600000000004"/>
  </r>
  <r>
    <s v="2023-08-28"/>
    <n v="322.58699999999999"/>
    <x v="2537"/>
    <n v="318.68599999999998"/>
    <n v="320.64600000000002"/>
    <n v="14949498"/>
    <x v="5"/>
    <s v="Microsoft"/>
    <x v="0"/>
    <n v="0.223"/>
    <x v="7"/>
    <x v="0"/>
    <s v="August"/>
    <s v="Profit"/>
    <n v="4.3870000000000005"/>
    <n v="33.209000000000039"/>
  </r>
  <r>
    <s v="2023-08-29"/>
    <n v="318.84399999999999"/>
    <x v="2538"/>
    <n v="318.84399999999999"/>
    <n v="325.31200000000001"/>
    <n v="19468231"/>
    <x v="5"/>
    <s v="Microsoft"/>
    <x v="0"/>
    <n v="1.4550000000000001"/>
    <x v="7"/>
    <x v="0"/>
    <s v="August"/>
    <s v="Profit"/>
    <n v="7.0360000000000014"/>
    <n v="34.664000000000037"/>
  </r>
  <r>
    <s v="2023-08-30"/>
    <n v="325.57"/>
    <x v="2539"/>
    <n v="323.36700000000002"/>
    <n v="325.68799999999999"/>
    <n v="15367065"/>
    <x v="5"/>
    <s v="Microsoft"/>
    <x v="0"/>
    <n v="0.11600000000000001"/>
    <x v="7"/>
    <x v="0"/>
    <s v="August"/>
    <s v="Profit"/>
    <n v="3.3309999999999604"/>
    <n v="34.780000000000037"/>
  </r>
  <r>
    <s v="2023-08-31"/>
    <n v="326.09500000000003"/>
    <x v="2540"/>
    <n v="323.697"/>
    <n v="324.66800000000001"/>
    <n v="26662457"/>
    <x v="5"/>
    <s v="Microsoft"/>
    <x v="0"/>
    <n v="-0.313"/>
    <x v="7"/>
    <x v="0"/>
    <s v="August"/>
    <s v="Loss"/>
    <n v="4.0919999999999845"/>
    <n v="34.467000000000034"/>
  </r>
  <r>
    <s v="2023-09-01"/>
    <n v="328.185"/>
    <x v="2541"/>
    <n v="323.697"/>
    <n v="325.56"/>
    <n v="15084312"/>
    <x v="5"/>
    <s v="Microsoft"/>
    <x v="0"/>
    <n v="0.27500000000000002"/>
    <x v="8"/>
    <x v="0"/>
    <s v="September"/>
    <s v="Profit"/>
    <n v="5.1619999999999777"/>
    <n v="34.742000000000033"/>
  </r>
  <r>
    <s v="2023-09-05"/>
    <n v="325.89699999999999"/>
    <x v="2542"/>
    <n v="325.56"/>
    <n v="330.404"/>
    <n v="18730541"/>
    <x v="5"/>
    <s v="Microsoft"/>
    <x v="0"/>
    <n v="1.488"/>
    <x v="8"/>
    <x v="0"/>
    <s v="September"/>
    <s v="Profit"/>
    <n v="6.1309999999999718"/>
    <n v="36.230000000000032"/>
  </r>
  <r>
    <s v="2023-09-06"/>
    <n v="330.23599999999999"/>
    <x v="2543"/>
    <n v="327.065"/>
    <n v="329.74"/>
    <n v="17702761"/>
    <x v="5"/>
    <s v="Microsoft"/>
    <x v="0"/>
    <n v="-0.20100000000000001"/>
    <x v="8"/>
    <x v="0"/>
    <s v="September"/>
    <s v="Loss"/>
    <n v="4.2409999999999854"/>
    <n v="36.029000000000032"/>
  </r>
  <r>
    <s v="2023-09-07"/>
    <n v="328.16500000000002"/>
    <x v="2544"/>
    <n v="325.92700000000002"/>
    <n v="326.798"/>
    <n v="18556031"/>
    <x v="5"/>
    <s v="Microsoft"/>
    <x v="0"/>
    <n v="-0.89200000000000002"/>
    <x v="8"/>
    <x v="0"/>
    <s v="September"/>
    <s v="Loss"/>
    <n v="4.0109999999999673"/>
    <n v="35.137000000000029"/>
  </r>
  <r>
    <s v="2023-09-08"/>
    <n v="326.976"/>
    <x v="2545"/>
    <n v="326.35300000000001"/>
    <n v="331.11599999999999"/>
    <n v="19734316"/>
    <x v="5"/>
    <s v="Microsoft"/>
    <x v="0"/>
    <n v="1.321"/>
    <x v="8"/>
    <x v="0"/>
    <s v="September"/>
    <s v="Profit"/>
    <n v="6.6359999999999673"/>
    <n v="36.458000000000027"/>
  </r>
  <r>
    <s v="2023-09-11"/>
    <n v="334.05900000000003"/>
    <x v="2546"/>
    <n v="332.26600000000002"/>
    <n v="334.75099999999998"/>
    <n v="16741242"/>
    <x v="5"/>
    <s v="Microsoft"/>
    <x v="0"/>
    <n v="1.0980000000000001"/>
    <x v="8"/>
    <x v="0"/>
    <s v="September"/>
    <s v="Profit"/>
    <n v="2.9629999999999654"/>
    <n v="37.556000000000026"/>
  </r>
  <r>
    <s v="2023-09-12"/>
    <n v="332.64699999999999"/>
    <x v="2547"/>
    <n v="328.35300000000001"/>
    <n v="328.64"/>
    <n v="17732752"/>
    <x v="5"/>
    <s v="Microsoft"/>
    <x v="0"/>
    <n v="-1.8260000000000001"/>
    <x v="8"/>
    <x v="0"/>
    <s v="September"/>
    <s v="Loss"/>
    <n v="5.2599999999999909"/>
    <n v="35.730000000000025"/>
  </r>
  <r>
    <s v="2023-09-13"/>
    <n v="328.185"/>
    <x v="2548"/>
    <n v="328.04599999999999"/>
    <n v="332.89"/>
    <n v="16701959"/>
    <x v="5"/>
    <s v="Microsoft"/>
    <x v="0"/>
    <n v="1.2929999999999999"/>
    <x v="8"/>
    <x v="0"/>
    <s v="September"/>
    <s v="Profit"/>
    <n v="5.6260000000000332"/>
    <n v="37.023000000000025"/>
  </r>
  <r>
    <s v="2023-09-14"/>
    <n v="335.94900000000001"/>
    <x v="2549"/>
    <n v="333.39499999999998"/>
    <n v="335.505"/>
    <n v="20460045"/>
    <x v="5"/>
    <s v="Microsoft"/>
    <x v="0"/>
    <n v="0.78600000000000003"/>
    <x v="8"/>
    <x v="0"/>
    <s v="September"/>
    <s v="Profit"/>
    <n v="4.25"/>
    <n v="37.809000000000026"/>
  </r>
  <r>
    <s v="2023-09-15"/>
    <n v="333.74200000000002"/>
    <x v="2550"/>
    <n v="326.54000000000002"/>
    <n v="327.10500000000002"/>
    <n v="38038605"/>
    <x v="5"/>
    <s v="Microsoft"/>
    <x v="0"/>
    <n v="-2.504"/>
    <x v="8"/>
    <x v="0"/>
    <s v="September"/>
    <s v="Loss"/>
    <n v="7.6739999999999782"/>
    <n v="35.305000000000028"/>
  </r>
  <r>
    <s v="2023-09-18"/>
    <n v="324.70800000000003"/>
    <x v="2551"/>
    <n v="323.28199999999998"/>
    <n v="325.95600000000002"/>
    <n v="16994515"/>
    <x v="5"/>
    <s v="Microsoft"/>
    <x v="0"/>
    <n v="-0.35099999999999998"/>
    <x v="8"/>
    <x v="0"/>
    <s v="September"/>
    <s v="Loss"/>
    <n v="4.0010000000000332"/>
    <n v="34.954000000000029"/>
  </r>
  <r>
    <s v="2023-09-19"/>
    <n v="323.09199999999998"/>
    <x v="2552"/>
    <n v="321.44900000000001"/>
    <n v="325.55"/>
    <n v="16671749"/>
    <x v="5"/>
    <s v="Microsoft"/>
    <x v="0"/>
    <n v="-0.125"/>
    <x v="8"/>
    <x v="0"/>
    <s v="September"/>
    <s v="Loss"/>
    <n v="4.8340000000000032"/>
    <n v="34.829000000000029"/>
  </r>
  <r>
    <s v="2023-09-20"/>
    <n v="326.40300000000002"/>
    <x v="2553"/>
    <n v="317.488"/>
    <n v="317.74400000000003"/>
    <n v="21640658"/>
    <x v="5"/>
    <s v="Microsoft"/>
    <x v="0"/>
    <n v="-2.3980000000000001"/>
    <x v="8"/>
    <x v="0"/>
    <s v="September"/>
    <s v="Loss"/>
    <n v="8.992999999999995"/>
    <n v="32.431000000000026"/>
  </r>
  <r>
    <s v="2023-09-21"/>
    <n v="316.24799999999999"/>
    <x v="2554"/>
    <n v="312.02800000000002"/>
    <n v="316.51499999999999"/>
    <n v="35898992"/>
    <x v="5"/>
    <s v="Microsoft"/>
    <x v="0"/>
    <n v="-0.38700000000000001"/>
    <x v="8"/>
    <x v="0"/>
    <s v="September"/>
    <s v="Loss"/>
    <n v="10.252999999999986"/>
    <n v="32.044000000000025"/>
  </r>
  <r>
    <s v="2023-09-22"/>
    <n v="318.28899999999999"/>
    <x v="2555"/>
    <n v="313.16800000000001"/>
    <n v="314.01900000000001"/>
    <n v="21652128"/>
    <x v="5"/>
    <s v="Microsoft"/>
    <x v="0"/>
    <n v="-0.78900000000000003"/>
    <x v="8"/>
    <x v="0"/>
    <s v="September"/>
    <s v="Loss"/>
    <n v="5.25"/>
    <n v="31.255000000000024"/>
  </r>
  <r>
    <s v="2023-09-25"/>
    <n v="313.60399999999998"/>
    <x v="2556"/>
    <n v="312.02800000000002"/>
    <n v="314.54399999999998"/>
    <n v="18005810"/>
    <x v="5"/>
    <s v="Microsoft"/>
    <x v="0"/>
    <n v="0.16700000000000001"/>
    <x v="8"/>
    <x v="0"/>
    <s v="September"/>
    <s v="Profit"/>
    <n v="2.6459999999999582"/>
    <n v="31.422000000000025"/>
  </r>
  <r>
    <s v="2023-09-26"/>
    <n v="312.15699999999998"/>
    <x v="2557"/>
    <n v="307.09500000000003"/>
    <n v="309.19600000000003"/>
    <n v="26547997"/>
    <x v="5"/>
    <s v="Microsoft"/>
    <x v="0"/>
    <n v="-1.7"/>
    <x v="8"/>
    <x v="0"/>
    <s v="September"/>
    <s v="Loss"/>
    <n v="5.80499999999995"/>
    <n v="29.722000000000026"/>
  </r>
  <r>
    <s v="2023-09-27"/>
    <n v="309.35399999999998"/>
    <x v="2558"/>
    <n v="306.77"/>
    <n v="309.839"/>
    <n v="19594918"/>
    <x v="5"/>
    <s v="Microsoft"/>
    <x v="0"/>
    <n v="0.20799999999999999"/>
    <x v="8"/>
    <x v="0"/>
    <s v="September"/>
    <s v="Profit"/>
    <n v="4.5640000000000214"/>
    <n v="29.930000000000025"/>
  </r>
  <r>
    <s v="2023-09-28"/>
    <n v="308.05599999999998"/>
    <x v="2559"/>
    <n v="306.52999999999997"/>
    <n v="310.68099999999998"/>
    <n v="19871004"/>
    <x v="5"/>
    <s v="Microsoft"/>
    <x v="0"/>
    <n v="0.27200000000000002"/>
    <x v="8"/>
    <x v="0"/>
    <s v="September"/>
    <s v="Profit"/>
    <n v="5.9740000000000464"/>
    <n v="30.202000000000023"/>
  </r>
  <r>
    <s v="2023-09-29"/>
    <n v="314.75299999999999"/>
    <x v="2560"/>
    <n v="312.00900000000001"/>
    <n v="312.77100000000002"/>
    <n v="24377245"/>
    <x v="5"/>
    <s v="Microsoft"/>
    <x v="0"/>
    <n v="0.67300000000000004"/>
    <x v="8"/>
    <x v="0"/>
    <s v="September"/>
    <s v="Profit"/>
    <n v="4.4479999999999791"/>
    <n v="30.875000000000021"/>
  </r>
  <r>
    <s v="2023-10-02"/>
    <n v="313.29599999999999"/>
    <x v="2561"/>
    <n v="312.20699999999999"/>
    <n v="318.76400000000001"/>
    <n v="20765888"/>
    <x v="5"/>
    <s v="Microsoft"/>
    <x v="0"/>
    <n v="1.9159999999999999"/>
    <x v="9"/>
    <x v="0"/>
    <s v="October"/>
    <s v="Profit"/>
    <n v="6.6449999999999818"/>
    <n v="32.791000000000018"/>
  </r>
  <r>
    <s v="2023-10-03"/>
    <n v="317.80399999999997"/>
    <x v="2562"/>
    <n v="308.27999999999997"/>
    <n v="310.43400000000003"/>
    <n v="21233787"/>
    <x v="5"/>
    <s v="Microsoft"/>
    <x v="0"/>
    <n v="-2.613"/>
    <x v="9"/>
    <x v="0"/>
    <s v="October"/>
    <s v="Loss"/>
    <n v="10.079000000000008"/>
    <n v="30.178000000000019"/>
  </r>
  <r>
    <s v="2023-10-04"/>
    <n v="311.06799999999998"/>
    <x v="2563"/>
    <n v="311.03800000000001"/>
    <n v="315.94600000000003"/>
    <n v="20917455"/>
    <x v="5"/>
    <s v="Microsoft"/>
    <x v="0"/>
    <n v="1.776"/>
    <x v="9"/>
    <x v="0"/>
    <s v="October"/>
    <s v="Profit"/>
    <n v="5.9819999999999709"/>
    <n v="31.954000000000018"/>
  </r>
  <r>
    <s v="2023-10-05"/>
    <n v="316.08"/>
    <x v="2564"/>
    <n v="311.93"/>
    <n v="316.34800000000001"/>
    <n v="17127187"/>
    <x v="5"/>
    <s v="Microsoft"/>
    <x v="0"/>
    <n v="0.127"/>
    <x v="9"/>
    <x v="0"/>
    <s v="October"/>
    <s v="Profit"/>
    <n v="5.0330000000000155"/>
    <n v="32.081000000000017"/>
  </r>
  <r>
    <s v="2023-10-06"/>
    <n v="313.56400000000002"/>
    <x v="2565"/>
    <n v="313.31599999999997"/>
    <n v="324.173"/>
    <n v="25918112"/>
    <x v="5"/>
    <s v="Microsoft"/>
    <x v="0"/>
    <n v="2.4740000000000002"/>
    <x v="9"/>
    <x v="0"/>
    <s v="October"/>
    <s v="Profit"/>
    <n v="12.769000000000005"/>
    <n v="34.555000000000021"/>
  </r>
  <r>
    <s v="2023-10-09"/>
    <n v="321.68700000000001"/>
    <x v="2566"/>
    <n v="320.13099999999997"/>
    <n v="326.70800000000003"/>
    <n v="20080597"/>
    <x v="5"/>
    <s v="Microsoft"/>
    <x v="0"/>
    <n v="0.78200000000000003"/>
    <x v="9"/>
    <x v="0"/>
    <s v="October"/>
    <s v="Profit"/>
    <n v="7.0540000000000305"/>
    <n v="35.337000000000018"/>
  </r>
  <r>
    <s v="2023-10-10"/>
    <n v="327.83800000000002"/>
    <x v="2567"/>
    <n v="324.57799999999997"/>
    <n v="325.29300000000001"/>
    <n v="20752853"/>
    <x v="5"/>
    <s v="Microsoft"/>
    <x v="0"/>
    <n v="-0.433"/>
    <x v="9"/>
    <x v="0"/>
    <s v="October"/>
    <s v="Loss"/>
    <n v="3.3990000000000009"/>
    <n v="34.904000000000018"/>
  </r>
  <r>
    <s v="2023-10-11"/>
    <n v="328.08499999999998"/>
    <x v="2568"/>
    <n v="326.03500000000003"/>
    <n v="329.28500000000003"/>
    <n v="20254302"/>
    <x v="5"/>
    <s v="Microsoft"/>
    <x v="0"/>
    <n v="1.2270000000000001"/>
    <x v="9"/>
    <x v="0"/>
    <s v="October"/>
    <s v="Profit"/>
    <n v="3.6459999999999582"/>
    <n v="36.131000000000014"/>
  </r>
  <r>
    <s v="2023-10-12"/>
    <n v="327.447"/>
    <x v="2569"/>
    <n v="325.61799999999999"/>
    <n v="328.036"/>
    <n v="19497010"/>
    <x v="5"/>
    <s v="Microsoft"/>
    <x v="0"/>
    <n v="-0.379"/>
    <x v="9"/>
    <x v="0"/>
    <s v="October"/>
    <s v="Loss"/>
    <n v="4.8640000000000327"/>
    <n v="35.752000000000017"/>
  </r>
  <r>
    <s v="2023-10-13"/>
    <n v="329.245"/>
    <x v="2570"/>
    <n v="323.28199999999998"/>
    <n v="324.63799999999998"/>
    <n v="21286487"/>
    <x v="5"/>
    <s v="Microsoft"/>
    <x v="0"/>
    <n v="-1.036"/>
    <x v="9"/>
    <x v="0"/>
    <s v="October"/>
    <s v="Loss"/>
    <n v="7.3990000000000009"/>
    <n v="34.716000000000015"/>
  </r>
  <r>
    <s v="2023-10-16"/>
    <n v="327.92700000000002"/>
    <x v="2571"/>
    <n v="327.48099999999999"/>
    <n v="329.50099999999998"/>
    <n v="22369052"/>
    <x v="5"/>
    <s v="Microsoft"/>
    <x v="0"/>
    <n v="1.498"/>
    <x v="9"/>
    <x v="0"/>
    <s v="October"/>
    <s v="Profit"/>
    <n v="5.4890000000000327"/>
    <n v="36.214000000000013"/>
  </r>
  <r>
    <s v="2023-10-17"/>
    <n v="326.48099999999999"/>
    <x v="2572"/>
    <n v="324.322"/>
    <n v="328.92700000000002"/>
    <n v="18513155"/>
    <x v="5"/>
    <s v="Microsoft"/>
    <x v="0"/>
    <n v="-0.17399999999999999"/>
    <x v="9"/>
    <x v="0"/>
    <s v="October"/>
    <s v="Loss"/>
    <n v="5.992999999999995"/>
    <n v="36.040000000000013"/>
  </r>
  <r>
    <s v="2023-10-18"/>
    <n v="329.35500000000002"/>
    <x v="2573"/>
    <n v="325.20299999999997"/>
    <n v="326.995"/>
    <n v="23374086"/>
    <x v="5"/>
    <s v="Microsoft"/>
    <x v="0"/>
    <n v="-0.58699999999999997"/>
    <x v="9"/>
    <x v="0"/>
    <s v="October"/>
    <s v="Loss"/>
    <n v="7.2220000000000368"/>
    <n v="35.45300000000001"/>
  </r>
  <r>
    <s v="2023-10-19"/>
    <n v="329.01600000000002"/>
    <x v="2574"/>
    <n v="327.78899999999999"/>
    <n v="328.19499999999999"/>
    <n v="25290634"/>
    <x v="5"/>
    <s v="Microsoft"/>
    <x v="0"/>
    <n v="0.36699999999999999"/>
    <x v="9"/>
    <x v="0"/>
    <s v="October"/>
    <s v="Profit"/>
    <n v="5.9130000000000109"/>
    <n v="35.820000000000007"/>
  </r>
  <r>
    <s v="2023-10-20"/>
    <n v="328.59100000000001"/>
    <x v="2575"/>
    <n v="322.38"/>
    <n v="323.58800000000002"/>
    <n v="25266046"/>
    <x v="5"/>
    <s v="Microsoft"/>
    <x v="0"/>
    <n v="-1.4039999999999999"/>
    <x v="9"/>
    <x v="0"/>
    <s v="October"/>
    <s v="Loss"/>
    <n v="6.410000000000025"/>
    <n v="34.416000000000011"/>
  </r>
  <r>
    <s v="2023-10-23"/>
    <n v="322.39999999999998"/>
    <x v="2576"/>
    <n v="321.33"/>
    <n v="326.21300000000002"/>
    <n v="24606861"/>
    <x v="5"/>
    <s v="Microsoft"/>
    <x v="0"/>
    <n v="0.81100000000000005"/>
    <x v="9"/>
    <x v="0"/>
    <s v="October"/>
    <s v="Profit"/>
    <n v="8.2560000000000286"/>
    <n v="35.227000000000011"/>
  </r>
  <r>
    <s v="2023-10-24"/>
    <n v="328.17500000000001"/>
    <x v="2577"/>
    <n v="324.50900000000001"/>
    <n v="327.41199999999998"/>
    <n v="31450237"/>
    <x v="5"/>
    <s v="Microsoft"/>
    <x v="0"/>
    <n v="0.36799999999999999"/>
    <x v="9"/>
    <x v="0"/>
    <s v="October"/>
    <s v="Profit"/>
    <n v="4.200999999999965"/>
    <n v="35.595000000000013"/>
  </r>
  <r>
    <s v="2023-10-25"/>
    <n v="341.76499999999999"/>
    <x v="2578"/>
    <n v="334.435"/>
    <n v="337.45699999999999"/>
    <n v="55578089"/>
    <x v="5"/>
    <s v="Microsoft"/>
    <x v="0"/>
    <n v="3.0680000000000001"/>
    <x v="9"/>
    <x v="0"/>
    <s v="October"/>
    <s v="Profit"/>
    <n v="8.5"/>
    <n v="38.663000000000011"/>
  </r>
  <r>
    <s v="2023-10-26"/>
    <n v="337.32799999999997"/>
    <x v="2579"/>
    <n v="323.85700000000003"/>
    <n v="324.79700000000003"/>
    <n v="38188773"/>
    <x v="5"/>
    <s v="Microsoft"/>
    <x v="0"/>
    <n v="-3.7519999999999998"/>
    <x v="9"/>
    <x v="0"/>
    <s v="October"/>
    <s v="Loss"/>
    <n v="14.550999999999988"/>
    <n v="34.911000000000008"/>
  </r>
  <r>
    <s v="2023-10-27"/>
    <n v="327.30799999999999"/>
    <x v="2580"/>
    <n v="325.303"/>
    <n v="326.69799999999998"/>
    <n v="30140836"/>
    <x v="5"/>
    <s v="Microsoft"/>
    <x v="0"/>
    <n v="0.58499999999999996"/>
    <x v="9"/>
    <x v="0"/>
    <s v="October"/>
    <s v="Profit"/>
    <n v="8.2409999999999854"/>
    <n v="35.496000000000009"/>
  </r>
  <r>
    <s v="2023-10-30"/>
    <n v="330.26600000000002"/>
    <x v="2581"/>
    <n v="328.7"/>
    <n v="334.12900000000002"/>
    <n v="23045467"/>
    <x v="5"/>
    <s v="Microsoft"/>
    <x v="0"/>
    <n v="2.2749999999999999"/>
    <x v="9"/>
    <x v="0"/>
    <s v="October"/>
    <s v="Profit"/>
    <n v="7.5480000000000018"/>
    <n v="37.771000000000008"/>
  </r>
  <r>
    <s v="2023-10-31"/>
    <n v="335.654"/>
    <x v="2582"/>
    <n v="331.53199999999998"/>
    <n v="334.92099999999999"/>
    <n v="20458262"/>
    <x v="5"/>
    <s v="Microsoft"/>
    <x v="0"/>
    <n v="0.23699999999999999"/>
    <x v="9"/>
    <x v="0"/>
    <s v="October"/>
    <s v="Profit"/>
    <n v="4.271000000000015"/>
    <n v="38.00800000000001"/>
  </r>
  <r>
    <s v="2023-11-01"/>
    <n v="336.58499999999998"/>
    <x v="2583"/>
    <n v="336.44600000000003"/>
    <n v="342.80599999999998"/>
    <n v="28426967"/>
    <x v="5"/>
    <s v="Microsoft"/>
    <x v="0"/>
    <n v="2.3540000000000001"/>
    <x v="10"/>
    <x v="0"/>
    <s v="November"/>
    <s v="Profit"/>
    <n v="7.6959999999999695"/>
    <n v="40.362000000000009"/>
  </r>
  <r>
    <s v="2023-11-02"/>
    <n v="343.96499999999997"/>
    <x v="2584"/>
    <n v="341.51799999999997"/>
    <n v="345.03300000000002"/>
    <n v="24579931"/>
    <x v="5"/>
    <s v="Microsoft"/>
    <x v="0"/>
    <n v="0.65"/>
    <x v="10"/>
    <x v="0"/>
    <s v="November"/>
    <s v="Profit"/>
    <n v="4.0200000000000387"/>
    <n v="41.012000000000008"/>
  </r>
  <r>
    <s v="2023-11-03"/>
    <n v="346.33300000000003"/>
    <x v="2585"/>
    <n v="344.053"/>
    <n v="349.471"/>
    <n v="23862767"/>
    <x v="5"/>
    <s v="Microsoft"/>
    <x v="0"/>
    <n v="1.286"/>
    <x v="10"/>
    <x v="0"/>
    <s v="November"/>
    <s v="Profit"/>
    <n v="6.992999999999995"/>
    <n v="42.298000000000009"/>
  </r>
  <r>
    <s v="2023-11-06"/>
    <n v="350.11599999999999"/>
    <x v="2586"/>
    <n v="350.01600000000002"/>
    <n v="353.16699999999997"/>
    <n v="24055210"/>
    <x v="5"/>
    <s v="Microsoft"/>
    <x v="0"/>
    <n v="1.0580000000000001"/>
    <x v="10"/>
    <x v="0"/>
    <s v="November"/>
    <s v="Profit"/>
    <n v="4.1509999999999536"/>
    <n v="43.356000000000009"/>
  </r>
  <r>
    <s v="2023-11-07"/>
    <n v="356.00900000000001"/>
    <x v="2587"/>
    <n v="354.25700000000001"/>
    <n v="357.12900000000002"/>
    <n v="26079939"/>
    <x v="5"/>
    <s v="Microsoft"/>
    <x v="0"/>
    <n v="1.1220000000000001"/>
    <x v="10"/>
    <x v="0"/>
    <s v="November"/>
    <s v="Profit"/>
    <n v="4.7839999999999918"/>
    <n v="44.478000000000009"/>
  </r>
  <r>
    <s v="2023-11-08"/>
    <n v="358.26799999999997"/>
    <x v="2588"/>
    <n v="357.149"/>
    <n v="359.774"/>
    <n v="27022730"/>
    <x v="5"/>
    <s v="Microsoft"/>
    <x v="0"/>
    <n v="0.74099999999999999"/>
    <x v="10"/>
    <x v="0"/>
    <s v="November"/>
    <s v="Profit"/>
    <n v="3.2889999999999873"/>
    <n v="45.219000000000008"/>
  </r>
  <r>
    <s v="2023-11-09"/>
    <n v="358.88299999999998"/>
    <x v="2589"/>
    <n v="356.96199999999999"/>
    <n v="357.28800000000001"/>
    <n v="25083944"/>
    <x v="5"/>
    <s v="Microsoft"/>
    <x v="0"/>
    <n v="-0.69099999999999995"/>
    <x v="10"/>
    <x v="0"/>
    <s v="November"/>
    <s v="Loss"/>
    <n v="4.3870000000000005"/>
    <n v="44.528000000000006"/>
  </r>
  <r>
    <s v="2023-11-10"/>
    <n v="358.08"/>
    <x v="2590"/>
    <n v="357.66399999999999"/>
    <n v="366.18299999999999"/>
    <n v="28332420"/>
    <x v="5"/>
    <s v="Microsoft"/>
    <x v="0"/>
    <n v="2.4900000000000002"/>
    <x v="10"/>
    <x v="0"/>
    <s v="November"/>
    <s v="Profit"/>
    <n v="8.9440000000000168"/>
    <n v="47.018000000000008"/>
  </r>
  <r>
    <s v="2023-11-13"/>
    <n v="364.74700000000001"/>
    <x v="2591"/>
    <n v="362.44900000000001"/>
    <n v="363.221"/>
    <n v="20176831"/>
    <x v="5"/>
    <s v="Microsoft"/>
    <x v="0"/>
    <n v="-0.80900000000000005"/>
    <x v="10"/>
    <x v="0"/>
    <s v="November"/>
    <s v="Loss"/>
    <n v="2.5450000000000159"/>
    <n v="46.20900000000001"/>
  </r>
  <r>
    <s v="2023-11-14"/>
    <n v="367.51100000000002"/>
    <x v="2592"/>
    <n v="363.88"/>
    <n v="366.77800000000002"/>
    <n v="27947487"/>
    <x v="5"/>
    <s v="Microsoft"/>
    <x v="0"/>
    <n v="0.97899999999999998"/>
    <x v="10"/>
    <x v="0"/>
    <s v="November"/>
    <s v="Profit"/>
    <n v="4.5629999999999882"/>
    <n v="47.188000000000009"/>
  </r>
  <r>
    <s v="2023-11-15"/>
    <n v="368.524"/>
    <x v="2593"/>
    <n v="364.38499999999999"/>
    <n v="366.92700000000002"/>
    <n v="27060951"/>
    <x v="5"/>
    <s v="Microsoft"/>
    <x v="0"/>
    <n v="4.1000000000000002E-2"/>
    <x v="10"/>
    <x v="0"/>
    <s v="November"/>
    <s v="Profit"/>
    <n v="5.9750000000000227"/>
    <n v="47.229000000000006"/>
  </r>
  <r>
    <s v="2023-11-16"/>
    <n v="368.20600000000002"/>
    <x v="2594"/>
    <n v="367.43299999999999"/>
    <n v="373.37900000000002"/>
    <n v="27385580"/>
    <x v="5"/>
    <s v="Microsoft"/>
    <x v="0"/>
    <n v="1.758"/>
    <x v="10"/>
    <x v="0"/>
    <s v="November"/>
    <s v="Profit"/>
    <n v="6.1229999999999905"/>
    <n v="48.987000000000009"/>
  </r>
  <r>
    <s v="2023-11-17"/>
    <n v="370.83699999999999"/>
    <x v="2595"/>
    <n v="364.27600000000001"/>
    <n v="367.10399999999998"/>
    <n v="40626918"/>
    <x v="5"/>
    <s v="Microsoft"/>
    <x v="0"/>
    <n v="-1.681"/>
    <x v="10"/>
    <x v="0"/>
    <s v="November"/>
    <s v="Loss"/>
    <n v="7.3149999999999977"/>
    <n v="47.306000000000012"/>
  </r>
  <r>
    <s v="2023-11-20"/>
    <n v="368.46499999999997"/>
    <x v="2596"/>
    <n v="368.24599999999998"/>
    <n v="374.63799999999998"/>
    <n v="52921768"/>
    <x v="5"/>
    <s v="Microsoft"/>
    <x v="0"/>
    <n v="2.052"/>
    <x v="10"/>
    <x v="0"/>
    <s v="November"/>
    <s v="Profit"/>
    <n v="7.8120000000000118"/>
    <n v="49.358000000000011"/>
  </r>
  <r>
    <s v="2023-11-21"/>
    <n v="372.88299999999998"/>
    <x v="2597"/>
    <n v="368.36599999999999"/>
    <n v="370.30099999999999"/>
    <n v="28635689"/>
    <x v="5"/>
    <s v="Microsoft"/>
    <x v="0"/>
    <n v="-1.1579999999999999"/>
    <x v="10"/>
    <x v="0"/>
    <s v="November"/>
    <s v="Loss"/>
    <n v="5.0640000000000214"/>
    <n v="48.20000000000001"/>
  </r>
  <r>
    <s v="2023-11-22"/>
    <n v="375.19400000000002"/>
    <x v="2598"/>
    <n v="372.18200000000002"/>
    <n v="375.04599999999999"/>
    <n v="23535875"/>
    <x v="5"/>
    <s v="Microsoft"/>
    <x v="0"/>
    <n v="1.2809999999999999"/>
    <x v="10"/>
    <x v="0"/>
    <s v="November"/>
    <s v="Profit"/>
    <n v="4.7880000000000109"/>
    <n v="49.481000000000009"/>
  </r>
  <r>
    <s v="2023-11-24"/>
    <n v="374.53"/>
    <x v="2599"/>
    <n v="372.35199999999998"/>
    <n v="374.62799999999999"/>
    <n v="10252748"/>
    <x v="5"/>
    <s v="Microsoft"/>
    <x v="0"/>
    <n v="-0.111"/>
    <x v="10"/>
    <x v="0"/>
    <s v="November"/>
    <s v="Loss"/>
    <n v="2.8120000000000118"/>
    <n v="49.370000000000012"/>
  </r>
  <r>
    <s v="2023-11-27"/>
    <n v="373.98399999999998"/>
    <x v="2600"/>
    <n v="373.40899999999999"/>
    <n v="375.8"/>
    <n v="22345081"/>
    <x v="5"/>
    <s v="Microsoft"/>
    <x v="0"/>
    <n v="0.313"/>
    <x v="10"/>
    <x v="0"/>
    <s v="November"/>
    <s v="Profit"/>
    <n v="4.4060000000000059"/>
    <n v="49.683000000000014"/>
  </r>
  <r>
    <s v="2023-11-28"/>
    <n v="375.54199999999997"/>
    <x v="2601"/>
    <n v="375.35300000000001"/>
    <n v="379.86"/>
    <n v="20606057"/>
    <x v="5"/>
    <s v="Microsoft"/>
    <x v="0"/>
    <n v="1.08"/>
    <x v="10"/>
    <x v="0"/>
    <s v="November"/>
    <s v="Profit"/>
    <n v="4.8039999999999736"/>
    <n v="50.763000000000012"/>
  </r>
  <r>
    <s v="2023-11-29"/>
    <n v="380.91199999999998"/>
    <x v="2602"/>
    <n v="374.63799999999998"/>
    <n v="376.03800000000001"/>
    <n v="29179983"/>
    <x v="5"/>
    <s v="Microsoft"/>
    <x v="0"/>
    <n v="-1.006"/>
    <x v="10"/>
    <x v="0"/>
    <s v="November"/>
    <s v="Loss"/>
    <n v="6.8090000000000259"/>
    <n v="49.757000000000012"/>
  </r>
  <r>
    <s v="2023-11-30"/>
    <n v="375.68099999999998"/>
    <x v="2603"/>
    <n v="372.68299999999999"/>
    <n v="376.09800000000001"/>
    <n v="30782896"/>
    <x v="5"/>
    <s v="Microsoft"/>
    <x v="0"/>
    <n v="1.6E-2"/>
    <x v="10"/>
    <x v="0"/>
    <s v="November"/>
    <s v="Profit"/>
    <n v="4.5860000000000127"/>
    <n v="49.77300000000001"/>
  </r>
  <r>
    <s v="2023-12-01"/>
    <n v="373.964"/>
    <x v="2604"/>
    <n v="368.55399999999997"/>
    <n v="371.73099999999999"/>
    <n v="33287544"/>
    <x v="5"/>
    <s v="Microsoft"/>
    <x v="0"/>
    <n v="-1.161"/>
    <x v="11"/>
    <x v="0"/>
    <s v="December"/>
    <s v="Loss"/>
    <n v="6.799000000000035"/>
    <n v="48.612000000000009"/>
  </r>
  <r>
    <s v="2023-12-04"/>
    <n v="366.36099999999999"/>
    <x v="2605"/>
    <n v="360.20600000000002"/>
    <n v="366.40100000000001"/>
    <n v="32303070"/>
    <x v="5"/>
    <s v="Microsoft"/>
    <x v="0"/>
    <n v="-1.4339999999999999"/>
    <x v="11"/>
    <x v="0"/>
    <s v="December"/>
    <s v="Loss"/>
    <n v="6.5720000000000027"/>
    <n v="47.178000000000011"/>
  </r>
  <r>
    <s v="2023-12-05"/>
    <n v="363.73"/>
    <x v="2606"/>
    <n v="362.90800000000002"/>
    <n v="369.755"/>
    <n v="23237512"/>
    <x v="5"/>
    <s v="Microsoft"/>
    <x v="0"/>
    <n v="0.91500000000000004"/>
    <x v="11"/>
    <x v="0"/>
    <s v="December"/>
    <s v="Profit"/>
    <n v="7.3979999999999677"/>
    <n v="48.093000000000011"/>
  </r>
  <r>
    <s v="2023-12-06"/>
    <n v="370.76799999999997"/>
    <x v="2607"/>
    <n v="365.29899999999998"/>
    <n v="366.06200000000001"/>
    <n v="21340468"/>
    <x v="5"/>
    <s v="Microsoft"/>
    <x v="0"/>
    <n v="-0.999"/>
    <x v="11"/>
    <x v="0"/>
    <s v="December"/>
    <s v="Loss"/>
    <n v="6.1040000000000418"/>
    <n v="47.094000000000008"/>
  </r>
  <r>
    <s v="2023-12-07"/>
    <n v="365.49599999999998"/>
    <x v="2608"/>
    <n v="363.601"/>
    <n v="368.19600000000003"/>
    <n v="23291743"/>
    <x v="5"/>
    <s v="Microsoft"/>
    <x v="0"/>
    <n v="0.58299999999999996"/>
    <x v="11"/>
    <x v="0"/>
    <s v="December"/>
    <s v="Profit"/>
    <n v="5.0939999999999941"/>
    <n v="47.677000000000007"/>
  </r>
  <r>
    <s v="2023-12-08"/>
    <n v="366.459"/>
    <x v="2609"/>
    <n v="365.49599999999998"/>
    <n v="371.45100000000002"/>
    <n v="20305077"/>
    <x v="5"/>
    <s v="Microsoft"/>
    <x v="0"/>
    <n v="0.88400000000000001"/>
    <x v="11"/>
    <x v="0"/>
    <s v="December"/>
    <s v="Profit"/>
    <n v="6.1850000000000023"/>
    <n v="48.561000000000007"/>
  </r>
  <r>
    <s v="2023-12-11"/>
    <n v="365.745"/>
    <x v="2610"/>
    <n v="363.38299999999998"/>
    <n v="368.54399999999998"/>
    <n v="27915959"/>
    <x v="5"/>
    <s v="Microsoft"/>
    <x v="0"/>
    <n v="-0.78300000000000003"/>
    <x v="11"/>
    <x v="0"/>
    <s v="December"/>
    <s v="Loss"/>
    <n v="5.4590000000000032"/>
    <n v="47.778000000000006"/>
  </r>
  <r>
    <s v="2023-12-12"/>
    <n v="368.09699999999998"/>
    <x v="2611"/>
    <n v="367.71"/>
    <n v="371.601"/>
    <n v="25023990"/>
    <x v="5"/>
    <s v="Microsoft"/>
    <x v="0"/>
    <n v="0.82899999999999996"/>
    <x v="11"/>
    <x v="0"/>
    <s v="December"/>
    <s v="Profit"/>
    <n v="3.93100000000004"/>
    <n v="48.607000000000006"/>
  </r>
  <r>
    <s v="2023-12-13"/>
    <n v="373.22899999999998"/>
    <x v="2612"/>
    <n v="368.01799999999997"/>
    <n v="371.59100000000001"/>
    <n v="31187012"/>
    <x v="5"/>
    <s v="Microsoft"/>
    <x v="0"/>
    <n v="-3.0000000000000001E-3"/>
    <x v="11"/>
    <x v="0"/>
    <s v="December"/>
    <s v="Loss"/>
    <n v="6.8150000000000546"/>
    <n v="48.604000000000006"/>
  </r>
  <r>
    <s v="2023-12-14"/>
    <n v="370.53899999999999"/>
    <x v="2613"/>
    <n v="361.428"/>
    <n v="363.214"/>
    <n v="43601084"/>
    <x v="5"/>
    <s v="Microsoft"/>
    <x v="0"/>
    <n v="-2.254"/>
    <x v="11"/>
    <x v="0"/>
    <s v="December"/>
    <s v="Loss"/>
    <n v="9.5570000000000164"/>
    <n v="46.350000000000009"/>
  </r>
  <r>
    <s v="2023-12-15"/>
    <n v="364.12700000000001"/>
    <x v="2614"/>
    <n v="363.56099999999998"/>
    <n v="367.97800000000001"/>
    <n v="79089354"/>
    <x v="5"/>
    <s v="Microsoft"/>
    <x v="0"/>
    <n v="1.3120000000000001"/>
    <x v="11"/>
    <x v="0"/>
    <s v="December"/>
    <s v="Profit"/>
    <n v="6.0750000000000455"/>
    <n v="47.662000000000006"/>
  </r>
  <r>
    <s v="2023-12-18"/>
    <n v="366.70800000000003"/>
    <x v="2615"/>
    <n v="365.94299999999998"/>
    <n v="369.88400000000001"/>
    <n v="21965917"/>
    <x v="5"/>
    <s v="Microsoft"/>
    <x v="0"/>
    <n v="0.51800000000000002"/>
    <x v="11"/>
    <x v="0"/>
    <s v="December"/>
    <s v="Profit"/>
    <n v="4.2890000000000441"/>
    <n v="48.180000000000007"/>
  </r>
  <r>
    <s v="2023-12-19"/>
    <n v="368.73200000000003"/>
    <x v="2616"/>
    <n v="367.09399999999999"/>
    <n v="370.48899999999998"/>
    <n v="20757729"/>
    <x v="5"/>
    <s v="Microsoft"/>
    <x v="0"/>
    <n v="0.16400000000000001"/>
    <x v="11"/>
    <x v="0"/>
    <s v="December"/>
    <s v="Profit"/>
    <n v="3.3949999999999818"/>
    <n v="48.344000000000008"/>
  </r>
  <r>
    <s v="2023-12-20"/>
    <n v="372.21699999999998"/>
    <x v="2617"/>
    <n v="367.78"/>
    <n v="367.87"/>
    <n v="26513442"/>
    <x v="5"/>
    <s v="Microsoft"/>
    <x v="0"/>
    <n v="-0.70699999999999996"/>
    <x v="11"/>
    <x v="0"/>
    <s v="December"/>
    <s v="Loss"/>
    <n v="5.4590000000000032"/>
    <n v="47.637000000000008"/>
  </r>
  <r>
    <s v="2023-12-21"/>
    <n v="369.79399999999998"/>
    <x v="2618"/>
    <n v="367.29399999999998"/>
    <n v="370.76799999999997"/>
    <n v="17840424"/>
    <x v="5"/>
    <s v="Microsoft"/>
    <x v="0"/>
    <n v="0.78800000000000003"/>
    <x v="11"/>
    <x v="0"/>
    <s v="December"/>
    <s v="Profit"/>
    <n v="4.3369999999999891"/>
    <n v="48.425000000000004"/>
  </r>
  <r>
    <s v="2023-12-22"/>
    <n v="370.90600000000001"/>
    <x v="2619"/>
    <n v="369.94400000000002"/>
    <n v="371.80099999999999"/>
    <n v="17235411"/>
    <x v="5"/>
    <s v="Microsoft"/>
    <x v="0"/>
    <n v="0.27900000000000003"/>
    <x v="11"/>
    <x v="0"/>
    <s v="December"/>
    <s v="Profit"/>
    <n v="2.450999999999965"/>
    <n v="48.704000000000008"/>
  </r>
  <r>
    <s v="2023-12-26"/>
    <n v="372.21699999999998"/>
    <x v="2620"/>
    <n v="370.72800000000001"/>
    <n v="371.87900000000002"/>
    <n v="12767817"/>
    <x v="5"/>
    <s v="Microsoft"/>
    <x v="0"/>
    <n v="2.1000000000000001E-2"/>
    <x v="11"/>
    <x v="0"/>
    <s v="December"/>
    <s v="Profit"/>
    <n v="3.4139999999999873"/>
    <n v="48.725000000000009"/>
  </r>
  <r>
    <s v="2023-12-27"/>
    <n v="370.916"/>
    <x v="2621"/>
    <n v="370.04399999999998"/>
    <n v="371.29399999999998"/>
    <n v="15016872"/>
    <x v="5"/>
    <s v="Microsoft"/>
    <x v="0"/>
    <n v="-0.157"/>
    <x v="11"/>
    <x v="0"/>
    <s v="December"/>
    <s v="Loss"/>
    <n v="2.2330000000000041"/>
    <n v="48.568000000000012"/>
  </r>
  <r>
    <s v="2023-12-28"/>
    <n v="372.58300000000003"/>
    <x v="2622"/>
    <n v="371.38299999999998"/>
    <n v="372.49400000000003"/>
    <n v="14434148"/>
    <x v="5"/>
    <s v="Microsoft"/>
    <x v="0"/>
    <n v="0.32300000000000001"/>
    <x v="11"/>
    <x v="0"/>
    <s v="December"/>
    <s v="Profit"/>
    <n v="2.2800000000000296"/>
    <n v="48.891000000000012"/>
  </r>
  <r>
    <s v="2023-12-29"/>
    <n v="373.209"/>
    <x v="2623"/>
    <n v="370.70800000000003"/>
    <n v="373.24900000000002"/>
    <n v="18870904"/>
    <x v="5"/>
    <s v="Microsoft"/>
    <x v="0"/>
    <n v="0.20300000000000001"/>
    <x v="11"/>
    <x v="0"/>
    <s v="December"/>
    <s v="Profit"/>
    <n v="3.6529999999999632"/>
    <n v="49.094000000000015"/>
  </r>
  <r>
    <s v="2024-01-02"/>
    <n v="371.08499999999998"/>
    <x v="2624"/>
    <n v="364.04899999999998"/>
    <n v="368.11599999999999"/>
    <n v="25447513"/>
    <x v="5"/>
    <s v="Microsoft"/>
    <x v="0"/>
    <n v="-1.375"/>
    <x v="12"/>
    <x v="1"/>
    <s v="January"/>
    <s v="Loss"/>
    <n v="9.0600000000000023"/>
    <n v="47.719000000000015"/>
  </r>
  <r>
    <s v="2024-01-03"/>
    <n v="366.27199999999999"/>
    <x v="2625"/>
    <n v="365.77499999999998"/>
    <n v="367.85"/>
    <n v="23256080"/>
    <x v="5"/>
    <s v="Microsoft"/>
    <x v="0"/>
    <n v="-7.1999999999999995E-2"/>
    <x v="12"/>
    <x v="1"/>
    <s v="January"/>
    <s v="Loss"/>
    <n v="4.7100000000000364"/>
    <n v="47.647000000000013"/>
  </r>
  <r>
    <s v="2024-01-04"/>
    <n v="367.91500000000002"/>
    <x v="2626"/>
    <n v="364.44499999999999"/>
    <n v="365.209"/>
    <n v="21057800"/>
    <x v="5"/>
    <s v="Microsoft"/>
    <x v="0"/>
    <n v="-0.71799999999999997"/>
    <x v="12"/>
    <x v="1"/>
    <s v="January"/>
    <s v="Loss"/>
    <n v="5.8849999999999909"/>
    <n v="46.929000000000016"/>
  </r>
  <r>
    <s v="2024-01-05"/>
    <n v="366.23200000000003"/>
    <x v="2627"/>
    <n v="363.78"/>
    <n v="365.02"/>
    <n v="21161644"/>
    <x v="5"/>
    <s v="Microsoft"/>
    <x v="0"/>
    <n v="-5.1999999999999998E-2"/>
    <x v="12"/>
    <x v="1"/>
    <s v="January"/>
    <s v="Loss"/>
    <n v="5.5180000000000291"/>
    <n v="46.877000000000017"/>
  </r>
  <r>
    <s v="2024-01-08"/>
    <n v="366.55799999999999"/>
    <x v="2628"/>
    <n v="366.27199999999999"/>
    <n v="371.90899999999999"/>
    <n v="23306959"/>
    <x v="5"/>
    <s v="Microsoft"/>
    <x v="0"/>
    <n v="1.887"/>
    <x v="12"/>
    <x v="1"/>
    <s v="January"/>
    <s v="Profit"/>
    <n v="6.1430000000000291"/>
    <n v="48.764000000000017"/>
  </r>
  <r>
    <s v="2024-01-09"/>
    <n v="369.24799999999999"/>
    <x v="2629"/>
    <n v="368.43599999999998"/>
    <n v="373"/>
    <n v="20985716"/>
    <x v="5"/>
    <s v="Microsoft"/>
    <x v="0"/>
    <n v="0.29299999999999998"/>
    <x v="12"/>
    <x v="1"/>
    <s v="January"/>
    <s v="Profit"/>
    <n v="4.7630000000000337"/>
    <n v="49.057000000000016"/>
  </r>
  <r>
    <s v="2024-01-10"/>
    <n v="373.57600000000002"/>
    <x v="2630"/>
    <n v="373.52600000000001"/>
    <n v="379.92899999999997"/>
    <n v="25705037"/>
    <x v="5"/>
    <s v="Microsoft"/>
    <x v="0"/>
    <n v="1.8580000000000001"/>
    <x v="12"/>
    <x v="1"/>
    <s v="January"/>
    <s v="Profit"/>
    <n v="7.7930000000000064"/>
    <n v="50.915000000000013"/>
  </r>
  <r>
    <s v="2024-01-11"/>
    <n v="383.13499999999999"/>
    <x v="2631"/>
    <n v="377.55599999999998"/>
    <n v="381.77600000000001"/>
    <n v="28059111"/>
    <x v="5"/>
    <s v="Microsoft"/>
    <x v="0"/>
    <n v="0.48599999999999999"/>
    <x v="12"/>
    <x v="1"/>
    <s v="January"/>
    <s v="Profit"/>
    <n v="10.225000000000023"/>
    <n v="51.40100000000001"/>
  </r>
  <r>
    <s v="2024-01-12"/>
    <n v="382.62799999999999"/>
    <x v="2632"/>
    <n v="381.79500000000002"/>
    <n v="385.58699999999999"/>
    <n v="21823132"/>
    <x v="5"/>
    <s v="Microsoft"/>
    <x v="0"/>
    <n v="0.998"/>
    <x v="12"/>
    <x v="1"/>
    <s v="January"/>
    <s v="Profit"/>
    <n v="4"/>
    <n v="52.399000000000008"/>
  </r>
  <r>
    <s v="2024-01-16"/>
    <n v="390.738"/>
    <x v="2633"/>
    <n v="384.745"/>
    <n v="387.37400000000002"/>
    <n v="27405683"/>
    <x v="5"/>
    <s v="Microsoft"/>
    <x v="0"/>
    <n v="0.46300000000000002"/>
    <x v="12"/>
    <x v="1"/>
    <s v="January"/>
    <s v="Profit"/>
    <n v="6.36099999999999"/>
    <n v="52.862000000000009"/>
  </r>
  <r>
    <s v="2024-01-17"/>
    <n v="385.101"/>
    <x v="2634"/>
    <n v="381.95299999999997"/>
    <n v="386.57900000000001"/>
    <n v="22400371"/>
    <x v="5"/>
    <s v="Microsoft"/>
    <x v="0"/>
    <n v="-0.20499999999999999"/>
    <x v="12"/>
    <x v="1"/>
    <s v="January"/>
    <s v="Loss"/>
    <n v="5.2620000000000005"/>
    <n v="52.657000000000011"/>
  </r>
  <r>
    <s v="2024-01-18"/>
    <n v="388.81299999999999"/>
    <x v="2635"/>
    <n v="387.22500000000002"/>
    <n v="390.94600000000003"/>
    <n v="23566990"/>
    <x v="5"/>
    <s v="Microsoft"/>
    <x v="0"/>
    <n v="1.1299999999999999"/>
    <x v="12"/>
    <x v="1"/>
    <s v="January"/>
    <s v="Profit"/>
    <n v="3.8409999999999513"/>
    <n v="53.787000000000013"/>
  </r>
  <r>
    <s v="2024-01-19"/>
    <n v="392.82299999999998"/>
    <x v="2636"/>
    <n v="390.58"/>
    <n v="395.71100000000001"/>
    <n v="29550470"/>
    <x v="5"/>
    <s v="Microsoft"/>
    <x v="0"/>
    <n v="1.2190000000000001"/>
    <x v="12"/>
    <x v="1"/>
    <s v="January"/>
    <s v="Profit"/>
    <n v="5.1310000000000286"/>
    <n v="55.006000000000014"/>
  </r>
  <r>
    <s v="2024-01-22"/>
    <n v="397.05099999999999"/>
    <x v="2637"/>
    <n v="390.66800000000001"/>
    <n v="393.56599999999997"/>
    <n v="27218930"/>
    <x v="5"/>
    <s v="Microsoft"/>
    <x v="0"/>
    <n v="-0.54200000000000004"/>
    <x v="12"/>
    <x v="1"/>
    <s v="January"/>
    <s v="Loss"/>
    <n v="6.978999999999985"/>
    <n v="54.464000000000013"/>
  </r>
  <r>
    <s v="2024-01-23"/>
    <n v="392.81400000000002"/>
    <x v="2638"/>
    <n v="391.00599999999997"/>
    <n v="395.93900000000002"/>
    <n v="20679371"/>
    <x v="5"/>
    <s v="Microsoft"/>
    <x v="0"/>
    <n v="0.60299999999999998"/>
    <x v="12"/>
    <x v="1"/>
    <s v="January"/>
    <s v="Profit"/>
    <n v="5.410000000000025"/>
    <n v="55.067000000000014"/>
  </r>
  <r>
    <s v="2024-01-24"/>
    <n v="398.55900000000003"/>
    <x v="2639"/>
    <n v="397.47699999999998"/>
    <n v="399.572"/>
    <n v="25052904"/>
    <x v="5"/>
    <s v="Microsoft"/>
    <x v="0"/>
    <n v="0.91800000000000004"/>
    <x v="12"/>
    <x v="1"/>
    <s v="January"/>
    <s v="Profit"/>
    <n v="5.1420000000000528"/>
    <n v="55.985000000000014"/>
  </r>
  <r>
    <s v="2024-01-25"/>
    <n v="401.31900000000002"/>
    <x v="2640"/>
    <n v="399.541"/>
    <n v="401.86500000000001"/>
    <n v="21178348"/>
    <x v="5"/>
    <s v="Microsoft"/>
    <x v="0"/>
    <n v="0.57399999999999995"/>
    <x v="12"/>
    <x v="1"/>
    <s v="January"/>
    <s v="Profit"/>
    <n v="4.4479999999999791"/>
    <n v="56.559000000000012"/>
  </r>
  <r>
    <s v="2024-01-26"/>
    <n v="401.36900000000003"/>
    <x v="2641"/>
    <n v="399.44299999999998"/>
    <n v="400.93099999999998"/>
    <n v="17936401"/>
    <x v="5"/>
    <s v="Microsoft"/>
    <x v="0"/>
    <n v="-0.23200000000000001"/>
    <x v="12"/>
    <x v="1"/>
    <s v="January"/>
    <s v="Loss"/>
    <n v="3.7119999999999891"/>
    <n v="56.327000000000012"/>
  </r>
  <r>
    <s v="2024-01-29"/>
    <n v="403.04500000000002"/>
    <x v="2642"/>
    <n v="401.32900000000001"/>
    <n v="406.68"/>
    <n v="24693520"/>
    <x v="5"/>
    <s v="Microsoft"/>
    <x v="0"/>
    <n v="1.4339999999999999"/>
    <x v="12"/>
    <x v="1"/>
    <s v="January"/>
    <s v="Profit"/>
    <n v="5.6069999999999709"/>
    <n v="57.76100000000001"/>
  </r>
  <r>
    <s v="2024-01-30"/>
    <n v="409.2"/>
    <x v="2643"/>
    <n v="403.43299999999999"/>
    <n v="405.55799999999999"/>
    <n v="33727951"/>
    <x v="5"/>
    <s v="Microsoft"/>
    <x v="0"/>
    <n v="-0.27600000000000002"/>
    <x v="12"/>
    <x v="1"/>
    <s v="January"/>
    <s v="Loss"/>
    <n v="6.5520000000000209"/>
    <n v="57.485000000000007"/>
  </r>
  <r>
    <s v="2024-01-31"/>
    <n v="403.93900000000002"/>
    <x v="2644"/>
    <n v="394.262"/>
    <n v="394.62799999999999"/>
    <n v="48229070"/>
    <x v="5"/>
    <s v="Microsoft"/>
    <x v="0"/>
    <n v="-2.6949999999999998"/>
    <x v="12"/>
    <x v="1"/>
    <s v="January"/>
    <s v="Loss"/>
    <n v="17.975000000000023"/>
    <n v="54.790000000000006"/>
  </r>
  <r>
    <s v="2024-02-01"/>
    <n v="398.84800000000001"/>
    <x v="2645"/>
    <n v="398.81799999999998"/>
    <n v="400.78300000000002"/>
    <n v="30886980"/>
    <x v="5"/>
    <s v="Microsoft"/>
    <x v="0"/>
    <n v="1.56"/>
    <x v="13"/>
    <x v="1"/>
    <s v="February"/>
    <s v="Profit"/>
    <n v="6.1539999999999964"/>
    <n v="56.350000000000009"/>
  </r>
  <r>
    <s v="2024-02-02"/>
    <n v="400.81299999999999"/>
    <x v="2646"/>
    <n v="400.565"/>
    <n v="408.16800000000001"/>
    <n v="28467969"/>
    <x v="5"/>
    <s v="Microsoft"/>
    <x v="0"/>
    <n v="1.843"/>
    <x v="13"/>
    <x v="1"/>
    <s v="February"/>
    <s v="Profit"/>
    <n v="9.021000000000015"/>
    <n v="58.193000000000012"/>
  </r>
  <r>
    <s v="2024-02-05"/>
    <n v="406.85700000000003"/>
    <x v="2647"/>
    <n v="400.99099999999999"/>
    <n v="402.63900000000001"/>
    <n v="25541867"/>
    <x v="5"/>
    <s v="Microsoft"/>
    <x v="0"/>
    <n v="-1.355"/>
    <x v="13"/>
    <x v="1"/>
    <s v="February"/>
    <s v="Loss"/>
    <n v="7.1170000000000186"/>
    <n v="56.838000000000015"/>
  </r>
  <r>
    <s v="2024-02-06"/>
    <n v="402.86799999999999"/>
    <x v="2648"/>
    <n v="399.92"/>
    <n v="402.48"/>
    <n v="18520086"/>
    <x v="5"/>
    <s v="Microsoft"/>
    <x v="0"/>
    <n v="-3.9E-2"/>
    <x v="13"/>
    <x v="1"/>
    <s v="February"/>
    <s v="Loss"/>
    <n v="5.0219999999999914"/>
    <n v="56.799000000000014"/>
  </r>
  <r>
    <s v="2024-02-07"/>
    <n v="404.41699999999997"/>
    <x v="2649"/>
    <n v="404.37700000000001"/>
    <n v="410.97699999999998"/>
    <n v="22507585"/>
    <x v="5"/>
    <s v="Microsoft"/>
    <x v="0"/>
    <n v="2.1110000000000002"/>
    <x v="13"/>
    <x v="1"/>
    <s v="February"/>
    <s v="Profit"/>
    <n v="6.84699999999998"/>
    <n v="58.910000000000011"/>
  </r>
  <r>
    <s v="2024-02-08"/>
    <n v="410.97699999999998"/>
    <x v="2650"/>
    <n v="409.46800000000002"/>
    <n v="411.03699999999998"/>
    <n v="21383976"/>
    <x v="5"/>
    <s v="Microsoft"/>
    <x v="0"/>
    <n v="1.4999999999999999E-2"/>
    <x v="13"/>
    <x v="1"/>
    <s v="February"/>
    <s v="Profit"/>
    <n v="3.007000000000005"/>
    <n v="58.925000000000011"/>
  </r>
  <r>
    <s v="2024-02-09"/>
    <n v="412.16899999999998"/>
    <x v="2651"/>
    <n v="412.00900000000001"/>
    <n v="417.428"/>
    <n v="22197602"/>
    <x v="5"/>
    <s v="Microsoft"/>
    <x v="0"/>
    <n v="1.5549999999999999"/>
    <x v="13"/>
    <x v="1"/>
    <s v="February"/>
    <s v="Profit"/>
    <n v="5.6879999999999882"/>
    <n v="60.480000000000011"/>
  </r>
  <r>
    <s v="2024-02-12"/>
    <n v="417.43299999999999"/>
    <x v="2652"/>
    <n v="411.67200000000003"/>
    <n v="412.178"/>
    <n v="21361473"/>
    <x v="5"/>
    <s v="Microsoft"/>
    <x v="0"/>
    <n v="-1.258"/>
    <x v="13"/>
    <x v="1"/>
    <s v="February"/>
    <s v="Loss"/>
    <n v="5.9449999999999932"/>
    <n v="59.222000000000008"/>
  </r>
  <r>
    <s v="2024-02-13"/>
    <n v="401.93400000000003"/>
    <x v="2653"/>
    <n v="400.39600000000002"/>
    <n v="403.30500000000001"/>
    <n v="28033007"/>
    <x v="5"/>
    <s v="Microsoft"/>
    <x v="0"/>
    <n v="-2.153"/>
    <x v="13"/>
    <x v="1"/>
    <s v="February"/>
    <s v="Loss"/>
    <n v="6.6309999999999718"/>
    <n v="57.06900000000001"/>
  </r>
  <r>
    <s v="2024-02-14"/>
    <n v="405.79"/>
    <x v="2654"/>
    <n v="402.31"/>
    <n v="407.20299999999997"/>
    <n v="20515808"/>
    <x v="5"/>
    <s v="Microsoft"/>
    <x v="0"/>
    <n v="0.96699999999999997"/>
    <x v="13"/>
    <x v="1"/>
    <s v="February"/>
    <s v="Profit"/>
    <n v="5.2400000000000091"/>
    <n v="58.036000000000008"/>
  </r>
  <r>
    <s v="2024-02-15"/>
    <n v="405.86"/>
    <x v="2655"/>
    <n v="402.03100000000001"/>
    <n v="404.28899999999999"/>
    <n v="21948145"/>
    <x v="5"/>
    <s v="Microsoft"/>
    <x v="0"/>
    <n v="-0.71599999999999997"/>
    <x v="13"/>
    <x v="1"/>
    <s v="February"/>
    <s v="Loss"/>
    <n v="4.8129999999999882"/>
    <n v="57.320000000000007"/>
  </r>
  <r>
    <s v="2024-02-16"/>
    <n v="405.68"/>
    <x v="2656"/>
    <n v="401.18599999999998"/>
    <n v="401.803"/>
    <n v="22421761"/>
    <x v="5"/>
    <s v="Microsoft"/>
    <x v="0"/>
    <n v="-0.61499999999999999"/>
    <x v="13"/>
    <x v="1"/>
    <s v="February"/>
    <s v="Loss"/>
    <n v="4.8230000000000359"/>
    <n v="56.705000000000005"/>
  </r>
  <r>
    <s v="2024-02-20"/>
    <n v="400.98700000000002"/>
    <x v="2657"/>
    <n v="395.786"/>
    <n v="400.54"/>
    <n v="24444482"/>
    <x v="5"/>
    <s v="Microsoft"/>
    <x v="0"/>
    <n v="-0.314"/>
    <x v="13"/>
    <x v="1"/>
    <s v="February"/>
    <s v="Loss"/>
    <n v="6.4449999999999932"/>
    <n v="56.391000000000005"/>
  </r>
  <r>
    <s v="2024-02-21"/>
    <n v="397.93400000000003"/>
    <x v="2658"/>
    <n v="395.00099999999998"/>
    <n v="399.93299999999999"/>
    <n v="18735745"/>
    <x v="5"/>
    <s v="Microsoft"/>
    <x v="0"/>
    <n v="-0.152"/>
    <x v="13"/>
    <x v="1"/>
    <s v="February"/>
    <s v="Loss"/>
    <n v="5.04200000000003"/>
    <n v="56.239000000000004"/>
  </r>
  <r>
    <s v="2024-02-22"/>
    <n v="407.89800000000002"/>
    <x v="2659"/>
    <n v="406.28699999999998"/>
    <n v="409.351"/>
    <n v="27161616"/>
    <x v="5"/>
    <s v="Microsoft"/>
    <x v="0"/>
    <n v="2.355"/>
    <x v="13"/>
    <x v="1"/>
    <s v="February"/>
    <s v="Profit"/>
    <n v="4.2370000000000232"/>
    <n v="58.594000000000001"/>
  </r>
  <r>
    <s v="2024-02-23"/>
    <n v="413.34800000000001"/>
    <x v="2660"/>
    <n v="406.68599999999998"/>
    <n v="408.04700000000003"/>
    <n v="16387433"/>
    <x v="5"/>
    <s v="Microsoft"/>
    <x v="0"/>
    <n v="-0.31900000000000001"/>
    <x v="13"/>
    <x v="1"/>
    <s v="February"/>
    <s v="Loss"/>
    <n v="6.8500000000000227"/>
    <n v="58.274999999999999"/>
  </r>
  <r>
    <s v="2024-02-26"/>
    <n v="409.15600000000001"/>
    <x v="2661"/>
    <n v="405.084"/>
    <n v="405.26299999999998"/>
    <n v="16284483"/>
    <x v="5"/>
    <s v="Microsoft"/>
    <x v="0"/>
    <n v="-0.68200000000000005"/>
    <x v="13"/>
    <x v="1"/>
    <s v="February"/>
    <s v="Loss"/>
    <n v="4.7740000000000009"/>
    <n v="57.592999999999996"/>
  </r>
  <r>
    <s v="2024-02-27"/>
    <n v="405.71"/>
    <x v="2662"/>
    <n v="401.59399999999999"/>
    <n v="405.20299999999997"/>
    <n v="14919178"/>
    <x v="5"/>
    <s v="Microsoft"/>
    <x v="0"/>
    <n v="-1.4999999999999999E-2"/>
    <x v="13"/>
    <x v="1"/>
    <s v="February"/>
    <s v="Loss"/>
    <n v="4.4449999999999932"/>
    <n v="57.577999999999996"/>
  </r>
  <r>
    <s v="2024-02-28"/>
    <n v="405.89499999999998"/>
    <x v="2663"/>
    <n v="403.05500000000001"/>
    <n v="405.44200000000001"/>
    <n v="13257190"/>
    <x v="5"/>
    <s v="Microsoft"/>
    <x v="0"/>
    <n v="5.8999999999999997E-2"/>
    <x v="13"/>
    <x v="1"/>
    <s v="February"/>
    <s v="Profit"/>
    <n v="3.95799999999997"/>
    <n v="57.636999999999993"/>
  </r>
  <r>
    <s v="2024-02-29"/>
    <n v="406.35700000000003"/>
    <x v="2664"/>
    <n v="403.65199999999999"/>
    <n v="411.32900000000001"/>
    <n v="32126750"/>
    <x v="5"/>
    <s v="Microsoft"/>
    <x v="0"/>
    <n v="1.452"/>
    <x v="13"/>
    <x v="1"/>
    <s v="February"/>
    <s v="Profit"/>
    <n v="8.2340000000000373"/>
    <n v="59.088999999999992"/>
  </r>
  <r>
    <s v="2024-03-01"/>
    <n v="408.97199999999998"/>
    <x v="2665"/>
    <n v="408.584"/>
    <n v="413.17899999999997"/>
    <n v="17923581"/>
    <x v="5"/>
    <s v="Microsoft"/>
    <x v="0"/>
    <n v="0.45"/>
    <x v="14"/>
    <x v="1"/>
    <s v="March"/>
    <s v="Profit"/>
    <n v="4.9619999999999891"/>
    <n v="59.538999999999994"/>
  </r>
  <r>
    <s v="2024-03-04"/>
    <n v="411.13"/>
    <x v="2666"/>
    <n v="410.017"/>
    <n v="412.60199999999998"/>
    <n v="17694814"/>
    <x v="5"/>
    <s v="Microsoft"/>
    <x v="0"/>
    <n v="-0.14000000000000001"/>
    <x v="14"/>
    <x v="1"/>
    <s v="March"/>
    <s v="Loss"/>
    <n v="5.0009999999999764"/>
    <n v="59.398999999999994"/>
  </r>
  <r>
    <s v="2024-03-05"/>
    <n v="411.64800000000002"/>
    <x v="2667"/>
    <n v="398.40199999999999"/>
    <n v="400.40100000000001"/>
    <n v="27070415"/>
    <x v="5"/>
    <s v="Microsoft"/>
    <x v="0"/>
    <n v="-2.9569999999999999"/>
    <x v="14"/>
    <x v="1"/>
    <s v="March"/>
    <s v="Loss"/>
    <n v="13.533000000000015"/>
    <n v="56.441999999999993"/>
  </r>
  <r>
    <s v="2024-03-06"/>
    <n v="400.71800000000002"/>
    <x v="2668"/>
    <n v="396.16500000000002"/>
    <n v="399.84399999999999"/>
    <n v="22469683"/>
    <x v="5"/>
    <s v="Microsoft"/>
    <x v="0"/>
    <n v="-0.13900000000000001"/>
    <x v="14"/>
    <x v="1"/>
    <s v="March"/>
    <s v="Loss"/>
    <n v="6.7319999999999709"/>
    <n v="56.30299999999999"/>
  </r>
  <r>
    <s v="2024-03-07"/>
    <n v="403.85199999999998"/>
    <x v="2669"/>
    <n v="399.99299999999999"/>
    <n v="406.85399999999998"/>
    <n v="18823643"/>
    <x v="5"/>
    <s v="Microsoft"/>
    <x v="0"/>
    <n v="1.7529999999999999"/>
    <x v="14"/>
    <x v="1"/>
    <s v="March"/>
    <s v="Profit"/>
    <n v="7.4970000000000141"/>
    <n v="58.05599999999999"/>
  </r>
  <r>
    <s v="2024-03-08"/>
    <n v="405.68"/>
    <x v="2670"/>
    <n v="402.07100000000003"/>
    <n v="403.95"/>
    <n v="18103326"/>
    <x v="5"/>
    <s v="Microsoft"/>
    <x v="0"/>
    <n v="-0.71399999999999997"/>
    <x v="14"/>
    <x v="1"/>
    <s v="March"/>
    <s v="Loss"/>
    <n v="6.0559999999999832"/>
    <n v="57.341999999999992"/>
  </r>
  <r>
    <s v="2024-03-11"/>
    <n v="401.50599999999997"/>
    <x v="2671"/>
    <n v="399.01799999999997"/>
    <n v="402.26100000000002"/>
    <n v="16211322"/>
    <x v="5"/>
    <s v="Microsoft"/>
    <x v="0"/>
    <n v="-0.41799999999999998"/>
    <x v="14"/>
    <x v="1"/>
    <s v="March"/>
    <s v="Loss"/>
    <n v="4.396000000000015"/>
    <n v="56.923999999999992"/>
  </r>
  <r>
    <s v="2024-03-12"/>
    <n v="405.34300000000002"/>
    <x v="2672"/>
    <n v="404.517"/>
    <n v="412.959"/>
    <n v="22583171"/>
    <x v="5"/>
    <s v="Microsoft"/>
    <x v="0"/>
    <n v="2.6589999999999998"/>
    <x v="14"/>
    <x v="1"/>
    <s v="March"/>
    <s v="Profit"/>
    <n v="8.7320000000000277"/>
    <n v="59.582999999999991"/>
  </r>
  <r>
    <s v="2024-03-13"/>
    <n v="415.76400000000001"/>
    <x v="2673"/>
    <n v="409.15100000000001"/>
    <n v="412.78199999999998"/>
    <n v="17212092"/>
    <x v="5"/>
    <s v="Microsoft"/>
    <x v="0"/>
    <n v="-4.2999999999999997E-2"/>
    <x v="14"/>
    <x v="1"/>
    <s v="March"/>
    <s v="Loss"/>
    <n v="6.6929999999999836"/>
    <n v="59.539999999999992"/>
  </r>
  <r>
    <s v="2024-03-14"/>
    <n v="417.892"/>
    <x v="2674"/>
    <n v="415.654"/>
    <n v="422.84399999999999"/>
    <n v="34349202"/>
    <x v="5"/>
    <s v="Microsoft"/>
    <x v="0"/>
    <n v="2.4380000000000002"/>
    <x v="14"/>
    <x v="1"/>
    <s v="March"/>
    <s v="Profit"/>
    <n v="9.7760000000000105"/>
    <n v="61.977999999999994"/>
  </r>
  <r>
    <s v="2024-03-15"/>
    <n v="416.947"/>
    <x v="2675"/>
    <n v="410.48399999999998"/>
    <n v="414.09300000000002"/>
    <n v="45333172"/>
    <x v="5"/>
    <s v="Microsoft"/>
    <x v="0"/>
    <n v="-2.0699999999999998"/>
    <x v="14"/>
    <x v="1"/>
    <s v="March"/>
    <s v="Loss"/>
    <n v="9.7549999999999955"/>
    <n v="59.907999999999994"/>
  </r>
  <r>
    <s v="2024-03-18"/>
    <n v="411.935"/>
    <x v="2676"/>
    <n v="411.46800000000002"/>
    <n v="414.98899999999998"/>
    <n v="20218937"/>
    <x v="5"/>
    <s v="Microsoft"/>
    <x v="0"/>
    <n v="0.216"/>
    <x v="14"/>
    <x v="1"/>
    <s v="March"/>
    <s v="Profit"/>
    <n v="6.9110000000000014"/>
    <n v="60.123999999999995"/>
  </r>
  <r>
    <s v="2024-03-19"/>
    <n v="415.49599999999998"/>
    <x v="2677"/>
    <n v="413.22899999999998"/>
    <n v="419.05500000000001"/>
    <n v="19949369"/>
    <x v="5"/>
    <s v="Microsoft"/>
    <x v="0"/>
    <n v="0.98"/>
    <x v="14"/>
    <x v="1"/>
    <s v="March"/>
    <s v="Profit"/>
    <n v="6.0810000000000173"/>
    <n v="61.103999999999992"/>
  </r>
  <r>
    <s v="2024-03-20"/>
    <n v="419.642"/>
    <x v="2678"/>
    <n v="418.31099999999998"/>
    <n v="422.85399999999998"/>
    <n v="17960427"/>
    <x v="5"/>
    <s v="Microsoft"/>
    <x v="0"/>
    <n v="0.90700000000000003"/>
    <x v="14"/>
    <x v="1"/>
    <s v="March"/>
    <s v="Profit"/>
    <n v="5.2690000000000055"/>
    <n v="62.010999999999996"/>
  </r>
  <r>
    <s v="2024-03-21"/>
    <n v="427.428"/>
    <x v="2679"/>
    <n v="424.774"/>
    <n v="426.971"/>
    <n v="21415869"/>
    <x v="5"/>
    <s v="Microsoft"/>
    <x v="0"/>
    <n v="0.97399999999999998"/>
    <x v="14"/>
    <x v="1"/>
    <s v="March"/>
    <s v="Profit"/>
    <n v="3.6379999999999768"/>
    <n v="62.984999999999992"/>
  </r>
  <r>
    <s v="2024-03-22"/>
    <n v="427.29899999999998"/>
    <x v="2680"/>
    <n v="423.69"/>
    <n v="426.34500000000003"/>
    <n v="17747626"/>
    <x v="5"/>
    <s v="Microsoft"/>
    <x v="0"/>
    <n v="-0.14699999999999999"/>
    <x v="14"/>
    <x v="1"/>
    <s v="March"/>
    <s v="Loss"/>
    <n v="3.7680000000000291"/>
    <n v="62.837999999999994"/>
  </r>
  <r>
    <s v="2024-03-25"/>
    <n v="422.86399999999998"/>
    <x v="2681"/>
    <n v="419.255"/>
    <n v="420.49799999999999"/>
    <n v="18161917"/>
    <x v="5"/>
    <s v="Microsoft"/>
    <x v="0"/>
    <n v="-1.371"/>
    <x v="14"/>
    <x v="1"/>
    <s v="March"/>
    <s v="Loss"/>
    <n v="5.7660000000000196"/>
    <n v="61.466999999999992"/>
  </r>
  <r>
    <s v="2024-03-26"/>
    <n v="423.233"/>
    <x v="2682"/>
    <n v="418.995"/>
    <n v="419.29500000000002"/>
    <n v="16819615"/>
    <x v="5"/>
    <s v="Microsoft"/>
    <x v="0"/>
    <n v="-0.28599999999999998"/>
    <x v="14"/>
    <x v="1"/>
    <s v="March"/>
    <s v="Loss"/>
    <n v="4.6150000000000091"/>
    <n v="61.18099999999999"/>
  </r>
  <r>
    <s v="2024-03-27"/>
    <n v="422.06900000000002"/>
    <x v="2683"/>
    <n v="416.66899999999998"/>
    <n v="419.07499999999999"/>
    <n v="16798830"/>
    <x v="5"/>
    <s v="Microsoft"/>
    <x v="0"/>
    <n v="-5.1999999999999998E-2"/>
    <x v="14"/>
    <x v="1"/>
    <s v="March"/>
    <s v="Loss"/>
    <n v="5.410000000000025"/>
    <n v="61.128999999999991"/>
  </r>
  <r>
    <s v="2024-03-28"/>
    <n v="418.608"/>
    <x v="2684"/>
    <n v="416.77800000000002"/>
    <n v="418.37"/>
    <n v="21994038"/>
    <x v="5"/>
    <s v="Microsoft"/>
    <x v="0"/>
    <n v="-0.16800000000000001"/>
    <x v="14"/>
    <x v="1"/>
    <s v="March"/>
    <s v="Loss"/>
    <n v="2.7339999999999804"/>
    <n v="60.960999999999991"/>
  </r>
  <r>
    <s v="2024-04-01"/>
    <n v="421.58199999999999"/>
    <x v="2685"/>
    <n v="419.86200000000002"/>
    <n v="422.19900000000001"/>
    <n v="16407627"/>
    <x v="5"/>
    <s v="Microsoft"/>
    <x v="0"/>
    <n v="0.91500000000000004"/>
    <x v="15"/>
    <x v="1"/>
    <s v="April"/>
    <s v="Profit"/>
    <n v="5.6379999999999768"/>
    <n v="61.875999999999991"/>
  </r>
  <r>
    <s v="2024-04-02"/>
    <n v="417.76400000000001"/>
    <x v="2686"/>
    <n v="415.50599999999997"/>
    <n v="419.08499999999998"/>
    <n v="18012625"/>
    <x v="5"/>
    <s v="Microsoft"/>
    <x v="0"/>
    <n v="-0.73799999999999999"/>
    <x v="15"/>
    <x v="1"/>
    <s v="April"/>
    <s v="Loss"/>
    <n v="4.51400000000001"/>
    <n v="61.137999999999991"/>
  </r>
  <r>
    <s v="2024-04-03"/>
    <n v="417.38499999999999"/>
    <x v="2687"/>
    <n v="416.74299999999999"/>
    <n v="418.101"/>
    <n v="16594977"/>
    <x v="5"/>
    <s v="Microsoft"/>
    <x v="0"/>
    <n v="-0.23499999999999999"/>
    <x v="15"/>
    <x v="1"/>
    <s v="April"/>
    <s v="Loss"/>
    <n v="4.15300000000002"/>
    <n v="60.902999999999992"/>
  </r>
  <r>
    <s v="2024-04-04"/>
    <n v="422.61599999999999"/>
    <x v="2688"/>
    <n v="415.23700000000002"/>
    <n v="415.54599999999999"/>
    <n v="19479705"/>
    <x v="5"/>
    <s v="Microsoft"/>
    <x v="0"/>
    <n v="-0.61099999999999999"/>
    <x v="15"/>
    <x v="1"/>
    <s v="April"/>
    <s v="Loss"/>
    <n v="11.037999999999954"/>
    <n v="60.291999999999994"/>
  </r>
  <r>
    <s v="2024-04-05"/>
    <n v="417.66399999999999"/>
    <x v="2689"/>
    <n v="415.983"/>
    <n v="423.14299999999997"/>
    <n v="16647769"/>
    <x v="5"/>
    <s v="Microsoft"/>
    <x v="0"/>
    <n v="1.8280000000000001"/>
    <x v="15"/>
    <x v="1"/>
    <s v="April"/>
    <s v="Profit"/>
    <n v="8.1440000000000055"/>
    <n v="62.12"/>
  </r>
  <r>
    <s v="2024-04-08"/>
    <n v="422.79399999999998"/>
    <x v="2690"/>
    <n v="420.935"/>
    <n v="422.28699999999998"/>
    <n v="14341271"/>
    <x v="5"/>
    <s v="Microsoft"/>
    <x v="0"/>
    <n v="-0.20200000000000001"/>
    <x v="15"/>
    <x v="1"/>
    <s v="April"/>
    <s v="Loss"/>
    <n v="3.9590000000000032"/>
    <n v="61.917999999999999"/>
  </r>
  <r>
    <s v="2024-04-09"/>
    <n v="424.05700000000002"/>
    <x v="2691"/>
    <n v="419.26499999999999"/>
    <n v="423.89800000000002"/>
    <n v="12582585"/>
    <x v="5"/>
    <s v="Microsoft"/>
    <x v="0"/>
    <n v="0.38100000000000001"/>
    <x v="15"/>
    <x v="1"/>
    <s v="April"/>
    <s v="Profit"/>
    <n v="6.0860000000000127"/>
    <n v="62.298999999999999"/>
  </r>
  <r>
    <s v="2024-04-10"/>
    <n v="419.83199999999999"/>
    <x v="2692"/>
    <n v="417.35500000000002"/>
    <n v="420.89600000000002"/>
    <n v="16307689"/>
    <x v="5"/>
    <s v="Microsoft"/>
    <x v="0"/>
    <n v="-0.70799999999999996"/>
    <x v="15"/>
    <x v="1"/>
    <s v="April"/>
    <s v="Loss"/>
    <n v="4.3059999999999832"/>
    <n v="61.591000000000001"/>
  </r>
  <r>
    <s v="2024-04-11"/>
    <n v="423.44"/>
    <x v="2693"/>
    <n v="420"/>
    <n v="425.53899999999999"/>
    <n v="18067362"/>
    <x v="5"/>
    <s v="Microsoft"/>
    <x v="0"/>
    <n v="1.103"/>
    <x v="15"/>
    <x v="1"/>
    <s v="April"/>
    <s v="Profit"/>
    <n v="6.9710000000000036"/>
    <n v="62.694000000000003"/>
  </r>
  <r>
    <s v="2024-04-12"/>
    <n v="421.68099999999998"/>
    <x v="2694"/>
    <n v="417.42399999999998"/>
    <n v="419.54199999999997"/>
    <n v="19361922"/>
    <x v="5"/>
    <s v="Microsoft"/>
    <x v="0"/>
    <n v="-1.409"/>
    <x v="15"/>
    <x v="1"/>
    <s v="April"/>
    <s v="Loss"/>
    <n v="5.3799999999999955"/>
    <n v="61.285000000000004"/>
  </r>
  <r>
    <s v="2024-04-15"/>
    <n v="424.21699999999998"/>
    <x v="2695"/>
    <n v="411.12099999999998"/>
    <n v="411.32900000000001"/>
    <n v="20387439"/>
    <x v="5"/>
    <s v="Microsoft"/>
    <x v="0"/>
    <n v="-1.958"/>
    <x v="15"/>
    <x v="1"/>
    <s v="April"/>
    <s v="Loss"/>
    <n v="13.314000000000021"/>
    <n v="59.327000000000005"/>
  </r>
  <r>
    <s v="2024-04-16"/>
    <n v="412.25400000000002"/>
    <x v="2696"/>
    <n v="411.41800000000001"/>
    <n v="412.26400000000001"/>
    <n v="16859809"/>
    <x v="5"/>
    <s v="Microsoft"/>
    <x v="0"/>
    <n v="0.22700000000000001"/>
    <x v="15"/>
    <x v="1"/>
    <s v="April"/>
    <s v="Profit"/>
    <n v="4.6449999999999818"/>
    <n v="59.554000000000002"/>
  </r>
  <r>
    <s v="2024-04-17"/>
    <n v="414.91899999999998"/>
    <x v="2697"/>
    <n v="408.03699999999998"/>
    <n v="409.53800000000001"/>
    <n v="15944564"/>
    <x v="5"/>
    <s v="Microsoft"/>
    <x v="0"/>
    <n v="-0.66100000000000003"/>
    <x v="15"/>
    <x v="1"/>
    <s v="April"/>
    <s v="Loss"/>
    <n v="8.5030000000000427"/>
    <n v="58.893000000000001"/>
  </r>
  <r>
    <s v="2024-04-18"/>
    <n v="408.33699999999999"/>
    <x v="2698"/>
    <n v="401.69400000000002"/>
    <n v="402.01100000000002"/>
    <n v="21148067"/>
    <x v="5"/>
    <s v="Microsoft"/>
    <x v="0"/>
    <n v="-1.8380000000000001"/>
    <x v="15"/>
    <x v="1"/>
    <s v="April"/>
    <s v="Loss"/>
    <n v="7.8940000000000055"/>
    <n v="57.055"/>
  </r>
  <r>
    <s v="2024-04-19"/>
    <n v="401.77300000000002"/>
    <x v="2699"/>
    <n v="395.548"/>
    <n v="396.89"/>
    <n v="30167538"/>
    <x v="5"/>
    <s v="Microsoft"/>
    <x v="0"/>
    <n v="-1.274"/>
    <x v="15"/>
    <x v="1"/>
    <s v="April"/>
    <s v="Loss"/>
    <n v="7.5769999999999982"/>
    <n v="55.780999999999999"/>
  </r>
  <r>
    <s v="2024-04-22"/>
    <n v="397.84500000000003"/>
    <x v="2700"/>
    <n v="393.53800000000001"/>
    <n v="398.72"/>
    <n v="20400851"/>
    <x v="5"/>
    <s v="Microsoft"/>
    <x v="0"/>
    <n v="0.46100000000000002"/>
    <x v="15"/>
    <x v="1"/>
    <s v="April"/>
    <s v="Profit"/>
    <n v="7.0620000000000118"/>
    <n v="56.241999999999997"/>
  </r>
  <r>
    <s v="2024-04-23"/>
    <n v="401.976"/>
    <x v="2701"/>
    <n v="400.80799999999999"/>
    <n v="405.29300000000001"/>
    <n v="15822901"/>
    <x v="5"/>
    <s v="Microsoft"/>
    <x v="0"/>
    <n v="1.649"/>
    <x v="15"/>
    <x v="1"/>
    <s v="April"/>
    <s v="Profit"/>
    <n v="5.11099999999999"/>
    <n v="57.890999999999998"/>
  </r>
  <r>
    <s v="2024-04-24"/>
    <n v="407.27199999999999"/>
    <x v="2702"/>
    <n v="404.50700000000001"/>
    <n v="406.77499999999998"/>
    <n v="15149970"/>
    <x v="5"/>
    <s v="Microsoft"/>
    <x v="0"/>
    <n v="0.36599999999999999"/>
    <x v="15"/>
    <x v="1"/>
    <s v="April"/>
    <s v="Profit"/>
    <n v="5.6580000000000155"/>
    <n v="58.256999999999998"/>
  </r>
  <r>
    <s v="2024-04-25"/>
    <n v="391.82900000000001"/>
    <x v="2703"/>
    <n v="385.86200000000002"/>
    <n v="396.81099999999998"/>
    <n v="40814474"/>
    <x v="5"/>
    <s v="Microsoft"/>
    <x v="0"/>
    <n v="-2.4500000000000002"/>
    <x v="15"/>
    <x v="1"/>
    <s v="April"/>
    <s v="Loss"/>
    <n v="11.793999999999983"/>
    <n v="55.806999999999995"/>
  </r>
  <r>
    <s v="2024-04-26"/>
    <n v="409.86799999999999"/>
    <x v="2704"/>
    <n v="403.49299999999999"/>
    <n v="404.04899999999998"/>
    <n v="29861485"/>
    <x v="5"/>
    <s v="Microsoft"/>
    <x v="0"/>
    <n v="1.8240000000000001"/>
    <x v="15"/>
    <x v="1"/>
    <s v="April"/>
    <s v="Profit"/>
    <n v="7.1990000000000123"/>
    <n v="57.630999999999993"/>
  </r>
  <r>
    <s v="2024-04-29"/>
    <n v="402.98500000000001"/>
    <x v="2705"/>
    <n v="396.959"/>
    <n v="400.00299999999999"/>
    <n v="19692107"/>
    <x v="5"/>
    <s v="Microsoft"/>
    <x v="0"/>
    <n v="-1.0009999999999999"/>
    <x v="15"/>
    <x v="1"/>
    <s v="April"/>
    <s v="Loss"/>
    <n v="7.089999999999975"/>
    <n v="56.629999999999995"/>
  </r>
  <r>
    <s v="2024-04-30"/>
    <n v="399.24700000000001"/>
    <x v="2706"/>
    <n v="386.995"/>
    <n v="387.15499999999997"/>
    <n v="28943074"/>
    <x v="5"/>
    <s v="Microsoft"/>
    <x v="0"/>
    <n v="-3.2120000000000002"/>
    <x v="15"/>
    <x v="1"/>
    <s v="April"/>
    <s v="Loss"/>
    <n v="12.918999999999983"/>
    <n v="53.417999999999992"/>
  </r>
  <r>
    <s v="2024-05-01"/>
    <n v="390.41699999999997"/>
    <x v="2707"/>
    <n v="388.12900000000002"/>
    <n v="392.73399999999998"/>
    <n v="23694860"/>
    <x v="5"/>
    <s v="Microsoft"/>
    <x v="0"/>
    <n v="1.4410000000000001"/>
    <x v="16"/>
    <x v="1"/>
    <s v="May"/>
    <s v="Profit"/>
    <n v="11.34699999999998"/>
    <n v="54.858999999999995"/>
  </r>
  <r>
    <s v="2024-05-02"/>
    <n v="395.43799999999999"/>
    <x v="2708"/>
    <n v="392.44600000000003"/>
    <n v="395.61799999999999"/>
    <n v="17808859"/>
    <x v="5"/>
    <s v="Microsoft"/>
    <x v="0"/>
    <n v="0.73399999999999999"/>
    <x v="16"/>
    <x v="1"/>
    <s v="May"/>
    <s v="Profit"/>
    <n v="5.25"/>
    <n v="55.592999999999996"/>
  </r>
  <r>
    <s v="2024-05-03"/>
    <n v="400.03300000000002"/>
    <x v="2709"/>
    <n v="399.61399999999998"/>
    <n v="404.38900000000001"/>
    <n v="17544743"/>
    <x v="5"/>
    <s v="Microsoft"/>
    <x v="0"/>
    <n v="2.2170000000000001"/>
    <x v="16"/>
    <x v="1"/>
    <s v="May"/>
    <s v="Profit"/>
    <n v="5.2620000000000005"/>
    <n v="57.809999999999995"/>
  </r>
  <r>
    <s v="2024-05-06"/>
    <n v="406.476"/>
    <x v="2710"/>
    <n v="404.09899999999999"/>
    <n v="411.22899999999998"/>
    <n v="17092130"/>
    <x v="5"/>
    <s v="Microsoft"/>
    <x v="0"/>
    <n v="1.6910000000000001"/>
    <x v="16"/>
    <x v="1"/>
    <s v="May"/>
    <s v="Profit"/>
    <n v="7.5190000000000055"/>
    <n v="59.500999999999998"/>
  </r>
  <r>
    <s v="2024-05-07"/>
    <n v="412.34300000000002"/>
    <x v="2711"/>
    <n v="406.80399999999997"/>
    <n v="407.053"/>
    <n v="20130695"/>
    <x v="5"/>
    <s v="Microsoft"/>
    <x v="0"/>
    <n v="-1.0149999999999999"/>
    <x v="16"/>
    <x v="1"/>
    <s v="May"/>
    <s v="Loss"/>
    <n v="5.549000000000035"/>
    <n v="58.485999999999997"/>
  </r>
  <r>
    <s v="2024-05-08"/>
    <n v="405.89"/>
    <x v="2712"/>
    <n v="404.44099999999997"/>
    <n v="408.24700000000001"/>
    <n v="11858559"/>
    <x v="5"/>
    <s v="Microsoft"/>
    <x v="0"/>
    <n v="0.29299999999999998"/>
    <x v="16"/>
    <x v="1"/>
    <s v="May"/>
    <s v="Profit"/>
    <n v="5.4860000000000468"/>
    <n v="58.778999999999996"/>
  </r>
  <r>
    <s v="2024-05-09"/>
    <n v="408.27699999999999"/>
    <x v="2713"/>
    <n v="406.81400000000002"/>
    <n v="410.017"/>
    <n v="14772257"/>
    <x v="5"/>
    <s v="Microsoft"/>
    <x v="0"/>
    <n v="0.434"/>
    <x v="16"/>
    <x v="1"/>
    <s v="May"/>
    <s v="Profit"/>
    <n v="3.5999999999999659"/>
    <n v="59.212999999999994"/>
  </r>
  <r>
    <s v="2024-05-10"/>
    <n v="410.62799999999999"/>
    <x v="2714"/>
    <n v="409.49900000000002"/>
    <n v="412.42200000000003"/>
    <n v="13477578"/>
    <x v="5"/>
    <s v="Microsoft"/>
    <x v="0"/>
    <n v="0.58699999999999997"/>
    <x v="16"/>
    <x v="1"/>
    <s v="May"/>
    <s v="Profit"/>
    <n v="3.5600000000000023"/>
    <n v="59.8"/>
  </r>
  <r>
    <s v="2024-05-13"/>
    <n v="415.67399999999998"/>
    <x v="2715"/>
    <n v="408.524"/>
    <n v="411.40899999999999"/>
    <n v="15526972"/>
    <x v="5"/>
    <s v="Microsoft"/>
    <x v="0"/>
    <n v="-0.246"/>
    <x v="16"/>
    <x v="1"/>
    <s v="May"/>
    <s v="Loss"/>
    <n v="7.4870000000000232"/>
    <n v="59.553999999999995"/>
  </r>
  <r>
    <s v="2024-05-14"/>
    <n v="409.71800000000002"/>
    <x v="2716"/>
    <n v="409.25099999999998"/>
    <n v="414.233"/>
    <n v="15194193"/>
    <x v="5"/>
    <s v="Microsoft"/>
    <x v="0"/>
    <n v="0.68600000000000005"/>
    <x v="16"/>
    <x v="1"/>
    <s v="May"/>
    <s v="Profit"/>
    <n v="5.9060000000000059"/>
    <n v="60.239999999999995"/>
  </r>
  <r>
    <s v="2024-05-15"/>
    <n v="416.315"/>
    <x v="2717"/>
    <n v="415.68700000000001"/>
    <n v="421.47500000000002"/>
    <n v="22324213"/>
    <x v="5"/>
    <s v="Microsoft"/>
    <x v="0"/>
    <n v="1.748"/>
    <x v="16"/>
    <x v="1"/>
    <s v="May"/>
    <s v="Profit"/>
    <n v="6.5149999999999864"/>
    <n v="61.987999999999992"/>
  </r>
  <r>
    <s v="2024-05-16"/>
    <n v="420.2"/>
    <x v="2718"/>
    <n v="418.75599999999997"/>
    <n v="419.39400000000001"/>
    <n v="17596798"/>
    <x v="5"/>
    <s v="Microsoft"/>
    <x v="0"/>
    <n v="-0.49399999999999999"/>
    <x v="16"/>
    <x v="1"/>
    <s v="May"/>
    <s v="Loss"/>
    <n v="5.0510000000000446"/>
    <n v="61.493999999999993"/>
  </r>
  <r>
    <s v="2024-05-17"/>
    <n v="420.93700000000001"/>
    <x v="2719"/>
    <n v="416.43900000000002"/>
    <n v="418.61599999999999"/>
    <n v="15410695"/>
    <x v="5"/>
    <s v="Microsoft"/>
    <x v="0"/>
    <n v="-0.186"/>
    <x v="16"/>
    <x v="1"/>
    <s v="May"/>
    <s v="Loss"/>
    <n v="4.8769999999999527"/>
    <n v="61.307999999999993"/>
  </r>
  <r>
    <s v="2024-05-20"/>
    <n v="418.61599999999999"/>
    <x v="2720"/>
    <n v="418.39699999999999"/>
    <n v="423.72699999999998"/>
    <n v="16334095"/>
    <x v="5"/>
    <s v="Microsoft"/>
    <x v="0"/>
    <n v="1.2210000000000001"/>
    <x v="16"/>
    <x v="1"/>
    <s v="May"/>
    <s v="Profit"/>
    <n v="6.7540000000000191"/>
    <n v="62.528999999999996"/>
  </r>
  <r>
    <s v="2024-05-21"/>
    <n v="425.20600000000002"/>
    <x v="2721"/>
    <n v="423.23899999999998"/>
    <n v="427.41199999999998"/>
    <n v="21534941"/>
    <x v="5"/>
    <s v="Microsoft"/>
    <x v="0"/>
    <n v="0.87"/>
    <x v="16"/>
    <x v="1"/>
    <s v="May"/>
    <s v="Profit"/>
    <n v="8.0889999999999986"/>
    <n v="63.398999999999994"/>
  </r>
  <r>
    <s v="2024-05-22"/>
    <n v="428.45800000000003"/>
    <x v="2722"/>
    <n v="425.51"/>
    <n v="428.887"/>
    <n v="18142516"/>
    <x v="5"/>
    <s v="Microsoft"/>
    <x v="0"/>
    <n v="0.34499999999999997"/>
    <x v="16"/>
    <x v="1"/>
    <s v="May"/>
    <s v="Profit"/>
    <n v="5.2599999999999909"/>
    <n v="63.743999999999993"/>
  </r>
  <r>
    <s v="2024-05-23"/>
    <n v="431.32799999999997"/>
    <x v="2723"/>
    <n v="423.81099999999998"/>
    <n v="425.38099999999997"/>
    <n v="17277225"/>
    <x v="5"/>
    <s v="Microsoft"/>
    <x v="0"/>
    <n v="-0.81699999999999995"/>
    <x v="16"/>
    <x v="1"/>
    <s v="May"/>
    <s v="Loss"/>
    <n v="8.1440000000000055"/>
    <n v="62.926999999999992"/>
  </r>
  <r>
    <s v="2024-05-24"/>
    <n v="425.56900000000002"/>
    <x v="2724"/>
    <n v="422.8"/>
    <n v="428.52800000000002"/>
    <n v="11900425"/>
    <x v="5"/>
    <s v="Microsoft"/>
    <x v="0"/>
    <n v="0.74"/>
    <x v="16"/>
    <x v="1"/>
    <s v="May"/>
    <s v="Profit"/>
    <n v="6.6189999999999714"/>
    <n v="63.666999999999994"/>
  </r>
  <r>
    <s v="2024-05-28"/>
    <n v="428"/>
    <x v="2725"/>
    <n v="424.98099999999999"/>
    <n v="428.68799999999999"/>
    <n v="15777872"/>
    <x v="5"/>
    <s v="Microsoft"/>
    <x v="0"/>
    <n v="3.6999999999999998E-2"/>
    <x v="16"/>
    <x v="1"/>
    <s v="May"/>
    <s v="Profit"/>
    <n v="4.2049999999999841"/>
    <n v="63.703999999999994"/>
  </r>
  <r>
    <s v="2024-05-29"/>
    <n v="424.07499999999999"/>
    <x v="2726"/>
    <n v="424.07499999999999"/>
    <n v="427.54199999999997"/>
    <n v="15576213"/>
    <x v="5"/>
    <s v="Microsoft"/>
    <x v="0"/>
    <n v="-0.26700000000000002"/>
    <x v="16"/>
    <x v="1"/>
    <s v="May"/>
    <s v="Loss"/>
    <n v="5.2309999999999945"/>
    <n v="63.436999999999991"/>
  </r>
  <r>
    <s v="2024-05-30"/>
    <n v="422.69099999999997"/>
    <x v="2727"/>
    <n v="412.66899999999998"/>
    <n v="413.09699999999998"/>
    <n v="28533079"/>
    <x v="5"/>
    <s v="Microsoft"/>
    <x v="0"/>
    <n v="-3.379"/>
    <x v="16"/>
    <x v="1"/>
    <s v="May"/>
    <s v="Loss"/>
    <n v="10.021999999999991"/>
    <n v="60.057999999999993"/>
  </r>
  <r>
    <s v="2024-05-31"/>
    <n v="415.16899999999998"/>
    <x v="2728"/>
    <n v="402.97500000000002"/>
    <n v="413.55500000000001"/>
    <n v="48177999"/>
    <x v="5"/>
    <s v="Microsoft"/>
    <x v="0"/>
    <n v="0.111"/>
    <x v="16"/>
    <x v="1"/>
    <s v="May"/>
    <s v="Profit"/>
    <n v="12.19399999999996"/>
    <n v="60.16899999999999"/>
  </r>
  <r>
    <s v="2024-06-03"/>
    <n v="413.94799999999998"/>
    <x v="2729"/>
    <n v="407.37299999999999"/>
    <n v="411.95100000000002"/>
    <n v="17551250"/>
    <x v="5"/>
    <s v="Microsoft"/>
    <x v="0"/>
    <n v="-0.38800000000000001"/>
    <x v="17"/>
    <x v="1"/>
    <s v="June"/>
    <s v="Loss"/>
    <n v="7.4780000000000086"/>
    <n v="59.780999999999992"/>
  </r>
  <r>
    <s v="2024-06-04"/>
    <n v="410.86599999999999"/>
    <x v="2730"/>
    <n v="408.12099999999998"/>
    <n v="414.49099999999999"/>
    <n v="14403552"/>
    <x v="5"/>
    <s v="Microsoft"/>
    <x v="0"/>
    <n v="0.61699999999999999"/>
    <x v="17"/>
    <x v="1"/>
    <s v="June"/>
    <s v="Profit"/>
    <n v="6.7400000000000091"/>
    <n v="60.397999999999989"/>
  </r>
  <r>
    <s v="2024-06-05"/>
    <n v="416.22500000000002"/>
    <x v="2731"/>
    <n v="414.721"/>
    <n v="422.40199999999999"/>
    <n v="17052722"/>
    <x v="5"/>
    <s v="Microsoft"/>
    <x v="0"/>
    <n v="1.909"/>
    <x v="17"/>
    <x v="1"/>
    <s v="June"/>
    <s v="Profit"/>
    <n v="7.75"/>
    <n v="62.306999999999988"/>
  </r>
  <r>
    <s v="2024-06-06"/>
    <n v="422.40199999999999"/>
    <x v="2732"/>
    <n v="418.98399999999998"/>
    <n v="422.90899999999999"/>
    <n v="14917837"/>
    <x v="5"/>
    <s v="Microsoft"/>
    <x v="0"/>
    <n v="0.12"/>
    <x v="17"/>
    <x v="1"/>
    <s v="June"/>
    <s v="Profit"/>
    <n v="4.7130000000000223"/>
    <n v="62.426999999999985"/>
  </r>
  <r>
    <s v="2024-06-07"/>
    <n v="424.58300000000003"/>
    <x v="2733"/>
    <n v="421.39600000000002"/>
    <n v="422.24200000000002"/>
    <n v="13673516"/>
    <x v="5"/>
    <s v="Microsoft"/>
    <x v="0"/>
    <n v="-0.158"/>
    <x v="17"/>
    <x v="1"/>
    <s v="June"/>
    <s v="Loss"/>
    <n v="3.2669999999999959"/>
    <n v="62.268999999999984"/>
  </r>
  <r>
    <s v="2024-06-10"/>
    <n v="423.089"/>
    <x v="2734"/>
    <n v="422.28199999999998"/>
    <n v="426.24700000000001"/>
    <n v="14056352"/>
    <x v="5"/>
    <s v="Microsoft"/>
    <x v="0"/>
    <n v="0.94899999999999995"/>
    <x v="17"/>
    <x v="1"/>
    <s v="June"/>
    <s v="Profit"/>
    <n v="4.174000000000035"/>
    <n v="63.217999999999982"/>
  </r>
  <r>
    <s v="2024-06-11"/>
    <n v="423.86200000000002"/>
    <x v="2735"/>
    <n v="423.637"/>
    <n v="431.03899999999999"/>
    <n v="14606506"/>
    <x v="5"/>
    <s v="Microsoft"/>
    <x v="0"/>
    <n v="1.1240000000000001"/>
    <x v="17"/>
    <x v="1"/>
    <s v="June"/>
    <s v="Profit"/>
    <n v="7.5409999999999968"/>
    <n v="64.341999999999985"/>
  </r>
  <r>
    <s v="2024-06-12"/>
    <n v="433.66899999999998"/>
    <x v="2736"/>
    <n v="431.60700000000003"/>
    <n v="439.387"/>
    <n v="22451395"/>
    <x v="5"/>
    <s v="Microsoft"/>
    <x v="0"/>
    <n v="1.9370000000000001"/>
    <x v="17"/>
    <x v="1"/>
    <s v="June"/>
    <s v="Profit"/>
    <n v="10.11099999999999"/>
    <n v="66.278999999999982"/>
  </r>
  <r>
    <s v="2024-06-13"/>
    <n v="439.178"/>
    <x v="2737"/>
    <n v="437.70400000000001"/>
    <n v="439.90499999999997"/>
    <n v="16021337"/>
    <x v="5"/>
    <s v="Microsoft"/>
    <x v="0"/>
    <n v="0.11799999999999999"/>
    <x v="17"/>
    <x v="1"/>
    <s v="June"/>
    <s v="Profit"/>
    <n v="4.0040000000000191"/>
    <n v="66.396999999999977"/>
  </r>
  <r>
    <s v="2024-06-14"/>
    <n v="436.61200000000002"/>
    <x v="2738"/>
    <n v="435.06400000000002"/>
    <n v="440.89100000000002"/>
    <n v="13633700"/>
    <x v="5"/>
    <s v="Microsoft"/>
    <x v="0"/>
    <n v="0.224"/>
    <x v="17"/>
    <x v="1"/>
    <s v="June"/>
    <s v="Profit"/>
    <n v="6.3919999999999959"/>
    <n v="66.620999999999981"/>
  </r>
  <r>
    <s v="2024-06-17"/>
    <n v="440.90600000000001"/>
    <x v="2739"/>
    <n v="439.048"/>
    <n v="446.66899999999998"/>
    <n v="20869191"/>
    <x v="5"/>
    <s v="Microsoft"/>
    <x v="0"/>
    <n v="1.3109999999999999"/>
    <x v="17"/>
    <x v="1"/>
    <s v="June"/>
    <s v="Profit"/>
    <n v="10.182000000000016"/>
    <n v="67.931999999999988"/>
  </r>
  <r>
    <s v="2024-06-18"/>
    <n v="447.99900000000002"/>
    <x v="2740"/>
    <n v="443.20299999999997"/>
    <n v="444.64699999999999"/>
    <n v="17177662"/>
    <x v="5"/>
    <s v="Microsoft"/>
    <x v="0"/>
    <n v="-0.45300000000000001"/>
    <x v="17"/>
    <x v="1"/>
    <s v="June"/>
    <s v="Loss"/>
    <n v="5.2290000000000418"/>
    <n v="67.478999999999985"/>
  </r>
  <r>
    <s v="2024-06-20"/>
    <n v="444.60700000000003"/>
    <x v="2741"/>
    <n v="439.596"/>
    <n v="444.00900000000001"/>
    <n v="19953064"/>
    <x v="5"/>
    <s v="Microsoft"/>
    <x v="0"/>
    <n v="-0.14299999999999999"/>
    <x v="17"/>
    <x v="1"/>
    <s v="June"/>
    <s v="Loss"/>
    <n v="5.2409999999999854"/>
    <n v="67.335999999999984"/>
  </r>
  <r>
    <s v="2024-06-21"/>
    <n v="445.68299999999999"/>
    <x v="2742"/>
    <n v="444.81700000000001"/>
    <n v="448.07400000000001"/>
    <n v="34617483"/>
    <x v="5"/>
    <s v="Microsoft"/>
    <x v="0"/>
    <n v="0.91600000000000004"/>
    <x v="17"/>
    <x v="1"/>
    <s v="June"/>
    <s v="Profit"/>
    <n v="4.0539999999999736"/>
    <n v="68.251999999999981"/>
  </r>
  <r>
    <s v="2024-06-24"/>
    <n v="448.09399999999999"/>
    <x v="2743"/>
    <n v="444.71699999999998"/>
    <n v="445.97199999999998"/>
    <n v="15974312"/>
    <x v="5"/>
    <s v="Microsoft"/>
    <x v="0"/>
    <n v="-0.46899999999999997"/>
    <x v="17"/>
    <x v="1"/>
    <s v="June"/>
    <s v="Loss"/>
    <n v="6.3149999999999977"/>
    <n v="67.782999999999987"/>
  </r>
  <r>
    <s v="2024-06-25"/>
    <n v="446.55"/>
    <x v="2744"/>
    <n v="445.05500000000001"/>
    <n v="449.24"/>
    <n v="16811297"/>
    <x v="5"/>
    <s v="Microsoft"/>
    <x v="0"/>
    <n v="0.73299999999999998"/>
    <x v="17"/>
    <x v="1"/>
    <s v="June"/>
    <s v="Profit"/>
    <n v="4.65300000000002"/>
    <n v="68.515999999999991"/>
  </r>
  <r>
    <s v="2024-06-26"/>
    <n v="447.29700000000003"/>
    <x v="2745"/>
    <n v="446.49"/>
    <n v="450.44400000000002"/>
    <n v="16569883"/>
    <x v="5"/>
    <s v="Microsoft"/>
    <x v="0"/>
    <n v="0.26800000000000002"/>
    <x v="17"/>
    <x v="1"/>
    <s v="June"/>
    <s v="Profit"/>
    <n v="5.38900000000001"/>
    <n v="68.783999999999992"/>
  </r>
  <r>
    <s v="2024-06-27"/>
    <n v="450.459"/>
    <x v="2746"/>
    <n v="450.05599999999998"/>
    <n v="451.13200000000001"/>
    <n v="14862701"/>
    <x v="5"/>
    <s v="Microsoft"/>
    <x v="0"/>
    <n v="0.153"/>
    <x v="17"/>
    <x v="1"/>
    <s v="June"/>
    <s v="Profit"/>
    <n v="4.3830000000000382"/>
    <n v="68.936999999999998"/>
  </r>
  <r>
    <s v="2024-06-28"/>
    <n v="451.35199999999998"/>
    <x v="2747"/>
    <n v="444.71699999999998"/>
    <n v="445.255"/>
    <n v="28470264"/>
    <x v="5"/>
    <s v="Microsoft"/>
    <x v="0"/>
    <n v="-1.3029999999999999"/>
    <x v="17"/>
    <x v="1"/>
    <s v="June"/>
    <s v="Loss"/>
    <n v="8.9360000000000355"/>
    <n v="67.634"/>
  </r>
  <r>
    <s v="2024-07-01"/>
    <n v="446.95800000000003"/>
    <x v="2748"/>
    <n v="443.96899999999999"/>
    <n v="454.99700000000001"/>
    <n v="17730071"/>
    <x v="5"/>
    <s v="Microsoft"/>
    <x v="0"/>
    <n v="2.1880000000000002"/>
    <x v="18"/>
    <x v="1"/>
    <s v="July"/>
    <s v="Profit"/>
    <n v="11.665999999999997"/>
    <n v="69.822000000000003"/>
  </r>
  <r>
    <s v="2024-07-02"/>
    <n v="451.48099999999999"/>
    <x v="2749"/>
    <n v="451.39400000000001"/>
    <n v="457.53800000000001"/>
    <n v="14033009"/>
    <x v="5"/>
    <s v="Microsoft"/>
    <x v="0"/>
    <n v="0.55800000000000005"/>
    <x v="18"/>
    <x v="1"/>
    <s v="July"/>
    <s v="Profit"/>
    <n v="6.4529999999999745"/>
    <n v="70.38000000000001"/>
  </r>
  <r>
    <s v="2024-07-03"/>
    <n v="456.452"/>
    <x v="2750"/>
    <n v="456.14299999999997"/>
    <n v="459.02199999999999"/>
    <n v="9970650"/>
    <x v="5"/>
    <s v="Microsoft"/>
    <x v="0"/>
    <n v="0.32400000000000001"/>
    <x v="18"/>
    <x v="1"/>
    <s v="July"/>
    <s v="Profit"/>
    <n v="3.1290000000000191"/>
    <n v="70.704000000000008"/>
  </r>
  <r>
    <s v="2024-07-05"/>
    <n v="457.86700000000002"/>
    <x v="2751"/>
    <n v="457.22399999999999"/>
    <n v="465.78699999999998"/>
    <n v="16061213"/>
    <x v="5"/>
    <s v="Microsoft"/>
    <x v="0"/>
    <n v="1.474"/>
    <x v="18"/>
    <x v="1"/>
    <s v="July"/>
    <s v="Profit"/>
    <n v="9.3489999999999895"/>
    <n v="72.178000000000011"/>
  </r>
  <r>
    <s v="2024-07-08"/>
    <n v="464.78100000000001"/>
    <x v="2752"/>
    <n v="462.69799999999998"/>
    <n v="464.471"/>
    <n v="13011677"/>
    <x v="5"/>
    <s v="Microsoft"/>
    <x v="0"/>
    <n v="-0.28299999999999997"/>
    <x v="18"/>
    <x v="1"/>
    <s v="July"/>
    <s v="Loss"/>
    <n v="3.2280000000000086"/>
    <n v="71.89500000000001"/>
  </r>
  <r>
    <s v="2024-07-09"/>
    <n v="465.22899999999998"/>
    <x v="2753"/>
    <n v="456.26299999999998"/>
    <n v="457.79700000000003"/>
    <n v="17294107"/>
    <x v="5"/>
    <s v="Microsoft"/>
    <x v="0"/>
    <n v="-1.4370000000000001"/>
    <x v="18"/>
    <x v="1"/>
    <s v="July"/>
    <s v="Loss"/>
    <n v="9.2940000000000396"/>
    <n v="70.458000000000013"/>
  </r>
  <r>
    <s v="2024-07-10"/>
    <n v="459.47"/>
    <x v="2754"/>
    <n v="457.11399999999998"/>
    <n v="464.48099999999999"/>
    <n v="18265384"/>
    <x v="5"/>
    <s v="Microsoft"/>
    <x v="0"/>
    <n v="1.46"/>
    <x v="18"/>
    <x v="1"/>
    <s v="July"/>
    <s v="Profit"/>
    <n v="7.5769999999999982"/>
    <n v="71.918000000000006"/>
  </r>
  <r>
    <s v="2024-07-11"/>
    <n v="461.22399999999999"/>
    <x v="2755"/>
    <n v="449.83800000000002"/>
    <n v="452.97500000000002"/>
    <n v="23199174"/>
    <x v="5"/>
    <s v="Microsoft"/>
    <x v="0"/>
    <n v="-2.4769999999999999"/>
    <x v="18"/>
    <x v="1"/>
    <s v="July"/>
    <s v="Loss"/>
    <n v="13.178999999999974"/>
    <n v="69.441000000000003"/>
  </r>
  <r>
    <s v="2024-07-12"/>
    <n v="452.60199999999998"/>
    <x v="2756"/>
    <n v="448.935"/>
    <n v="451.83"/>
    <n v="16386431"/>
    <x v="5"/>
    <s v="Microsoft"/>
    <x v="0"/>
    <n v="-0.253"/>
    <x v="18"/>
    <x v="1"/>
    <s v="July"/>
    <s v="Loss"/>
    <n v="5.6940000000000168"/>
    <n v="69.188000000000002"/>
  </r>
  <r>
    <s v="2024-07-15"/>
    <n v="451.58"/>
    <x v="2757"/>
    <n v="449.71800000000002"/>
    <n v="452.238"/>
    <n v="14484389"/>
    <x v="5"/>
    <s v="Microsoft"/>
    <x v="0"/>
    <n v="0.09"/>
    <x v="18"/>
    <x v="1"/>
    <s v="July"/>
    <s v="Profit"/>
    <n v="5.8069999999999595"/>
    <n v="69.278000000000006"/>
  </r>
  <r>
    <s v="2024-07-16"/>
    <n v="452.49700000000001"/>
    <x v="2758"/>
    <n v="444.96499999999997"/>
    <n v="447.815"/>
    <n v="17241078"/>
    <x v="5"/>
    <s v="Microsoft"/>
    <x v="0"/>
    <n v="-0.97799999999999998"/>
    <x v="18"/>
    <x v="1"/>
    <s v="July"/>
    <s v="Loss"/>
    <n v="7.6120000000000232"/>
    <n v="68.300000000000011"/>
  </r>
  <r>
    <s v="2024-07-17"/>
    <n v="440.911"/>
    <x v="2759"/>
    <n v="437.51400000000001"/>
    <n v="441.83800000000002"/>
    <n v="21836852"/>
    <x v="5"/>
    <s v="Microsoft"/>
    <x v="0"/>
    <n v="-1.335"/>
    <x v="18"/>
    <x v="1"/>
    <s v="July"/>
    <s v="Loss"/>
    <n v="5.6490000000000009"/>
    <n v="66.965000000000018"/>
  </r>
  <r>
    <s v="2024-07-18"/>
    <n v="442.65499999999997"/>
    <x v="2760"/>
    <n v="432.75200000000001"/>
    <n v="438.7"/>
    <n v="20874001"/>
    <x v="5"/>
    <s v="Microsoft"/>
    <x v="0"/>
    <n v="-0.71"/>
    <x v="18"/>
    <x v="1"/>
    <s v="July"/>
    <s v="Loss"/>
    <n v="10.211000000000013"/>
    <n v="66.255000000000024"/>
  </r>
  <r>
    <s v="2024-07-19"/>
    <n v="431.45699999999999"/>
    <x v="2761"/>
    <n v="430.36200000000002"/>
    <n v="435.452"/>
    <n v="21020150"/>
    <x v="5"/>
    <s v="Microsoft"/>
    <x v="0"/>
    <n v="-0.74"/>
    <x v="18"/>
    <x v="1"/>
    <s v="July"/>
    <s v="Loss"/>
    <n v="9.103999999999985"/>
    <n v="65.515000000000029"/>
  </r>
  <r>
    <s v="2024-07-22"/>
    <n v="440.11399999999998"/>
    <x v="2762"/>
    <n v="437.24799999999999"/>
    <n v="441.26"/>
    <n v="15868949"/>
    <x v="5"/>
    <s v="Microsoft"/>
    <x v="0"/>
    <n v="1.3340000000000001"/>
    <x v="18"/>
    <x v="1"/>
    <s v="July"/>
    <s v="Profit"/>
    <n v="5.6650000000000205"/>
    <n v="66.849000000000032"/>
  </r>
  <r>
    <s v="2024-07-23"/>
    <n v="442.21100000000001"/>
    <x v="2763"/>
    <n v="441.41899999999998"/>
    <n v="443.16300000000001"/>
    <n v="13156957"/>
    <x v="5"/>
    <s v="Microsoft"/>
    <x v="0"/>
    <n v="0.43099999999999999"/>
    <x v="18"/>
    <x v="1"/>
    <s v="July"/>
    <s v="Profit"/>
    <n v="5.2700000000000387"/>
    <n v="67.28000000000003"/>
  </r>
  <r>
    <s v="2024-07-24"/>
    <n v="438.78"/>
    <x v="2764"/>
    <n v="425.96300000000002"/>
    <n v="427.27300000000002"/>
    <n v="26907867"/>
    <x v="5"/>
    <s v="Microsoft"/>
    <x v="0"/>
    <n v="-3.5859999999999999"/>
    <x v="18"/>
    <x v="1"/>
    <s v="July"/>
    <s v="Loss"/>
    <n v="13.842999999999961"/>
    <n v="63.694000000000031"/>
  </r>
  <r>
    <s v="2024-07-25"/>
    <n v="427.17399999999998"/>
    <x v="2765"/>
    <n v="415.92599999999999"/>
    <n v="416.81299999999999"/>
    <n v="30057810"/>
    <x v="5"/>
    <s v="Microsoft"/>
    <x v="0"/>
    <n v="-2.448"/>
    <x v="18"/>
    <x v="1"/>
    <s v="July"/>
    <s v="Loss"/>
    <n v="12.244000000000028"/>
    <n v="61.246000000000031"/>
  </r>
  <r>
    <s v="2024-07-26"/>
    <n v="416.61399999999998"/>
    <x v="2766"/>
    <n v="415.68700000000001"/>
    <n v="423.65699999999998"/>
    <n v="23673638"/>
    <x v="5"/>
    <s v="Microsoft"/>
    <x v="0"/>
    <n v="1.6419999999999999"/>
    <x v="18"/>
    <x v="1"/>
    <s v="July"/>
    <s v="Profit"/>
    <n v="11.600999999999999"/>
    <n v="62.888000000000034"/>
  </r>
  <r>
    <s v="2024-07-29"/>
    <n v="429.94299999999998"/>
    <x v="2767"/>
    <n v="423.09300000000002"/>
    <n v="425.11099999999999"/>
    <n v="15183429"/>
    <x v="5"/>
    <s v="Microsoft"/>
    <x v="0"/>
    <n v="0.34300000000000003"/>
    <x v="18"/>
    <x v="1"/>
    <s v="July"/>
    <s v="Profit"/>
    <n v="7.4169999999999732"/>
    <n v="63.231000000000037"/>
  </r>
  <r>
    <s v="2024-07-30"/>
    <n v="426.09699999999998"/>
    <x v="2768"/>
    <n v="415.77699999999999"/>
    <n v="421.31599999999997"/>
    <n v="32812041"/>
    <x v="5"/>
    <s v="Microsoft"/>
    <x v="0"/>
    <n v="-0.89300000000000002"/>
    <x v="18"/>
    <x v="1"/>
    <s v="July"/>
    <s v="Loss"/>
    <n v="11.645000000000039"/>
    <n v="62.338000000000036"/>
  </r>
  <r>
    <s v="2024-07-31"/>
    <n v="418.9"/>
    <x v="2769"/>
    <n v="410.64600000000002"/>
    <n v="416.76299999999998"/>
    <n v="43054681"/>
    <x v="5"/>
    <s v="Microsoft"/>
    <x v="0"/>
    <n v="-1.081"/>
    <x v="18"/>
    <x v="1"/>
    <s v="July"/>
    <s v="Loss"/>
    <n v="9.5289999999999964"/>
    <n v="61.257000000000033"/>
  </r>
  <r>
    <s v="2024-08-01"/>
    <n v="419.18900000000002"/>
    <x v="2770"/>
    <n v="411.52300000000002"/>
    <n v="415.52800000000002"/>
    <n v="30411758"/>
    <x v="5"/>
    <s v="Microsoft"/>
    <x v="0"/>
    <n v="-0.29599999999999999"/>
    <x v="19"/>
    <x v="1"/>
    <s v="August"/>
    <s v="Loss"/>
    <n v="14.315999999999974"/>
    <n v="60.961000000000034"/>
  </r>
  <r>
    <s v="2024-08-02"/>
    <n v="410.92500000000001"/>
    <x v="2771"/>
    <n v="402.80700000000002"/>
    <n v="406.94"/>
    <n v="29549989"/>
    <x v="5"/>
    <s v="Microsoft"/>
    <x v="0"/>
    <n v="-2.0670000000000002"/>
    <x v="19"/>
    <x v="1"/>
    <s v="August"/>
    <s v="Loss"/>
    <n v="10.617999999999995"/>
    <n v="58.894000000000034"/>
  </r>
  <r>
    <s v="2024-08-05"/>
    <n v="387.69400000000002"/>
    <x v="2772"/>
    <n v="384.11700000000002"/>
    <n v="393.65100000000001"/>
    <n v="40864244"/>
    <x v="5"/>
    <s v="Microsoft"/>
    <x v="0"/>
    <n v="-3.266"/>
    <x v="19"/>
    <x v="1"/>
    <s v="August"/>
    <s v="Loss"/>
    <n v="15.400999999999954"/>
    <n v="55.628000000000036"/>
  </r>
  <r>
    <s v="2024-08-06"/>
    <n v="398.48200000000003"/>
    <x v="2773"/>
    <n v="396.988"/>
    <n v="398.09399999999999"/>
    <n v="25041512"/>
    <x v="5"/>
    <s v="Microsoft"/>
    <x v="0"/>
    <n v="1.129"/>
    <x v="19"/>
    <x v="1"/>
    <s v="August"/>
    <s v="Profit"/>
    <n v="7.1429999999999723"/>
    <n v="56.757000000000033"/>
  </r>
  <r>
    <s v="2024-08-07"/>
    <n v="407.08499999999998"/>
    <x v="2774"/>
    <n v="395.96199999999999"/>
    <n v="396.91899999999998"/>
    <n v="20729537"/>
    <x v="5"/>
    <s v="Microsoft"/>
    <x v="0"/>
    <n v="-0.29499999999999998"/>
    <x v="19"/>
    <x v="1"/>
    <s v="August"/>
    <s v="Loss"/>
    <n v="12.562000000000012"/>
    <n v="56.462000000000032"/>
  </r>
  <r>
    <s v="2024-08-08"/>
    <n v="400.91399999999999"/>
    <x v="2775"/>
    <n v="398.423"/>
    <n v="401.16199999999998"/>
    <n v="20279956"/>
    <x v="5"/>
    <s v="Microsoft"/>
    <x v="0"/>
    <n v="1.069"/>
    <x v="19"/>
    <x v="1"/>
    <s v="August"/>
    <s v="Profit"/>
    <n v="5.8980000000000246"/>
    <n v="57.531000000000034"/>
  </r>
  <r>
    <s v="2024-08-09"/>
    <n v="402.49700000000001"/>
    <x v="2776"/>
    <n v="400.73700000000002"/>
    <n v="404.48"/>
    <n v="19350064"/>
    <x v="5"/>
    <s v="Microsoft"/>
    <x v="0"/>
    <n v="0.82699999999999996"/>
    <x v="19"/>
    <x v="1"/>
    <s v="August"/>
    <s v="Profit"/>
    <n v="5.7649999999999864"/>
    <n v="58.358000000000033"/>
  </r>
  <r>
    <s v="2024-08-12"/>
    <n v="405.51600000000002"/>
    <x v="2777"/>
    <n v="402.71"/>
    <n v="405.267"/>
    <n v="16826710"/>
    <x v="5"/>
    <s v="Microsoft"/>
    <x v="0"/>
    <n v="0.19500000000000001"/>
    <x v="19"/>
    <x v="1"/>
    <s v="August"/>
    <s v="Profit"/>
    <n v="4.5"/>
    <n v="58.553000000000033"/>
  </r>
  <r>
    <s v="2024-08-13"/>
    <n v="408.036"/>
    <x v="2778"/>
    <n v="408.01600000000002"/>
    <n v="412.43900000000002"/>
    <n v="19488193"/>
    <x v="5"/>
    <s v="Microsoft"/>
    <x v="0"/>
    <n v="1.77"/>
    <x v="19"/>
    <x v="1"/>
    <s v="August"/>
    <s v="Profit"/>
    <n v="5.3599999999999568"/>
    <n v="60.323000000000036"/>
  </r>
  <r>
    <s v="2024-08-14"/>
    <n v="413.22699999999998"/>
    <x v="2779"/>
    <n v="410.88200000000001"/>
    <n v="415.279"/>
    <n v="18336534"/>
    <x v="5"/>
    <s v="Microsoft"/>
    <x v="0"/>
    <n v="0.68899999999999995"/>
    <x v="19"/>
    <x v="1"/>
    <s v="August"/>
    <s v="Profit"/>
    <n v="5.2529999999999859"/>
    <n v="61.012000000000036"/>
  </r>
  <r>
    <s v="2024-08-15"/>
    <n v="418.96100000000001"/>
    <x v="2780"/>
    <n v="416.82600000000002"/>
    <n v="420.18900000000002"/>
    <n v="20793682"/>
    <x v="5"/>
    <s v="Microsoft"/>
    <x v="0"/>
    <n v="1.1819999999999999"/>
    <x v="19"/>
    <x v="1"/>
    <s v="August"/>
    <s v="Profit"/>
    <n v="3.4429999999999836"/>
    <n v="62.194000000000038"/>
  </r>
  <r>
    <s v="2024-08-16"/>
    <n v="419.76"/>
    <x v="2781"/>
    <n v="416.46600000000001"/>
    <n v="417.63400000000001"/>
    <n v="22821181"/>
    <x v="5"/>
    <s v="Microsoft"/>
    <x v="0"/>
    <n v="-0.60799999999999998"/>
    <x v="19"/>
    <x v="1"/>
    <s v="August"/>
    <s v="Loss"/>
    <n v="4.0319999999999823"/>
    <n v="61.586000000000041"/>
  </r>
  <r>
    <s v="2024-08-19"/>
    <n v="418.12299999999999"/>
    <x v="2782"/>
    <n v="415.62799999999999"/>
    <n v="420.68799999999999"/>
    <n v="15264449"/>
    <x v="5"/>
    <s v="Microsoft"/>
    <x v="0"/>
    <n v="0.73099999999999998"/>
    <x v="19"/>
    <x v="1"/>
    <s v="August"/>
    <s v="Profit"/>
    <n v="5.2789999999999964"/>
    <n v="62.317000000000043"/>
  </r>
  <r>
    <s v="2024-08-20"/>
    <n v="420.858"/>
    <x v="2783"/>
    <n v="420.798"/>
    <n v="423.95100000000002"/>
    <n v="16420383"/>
    <x v="5"/>
    <s v="Microsoft"/>
    <x v="0"/>
    <n v="0.77600000000000002"/>
    <x v="19"/>
    <x v="1"/>
    <s v="August"/>
    <s v="Profit"/>
    <n v="4.2110000000000127"/>
    <n v="63.093000000000046"/>
  </r>
  <r>
    <s v="2024-08-21"/>
    <n v="423.22800000000001"/>
    <x v="2784"/>
    <n v="420.87799999999999"/>
    <n v="423.29300000000001"/>
    <n v="16099458"/>
    <x v="5"/>
    <s v="Microsoft"/>
    <x v="0"/>
    <n v="-0.155"/>
    <x v="19"/>
    <x v="1"/>
    <s v="August"/>
    <s v="Loss"/>
    <n v="4.6700000000000159"/>
    <n v="62.938000000000045"/>
  </r>
  <r>
    <s v="2024-08-22"/>
    <n v="423.512"/>
    <x v="2785"/>
    <n v="413.78199999999998"/>
    <n v="414.72"/>
    <n v="19400656"/>
    <x v="5"/>
    <s v="Microsoft"/>
    <x v="0"/>
    <n v="-2.0249999999999999"/>
    <x v="19"/>
    <x v="1"/>
    <s v="August"/>
    <s v="Loss"/>
    <n v="12.15500000000003"/>
    <n v="60.913000000000046"/>
  </r>
  <r>
    <s v="2024-08-23"/>
    <n v="416.14699999999999"/>
    <x v="2786"/>
    <n v="411.267"/>
    <n v="415.95699999999999"/>
    <n v="18530801"/>
    <x v="5"/>
    <s v="Microsoft"/>
    <x v="0"/>
    <n v="0.29799999999999999"/>
    <x v="19"/>
    <x v="1"/>
    <s v="August"/>
    <s v="Profit"/>
    <n v="7.1550000000000296"/>
    <n v="61.211000000000048"/>
  </r>
  <r>
    <s v="2024-08-26"/>
    <n v="415.53300000000002"/>
    <x v="2787"/>
    <n v="410.51799999999997"/>
    <n v="412.66399999999999"/>
    <n v="13179157"/>
    <x v="5"/>
    <s v="Microsoft"/>
    <x v="0"/>
    <n v="-0.79200000000000004"/>
    <x v="19"/>
    <x v="1"/>
    <s v="August"/>
    <s v="Loss"/>
    <n v="5.9280000000000541"/>
    <n v="60.419000000000047"/>
  </r>
  <r>
    <s v="2024-08-27"/>
    <n v="412.03500000000003"/>
    <x v="2788"/>
    <n v="409.43"/>
    <n v="413.01299999999998"/>
    <n v="13519918"/>
    <x v="5"/>
    <s v="Microsoft"/>
    <x v="0"/>
    <n v="8.5000000000000006E-2"/>
    <x v="19"/>
    <x v="1"/>
    <s v="August"/>
    <s v="Profit"/>
    <n v="4.1019999999999754"/>
    <n v="60.504000000000048"/>
  </r>
  <r>
    <s v="2024-08-28"/>
    <n v="414.05099999999999"/>
    <x v="2789"/>
    <n v="406.49599999999998"/>
    <n v="409.78"/>
    <n v="14912449"/>
    <x v="5"/>
    <s v="Microsoft"/>
    <x v="0"/>
    <n v="-0.78300000000000003"/>
    <x v="19"/>
    <x v="1"/>
    <s v="August"/>
    <s v="Loss"/>
    <n v="7.6750000000000114"/>
    <n v="59.721000000000046"/>
  </r>
  <r>
    <s v="2024-08-29"/>
    <n v="414.11099999999999"/>
    <x v="2790"/>
    <n v="409.78"/>
    <n v="412.29500000000002"/>
    <n v="17079359"/>
    <x v="5"/>
    <s v="Microsoft"/>
    <x v="0"/>
    <n v="0.61399999999999999"/>
    <x v="19"/>
    <x v="1"/>
    <s v="August"/>
    <s v="Profit"/>
    <n v="11.427000000000021"/>
    <n v="60.335000000000043"/>
  </r>
  <r>
    <s v="2024-08-30"/>
    <n v="414.77"/>
    <x v="2791"/>
    <n v="411.30700000000002"/>
    <n v="416.30700000000002"/>
    <n v="24356980"/>
    <x v="5"/>
    <s v="Microsoft"/>
    <x v="0"/>
    <n v="0.97299999999999998"/>
    <x v="19"/>
    <x v="1"/>
    <s v="August"/>
    <s v="Profit"/>
    <n v="5.3489999999999895"/>
    <n v="61.308000000000042"/>
  </r>
  <r>
    <s v="2024-09-03"/>
    <n v="417.07499999999999"/>
    <x v="2792"/>
    <n v="406.21699999999998"/>
    <n v="408.62200000000001"/>
    <n v="20354263"/>
    <x v="5"/>
    <s v="Microsoft"/>
    <x v="0"/>
    <n v="-1.8460000000000001"/>
    <x v="20"/>
    <x v="1"/>
    <s v="September"/>
    <s v="Loss"/>
    <n v="12.824000000000012"/>
    <n v="59.462000000000046"/>
  </r>
  <r>
    <s v="2024-09-04"/>
    <n v="405.09899999999999"/>
    <x v="2793"/>
    <n v="403.56200000000001"/>
    <n v="408.08300000000003"/>
    <n v="15166102"/>
    <x v="5"/>
    <s v="Microsoft"/>
    <x v="0"/>
    <n v="-0.13200000000000001"/>
    <x v="20"/>
    <x v="1"/>
    <s v="September"/>
    <s v="Loss"/>
    <n v="6.8559999999999945"/>
    <n v="59.330000000000048"/>
  </r>
  <r>
    <s v="2024-09-05"/>
    <n v="406.80599999999998"/>
    <x v="2794"/>
    <n v="405.31900000000002"/>
    <n v="407.57400000000001"/>
    <n v="14223930"/>
    <x v="5"/>
    <s v="Microsoft"/>
    <x v="0"/>
    <n v="-0.125"/>
    <x v="20"/>
    <x v="1"/>
    <s v="September"/>
    <s v="Loss"/>
    <n v="6.9559999999999604"/>
    <n v="59.205000000000048"/>
  </r>
  <r>
    <s v="2024-09-06"/>
    <n v="408.24299999999999"/>
    <x v="2795"/>
    <n v="399.99900000000002"/>
    <n v="400.89800000000002"/>
    <n v="19648777"/>
    <x v="5"/>
    <s v="Microsoft"/>
    <x v="0"/>
    <n v="-1.6379999999999999"/>
    <x v="20"/>
    <x v="1"/>
    <s v="September"/>
    <s v="Loss"/>
    <n v="9.8309999999999604"/>
    <n v="57.56700000000005"/>
  </r>
  <r>
    <s v="2024-09-09"/>
    <n v="406.42599999999999"/>
    <x v="2796"/>
    <n v="401.34699999999998"/>
    <n v="404.91"/>
    <n v="15325749"/>
    <x v="5"/>
    <s v="Microsoft"/>
    <x v="0"/>
    <n v="1.0009999999999999"/>
    <x v="20"/>
    <x v="1"/>
    <s v="September"/>
    <s v="Profit"/>
    <n v="6.4870000000000232"/>
    <n v="58.568000000000048"/>
  </r>
  <r>
    <s v="2024-09-10"/>
    <n v="407.38499999999999"/>
    <x v="2797"/>
    <n v="406.88600000000002"/>
    <n v="413.37299999999999"/>
    <n v="19633507"/>
    <x v="5"/>
    <s v="Microsoft"/>
    <x v="0"/>
    <n v="2.09"/>
    <x v="20"/>
    <x v="1"/>
    <s v="September"/>
    <s v="Profit"/>
    <n v="8.6119999999999663"/>
    <n v="60.658000000000044"/>
  </r>
  <r>
    <s v="2024-09-11"/>
    <n v="414.67"/>
    <x v="2798"/>
    <n v="408.762"/>
    <n v="422.19499999999999"/>
    <n v="19305488"/>
    <x v="5"/>
    <s v="Microsoft"/>
    <x v="0"/>
    <n v="2.1339999999999999"/>
    <x v="20"/>
    <x v="1"/>
    <s v="September"/>
    <s v="Profit"/>
    <n v="14.380999999999972"/>
    <n v="62.792000000000044"/>
  </r>
  <r>
    <s v="2024-09-12"/>
    <n v="422.464"/>
    <x v="2799"/>
    <n v="418.911"/>
    <n v="426.14699999999999"/>
    <n v="17453625"/>
    <x v="5"/>
    <s v="Microsoft"/>
    <x v="0"/>
    <n v="0.93600000000000005"/>
    <x v="20"/>
    <x v="1"/>
    <s v="September"/>
    <s v="Profit"/>
    <n v="7.603999999999985"/>
    <n v="63.728000000000044"/>
  </r>
  <r>
    <s v="2024-09-13"/>
    <n v="424.97399999999999"/>
    <x v="2800"/>
    <n v="424.61"/>
    <n v="429.73"/>
    <n v="15906330"/>
    <x v="5"/>
    <s v="Microsoft"/>
    <x v="0"/>
    <n v="0.84099999999999997"/>
    <x v="20"/>
    <x v="1"/>
    <s v="September"/>
    <s v="Profit"/>
    <n v="6.3569999999999709"/>
    <n v="64.569000000000045"/>
  </r>
  <r>
    <s v="2024-09-16"/>
    <n v="429.74"/>
    <x v="2801"/>
    <n v="427.36500000000001"/>
    <n v="430.47800000000001"/>
    <n v="13862389"/>
    <x v="5"/>
    <s v="Microsoft"/>
    <x v="0"/>
    <n v="0.17399999999999999"/>
    <x v="20"/>
    <x v="1"/>
    <s v="September"/>
    <s v="Profit"/>
    <n v="5.2989999999999782"/>
    <n v="64.743000000000052"/>
  </r>
  <r>
    <s v="2024-09-17"/>
    <n v="439.351"/>
    <x v="2802"/>
    <n v="431.40600000000001"/>
    <n v="434.28100000000001"/>
    <n v="18912010"/>
    <x v="5"/>
    <s v="Microsoft"/>
    <x v="0"/>
    <n v="0.88300000000000001"/>
    <x v="20"/>
    <x v="1"/>
    <s v="September"/>
    <s v="Profit"/>
    <n v="9.5609999999999786"/>
    <n v="65.626000000000047"/>
  </r>
  <r>
    <s v="2024-09-18"/>
    <n v="434.13099999999997"/>
    <x v="2803"/>
    <n v="429.55"/>
    <n v="429.94900000000001"/>
    <n v="18935869"/>
    <x v="5"/>
    <s v="Microsoft"/>
    <x v="0"/>
    <n v="-0.998"/>
    <x v="20"/>
    <x v="1"/>
    <s v="September"/>
    <s v="Loss"/>
    <n v="5.6089999999999804"/>
    <n v="64.628000000000043"/>
  </r>
  <r>
    <s v="2024-09-19"/>
    <n v="440.34399999999999"/>
    <x v="2804"/>
    <n v="436.02699999999999"/>
    <n v="437.81400000000002"/>
    <n v="21750007"/>
    <x v="5"/>
    <s v="Microsoft"/>
    <x v="0"/>
    <n v="1.829"/>
    <x v="20"/>
    <x v="1"/>
    <s v="September"/>
    <s v="Profit"/>
    <n v="4.5910000000000082"/>
    <n v="66.457000000000036"/>
  </r>
  <r>
    <s v="2024-09-20"/>
    <n v="436.34699999999998"/>
    <x v="2805"/>
    <n v="433.35300000000001"/>
    <n v="434.4"/>
    <n v="55277530"/>
    <x v="5"/>
    <s v="Microsoft"/>
    <x v="0"/>
    <n v="-0.78"/>
    <x v="20"/>
    <x v="1"/>
    <s v="September"/>
    <s v="Loss"/>
    <n v="5.0099999999999909"/>
    <n v="65.677000000000035"/>
  </r>
  <r>
    <s v="2024-09-23"/>
    <n v="433.41199999999998"/>
    <x v="2806"/>
    <n v="429.529"/>
    <n v="432.64400000000001"/>
    <n v="15159173"/>
    <x v="5"/>
    <s v="Microsoft"/>
    <x v="0"/>
    <n v="-0.40400000000000003"/>
    <x v="20"/>
    <x v="1"/>
    <s v="September"/>
    <s v="Loss"/>
    <n v="6.0590000000000259"/>
    <n v="65.273000000000039"/>
  </r>
  <r>
    <s v="2024-09-24"/>
    <n v="432.13499999999999"/>
    <x v="2807"/>
    <n v="425.24900000000002"/>
    <n v="428.31299999999999"/>
    <n v="17049813"/>
    <x v="5"/>
    <s v="Microsoft"/>
    <x v="0"/>
    <n v="-1.0009999999999999"/>
    <x v="20"/>
    <x v="1"/>
    <s v="September"/>
    <s v="Loss"/>
    <n v="7.2349999999999568"/>
    <n v="64.272000000000034"/>
  </r>
  <r>
    <s v="2024-09-25"/>
    <n v="428.971"/>
    <x v="2808"/>
    <n v="427.714"/>
    <n v="431.24700000000001"/>
    <n v="13423178"/>
    <x v="5"/>
    <s v="Microsoft"/>
    <x v="0"/>
    <n v="0.68500000000000005"/>
    <x v="20"/>
    <x v="1"/>
    <s v="September"/>
    <s v="Profit"/>
    <n v="4.5400000000000205"/>
    <n v="64.957000000000036"/>
  </r>
  <r>
    <s v="2024-09-26"/>
    <n v="434.21600000000001"/>
    <x v="2809"/>
    <n v="428.27300000000002"/>
    <n v="430.44799999999998"/>
    <n v="14521051"/>
    <x v="5"/>
    <s v="Microsoft"/>
    <x v="0"/>
    <n v="-0.185"/>
    <x v="20"/>
    <x v="1"/>
    <s v="September"/>
    <s v="Loss"/>
    <n v="6.1569999999999823"/>
    <n v="64.772000000000034"/>
  </r>
  <r>
    <s v="2024-09-27"/>
    <n v="430.65800000000002"/>
    <x v="2810"/>
    <n v="426.61599999999999"/>
    <n v="427.16500000000002"/>
    <n v="14925947"/>
    <x v="5"/>
    <s v="Microsoft"/>
    <x v="0"/>
    <n v="-0.76300000000000001"/>
    <x v="20"/>
    <x v="1"/>
    <s v="September"/>
    <s v="Loss"/>
    <n v="4.3710000000000377"/>
    <n v="64.009000000000029"/>
  </r>
  <r>
    <s v="2024-09-30"/>
    <n v="427.35500000000002"/>
    <x v="2811"/>
    <n v="424.52"/>
    <n v="429.44"/>
    <n v="16888342"/>
    <x v="5"/>
    <s v="Microsoft"/>
    <x v="0"/>
    <n v="0.53300000000000003"/>
    <x v="20"/>
    <x v="1"/>
    <s v="September"/>
    <s v="Profit"/>
    <n v="5.0400000000000205"/>
    <n v="64.54200000000003"/>
  </r>
  <r>
    <s v="2024-10-01"/>
    <n v="427.59399999999999"/>
    <x v="2812"/>
    <n v="417.97300000000001"/>
    <n v="419.85"/>
    <n v="19131162"/>
    <x v="5"/>
    <s v="Microsoft"/>
    <x v="0"/>
    <n v="-2.2330000000000001"/>
    <x v="21"/>
    <x v="1"/>
    <s v="October"/>
    <s v="Loss"/>
    <n v="9.6510000000000105"/>
    <n v="62.309000000000033"/>
  </r>
  <r>
    <s v="2024-10-02"/>
    <n v="421.73599999999999"/>
    <x v="2813"/>
    <n v="415.87799999999999"/>
    <n v="416.29700000000003"/>
    <n v="16615448"/>
    <x v="5"/>
    <s v="Microsoft"/>
    <x v="0"/>
    <n v="-0.84599999999999997"/>
    <x v="21"/>
    <x v="1"/>
    <s v="October"/>
    <s v="Loss"/>
    <n v="6.0970000000000368"/>
    <n v="61.463000000000036"/>
  </r>
  <r>
    <s v="2024-10-03"/>
    <n v="416.79599999999999"/>
    <x v="2814"/>
    <n v="413.46199999999999"/>
    <n v="415.70800000000003"/>
    <n v="13713816"/>
    <x v="5"/>
    <s v="Microsoft"/>
    <x v="0"/>
    <n v="-0.14099999999999999"/>
    <x v="21"/>
    <x v="1"/>
    <s v="October"/>
    <s v="Loss"/>
    <n v="5.25"/>
    <n v="61.322000000000038"/>
  </r>
  <r>
    <s v="2024-10-04"/>
    <n v="417.40499999999997"/>
    <x v="2815"/>
    <n v="414.14100000000002"/>
    <n v="415.22899999999998"/>
    <n v="19229326"/>
    <x v="5"/>
    <s v="Microsoft"/>
    <x v="0"/>
    <n v="-0.115"/>
    <x v="21"/>
    <x v="1"/>
    <s v="October"/>
    <s v="Loss"/>
    <n v="4.7699999999999818"/>
    <n v="61.207000000000036"/>
  </r>
  <r>
    <s v="2024-10-07"/>
    <n v="415.16899999999998"/>
    <x v="2816"/>
    <n v="408.18299999999999"/>
    <n v="408.72199999999998"/>
    <n v="20961634"/>
    <x v="5"/>
    <s v="Microsoft"/>
    <x v="0"/>
    <n v="-1.5669999999999999"/>
    <x v="21"/>
    <x v="1"/>
    <s v="October"/>
    <s v="Loss"/>
    <n v="8.0939999999999941"/>
    <n v="59.640000000000036"/>
  </r>
  <r>
    <s v="2024-10-08"/>
    <n v="410.07900000000001"/>
    <x v="2817"/>
    <n v="407.35500000000002"/>
    <n v="413.88200000000001"/>
    <n v="19267751"/>
    <x v="5"/>
    <s v="Microsoft"/>
    <x v="0"/>
    <n v="1.262"/>
    <x v="21"/>
    <x v="1"/>
    <s v="October"/>
    <s v="Profit"/>
    <n v="7.4749999999999659"/>
    <n v="60.902000000000037"/>
  </r>
  <r>
    <s v="2024-10-09"/>
    <n v="415.029"/>
    <x v="2818"/>
    <n v="413.47199999999998"/>
    <n v="416.62599999999998"/>
    <n v="15004230"/>
    <x v="5"/>
    <s v="Microsoft"/>
    <x v="0"/>
    <n v="0.66300000000000003"/>
    <x v="21"/>
    <x v="1"/>
    <s v="October"/>
    <s v="Profit"/>
    <n v="6.0680000000000405"/>
    <n v="61.565000000000033"/>
  </r>
  <r>
    <s v="2024-10-10"/>
    <n v="414.39600000000002"/>
    <x v="2819"/>
    <n v="412.32499999999999"/>
    <n v="415.00900000000001"/>
    <n v="13876095"/>
    <x v="5"/>
    <s v="Microsoft"/>
    <x v="0"/>
    <n v="-0.38800000000000001"/>
    <x v="21"/>
    <x v="1"/>
    <s v="October"/>
    <s v="Loss"/>
    <n v="4.1910000000000309"/>
    <n v="61.177000000000035"/>
  </r>
  <r>
    <s v="2024-10-11"/>
    <n v="415.30399999999997"/>
    <x v="2820"/>
    <n v="412.42399999999998"/>
    <n v="415.488"/>
    <n v="14173257"/>
    <x v="5"/>
    <s v="Microsoft"/>
    <x v="0"/>
    <n v="0.115"/>
    <x v="21"/>
    <x v="1"/>
    <s v="October"/>
    <s v="Profit"/>
    <n v="3.8730000000000473"/>
    <n v="61.292000000000037"/>
  </r>
  <r>
    <s v="2024-10-14"/>
    <n v="416.935"/>
    <x v="2821"/>
    <n v="416.68599999999998"/>
    <n v="418.303"/>
    <n v="16686419"/>
    <x v="5"/>
    <s v="Microsoft"/>
    <x v="0"/>
    <n v="0.67800000000000005"/>
    <x v="21"/>
    <x v="1"/>
    <s v="October"/>
    <s v="Profit"/>
    <n v="6.507000000000005"/>
    <n v="61.970000000000034"/>
  </r>
  <r>
    <s v="2024-10-15"/>
    <n v="421.33699999999999"/>
    <x v="2822"/>
    <n v="414.43"/>
    <n v="417.904"/>
    <n v="18938032"/>
    <x v="5"/>
    <s v="Microsoft"/>
    <x v="0"/>
    <n v="-9.5000000000000001E-2"/>
    <x v="21"/>
    <x v="1"/>
    <s v="October"/>
    <s v="Loss"/>
    <n v="7.2060000000000173"/>
    <n v="61.875000000000036"/>
  </r>
  <r>
    <s v="2024-10-16"/>
    <n v="414.34100000000001"/>
    <x v="2823"/>
    <n v="409.66"/>
    <n v="415.28899999999999"/>
    <n v="15539975"/>
    <x v="5"/>
    <s v="Microsoft"/>
    <x v="0"/>
    <n v="-0.626"/>
    <x v="21"/>
    <x v="1"/>
    <s v="October"/>
    <s v="Loss"/>
    <n v="5.867999999999995"/>
    <n v="61.249000000000038"/>
  </r>
  <r>
    <s v="2024-10-17"/>
    <n v="421.51600000000002"/>
    <x v="2824"/>
    <n v="414.76"/>
    <n v="415.88799999999998"/>
    <n v="14849668"/>
    <x v="5"/>
    <s v="Microsoft"/>
    <x v="0"/>
    <n v="0.14399999999999999"/>
    <x v="21"/>
    <x v="1"/>
    <s v="October"/>
    <s v="Profit"/>
    <n v="6.896000000000015"/>
    <n v="61.393000000000036"/>
  </r>
  <r>
    <s v="2024-10-18"/>
    <n v="416.30700000000002"/>
    <x v="2825"/>
    <n v="415.42899999999997"/>
    <n v="417.32499999999999"/>
    <n v="17179635"/>
    <x v="5"/>
    <s v="Microsoft"/>
    <x v="0"/>
    <n v="0.34599999999999997"/>
    <x v="21"/>
    <x v="1"/>
    <s v="October"/>
    <s v="Profit"/>
    <n v="3.3830000000000382"/>
    <n v="61.739000000000033"/>
  </r>
  <r>
    <s v="2024-10-21"/>
    <n v="415.28899999999999"/>
    <x v="2826"/>
    <n v="412.92399999999998"/>
    <n v="417.94299999999998"/>
    <n v="14234550"/>
    <x v="5"/>
    <s v="Microsoft"/>
    <x v="0"/>
    <n v="0.14799999999999999"/>
    <x v="21"/>
    <x v="1"/>
    <s v="October"/>
    <s v="Profit"/>
    <n v="5.1990000000000123"/>
    <n v="61.887000000000036"/>
  </r>
  <r>
    <s v="2024-10-22"/>
    <n v="417.654"/>
    <x v="2827"/>
    <n v="417.20499999999998"/>
    <n v="426.65600000000001"/>
    <n v="25533203"/>
    <x v="5"/>
    <s v="Microsoft"/>
    <x v="0"/>
    <n v="2.085"/>
    <x v="21"/>
    <x v="1"/>
    <s v="October"/>
    <s v="Profit"/>
    <n v="12.51400000000001"/>
    <n v="63.972000000000037"/>
  </r>
  <r>
    <s v="2024-10-23"/>
    <n v="429.99400000000003"/>
    <x v="2828"/>
    <n v="421.68599999999998"/>
    <n v="423.75200000000001"/>
    <n v="19693719"/>
    <x v="5"/>
    <s v="Microsoft"/>
    <x v="0"/>
    <n v="-0.68100000000000005"/>
    <x v="21"/>
    <x v="1"/>
    <s v="October"/>
    <s v="Loss"/>
    <n v="8.5330000000000155"/>
    <n v="63.291000000000039"/>
  </r>
  <r>
    <s v="2024-10-24"/>
    <n v="424.47500000000002"/>
    <x v="2829"/>
    <n v="421.55599999999998"/>
    <n v="423.88200000000001"/>
    <n v="13608816"/>
    <x v="5"/>
    <s v="Microsoft"/>
    <x v="0"/>
    <n v="3.1E-2"/>
    <x v="21"/>
    <x v="1"/>
    <s v="October"/>
    <s v="Profit"/>
    <n v="3.5710000000000264"/>
    <n v="63.322000000000038"/>
  </r>
  <r>
    <s v="2024-10-25"/>
    <n v="425.90699999999998"/>
    <x v="2830"/>
    <n v="425.71300000000002"/>
    <n v="427.29500000000002"/>
    <n v="16932889"/>
    <x v="5"/>
    <s v="Microsoft"/>
    <x v="0"/>
    <n v="0.80500000000000005"/>
    <x v="21"/>
    <x v="1"/>
    <s v="October"/>
    <s v="Profit"/>
    <n v="5.9429999999999836"/>
    <n v="64.127000000000038"/>
  </r>
  <r>
    <s v="2024-10-28"/>
    <n v="430.79300000000001"/>
    <x v="2831"/>
    <n v="425.44799999999998"/>
    <n v="425.738"/>
    <n v="14912233"/>
    <x v="5"/>
    <s v="Microsoft"/>
    <x v="0"/>
    <n v="-0.36399999999999999"/>
    <x v="21"/>
    <x v="1"/>
    <s v="October"/>
    <s v="Loss"/>
    <n v="5.6290000000000191"/>
    <n v="63.763000000000041"/>
  </r>
  <r>
    <s v="2024-10-29"/>
    <n v="427.14499999999998"/>
    <x v="2832"/>
    <n v="424.95"/>
    <n v="431.08699999999999"/>
    <n v="17679397"/>
    <x v="5"/>
    <s v="Microsoft"/>
    <x v="0"/>
    <n v="1.256"/>
    <x v="21"/>
    <x v="1"/>
    <s v="October"/>
    <s v="Profit"/>
    <n v="7.3550000000000182"/>
    <n v="65.019000000000034"/>
  </r>
  <r>
    <s v="2024-10-30"/>
    <n v="436.56099999999998"/>
    <x v="2833"/>
    <n v="431.23700000000002"/>
    <n v="431.666"/>
    <n v="29808696"/>
    <x v="5"/>
    <s v="Microsoft"/>
    <x v="0"/>
    <n v="0.13400000000000001"/>
    <x v="21"/>
    <x v="1"/>
    <s v="October"/>
    <s v="Profit"/>
    <n v="6.3870000000000005"/>
    <n v="65.153000000000034"/>
  </r>
  <r>
    <s v="2024-10-31"/>
    <n v="414.53"/>
    <x v="2834"/>
    <n v="405.488"/>
    <n v="405.53800000000001"/>
    <n v="54079011"/>
    <x v="5"/>
    <s v="Microsoft"/>
    <x v="0"/>
    <n v="-6.0529999999999999"/>
    <x v="21"/>
    <x v="1"/>
    <s v="October"/>
    <s v="Loss"/>
    <n v="9.8410000000000082"/>
    <n v="59.100000000000037"/>
  </r>
  <r>
    <s v="2024-11-01"/>
    <n v="408.19299999999998"/>
    <x v="2835"/>
    <n v="406.68599999999998"/>
    <n v="409.55"/>
    <n v="24278942"/>
    <x v="5"/>
    <s v="Microsoft"/>
    <x v="0"/>
    <n v="0.98899999999999999"/>
    <x v="22"/>
    <x v="1"/>
    <s v="November"/>
    <s v="Profit"/>
    <n v="7.9840000000000373"/>
    <n v="60.089000000000034"/>
  </r>
  <r>
    <s v="2024-11-04"/>
    <n v="408.971"/>
    <x v="2836"/>
    <n v="404.76100000000002"/>
    <n v="407.64400000000001"/>
    <n v="19711662"/>
    <x v="5"/>
    <s v="Microsoft"/>
    <x v="0"/>
    <n v="-0.46500000000000002"/>
    <x v="22"/>
    <x v="1"/>
    <s v="November"/>
    <s v="Loss"/>
    <n v="4.8340000000000032"/>
    <n v="59.624000000000031"/>
  </r>
  <r>
    <s v="2024-11-05"/>
    <n v="407.55399999999997"/>
    <x v="2837"/>
    <n v="407.26499999999999"/>
    <n v="410.63799999999998"/>
    <n v="17661291"/>
    <x v="5"/>
    <s v="Microsoft"/>
    <x v="0"/>
    <n v="0.73399999999999999"/>
    <x v="22"/>
    <x v="1"/>
    <s v="November"/>
    <s v="Profit"/>
    <n v="6.80600000000004"/>
    <n v="60.358000000000033"/>
  </r>
  <r>
    <s v="2024-11-06"/>
    <n v="411.596"/>
    <x v="2838"/>
    <n v="409.7"/>
    <n v="419.34100000000001"/>
    <n v="26735249"/>
    <x v="5"/>
    <s v="Microsoft"/>
    <x v="0"/>
    <n v="2.1190000000000002"/>
    <x v="22"/>
    <x v="1"/>
    <s v="November"/>
    <s v="Profit"/>
    <n v="9.910000000000025"/>
    <n v="62.477000000000032"/>
  </r>
  <r>
    <s v="2024-11-07"/>
    <n v="420.43799999999999"/>
    <x v="2839"/>
    <n v="419.041"/>
    <n v="424.58"/>
    <n v="19941618"/>
    <x v="5"/>
    <s v="Microsoft"/>
    <x v="0"/>
    <n v="1.2490000000000001"/>
    <x v="22"/>
    <x v="1"/>
    <s v="November"/>
    <s v="Profit"/>
    <n v="6.9560000000000173"/>
    <n v="63.726000000000035"/>
  </r>
  <r>
    <s v="2024-11-08"/>
    <n v="424.47"/>
    <x v="2840"/>
    <n v="420.93700000000001"/>
    <n v="421.69600000000003"/>
    <n v="16925224"/>
    <x v="5"/>
    <s v="Microsoft"/>
    <x v="0"/>
    <n v="-0.67900000000000005"/>
    <x v="22"/>
    <x v="1"/>
    <s v="November"/>
    <s v="Loss"/>
    <n v="4.7110000000000127"/>
    <n v="63.047000000000033"/>
  </r>
  <r>
    <s v="2024-11-11"/>
    <n v="421.67099999999999"/>
    <x v="2841"/>
    <n v="415.16899999999998"/>
    <n v="417.17500000000001"/>
    <n v="24552367"/>
    <x v="5"/>
    <s v="Microsoft"/>
    <x v="0"/>
    <n v="-1.0720000000000001"/>
    <x v="22"/>
    <x v="1"/>
    <s v="November"/>
    <s v="Loss"/>
    <n v="8.79200000000003"/>
    <n v="61.97500000000003"/>
  </r>
  <r>
    <s v="2024-11-12"/>
    <n v="417.41399999999999"/>
    <x v="2842"/>
    <n v="416.36700000000002"/>
    <n v="422.185"/>
    <n v="19440038"/>
    <x v="5"/>
    <s v="Microsoft"/>
    <x v="0"/>
    <n v="1.2010000000000001"/>
    <x v="22"/>
    <x v="1"/>
    <s v="November"/>
    <s v="Profit"/>
    <n v="7.2249999999999659"/>
    <n v="63.17600000000003"/>
  </r>
  <r>
    <s v="2024-11-13"/>
    <n v="420.798"/>
    <x v="2843"/>
    <n v="417.375"/>
    <n v="424.351"/>
    <n v="21545224"/>
    <x v="5"/>
    <s v="Microsoft"/>
    <x v="0"/>
    <n v="0.51300000000000001"/>
    <x v="22"/>
    <x v="1"/>
    <s v="November"/>
    <s v="Profit"/>
    <n v="11.091999999999985"/>
    <n v="63.689000000000028"/>
  </r>
  <r>
    <s v="2024-11-14"/>
    <n v="424.15100000000001"/>
    <x v="2844"/>
    <n v="419.161"/>
    <n v="426.03699999999998"/>
    <n v="30307424"/>
    <x v="5"/>
    <s v="Microsoft"/>
    <x v="0"/>
    <n v="0.39700000000000002"/>
    <x v="22"/>
    <x v="1"/>
    <s v="November"/>
    <s v="Profit"/>
    <n v="8.1539999999999964"/>
    <n v="64.086000000000027"/>
  </r>
  <r>
    <s v="2024-11-15"/>
    <n v="418.98099999999999"/>
    <x v="2845"/>
    <n v="412.81400000000002"/>
    <n v="414.17099999999999"/>
    <n v="28304185"/>
    <x v="5"/>
    <s v="Microsoft"/>
    <x v="0"/>
    <n v="-2.7850000000000001"/>
    <x v="22"/>
    <x v="1"/>
    <s v="November"/>
    <s v="Loss"/>
    <n v="9.1409999999999627"/>
    <n v="61.30100000000003"/>
  </r>
  <r>
    <s v="2024-11-18"/>
    <n v="414.041"/>
    <x v="2846"/>
    <n v="411.27699999999999"/>
    <n v="414.92899999999997"/>
    <n v="24791537"/>
    <x v="5"/>
    <s v="Microsoft"/>
    <x v="0"/>
    <n v="0.183"/>
    <x v="22"/>
    <x v="1"/>
    <s v="November"/>
    <s v="Profit"/>
    <n v="6.2909999999999968"/>
    <n v="61.48400000000003"/>
  </r>
  <r>
    <s v="2024-11-19"/>
    <n v="412.28500000000003"/>
    <x v="2847"/>
    <n v="410.72800000000001"/>
    <n v="416.95499999999998"/>
    <n v="18169825"/>
    <x v="5"/>
    <s v="Microsoft"/>
    <x v="0"/>
    <n v="0.48799999999999999"/>
    <x v="22"/>
    <x v="1"/>
    <s v="November"/>
    <s v="Profit"/>
    <n v="6.3770000000000095"/>
    <n v="61.97200000000003"/>
  </r>
  <r>
    <s v="2024-11-20"/>
    <n v="416.03699999999998"/>
    <x v="2848"/>
    <n v="409.76"/>
    <n v="414.66"/>
    <n v="19230069"/>
    <x v="5"/>
    <s v="Microsoft"/>
    <x v="0"/>
    <n v="-0.55000000000000004"/>
    <x v="22"/>
    <x v="1"/>
    <s v="November"/>
    <s v="Loss"/>
    <n v="6.6960000000000264"/>
    <n v="61.422000000000033"/>
  </r>
  <r>
    <s v="2024-11-21"/>
    <n v="419.5"/>
    <x v="2849"/>
    <n v="410.28899999999999"/>
    <n v="412.87"/>
    <n v="20780162"/>
    <x v="5"/>
    <s v="Microsoft"/>
    <x v="0"/>
    <n v="-0.432"/>
    <x v="22"/>
    <x v="1"/>
    <s v="November"/>
    <s v="Loss"/>
    <n v="9.4909999999999854"/>
    <n v="60.99000000000003"/>
  </r>
  <r>
    <s v="2024-11-22"/>
    <n v="411.36500000000001"/>
    <x v="2850"/>
    <n v="411.06"/>
    <n v="417"/>
    <n v="24814626"/>
    <x v="5"/>
    <s v="Microsoft"/>
    <x v="0"/>
    <n v="1"/>
    <x v="22"/>
    <x v="1"/>
    <s v="November"/>
    <s v="Profit"/>
    <n v="6.339999999999975"/>
    <n v="61.99000000000003"/>
  </r>
  <r>
    <s v="2024-11-25"/>
    <n v="418.38"/>
    <x v="2851"/>
    <n v="414.85"/>
    <n v="418.79"/>
    <n v="27691090"/>
    <x v="5"/>
    <s v="Microsoft"/>
    <x v="0"/>
    <n v="0.42899999999999999"/>
    <x v="22"/>
    <x v="1"/>
    <s v="November"/>
    <s v="Profit"/>
    <n v="6.2299999999999613"/>
    <n v="62.419000000000032"/>
  </r>
  <r>
    <s v="2024-11-26"/>
    <n v="419.58499999999998"/>
    <x v="2852"/>
    <n v="418.85"/>
    <n v="427.99"/>
    <n v="23458889"/>
    <x v="5"/>
    <s v="Microsoft"/>
    <x v="0"/>
    <n v="2.1970000000000001"/>
    <x v="22"/>
    <x v="1"/>
    <s v="November"/>
    <s v="Profit"/>
    <n v="10.190999999999974"/>
    <n v="64.616000000000028"/>
  </r>
  <r>
    <s v="2024-11-27"/>
    <n v="425.10500000000002"/>
    <x v="2853"/>
    <n v="422.02"/>
    <n v="422.99"/>
    <n v="18332444"/>
    <x v="5"/>
    <s v="Microsoft"/>
    <x v="0"/>
    <n v="-1.1679999999999999"/>
    <x v="22"/>
    <x v="1"/>
    <s v="November"/>
    <s v="Loss"/>
    <n v="5.2100000000000364"/>
    <n v="63.448000000000029"/>
  </r>
  <r>
    <s v="2024-11-29"/>
    <n v="420.09"/>
    <x v="2854"/>
    <n v="417.8"/>
    <n v="423.46"/>
    <n v="16271921"/>
    <x v="5"/>
    <s v="Microsoft"/>
    <x v="0"/>
    <n v="0.111"/>
    <x v="22"/>
    <x v="1"/>
    <s v="November"/>
    <s v="Profit"/>
    <n v="7.0849999999999795"/>
    <n v="63.559000000000026"/>
  </r>
  <r>
    <s v="2024-12-02"/>
    <n v="421.57"/>
    <x v="2855"/>
    <n v="421.31"/>
    <n v="430.98"/>
    <n v="20207223"/>
    <x v="5"/>
    <s v="Microsoft"/>
    <x v="0"/>
    <n v="1.776"/>
    <x v="23"/>
    <x v="1"/>
    <s v="December"/>
    <s v="Profit"/>
    <n v="11.689999999999998"/>
    <n v="65.335000000000022"/>
  </r>
  <r>
    <s v="2024-12-03"/>
    <n v="429.84"/>
    <x v="2856"/>
    <n v="427.74"/>
    <n v="431.2"/>
    <n v="18301987"/>
    <x v="5"/>
    <s v="Microsoft"/>
    <x v="0"/>
    <n v="5.0999999999999997E-2"/>
    <x v="23"/>
    <x v="1"/>
    <s v="December"/>
    <s v="Profit"/>
    <n v="4.7300000000000182"/>
    <n v="65.386000000000024"/>
  </r>
  <r>
    <s v="2024-12-04"/>
    <n v="433.03"/>
    <x v="2857"/>
    <n v="432.63"/>
    <n v="437.42"/>
    <n v="26009429"/>
    <x v="5"/>
    <s v="Microsoft"/>
    <x v="0"/>
    <n v="1.4419999999999999"/>
    <x v="23"/>
    <x v="1"/>
    <s v="December"/>
    <s v="Profit"/>
    <n v="7.0400000000000205"/>
    <n v="66.828000000000017"/>
  </r>
  <r>
    <s v="2024-12-05"/>
    <n v="437.92"/>
    <x v="2858"/>
    <n v="436.17099999999999"/>
    <n v="442.62"/>
    <n v="21697775"/>
    <x v="5"/>
    <s v="Microsoft"/>
    <x v="0"/>
    <n v="1.1890000000000001"/>
    <x v="23"/>
    <x v="1"/>
    <s v="December"/>
    <s v="Profit"/>
    <n v="8.4890000000000327"/>
    <n v="68.017000000000024"/>
  </r>
  <r>
    <s v="2024-12-06"/>
    <n v="442.3"/>
    <x v="2859"/>
    <n v="441.77"/>
    <n v="443.57"/>
    <n v="18821002"/>
    <x v="5"/>
    <s v="Microsoft"/>
    <x v="0"/>
    <n v="0.215"/>
    <x v="23"/>
    <x v="1"/>
    <s v="December"/>
    <s v="Profit"/>
    <n v="4.3300000000000409"/>
    <n v="68.232000000000028"/>
  </r>
  <r>
    <s v="2024-12-09"/>
    <n v="442.6"/>
    <x v="2860"/>
    <n v="440.5"/>
    <n v="446.02"/>
    <n v="19144388"/>
    <x v="5"/>
    <s v="Microsoft"/>
    <x v="0"/>
    <n v="0.55200000000000005"/>
    <x v="23"/>
    <x v="1"/>
    <s v="December"/>
    <s v="Profit"/>
    <n v="7.8299999999999841"/>
    <n v="68.784000000000034"/>
  </r>
  <r>
    <s v="2024-12-10"/>
    <n v="444.39"/>
    <x v="2861"/>
    <n v="441.6"/>
    <n v="443.33"/>
    <n v="18469459"/>
    <x v="5"/>
    <s v="Microsoft"/>
    <x v="0"/>
    <n v="-0.60299999999999998"/>
    <x v="23"/>
    <x v="1"/>
    <s v="December"/>
    <s v="Loss"/>
    <n v="8.0199999999999818"/>
    <n v="68.18100000000004"/>
  </r>
  <r>
    <s v="2024-12-11"/>
    <n v="444.05"/>
    <x v="2862"/>
    <n v="444.05"/>
    <n v="448.99"/>
    <n v="19200208"/>
    <x v="5"/>
    <s v="Microsoft"/>
    <x v="0"/>
    <n v="1.2769999999999999"/>
    <x v="23"/>
    <x v="1"/>
    <s v="December"/>
    <s v="Profit"/>
    <n v="6.3000000000000114"/>
    <n v="69.458000000000041"/>
  </r>
  <r>
    <s v="2024-12-12"/>
    <n v="449.11"/>
    <x v="2863"/>
    <n v="449.11"/>
    <n v="449.56"/>
    <n v="20834779"/>
    <x v="5"/>
    <s v="Microsoft"/>
    <x v="0"/>
    <n v="0.127"/>
    <x v="23"/>
    <x v="1"/>
    <s v="December"/>
    <s v="Profit"/>
    <n v="7.0550000000000068"/>
    <n v="69.585000000000036"/>
  </r>
  <r>
    <s v="2024-12-13"/>
    <n v="448.435"/>
    <x v="2864"/>
    <n v="445.58"/>
    <n v="447.27"/>
    <n v="20177833"/>
    <x v="5"/>
    <s v="Microsoft"/>
    <x v="0"/>
    <n v="-0.50900000000000001"/>
    <x v="23"/>
    <x v="1"/>
    <s v="December"/>
    <s v="Loss"/>
    <n v="5.8500000000000227"/>
    <n v="69.076000000000036"/>
  </r>
  <r>
    <s v="2024-12-16"/>
    <n v="447.27"/>
    <x v="2865"/>
    <n v="445.28"/>
    <n v="451.59"/>
    <n v="23598834"/>
    <x v="5"/>
    <s v="Microsoft"/>
    <x v="0"/>
    <n v="0.96599999999999997"/>
    <x v="23"/>
    <x v="1"/>
    <s v="December"/>
    <s v="Profit"/>
    <n v="6.9000000000000341"/>
    <n v="70.04200000000003"/>
  </r>
  <r>
    <s v="2024-12-17"/>
    <n v="451.01"/>
    <x v="2866"/>
    <n v="449.57"/>
    <n v="454.46"/>
    <n v="22733494"/>
    <x v="5"/>
    <s v="Microsoft"/>
    <x v="0"/>
    <n v="0.63600000000000001"/>
    <x v="23"/>
    <x v="1"/>
    <s v="December"/>
    <s v="Profit"/>
    <n v="5.7200000000000273"/>
    <n v="70.678000000000026"/>
  </r>
  <r>
    <s v="2024-12-18"/>
    <n v="451.32"/>
    <x v="2867"/>
    <n v="437.02"/>
    <n v="437.39"/>
    <n v="24444545"/>
    <x v="5"/>
    <s v="Microsoft"/>
    <x v="0"/>
    <n v="-3.7559999999999998"/>
    <x v="23"/>
    <x v="1"/>
    <s v="December"/>
    <s v="Loss"/>
    <n v="15.629999999999995"/>
    <n v="66.922000000000025"/>
  </r>
  <r>
    <s v="2024-12-19"/>
    <n v="441.62"/>
    <x v="2868"/>
    <n v="436.32"/>
    <n v="437.03"/>
    <n v="22963681"/>
    <x v="5"/>
    <s v="Microsoft"/>
    <x v="0"/>
    <n v="-8.2000000000000003E-2"/>
    <x v="23"/>
    <x v="1"/>
    <s v="December"/>
    <s v="Loss"/>
    <n v="6.8629999999999995"/>
    <n v="66.840000000000032"/>
  </r>
  <r>
    <s v="2024-12-20"/>
    <n v="433.11"/>
    <x v="2869"/>
    <n v="428.63"/>
    <n v="436.6"/>
    <n v="64263694"/>
    <x v="5"/>
    <s v="Microsoft"/>
    <x v="0"/>
    <n v="-9.8000000000000004E-2"/>
    <x v="23"/>
    <x v="1"/>
    <s v="December"/>
    <s v="Loss"/>
    <n v="15.110000000000014"/>
    <n v="66.742000000000033"/>
  </r>
  <r>
    <s v="2024-12-23"/>
    <n v="436.74"/>
    <x v="2870"/>
    <n v="432.83"/>
    <n v="435.25"/>
    <n v="19152519"/>
    <x v="5"/>
    <s v="Microsoft"/>
    <x v="0"/>
    <n v="-0.309"/>
    <x v="23"/>
    <x v="1"/>
    <s v="December"/>
    <s v="Loss"/>
    <n v="4.8199999999999932"/>
    <n v="66.433000000000035"/>
  </r>
  <r>
    <s v="2024-12-24"/>
    <n v="434.65"/>
    <x v="2871"/>
    <n v="434.19"/>
    <n v="439.33"/>
    <n v="7164543"/>
    <x v="5"/>
    <s v="Microsoft"/>
    <x v="0"/>
    <n v="0.93700000000000006"/>
    <x v="23"/>
    <x v="1"/>
    <s v="December"/>
    <s v="Profit"/>
    <n v="5.410000000000025"/>
    <n v="67.370000000000033"/>
  </r>
  <r>
    <s v="2024-12-26"/>
    <n v="439.08"/>
    <x v="2872"/>
    <n v="436.63"/>
    <n v="438.11"/>
    <n v="8199927"/>
    <x v="5"/>
    <s v="Microsoft"/>
    <x v="0"/>
    <n v="-0.27800000000000002"/>
    <x v="23"/>
    <x v="1"/>
    <s v="December"/>
    <s v="Loss"/>
    <n v="4.3100000000000023"/>
    <n v="67.092000000000027"/>
  </r>
  <r>
    <s v="2024-12-27"/>
    <n v="434.6"/>
    <x v="2873"/>
    <n v="426.35"/>
    <n v="430.53"/>
    <n v="18117713"/>
    <x v="5"/>
    <s v="Microsoft"/>
    <x v="0"/>
    <n v="-1.73"/>
    <x v="23"/>
    <x v="1"/>
    <s v="December"/>
    <s v="Loss"/>
    <n v="8.8700000000000045"/>
    <n v="65.362000000000023"/>
  </r>
  <r>
    <s v="2024-12-30"/>
    <n v="426.06"/>
    <x v="2874"/>
    <n v="421.9"/>
    <n v="424.83"/>
    <n v="13158703"/>
    <x v="5"/>
    <s v="Microsoft"/>
    <x v="0"/>
    <n v="-1.3240000000000001"/>
    <x v="23"/>
    <x v="1"/>
    <s v="December"/>
    <s v="Loss"/>
    <n v="5.6500000000000341"/>
    <n v="64.038000000000025"/>
  </r>
  <r>
    <s v="2024-12-31"/>
    <n v="426.1"/>
    <x v="2875"/>
    <n v="420.66"/>
    <n v="421.5"/>
    <n v="13246509"/>
    <x v="5"/>
    <s v="Microsoft"/>
    <x v="0"/>
    <n v="-0.78400000000000003"/>
    <x v="23"/>
    <x v="1"/>
    <s v="December"/>
    <s v="Loss"/>
    <n v="6.0699999999999932"/>
    <n v="63.254000000000026"/>
  </r>
  <r>
    <s v="2023-01-03"/>
    <n v="14.84"/>
    <x v="2876"/>
    <n v="14.086"/>
    <n v="14.305"/>
    <n v="401568453"/>
    <x v="6"/>
    <s v="Nvidia"/>
    <x v="0"/>
    <m/>
    <x v="0"/>
    <x v="0"/>
    <s v="January"/>
    <m/>
    <n v="0.89899999999999913"/>
    <n v="0"/>
  </r>
  <r>
    <s v="2023-01-04"/>
    <n v="14.555999999999999"/>
    <x v="2877"/>
    <n v="14.23"/>
    <n v="14.738"/>
    <n v="431637329"/>
    <x v="6"/>
    <s v="Nvidia"/>
    <x v="0"/>
    <n v="3.0329999999999999"/>
    <x v="0"/>
    <x v="0"/>
    <s v="January"/>
    <s v="Profit"/>
    <n v="0.6120000000000001"/>
    <n v="3.0329999999999999"/>
  </r>
  <r>
    <s v="2023-01-05"/>
    <n v="14.48"/>
    <x v="2878"/>
    <n v="14.137"/>
    <n v="14.255000000000001"/>
    <n v="389451176"/>
    <x v="6"/>
    <s v="Nvidia"/>
    <x v="0"/>
    <n v="-3.2829999999999999"/>
    <x v="0"/>
    <x v="0"/>
    <s v="January"/>
    <s v="Loss"/>
    <n v="0.41600000000000037"/>
    <n v="-0.25"/>
  </r>
  <r>
    <s v="2023-01-06"/>
    <n v="14.462999999999999"/>
    <x v="2879"/>
    <n v="14.023999999999999"/>
    <n v="14.848000000000001"/>
    <n v="405338233"/>
    <x v="6"/>
    <s v="Nvidia"/>
    <x v="0"/>
    <n v="4.1660000000000004"/>
    <x v="0"/>
    <x v="0"/>
    <s v="January"/>
    <s v="Profit"/>
    <n v="0.97500000000000142"/>
    <n v="3.9160000000000004"/>
  </r>
  <r>
    <s v="2023-01-09"/>
    <n v="15.273"/>
    <x v="2880"/>
    <n v="15.13"/>
    <n v="15.617000000000001"/>
    <n v="504597318"/>
    <x v="6"/>
    <s v="Nvidia"/>
    <x v="0"/>
    <n v="5.1740000000000004"/>
    <x v="0"/>
    <x v="0"/>
    <s v="January"/>
    <s v="Profit"/>
    <n v="0.9139999999999997"/>
    <n v="9.09"/>
  </r>
  <r>
    <s v="2023-01-10"/>
    <n v="15.496"/>
    <x v="2881"/>
    <n v="15.461"/>
    <n v="15.898"/>
    <n v="384380641"/>
    <x v="6"/>
    <s v="Nvidia"/>
    <x v="0"/>
    <n v="1.7989999999999999"/>
    <x v="0"/>
    <x v="0"/>
    <s v="January"/>
    <s v="Profit"/>
    <n v="0.48899999999999899"/>
    <n v="10.888999999999999"/>
  </r>
  <r>
    <s v="2023-01-11"/>
    <n v="15.827999999999999"/>
    <x v="2882"/>
    <n v="15.552"/>
    <n v="15.989000000000001"/>
    <n v="353541896"/>
    <x v="6"/>
    <s v="Nvidia"/>
    <x v="0"/>
    <n v="0.57699999999999996"/>
    <x v="0"/>
    <x v="0"/>
    <s v="January"/>
    <s v="Profit"/>
    <n v="0.46399999999999864"/>
    <n v="11.465999999999999"/>
  </r>
  <r>
    <s v="2023-01-12"/>
    <n v="16.088000000000001"/>
    <x v="2883"/>
    <n v="15.481"/>
    <n v="16.498999999999999"/>
    <n v="551810134"/>
    <x v="6"/>
    <s v="Nvidia"/>
    <x v="0"/>
    <n v="3.1869999999999998"/>
    <x v="0"/>
    <x v="0"/>
    <s v="January"/>
    <s v="Profit"/>
    <n v="1.1440000000000001"/>
    <n v="14.652999999999999"/>
  </r>
  <r>
    <s v="2023-01-13"/>
    <n v="16.265999999999998"/>
    <x v="2884"/>
    <n v="16.152999999999999"/>
    <n v="16.887"/>
    <n v="447612400"/>
    <x v="6"/>
    <s v="Nvidia"/>
    <x v="0"/>
    <n v="2.35"/>
    <x v="0"/>
    <x v="0"/>
    <s v="January"/>
    <s v="Profit"/>
    <n v="0.75700000000000145"/>
    <n v="17.003"/>
  </r>
  <r>
    <s v="2023-01-17"/>
    <n v="16.887"/>
    <x v="2885"/>
    <n v="16.887"/>
    <n v="17.689"/>
    <n v="511473917"/>
    <x v="6"/>
    <s v="Nvidia"/>
    <x v="0"/>
    <n v="4.7519999999999998"/>
    <x v="0"/>
    <x v="0"/>
    <s v="January"/>
    <s v="Profit"/>
    <n v="0.8279999999999994"/>
    <n v="21.754999999999999"/>
  </r>
  <r>
    <s v="2023-01-18"/>
    <n v="17.654"/>
    <x v="2886"/>
    <n v="17.27"/>
    <n v="17.364000000000001"/>
    <n v="439943316"/>
    <x v="6"/>
    <s v="Nvidia"/>
    <x v="0"/>
    <n v="-1.8360000000000001"/>
    <x v="0"/>
    <x v="0"/>
    <s v="January"/>
    <s v="Loss"/>
    <n v="0.58999999999999986"/>
    <n v="19.919"/>
  </r>
  <r>
    <s v="2023-01-19"/>
    <n v="17.023"/>
    <x v="2887"/>
    <n v="16.719000000000001"/>
    <n v="16.753"/>
    <n v="453261045"/>
    <x v="6"/>
    <s v="Nvidia"/>
    <x v="0"/>
    <n v="-3.5219999999999998"/>
    <x v="0"/>
    <x v="0"/>
    <s v="January"/>
    <s v="Loss"/>
    <n v="0.46499999999999986"/>
    <n v="16.397000000000002"/>
  </r>
  <r>
    <s v="2023-01-20"/>
    <n v="16.998000000000001"/>
    <x v="2888"/>
    <n v="16.812999999999999"/>
    <n v="17.826000000000001"/>
    <n v="565378056"/>
    <x v="6"/>
    <s v="Nvidia"/>
    <x v="0"/>
    <n v="6.407"/>
    <x v="0"/>
    <x v="0"/>
    <s v="January"/>
    <s v="Profit"/>
    <n v="1.0300000000000011"/>
    <n v="22.804000000000002"/>
  </r>
  <r>
    <s v="2023-01-23"/>
    <n v="18.050999999999998"/>
    <x v="2889"/>
    <n v="17.805"/>
    <n v="19.178999999999998"/>
    <n v="655639131"/>
    <x v="6"/>
    <s v="Nvidia"/>
    <x v="0"/>
    <n v="7.5890000000000004"/>
    <x v="0"/>
    <x v="0"/>
    <s v="January"/>
    <s v="Profit"/>
    <n v="1.4260000000000019"/>
    <n v="30.393000000000001"/>
  </r>
  <r>
    <s v="2023-01-24"/>
    <n v="18.812999999999999"/>
    <x v="2890"/>
    <n v="18.806000000000001"/>
    <n v="19.251000000000001"/>
    <n v="496565020"/>
    <x v="6"/>
    <s v="Nvidia"/>
    <x v="0"/>
    <n v="0.375"/>
    <x v="0"/>
    <x v="0"/>
    <s v="January"/>
    <s v="Profit"/>
    <n v="0.67500000000000071"/>
    <n v="30.768000000000001"/>
  </r>
  <r>
    <s v="2023-01-25"/>
    <n v="18.899000000000001"/>
    <x v="2891"/>
    <n v="18.567"/>
    <n v="19.309000000000001"/>
    <n v="449864086"/>
    <x v="6"/>
    <s v="Nvidia"/>
    <x v="0"/>
    <n v="0.30099999999999999"/>
    <x v="0"/>
    <x v="0"/>
    <s v="January"/>
    <s v="Profit"/>
    <n v="0.78900000000000148"/>
    <n v="31.068999999999999"/>
  </r>
  <r>
    <s v="2023-01-26"/>
    <n v="19.687000000000001"/>
    <x v="2892"/>
    <n v="19.263999999999999"/>
    <n v="19.788"/>
    <n v="489891490"/>
    <x v="6"/>
    <s v="Nvidia"/>
    <x v="0"/>
    <n v="2.48"/>
    <x v="0"/>
    <x v="0"/>
    <s v="January"/>
    <s v="Profit"/>
    <n v="0.88700000000000045"/>
    <n v="33.548999999999999"/>
  </r>
  <r>
    <s v="2023-01-27"/>
    <n v="19.448"/>
    <x v="2893"/>
    <n v="19.390999999999998"/>
    <n v="20.350000000000001"/>
    <n v="542536314"/>
    <x v="6"/>
    <s v="Nvidia"/>
    <x v="0"/>
    <n v="2.8420000000000001"/>
    <x v="0"/>
    <x v="0"/>
    <s v="January"/>
    <s v="Profit"/>
    <n v="1.2220000000000013"/>
    <n v="36.390999999999998"/>
  </r>
  <r>
    <s v="2023-01-30"/>
    <n v="19.936"/>
    <x v="2894"/>
    <n v="19.135999999999999"/>
    <n v="19.148"/>
    <n v="488966547"/>
    <x v="6"/>
    <s v="Nvidia"/>
    <x v="0"/>
    <n v="-5.907"/>
    <x v="0"/>
    <x v="0"/>
    <s v="January"/>
    <s v="Loss"/>
    <n v="0.98900000000000077"/>
    <n v="30.483999999999998"/>
  </r>
  <r>
    <s v="2023-01-31"/>
    <n v="19.155000000000001"/>
    <x v="2895"/>
    <n v="18.936"/>
    <n v="19.523"/>
    <n v="498378819"/>
    <x v="6"/>
    <s v="Nvidia"/>
    <x v="0"/>
    <n v="1.958"/>
    <x v="0"/>
    <x v="0"/>
    <s v="January"/>
    <s v="Profit"/>
    <n v="0.73699999999999832"/>
    <n v="32.442"/>
  </r>
  <r>
    <s v="2023-02-01"/>
    <n v="19.677"/>
    <x v="2896"/>
    <n v="19.597000000000001"/>
    <n v="20.928000000000001"/>
    <n v="660957446"/>
    <x v="6"/>
    <s v="Nvidia"/>
    <x v="0"/>
    <n v="7.1959999999999997"/>
    <x v="1"/>
    <x v="0"/>
    <s v="February"/>
    <s v="Profit"/>
    <n v="1.5799999999999983"/>
    <n v="39.637999999999998"/>
  </r>
  <r>
    <s v="2023-02-02"/>
    <n v="20.984999999999999"/>
    <x v="2897"/>
    <n v="20.684999999999999"/>
    <n v="21.693000000000001"/>
    <n v="564686233"/>
    <x v="6"/>
    <s v="Nvidia"/>
    <x v="0"/>
    <n v="3.657"/>
    <x v="1"/>
    <x v="0"/>
    <s v="February"/>
    <s v="Profit"/>
    <n v="1.2480000000000011"/>
    <n v="43.295000000000002"/>
  </r>
  <r>
    <s v="2023-02-03"/>
    <n v="20.984999999999999"/>
    <x v="2898"/>
    <n v="20.774000000000001"/>
    <n v="21.085000000000001"/>
    <n v="429678255"/>
    <x v="6"/>
    <s v="Nvidia"/>
    <x v="0"/>
    <n v="-2.8050000000000002"/>
    <x v="1"/>
    <x v="0"/>
    <s v="February"/>
    <s v="Loss"/>
    <n v="0.95499999999999829"/>
    <n v="40.49"/>
  </r>
  <r>
    <s v="2023-02-06"/>
    <n v="20.791"/>
    <x v="2899"/>
    <n v="20.771000000000001"/>
    <n v="21.074000000000002"/>
    <n v="452526001"/>
    <x v="6"/>
    <s v="Nvidia"/>
    <x v="0"/>
    <n v="-5.1999999999999998E-2"/>
    <x v="1"/>
    <x v="0"/>
    <s v="February"/>
    <s v="Loss"/>
    <n v="0.7829999999999977"/>
    <n v="40.438000000000002"/>
  </r>
  <r>
    <s v="2023-02-07"/>
    <n v="21.366"/>
    <x v="2900"/>
    <n v="21.135000000000002"/>
    <n v="22.157"/>
    <n v="664632688"/>
    <x v="6"/>
    <s v="Nvidia"/>
    <x v="0"/>
    <n v="5.141"/>
    <x v="1"/>
    <x v="0"/>
    <s v="February"/>
    <s v="Profit"/>
    <n v="1.107999999999997"/>
    <n v="45.579000000000001"/>
  </r>
  <r>
    <s v="2023-02-08"/>
    <n v="22.370999999999999"/>
    <x v="2901"/>
    <n v="21.992000000000001"/>
    <n v="22.189"/>
    <n v="560058289"/>
    <x v="6"/>
    <s v="Nvidia"/>
    <x v="0"/>
    <n v="0.14399999999999999"/>
    <x v="1"/>
    <x v="0"/>
    <s v="February"/>
    <s v="Profit"/>
    <n v="0.86899999999999977"/>
    <n v="45.722999999999999"/>
  </r>
  <r>
    <s v="2023-02-09"/>
    <n v="22.59"/>
    <x v="2902"/>
    <n v="22.103999999999999"/>
    <n v="22.321000000000002"/>
    <n v="524256828"/>
    <x v="6"/>
    <s v="Nvidia"/>
    <x v="0"/>
    <n v="0.59499999999999997"/>
    <x v="1"/>
    <x v="0"/>
    <s v="February"/>
    <s v="Profit"/>
    <n v="0.89900000000000091"/>
    <n v="46.317999999999998"/>
  </r>
  <r>
    <s v="2023-02-10"/>
    <n v="21.673999999999999"/>
    <x v="2903"/>
    <n v="20.795999999999999"/>
    <n v="21.25"/>
    <n v="551137335"/>
    <x v="6"/>
    <s v="Nvidia"/>
    <x v="0"/>
    <n v="-4.8"/>
    <x v="1"/>
    <x v="0"/>
    <s v="February"/>
    <s v="Loss"/>
    <n v="1.2660000000000018"/>
    <n v="41.518000000000001"/>
  </r>
  <r>
    <s v="2023-02-13"/>
    <n v="21.521999999999998"/>
    <x v="2904"/>
    <n v="20.946999999999999"/>
    <n v="21.771999999999998"/>
    <n v="475264058"/>
    <x v="6"/>
    <s v="Nvidia"/>
    <x v="0"/>
    <n v="2.4590000000000001"/>
    <x v="1"/>
    <x v="0"/>
    <s v="February"/>
    <s v="Profit"/>
    <n v="1.0850000000000009"/>
    <n v="43.977000000000004"/>
  </r>
  <r>
    <s v="2023-02-14"/>
    <n v="21.562000000000001"/>
    <x v="2905"/>
    <n v="21.35"/>
    <n v="22.954000000000001"/>
    <n v="675964814"/>
    <x v="6"/>
    <s v="Nvidia"/>
    <x v="0"/>
    <n v="5.4290000000000003"/>
    <x v="1"/>
    <x v="0"/>
    <s v="February"/>
    <s v="Profit"/>
    <n v="1.6819999999999986"/>
    <n v="49.406000000000006"/>
  </r>
  <r>
    <s v="2023-02-15"/>
    <n v="22.532"/>
    <x v="2906"/>
    <n v="22.09"/>
    <n v="22.747"/>
    <n v="421494616"/>
    <x v="6"/>
    <s v="Nvidia"/>
    <x v="0"/>
    <n v="-0.90100000000000002"/>
    <x v="1"/>
    <x v="0"/>
    <s v="February"/>
    <s v="Loss"/>
    <n v="0.74800000000000111"/>
    <n v="48.505000000000003"/>
  </r>
  <r>
    <s v="2023-02-16"/>
    <n v="22.117000000000001"/>
    <x v="2907"/>
    <n v="21.911000000000001"/>
    <n v="21.986000000000001"/>
    <n v="412325972"/>
    <x v="6"/>
    <s v="Nvidia"/>
    <x v="0"/>
    <n v="-3.3460000000000001"/>
    <x v="1"/>
    <x v="0"/>
    <s v="February"/>
    <s v="Loss"/>
    <n v="0.62299999999999756"/>
    <n v="45.159000000000006"/>
  </r>
  <r>
    <s v="2023-02-17"/>
    <n v="21.614999999999998"/>
    <x v="2908"/>
    <n v="20.96"/>
    <n v="21.372"/>
    <n v="466226509"/>
    <x v="6"/>
    <s v="Nvidia"/>
    <x v="0"/>
    <n v="-2.7909999999999999"/>
    <x v="1"/>
    <x v="0"/>
    <s v="February"/>
    <s v="Loss"/>
    <n v="0.76399999999999935"/>
    <n v="42.368000000000009"/>
  </r>
  <r>
    <s v="2023-02-21"/>
    <n v="20.984999999999999"/>
    <x v="2909"/>
    <n v="20.603000000000002"/>
    <n v="20.64"/>
    <n v="410312779"/>
    <x v="6"/>
    <s v="Nvidia"/>
    <x v="0"/>
    <n v="-3.427"/>
    <x v="1"/>
    <x v="0"/>
    <s v="February"/>
    <s v="Loss"/>
    <n v="0.875"/>
    <n v="38.94100000000001"/>
  </r>
  <r>
    <s v="2023-02-22"/>
    <n v="20.692"/>
    <x v="2910"/>
    <n v="20.405999999999999"/>
    <n v="20.739000000000001"/>
    <n v="513557591"/>
    <x v="6"/>
    <s v="Nvidia"/>
    <x v="0"/>
    <n v="0.48"/>
    <x v="1"/>
    <x v="0"/>
    <s v="February"/>
    <s v="Profit"/>
    <n v="0.68299999999999983"/>
    <n v="39.421000000000006"/>
  </r>
  <r>
    <s v="2023-02-23"/>
    <n v="23.422999999999998"/>
    <x v="2911"/>
    <n v="23.007999999999999"/>
    <n v="23.646999999999998"/>
    <n v="1118808599"/>
    <x v="6"/>
    <s v="Nvidia"/>
    <x v="0"/>
    <n v="14.022"/>
    <x v="1"/>
    <x v="0"/>
    <s v="February"/>
    <s v="Profit"/>
    <n v="0.86299999999999955"/>
    <n v="53.443000000000005"/>
  </r>
  <r>
    <s v="2023-02-24"/>
    <n v="23.207999999999998"/>
    <x v="2912"/>
    <n v="22.93"/>
    <n v="23.268999999999998"/>
    <n v="590144847"/>
    <x v="6"/>
    <s v="Nvidia"/>
    <x v="0"/>
    <n v="-1.5980000000000001"/>
    <x v="1"/>
    <x v="0"/>
    <s v="February"/>
    <s v="Loss"/>
    <n v="0.52700000000000102"/>
    <n v="51.845000000000006"/>
  </r>
  <r>
    <s v="2023-02-27"/>
    <n v="23.652999999999999"/>
    <x v="2913"/>
    <n v="23.437000000000001"/>
    <n v="23.484000000000002"/>
    <n v="453323161"/>
    <x v="6"/>
    <s v="Nvidia"/>
    <x v="0"/>
    <n v="0.92400000000000004"/>
    <x v="1"/>
    <x v="0"/>
    <s v="February"/>
    <s v="Profit"/>
    <n v="0.42599999999999838"/>
    <n v="52.769000000000005"/>
  </r>
  <r>
    <s v="2023-02-28"/>
    <n v="23.355"/>
    <x v="2914"/>
    <n v="23.189"/>
    <n v="23.199000000000002"/>
    <n v="456294450"/>
    <x v="6"/>
    <s v="Nvidia"/>
    <x v="0"/>
    <n v="-1.2130000000000001"/>
    <x v="1"/>
    <x v="0"/>
    <s v="February"/>
    <s v="Loss"/>
    <n v="0.61899999999999977"/>
    <n v="51.556000000000004"/>
  </r>
  <r>
    <s v="2023-03-01"/>
    <n v="23.175000000000001"/>
    <x v="2915"/>
    <n v="22.492000000000001"/>
    <n v="22.681000000000001"/>
    <n v="460360225"/>
    <x v="6"/>
    <s v="Nvidia"/>
    <x v="0"/>
    <n v="-2.2320000000000002"/>
    <x v="2"/>
    <x v="0"/>
    <s v="March"/>
    <s v="Loss"/>
    <n v="0.74699999999999989"/>
    <n v="49.324000000000005"/>
  </r>
  <r>
    <s v="2023-03-02"/>
    <n v="22.472000000000001"/>
    <x v="2916"/>
    <n v="22.416"/>
    <n v="23.297000000000001"/>
    <n v="390358376"/>
    <x v="6"/>
    <s v="Nvidia"/>
    <x v="0"/>
    <n v="2.7149999999999999"/>
    <x v="2"/>
    <x v="0"/>
    <s v="March"/>
    <s v="Profit"/>
    <n v="0.94699999999999918"/>
    <n v="52.039000000000001"/>
  </r>
  <r>
    <s v="2023-03-03"/>
    <n v="23.303000000000001"/>
    <x v="2917"/>
    <n v="23.113"/>
    <n v="23.873000000000001"/>
    <n v="412693259"/>
    <x v="6"/>
    <s v="Nvidia"/>
    <x v="0"/>
    <n v="2.4700000000000002"/>
    <x v="2"/>
    <x v="0"/>
    <s v="March"/>
    <s v="Profit"/>
    <n v="0.76999999999999957"/>
    <n v="54.509"/>
  </r>
  <r>
    <s v="2023-03-06"/>
    <n v="23.873999999999999"/>
    <x v="2918"/>
    <n v="23.47"/>
    <n v="23.536999999999999"/>
    <n v="437747400"/>
    <x v="6"/>
    <s v="Nvidia"/>
    <x v="0"/>
    <n v="-1.4059999999999999"/>
    <x v="2"/>
    <x v="0"/>
    <s v="March"/>
    <s v="Loss"/>
    <n v="0.76000000000000156"/>
    <n v="53.103000000000002"/>
  </r>
  <r>
    <s v="2023-03-07"/>
    <n v="23.587"/>
    <x v="2919"/>
    <n v="23.228000000000002"/>
    <n v="23.274999999999999"/>
    <n v="515441035"/>
    <x v="6"/>
    <s v="Nvidia"/>
    <x v="0"/>
    <n v="-1.113"/>
    <x v="2"/>
    <x v="0"/>
    <s v="March"/>
    <s v="Loss"/>
    <n v="0.88299999999999912"/>
    <n v="51.99"/>
  </r>
  <r>
    <s v="2023-03-08"/>
    <n v="23.474"/>
    <x v="2920"/>
    <n v="23.41"/>
    <n v="24.167999999999999"/>
    <n v="513859664"/>
    <x v="6"/>
    <s v="Nvidia"/>
    <x v="0"/>
    <n v="3.8340000000000001"/>
    <x v="2"/>
    <x v="0"/>
    <s v="March"/>
    <s v="Profit"/>
    <n v="0.7759999999999998"/>
    <n v="55.824000000000005"/>
  </r>
  <r>
    <s v="2023-03-09"/>
    <n v="24.161999999999999"/>
    <x v="2921"/>
    <n v="23.37"/>
    <n v="23.422999999999998"/>
    <n v="501536399"/>
    <x v="6"/>
    <s v="Nvidia"/>
    <x v="0"/>
    <n v="-3.081"/>
    <x v="2"/>
    <x v="0"/>
    <s v="March"/>
    <s v="Loss"/>
    <n v="1.070999999999998"/>
    <n v="52.743000000000002"/>
  </r>
  <r>
    <s v="2023-03-10"/>
    <n v="23.396000000000001"/>
    <x v="2922"/>
    <n v="22.713000000000001"/>
    <n v="22.952000000000002"/>
    <n v="475130348"/>
    <x v="6"/>
    <s v="Nvidia"/>
    <x v="0"/>
    <n v="-2.0099999999999998"/>
    <x v="2"/>
    <x v="0"/>
    <s v="March"/>
    <s v="Loss"/>
    <n v="0.9009999999999998"/>
    <n v="50.733000000000004"/>
  </r>
  <r>
    <s v="2023-03-13"/>
    <n v="22.739000000000001"/>
    <x v="2923"/>
    <n v="22.285"/>
    <n v="22.952999999999999"/>
    <n v="422125489"/>
    <x v="6"/>
    <s v="Nvidia"/>
    <x v="0"/>
    <n v="4.0000000000000001E-3"/>
    <x v="2"/>
    <x v="0"/>
    <s v="March"/>
    <s v="Profit"/>
    <n v="1"/>
    <n v="50.737000000000002"/>
  </r>
  <r>
    <s v="2023-03-14"/>
    <n v="23.483000000000001"/>
    <x v="2924"/>
    <n v="23.446999999999999"/>
    <n v="24.048999999999999"/>
    <n v="475174853"/>
    <x v="6"/>
    <s v="Nvidia"/>
    <x v="0"/>
    <n v="4.7770000000000001"/>
    <x v="2"/>
    <x v="0"/>
    <s v="March"/>
    <s v="Profit"/>
    <n v="0.75900000000000034"/>
    <n v="55.514000000000003"/>
  </r>
  <r>
    <s v="2023-03-15"/>
    <n v="23.748000000000001"/>
    <x v="2925"/>
    <n v="23.347000000000001"/>
    <n v="24.215"/>
    <n v="524778097"/>
    <x v="6"/>
    <s v="Nvidia"/>
    <x v="0"/>
    <n v="0.68600000000000005"/>
    <x v="2"/>
    <x v="0"/>
    <s v="March"/>
    <s v="Profit"/>
    <n v="0.92599999999999838"/>
    <n v="56.2"/>
  </r>
  <r>
    <s v="2023-03-16"/>
    <n v="24.013999999999999"/>
    <x v="2926"/>
    <n v="23.881"/>
    <n v="25.527000000000001"/>
    <n v="585272319"/>
    <x v="6"/>
    <s v="Nvidia"/>
    <x v="0"/>
    <n v="5.4189999999999996"/>
    <x v="2"/>
    <x v="0"/>
    <s v="March"/>
    <s v="Profit"/>
    <n v="1.6930000000000014"/>
    <n v="61.619"/>
  </r>
  <r>
    <s v="2023-03-17"/>
    <n v="25.968"/>
    <x v="2927"/>
    <n v="25.654"/>
    <n v="25.710999999999999"/>
    <n v="849019554"/>
    <x v="6"/>
    <s v="Nvidia"/>
    <x v="0"/>
    <n v="0.72"/>
    <x v="2"/>
    <x v="0"/>
    <s v="March"/>
    <s v="Profit"/>
    <n v="0.73000000000000043"/>
    <n v="62.338999999999999"/>
  </r>
  <r>
    <s v="2023-03-20"/>
    <n v="25.600999999999999"/>
    <x v="2928"/>
    <n v="25.116"/>
    <n v="25.885999999999999"/>
    <n v="432988410"/>
    <x v="6"/>
    <s v="Nvidia"/>
    <x v="0"/>
    <n v="0.68100000000000005"/>
    <x v="2"/>
    <x v="0"/>
    <s v="March"/>
    <s v="Profit"/>
    <n v="0.8940000000000019"/>
    <n v="63.019999999999996"/>
  </r>
  <r>
    <s v="2023-03-21"/>
    <n v="26.166"/>
    <x v="2929"/>
    <n v="25.367000000000001"/>
    <n v="26.184000000000001"/>
    <n v="547712894"/>
    <x v="6"/>
    <s v="Nvidia"/>
    <x v="0"/>
    <n v="1.1539999999999999"/>
    <x v="2"/>
    <x v="0"/>
    <s v="March"/>
    <s v="Profit"/>
    <n v="1.009999999999998"/>
    <n v="64.173999999999992"/>
  </r>
  <r>
    <s v="2023-03-22"/>
    <n v="26.41"/>
    <x v="2930"/>
    <n v="26.222000000000001"/>
    <n v="26.452999999999999"/>
    <n v="797739536"/>
    <x v="6"/>
    <s v="Nvidia"/>
    <x v="0"/>
    <n v="1.0269999999999999"/>
    <x v="2"/>
    <x v="0"/>
    <s v="March"/>
    <s v="Profit"/>
    <n v="1.3509999999999991"/>
    <n v="65.200999999999993"/>
  </r>
  <r>
    <s v="2023-03-23"/>
    <n v="27.1"/>
    <x v="2931"/>
    <n v="26.675000000000001"/>
    <n v="27.175999999999998"/>
    <n v="565203638"/>
    <x v="6"/>
    <s v="Nvidia"/>
    <x v="0"/>
    <n v="2.7320000000000002"/>
    <x v="2"/>
    <x v="0"/>
    <s v="March"/>
    <s v="Profit"/>
    <n v="0.80900000000000105"/>
    <n v="67.932999999999993"/>
  </r>
  <r>
    <s v="2023-03-24"/>
    <n v="27.015999999999998"/>
    <x v="2932"/>
    <n v="26.34"/>
    <n v="26.763999999999999"/>
    <n v="455667925"/>
    <x v="6"/>
    <s v="Nvidia"/>
    <x v="0"/>
    <n v="-1.516"/>
    <x v="2"/>
    <x v="0"/>
    <s v="March"/>
    <s v="Loss"/>
    <n v="0.81200000000000117"/>
    <n v="66.416999999999987"/>
  </r>
  <r>
    <s v="2023-03-27"/>
    <n v="26.821999999999999"/>
    <x v="2933"/>
    <n v="26.35"/>
    <n v="26.515999999999998"/>
    <n v="361226982"/>
    <x v="6"/>
    <s v="Nvidia"/>
    <x v="0"/>
    <n v="-0.92500000000000004"/>
    <x v="2"/>
    <x v="0"/>
    <s v="March"/>
    <s v="Loss"/>
    <n v="0.63499999999999801"/>
    <n v="65.49199999999999"/>
  </r>
  <r>
    <s v="2023-03-28"/>
    <n v="26.431999999999999"/>
    <x v="2934"/>
    <n v="25.835999999999999"/>
    <n v="26.395"/>
    <n v="356302278"/>
    <x v="6"/>
    <s v="Nvidia"/>
    <x v="0"/>
    <n v="-0.45600000000000002"/>
    <x v="2"/>
    <x v="0"/>
    <s v="March"/>
    <s v="Loss"/>
    <n v="0.66200000000000259"/>
    <n v="65.035999999999987"/>
  </r>
  <r>
    <s v="2023-03-29"/>
    <n v="26.81"/>
    <x v="2935"/>
    <n v="26.582000000000001"/>
    <n v="26.969000000000001"/>
    <n v="393913321"/>
    <x v="6"/>
    <s v="Nvidia"/>
    <x v="0"/>
    <n v="2.173"/>
    <x v="2"/>
    <x v="0"/>
    <s v="March"/>
    <s v="Profit"/>
    <n v="0.4809999999999981"/>
    <n v="67.208999999999989"/>
  </r>
  <r>
    <s v="2023-03-30"/>
    <n v="27.213999999999999"/>
    <x v="2931"/>
    <n v="27.087"/>
    <n v="27.367999999999999"/>
    <n v="364718927"/>
    <x v="6"/>
    <s v="Nvidia"/>
    <x v="0"/>
    <n v="1.4790000000000001"/>
    <x v="2"/>
    <x v="0"/>
    <s v="March"/>
    <s v="Profit"/>
    <n v="0.39700000000000202"/>
    <n v="68.687999999999988"/>
  </r>
  <r>
    <s v="2023-03-31"/>
    <n v="27.125"/>
    <x v="2936"/>
    <n v="27.09"/>
    <n v="27.762"/>
    <n v="434174651"/>
    <x v="6"/>
    <s v="Nvidia"/>
    <x v="0"/>
    <n v="1.4390000000000001"/>
    <x v="2"/>
    <x v="0"/>
    <s v="March"/>
    <s v="Profit"/>
    <n v="0.7289999999999992"/>
    <n v="70.126999999999981"/>
  </r>
  <r>
    <s v="2023-04-03"/>
    <n v="27.494"/>
    <x v="2937"/>
    <n v="27.321000000000002"/>
    <n v="27.949000000000002"/>
    <n v="398937851"/>
    <x v="6"/>
    <s v="Nvidia"/>
    <x v="0"/>
    <n v="0.67700000000000005"/>
    <x v="3"/>
    <x v="0"/>
    <s v="April"/>
    <s v="Profit"/>
    <n v="0.66300000000000026"/>
    <n v="70.803999999999988"/>
  </r>
  <r>
    <s v="2023-04-04"/>
    <n v="27.95"/>
    <x v="2937"/>
    <n v="27.292000000000002"/>
    <n v="27.437999999999999"/>
    <n v="368796989"/>
    <x v="6"/>
    <s v="Nvidia"/>
    <x v="0"/>
    <n v="-1.831"/>
    <x v="3"/>
    <x v="0"/>
    <s v="April"/>
    <s v="Loss"/>
    <n v="0.69200000000000017"/>
    <n v="68.972999999999985"/>
  </r>
  <r>
    <s v="2023-04-05"/>
    <n v="26.814"/>
    <x v="2938"/>
    <n v="26.38"/>
    <n v="26.866"/>
    <n v="515301818"/>
    <x v="6"/>
    <s v="Nvidia"/>
    <x v="0"/>
    <n v="-2.0840000000000001"/>
    <x v="3"/>
    <x v="0"/>
    <s v="April"/>
    <s v="Loss"/>
    <n v="0.60300000000000153"/>
    <n v="66.888999999999982"/>
  </r>
  <r>
    <s v="2023-04-06"/>
    <n v="26.568999999999999"/>
    <x v="2939"/>
    <n v="26.411999999999999"/>
    <n v="27.021999999999998"/>
    <n v="397875999"/>
    <x v="6"/>
    <s v="Nvidia"/>
    <x v="0"/>
    <n v="0.58099999999999996"/>
    <x v="3"/>
    <x v="0"/>
    <s v="April"/>
    <s v="Profit"/>
    <n v="0.65300000000000225"/>
    <n v="67.469999999999985"/>
  </r>
  <r>
    <s v="2023-04-10"/>
    <n v="26.808"/>
    <x v="2940"/>
    <n v="26.654"/>
    <n v="27.564"/>
    <n v="395498885"/>
    <x v="6"/>
    <s v="Nvidia"/>
    <x v="0"/>
    <n v="2.004"/>
    <x v="3"/>
    <x v="0"/>
    <s v="April"/>
    <s v="Profit"/>
    <n v="0.95100000000000051"/>
    <n v="69.47399999999999"/>
  </r>
  <r>
    <s v="2023-04-11"/>
    <n v="27.707999999999998"/>
    <x v="2941"/>
    <n v="27.111000000000001"/>
    <n v="27.154"/>
    <n v="314553409"/>
    <x v="6"/>
    <s v="Nvidia"/>
    <x v="0"/>
    <n v="-1.486"/>
    <x v="3"/>
    <x v="0"/>
    <s v="April"/>
    <s v="Loss"/>
    <n v="0.66300000000000026"/>
    <n v="67.987999999999985"/>
  </r>
  <r>
    <s v="2023-04-12"/>
    <n v="27.355"/>
    <x v="2942"/>
    <n v="26.433"/>
    <n v="26.48"/>
    <n v="446507702"/>
    <x v="6"/>
    <s v="Nvidia"/>
    <x v="0"/>
    <n v="-2.4809999999999999"/>
    <x v="3"/>
    <x v="0"/>
    <s v="April"/>
    <s v="Loss"/>
    <n v="1.0199999999999996"/>
    <n v="65.506999999999991"/>
  </r>
  <r>
    <s v="2023-04-13"/>
    <n v="26.719000000000001"/>
    <x v="2943"/>
    <n v="26.314"/>
    <n v="26.448"/>
    <n v="353812391"/>
    <x v="6"/>
    <s v="Nvidia"/>
    <x v="0"/>
    <n v="-0.121"/>
    <x v="3"/>
    <x v="0"/>
    <s v="April"/>
    <s v="Loss"/>
    <n v="0.55799999999999983"/>
    <n v="65.385999999999996"/>
  </r>
  <r>
    <s v="2023-04-14"/>
    <n v="26.489000000000001"/>
    <x v="2944"/>
    <n v="26.204999999999998"/>
    <n v="26.742999999999999"/>
    <n v="395880677"/>
    <x v="6"/>
    <s v="Nvidia"/>
    <x v="0"/>
    <n v="1.1140000000000001"/>
    <x v="3"/>
    <x v="0"/>
    <s v="April"/>
    <s v="Profit"/>
    <n v="0.66300000000000026"/>
    <n v="66.5"/>
  </r>
  <r>
    <s v="2023-04-17"/>
    <n v="26.550999999999998"/>
    <x v="2945"/>
    <n v="26.417999999999999"/>
    <n v="26.986999999999998"/>
    <n v="321650493"/>
    <x v="6"/>
    <s v="Nvidia"/>
    <x v="0"/>
    <n v="0.91200000000000003"/>
    <x v="3"/>
    <x v="0"/>
    <s v="April"/>
    <s v="Profit"/>
    <n v="0.5730000000000004"/>
    <n v="67.412000000000006"/>
  </r>
  <r>
    <s v="2023-04-18"/>
    <n v="27.518000000000001"/>
    <x v="2946"/>
    <n v="27.341999999999999"/>
    <n v="27.651"/>
    <n v="605148672"/>
    <x v="6"/>
    <s v="Nvidia"/>
    <x v="0"/>
    <n v="2.4630000000000001"/>
    <x v="3"/>
    <x v="0"/>
    <s v="April"/>
    <s v="Profit"/>
    <n v="0.75200000000000244"/>
    <n v="69.875"/>
  </r>
  <r>
    <s v="2023-04-19"/>
    <n v="27.346"/>
    <x v="2937"/>
    <n v="27.216999999999999"/>
    <n v="27.914999999999999"/>
    <n v="358860333"/>
    <x v="6"/>
    <s v="Nvidia"/>
    <x v="0"/>
    <n v="0.95399999999999996"/>
    <x v="3"/>
    <x v="0"/>
    <s v="April"/>
    <s v="Profit"/>
    <n v="0.76700000000000301"/>
    <n v="70.828999999999994"/>
  </r>
  <r>
    <s v="2023-04-20"/>
    <n v="27.655000000000001"/>
    <x v="2947"/>
    <n v="26.984999999999999"/>
    <n v="27.088999999999999"/>
    <n v="427951674"/>
    <x v="6"/>
    <s v="Nvidia"/>
    <x v="0"/>
    <n v="-2.9609999999999999"/>
    <x v="3"/>
    <x v="0"/>
    <s v="April"/>
    <s v="Loss"/>
    <n v="1.0289999999999999"/>
    <n v="67.867999999999995"/>
  </r>
  <r>
    <s v="2023-04-21"/>
    <n v="26.937000000000001"/>
    <x v="2948"/>
    <n v="26.707000000000001"/>
    <n v="27.103999999999999"/>
    <n v="345295136"/>
    <x v="6"/>
    <s v="Nvidia"/>
    <x v="0"/>
    <n v="5.5E-2"/>
    <x v="3"/>
    <x v="0"/>
    <s v="April"/>
    <s v="Profit"/>
    <n v="0.46099999999999852"/>
    <n v="67.923000000000002"/>
  </r>
  <r>
    <s v="2023-04-24"/>
    <n v="26.998000000000001"/>
    <x v="2949"/>
    <n v="26.655999999999999"/>
    <n v="27.027000000000001"/>
    <n v="339470981"/>
    <x v="6"/>
    <s v="Nvidia"/>
    <x v="0"/>
    <n v="-0.28399999999999997"/>
    <x v="3"/>
    <x v="0"/>
    <s v="April"/>
    <s v="Loss"/>
    <n v="0.69500000000000028"/>
    <n v="67.638999999999996"/>
  </r>
  <r>
    <s v="2023-04-25"/>
    <n v="27.062999999999999"/>
    <x v="2950"/>
    <n v="26.21"/>
    <n v="26.225999999999999"/>
    <n v="378738157"/>
    <x v="6"/>
    <s v="Nvidia"/>
    <x v="0"/>
    <n v="-2.9620000000000002"/>
    <x v="3"/>
    <x v="0"/>
    <s v="April"/>
    <s v="Loss"/>
    <n v="1.0219999999999985"/>
    <n v="64.676999999999992"/>
  </r>
  <r>
    <s v="2023-04-26"/>
    <n v="26.986999999999998"/>
    <x v="2951"/>
    <n v="26.69"/>
    <n v="26.940999999999999"/>
    <n v="406563309"/>
    <x v="6"/>
    <s v="Nvidia"/>
    <x v="0"/>
    <n v="2.7240000000000002"/>
    <x v="3"/>
    <x v="0"/>
    <s v="April"/>
    <s v="Profit"/>
    <n v="0.625"/>
    <n v="67.400999999999996"/>
  </r>
  <r>
    <s v="2023-04-27"/>
    <n v="27.347999999999999"/>
    <x v="2952"/>
    <n v="26.61"/>
    <n v="27.210999999999999"/>
    <n v="377371426"/>
    <x v="6"/>
    <s v="Nvidia"/>
    <x v="0"/>
    <n v="1.002"/>
    <x v="3"/>
    <x v="0"/>
    <s v="April"/>
    <s v="Profit"/>
    <n v="0.87000000000000099"/>
    <n v="68.402999999999992"/>
  </r>
  <r>
    <s v="2023-04-28"/>
    <n v="27.21"/>
    <x v="2953"/>
    <n v="27.056000000000001"/>
    <n v="27.733000000000001"/>
    <n v="292379026"/>
    <x v="6"/>
    <s v="Nvidia"/>
    <x v="0"/>
    <n v="1.921"/>
    <x v="3"/>
    <x v="0"/>
    <s v="April"/>
    <s v="Profit"/>
    <n v="0.68599999999999994"/>
    <n v="70.323999999999998"/>
  </r>
  <r>
    <s v="2023-05-01"/>
    <n v="27.824999999999999"/>
    <x v="2954"/>
    <n v="27.765000000000001"/>
    <n v="28.893999999999998"/>
    <n v="570646441"/>
    <x v="6"/>
    <s v="Nvidia"/>
    <x v="0"/>
    <n v="4.1840000000000002"/>
    <x v="4"/>
    <x v="0"/>
    <s v="May"/>
    <s v="Profit"/>
    <n v="1.277000000000001"/>
    <n v="74.507999999999996"/>
  </r>
  <r>
    <s v="2023-05-02"/>
    <n v="28.664000000000001"/>
    <x v="2955"/>
    <n v="28.067"/>
    <n v="28.193999999999999"/>
    <n v="402954058"/>
    <x v="6"/>
    <s v="Nvidia"/>
    <x v="0"/>
    <n v="-2.4209999999999998"/>
    <x v="4"/>
    <x v="0"/>
    <s v="May"/>
    <s v="Loss"/>
    <n v="0.75300000000000011"/>
    <n v="72.086999999999989"/>
  </r>
  <r>
    <s v="2023-05-03"/>
    <n v="27.824999999999999"/>
    <x v="2956"/>
    <n v="27.457000000000001"/>
    <n v="27.786999999999999"/>
    <n v="383601106"/>
    <x v="6"/>
    <s v="Nvidia"/>
    <x v="0"/>
    <n v="-1.4470000000000001"/>
    <x v="4"/>
    <x v="0"/>
    <s v="May"/>
    <s v="Loss"/>
    <n v="0.89399999999999835"/>
    <n v="70.639999999999986"/>
  </r>
  <r>
    <s v="2023-05-04"/>
    <n v="27.635999999999999"/>
    <x v="2957"/>
    <n v="27.225000000000001"/>
    <n v="27.547000000000001"/>
    <n v="322029815"/>
    <x v="6"/>
    <s v="Nvidia"/>
    <x v="0"/>
    <n v="-0.86399999999999999"/>
    <x v="4"/>
    <x v="0"/>
    <s v="May"/>
    <s v="Loss"/>
    <n v="0.61799999999999855"/>
    <n v="69.775999999999982"/>
  </r>
  <r>
    <s v="2023-05-05"/>
    <n v="27.81"/>
    <x v="2958"/>
    <n v="27.715"/>
    <n v="28.664000000000001"/>
    <n v="361695583"/>
    <x v="6"/>
    <s v="Nvidia"/>
    <x v="0"/>
    <n v="4.056"/>
    <x v="4"/>
    <x v="0"/>
    <s v="May"/>
    <s v="Profit"/>
    <n v="1.0240000000000009"/>
    <n v="73.831999999999979"/>
  </r>
  <r>
    <s v="2023-05-08"/>
    <n v="28.506"/>
    <x v="2959"/>
    <n v="28.334"/>
    <n v="29.135000000000002"/>
    <n v="345171197"/>
    <x v="6"/>
    <s v="Nvidia"/>
    <x v="0"/>
    <n v="1.6419999999999999"/>
    <x v="4"/>
    <x v="0"/>
    <s v="May"/>
    <s v="Profit"/>
    <n v="0.87000000000000099"/>
    <n v="75.473999999999975"/>
  </r>
  <r>
    <s v="2023-05-09"/>
    <n v="28.882999999999999"/>
    <x v="2960"/>
    <n v="28.434000000000001"/>
    <n v="28.555"/>
    <n v="315044973"/>
    <x v="6"/>
    <s v="Nvidia"/>
    <x v="0"/>
    <n v="-1.9890000000000001"/>
    <x v="4"/>
    <x v="0"/>
    <s v="May"/>
    <s v="Loss"/>
    <n v="0.52299999999999969"/>
    <n v="73.484999999999971"/>
  </r>
  <r>
    <s v="2023-05-10"/>
    <n v="28.989000000000001"/>
    <x v="2961"/>
    <n v="28.445"/>
    <n v="28.869"/>
    <n v="369555862"/>
    <x v="6"/>
    <s v="Nvidia"/>
    <x v="0"/>
    <n v="1.099"/>
    <x v="4"/>
    <x v="0"/>
    <s v="May"/>
    <s v="Profit"/>
    <n v="0.65200000000000102"/>
    <n v="74.583999999999975"/>
  </r>
  <r>
    <s v="2023-05-11"/>
    <n v="28.88"/>
    <x v="2962"/>
    <n v="28.23"/>
    <n v="28.562000000000001"/>
    <n v="322328601"/>
    <x v="6"/>
    <s v="Nvidia"/>
    <x v="0"/>
    <n v="-1.0620000000000001"/>
    <x v="4"/>
    <x v="0"/>
    <s v="May"/>
    <s v="Loss"/>
    <n v="0.70400000000000063"/>
    <n v="73.521999999999977"/>
  </r>
  <r>
    <s v="2023-05-12"/>
    <n v="28.513000000000002"/>
    <x v="2963"/>
    <n v="28.03"/>
    <n v="28.324000000000002"/>
    <n v="274375106"/>
    <x v="6"/>
    <s v="Nvidia"/>
    <x v="0"/>
    <n v="-0.83299999999999996"/>
    <x v="4"/>
    <x v="0"/>
    <s v="May"/>
    <s v="Loss"/>
    <n v="0.73399999999999821"/>
    <n v="72.688999999999979"/>
  </r>
  <r>
    <s v="2023-05-15"/>
    <n v="28.492999999999999"/>
    <x v="2964"/>
    <n v="28.135999999999999"/>
    <n v="28.937000000000001"/>
    <n v="294089709"/>
    <x v="6"/>
    <s v="Nvidia"/>
    <x v="0"/>
    <n v="2.1619999999999999"/>
    <x v="4"/>
    <x v="0"/>
    <s v="May"/>
    <s v="Profit"/>
    <n v="0.81700000000000017"/>
    <n v="74.850999999999985"/>
  </r>
  <r>
    <s v="2023-05-16"/>
    <n v="28.824999999999999"/>
    <x v="2965"/>
    <n v="28.815999999999999"/>
    <n v="29.196999999999999"/>
    <n v="449655446"/>
    <x v="6"/>
    <s v="Nvidia"/>
    <x v="0"/>
    <n v="0.89800000000000002"/>
    <x v="4"/>
    <x v="0"/>
    <s v="May"/>
    <s v="Profit"/>
    <n v="1.0370000000000026"/>
    <n v="75.748999999999981"/>
  </r>
  <r>
    <s v="2023-05-17"/>
    <n v="29.568000000000001"/>
    <x v="2966"/>
    <n v="29.414000000000001"/>
    <n v="30.161000000000001"/>
    <n v="432776512"/>
    <x v="6"/>
    <s v="Nvidia"/>
    <x v="0"/>
    <n v="3.3029999999999999"/>
    <x v="4"/>
    <x v="0"/>
    <s v="May"/>
    <s v="Profit"/>
    <n v="0.76799999999999713"/>
    <n v="79.051999999999978"/>
  </r>
  <r>
    <s v="2023-05-18"/>
    <n v="30.393000000000001"/>
    <x v="2967"/>
    <n v="30.303000000000001"/>
    <n v="31.66"/>
    <n v="749142362"/>
    <x v="6"/>
    <s v="Nvidia"/>
    <x v="0"/>
    <n v="4.9710000000000001"/>
    <x v="4"/>
    <x v="0"/>
    <s v="May"/>
    <s v="Profit"/>
    <n v="1.5069999999999979"/>
    <n v="84.022999999999982"/>
  </r>
  <r>
    <s v="2023-05-19"/>
    <n v="31.518000000000001"/>
    <x v="2968"/>
    <n v="30.899000000000001"/>
    <n v="31.247"/>
    <n v="474171814"/>
    <x v="6"/>
    <s v="Nvidia"/>
    <x v="0"/>
    <n v="-1.3069999999999999"/>
    <x v="4"/>
    <x v="0"/>
    <s v="May"/>
    <s v="Loss"/>
    <n v="0.66300000000000026"/>
    <n v="82.71599999999998"/>
  </r>
  <r>
    <s v="2023-05-22"/>
    <n v="30.884"/>
    <x v="2969"/>
    <n v="30.663"/>
    <n v="31.158999999999999"/>
    <n v="372207029"/>
    <x v="6"/>
    <s v="Nvidia"/>
    <x v="0"/>
    <n v="-0.28100000000000003"/>
    <x v="4"/>
    <x v="0"/>
    <s v="May"/>
    <s v="Loss"/>
    <n v="0.83899999999999864"/>
    <n v="82.434999999999974"/>
  </r>
  <r>
    <s v="2023-05-23"/>
    <n v="30.983000000000001"/>
    <x v="2970"/>
    <n v="30.614000000000001"/>
    <n v="30.670999999999999"/>
    <n v="356451841"/>
    <x v="6"/>
    <s v="Nvidia"/>
    <x v="0"/>
    <n v="-1.5649999999999999"/>
    <x v="4"/>
    <x v="0"/>
    <s v="May"/>
    <s v="Loss"/>
    <n v="0.65599999999999881"/>
    <n v="80.869999999999976"/>
  </r>
  <r>
    <s v="2023-05-24"/>
    <n v="30.193000000000001"/>
    <x v="2971"/>
    <n v="29.789000000000001"/>
    <n v="30.521000000000001"/>
    <n v="721820641"/>
    <x v="6"/>
    <s v="Nvidia"/>
    <x v="0"/>
    <n v="-0.48899999999999999"/>
    <x v="4"/>
    <x v="0"/>
    <s v="May"/>
    <s v="Loss"/>
    <n v="0.80099999999999838"/>
    <n v="80.380999999999972"/>
  </r>
  <r>
    <s v="2023-05-25"/>
    <n v="38.500999999999998"/>
    <x v="2972"/>
    <n v="36.615000000000002"/>
    <n v="37.959000000000003"/>
    <n v="1544771272"/>
    <x v="6"/>
    <s v="Nvidia"/>
    <x v="0"/>
    <n v="24.37"/>
    <x v="4"/>
    <x v="0"/>
    <s v="May"/>
    <s v="Profit"/>
    <n v="2.8429999999999964"/>
    <n v="104.75099999999998"/>
  </r>
  <r>
    <s v="2023-05-26"/>
    <n v="37.869"/>
    <x v="2973"/>
    <n v="37.529000000000003"/>
    <n v="38.923999999999999"/>
    <n v="714794977"/>
    <x v="6"/>
    <s v="Nvidia"/>
    <x v="0"/>
    <n v="2.5430000000000001"/>
    <x v="4"/>
    <x v="0"/>
    <s v="May"/>
    <s v="Profit"/>
    <n v="1.6189999999999998"/>
    <n v="107.29399999999998"/>
  </r>
  <r>
    <s v="2023-05-30"/>
    <n v="40.572000000000003"/>
    <x v="2974"/>
    <n v="39.927"/>
    <n v="40.088999999999999"/>
    <n v="923915819"/>
    <x v="6"/>
    <s v="Nvidia"/>
    <x v="0"/>
    <n v="2.9910000000000001"/>
    <x v="4"/>
    <x v="0"/>
    <s v="May"/>
    <s v="Profit"/>
    <n v="1.9879999999999995"/>
    <n v="110.28499999999998"/>
  </r>
  <r>
    <s v="2023-05-31"/>
    <n v="39.466000000000001"/>
    <x v="2975"/>
    <n v="37.801000000000002"/>
    <n v="37.813000000000002"/>
    <n v="1003139055"/>
    <x v="6"/>
    <s v="Nvidia"/>
    <x v="0"/>
    <n v="-5.6760000000000002"/>
    <x v="4"/>
    <x v="0"/>
    <s v="May"/>
    <s v="Loss"/>
    <n v="2.4720000000000013"/>
    <n v="104.60899999999998"/>
  </r>
  <r>
    <s v="2023-06-01"/>
    <n v="38.466999999999999"/>
    <x v="2976"/>
    <n v="38.319000000000003"/>
    <n v="39.747999999999998"/>
    <n v="636227396"/>
    <x v="6"/>
    <s v="Nvidia"/>
    <x v="0"/>
    <n v="5.117"/>
    <x v="5"/>
    <x v="0"/>
    <s v="June"/>
    <s v="Profit"/>
    <n v="1.7089999999999961"/>
    <n v="109.72599999999998"/>
  </r>
  <r>
    <s v="2023-06-02"/>
    <n v="40.075000000000003"/>
    <x v="2977"/>
    <n v="39.036000000000001"/>
    <n v="39.305"/>
    <n v="483000292"/>
    <x v="6"/>
    <s v="Nvidia"/>
    <x v="0"/>
    <n v="-1.1140000000000001"/>
    <x v="5"/>
    <x v="0"/>
    <s v="June"/>
    <s v="Loss"/>
    <n v="1.4409999999999954"/>
    <n v="108.61199999999998"/>
  </r>
  <r>
    <s v="2023-06-05"/>
    <n v="38.887"/>
    <x v="2978"/>
    <n v="38.685000000000002"/>
    <n v="39.149000000000001"/>
    <n v="396314599"/>
    <x v="6"/>
    <s v="Nvidia"/>
    <x v="0"/>
    <n v="-0.39600000000000002"/>
    <x v="5"/>
    <x v="0"/>
    <s v="June"/>
    <s v="Loss"/>
    <n v="0.85799999999999699"/>
    <n v="108.21599999999998"/>
  </r>
  <r>
    <s v="2023-06-06"/>
    <n v="38.808"/>
    <x v="2979"/>
    <n v="38.127000000000002"/>
    <n v="38.631999999999998"/>
    <n v="388945824"/>
    <x v="6"/>
    <s v="Nvidia"/>
    <x v="0"/>
    <n v="-1.32"/>
    <x v="5"/>
    <x v="0"/>
    <s v="June"/>
    <s v="Loss"/>
    <n v="1.0109999999999957"/>
    <n v="106.89599999999999"/>
  </r>
  <r>
    <s v="2023-06-07"/>
    <n v="38.896999999999998"/>
    <x v="2980"/>
    <n v="37.338999999999999"/>
    <n v="37.457999999999998"/>
    <n v="512230274"/>
    <x v="6"/>
    <s v="Nvidia"/>
    <x v="0"/>
    <n v="-3.04"/>
    <x v="5"/>
    <x v="0"/>
    <s v="June"/>
    <s v="Loss"/>
    <n v="2.142000000000003"/>
    <n v="103.85599999999998"/>
  </r>
  <r>
    <s v="2023-06-08"/>
    <n v="37.707000000000001"/>
    <x v="2981"/>
    <n v="37.488"/>
    <n v="38.491999999999997"/>
    <n v="417962017"/>
    <x v="6"/>
    <s v="Nvidia"/>
    <x v="0"/>
    <n v="2.762"/>
    <x v="5"/>
    <x v="0"/>
    <s v="June"/>
    <s v="Profit"/>
    <n v="1.357999999999997"/>
    <n v="106.61799999999998"/>
  </r>
  <r>
    <s v="2023-06-09"/>
    <n v="39.018999999999998"/>
    <x v="2982"/>
    <n v="38.548999999999999"/>
    <n v="38.752000000000002"/>
    <n v="427911601"/>
    <x v="6"/>
    <s v="Nvidia"/>
    <x v="0"/>
    <n v="0.67500000000000004"/>
    <x v="5"/>
    <x v="0"/>
    <s v="June"/>
    <s v="Profit"/>
    <n v="1.1439999999999984"/>
    <n v="107.29299999999998"/>
  </r>
  <r>
    <s v="2023-06-12"/>
    <n v="39.182000000000002"/>
    <x v="2983"/>
    <n v="38.6"/>
    <n v="39.463999999999999"/>
    <n v="389850214"/>
    <x v="6"/>
    <s v="Nvidia"/>
    <x v="0"/>
    <n v="1.8360000000000001"/>
    <x v="5"/>
    <x v="0"/>
    <s v="June"/>
    <s v="Profit"/>
    <n v="0.91199999999999903"/>
    <n v="109.12899999999998"/>
  </r>
  <r>
    <s v="2023-06-13"/>
    <n v="40.167999999999999"/>
    <x v="2984"/>
    <n v="39.722000000000001"/>
    <n v="41.003"/>
    <n v="613486481"/>
    <x v="6"/>
    <s v="Nvidia"/>
    <x v="0"/>
    <n v="3.9009999999999998"/>
    <x v="5"/>
    <x v="0"/>
    <s v="June"/>
    <s v="Profit"/>
    <n v="1.3599999999999994"/>
    <n v="113.02999999999997"/>
  </r>
  <r>
    <s v="2023-06-14"/>
    <n v="40.805"/>
    <x v="2985"/>
    <n v="40.533999999999999"/>
    <n v="42.976999999999997"/>
    <n v="740801100"/>
    <x v="6"/>
    <s v="Nvidia"/>
    <x v="0"/>
    <n v="4.8140000000000001"/>
    <x v="5"/>
    <x v="0"/>
    <s v="June"/>
    <s v="Profit"/>
    <n v="2.445999999999998"/>
    <n v="117.84399999999997"/>
  </r>
  <r>
    <s v="2023-06-15"/>
    <n v="42.582999999999998"/>
    <x v="2986"/>
    <n v="42.128"/>
    <n v="42.634"/>
    <n v="568880124"/>
    <x v="6"/>
    <s v="Nvidia"/>
    <x v="0"/>
    <n v="-0.8"/>
    <x v="5"/>
    <x v="0"/>
    <s v="June"/>
    <s v="Loss"/>
    <n v="1.1409999999999982"/>
    <n v="117.04399999999997"/>
  </r>
  <r>
    <s v="2023-06-16"/>
    <n v="43.43"/>
    <x v="2987"/>
    <n v="42.640999999999998"/>
    <n v="42.673000000000002"/>
    <n v="656007021"/>
    <x v="6"/>
    <s v="Nvidia"/>
    <x v="0"/>
    <n v="9.0999999999999998E-2"/>
    <x v="5"/>
    <x v="0"/>
    <s v="June"/>
    <s v="Profit"/>
    <n v="1.0600000000000023"/>
    <n v="117.13499999999996"/>
  </r>
  <r>
    <s v="2023-06-20"/>
    <n v="42.978000000000002"/>
    <x v="2988"/>
    <n v="42.655000000000001"/>
    <n v="43.787999999999997"/>
    <n v="451357878"/>
    <x v="6"/>
    <s v="Nvidia"/>
    <x v="0"/>
    <n v="2.6139999999999999"/>
    <x v="5"/>
    <x v="0"/>
    <s v="June"/>
    <s v="Profit"/>
    <n v="1.3149999999999977"/>
    <n v="119.74899999999997"/>
  </r>
  <r>
    <s v="2023-06-21"/>
    <n v="43.481000000000002"/>
    <x v="2989"/>
    <n v="42.061"/>
    <n v="43.026000000000003"/>
    <n v="551853270"/>
    <x v="6"/>
    <s v="Nvidia"/>
    <x v="0"/>
    <n v="-1.742"/>
    <x v="5"/>
    <x v="0"/>
    <s v="June"/>
    <s v="Loss"/>
    <n v="1.5339999999999989"/>
    <n v="118.00699999999996"/>
  </r>
  <r>
    <s v="2023-06-22"/>
    <n v="42.234000000000002"/>
    <x v="2990"/>
    <n v="42.215000000000003"/>
    <n v="43.005000000000003"/>
    <n v="417927031"/>
    <x v="6"/>
    <s v="Nvidia"/>
    <x v="0"/>
    <n v="-4.5999999999999999E-2"/>
    <x v="5"/>
    <x v="0"/>
    <s v="June"/>
    <s v="Loss"/>
    <n v="1.1909999999999954"/>
    <n v="117.96099999999996"/>
  </r>
  <r>
    <s v="2023-06-23"/>
    <n v="42.445"/>
    <x v="2991"/>
    <n v="41.996000000000002"/>
    <n v="42.19"/>
    <n v="358302391"/>
    <x v="6"/>
    <s v="Nvidia"/>
    <x v="0"/>
    <n v="-1.897"/>
    <x v="5"/>
    <x v="0"/>
    <s v="June"/>
    <s v="Loss"/>
    <n v="0.79399999999999693"/>
    <n v="116.06399999999995"/>
  </r>
  <r>
    <s v="2023-06-26"/>
    <n v="42.423000000000002"/>
    <x v="2992"/>
    <n v="40.082000000000001"/>
    <n v="40.613999999999997"/>
    <n v="594591669"/>
    <x v="6"/>
    <s v="Nvidia"/>
    <x v="0"/>
    <n v="-3.7360000000000002"/>
    <x v="5"/>
    <x v="0"/>
    <s v="June"/>
    <s v="Loss"/>
    <n v="2.6629999999999967"/>
    <n v="112.32799999999995"/>
  </r>
  <r>
    <s v="2023-06-27"/>
    <n v="40.780999999999999"/>
    <x v="2993"/>
    <n v="40.43"/>
    <n v="41.856999999999999"/>
    <n v="462384470"/>
    <x v="6"/>
    <s v="Nvidia"/>
    <x v="0"/>
    <n v="3.0609999999999999"/>
    <x v="5"/>
    <x v="0"/>
    <s v="June"/>
    <s v="Profit"/>
    <n v="1.4909999999999997"/>
    <n v="115.38899999999995"/>
  </r>
  <r>
    <s v="2023-06-28"/>
    <n v="40.642000000000003"/>
    <x v="2994"/>
    <n v="40.5"/>
    <n v="41.097999999999999"/>
    <n v="582903716"/>
    <x v="6"/>
    <s v="Nvidia"/>
    <x v="0"/>
    <n v="-1.8120000000000001"/>
    <x v="5"/>
    <x v="0"/>
    <s v="June"/>
    <s v="Loss"/>
    <n v="1.3260000000000005"/>
    <n v="113.57699999999996"/>
  </r>
  <r>
    <s v="2023-06-29"/>
    <n v="41.539000000000001"/>
    <x v="2995"/>
    <n v="40.582000000000001"/>
    <n v="40.802999999999997"/>
    <n v="380687006"/>
    <x v="6"/>
    <s v="Nvidia"/>
    <x v="0"/>
    <n v="-0.71799999999999997"/>
    <x v="5"/>
    <x v="0"/>
    <s v="June"/>
    <s v="Loss"/>
    <n v="0.99900000000000233"/>
    <n v="112.85899999999995"/>
  </r>
  <r>
    <s v="2023-06-30"/>
    <n v="41.661000000000001"/>
    <x v="2996"/>
    <n v="41.481999999999999"/>
    <n v="42.283000000000001"/>
    <n v="501375209"/>
    <x v="6"/>
    <s v="Nvidia"/>
    <x v="0"/>
    <n v="3.6259999999999999"/>
    <x v="5"/>
    <x v="0"/>
    <s v="June"/>
    <s v="Profit"/>
    <n v="1.0489999999999995"/>
    <n v="116.48499999999996"/>
  </r>
  <r>
    <s v="2023-07-03"/>
    <n v="42.497999999999998"/>
    <x v="2997"/>
    <n v="42.183"/>
    <n v="42.393999999999998"/>
    <n v="198299152"/>
    <x v="6"/>
    <s v="Nvidia"/>
    <x v="0"/>
    <n v="0.26300000000000001"/>
    <x v="6"/>
    <x v="0"/>
    <s v="July"/>
    <s v="Profit"/>
    <n v="0.69599999999999795"/>
    <n v="116.74799999999996"/>
  </r>
  <r>
    <s v="2023-07-05"/>
    <n v="42.116"/>
    <x v="2998"/>
    <n v="42.066000000000003"/>
    <n v="42.298000000000002"/>
    <n v="323764442"/>
    <x v="6"/>
    <s v="Nvidia"/>
    <x v="0"/>
    <n v="-0.22600000000000001"/>
    <x v="6"/>
    <x v="0"/>
    <s v="July"/>
    <s v="Loss"/>
    <n v="1.090999999999994"/>
    <n v="116.52199999999996"/>
  </r>
  <r>
    <s v="2023-07-06"/>
    <n v="41.825000000000003"/>
    <x v="2999"/>
    <n v="41.326999999999998"/>
    <n v="42.084000000000003"/>
    <n v="304276831"/>
    <x v="6"/>
    <s v="Nvidia"/>
    <x v="0"/>
    <n v="-0.50600000000000001"/>
    <x v="6"/>
    <x v="0"/>
    <s v="July"/>
    <s v="Loss"/>
    <n v="0.83299999999999841"/>
    <n v="116.01599999999996"/>
  </r>
  <r>
    <s v="2023-07-07"/>
    <n v="42.302999999999997"/>
    <x v="3000"/>
    <n v="42.161000000000001"/>
    <n v="42.484000000000002"/>
    <n v="356042996"/>
    <x v="6"/>
    <s v="Nvidia"/>
    <x v="0"/>
    <n v="0.95"/>
    <x v="6"/>
    <x v="0"/>
    <s v="July"/>
    <s v="Profit"/>
    <n v="1.0330000000000013"/>
    <n v="116.96599999999997"/>
  </r>
  <r>
    <s v="2023-07-10"/>
    <n v="42.637999999999998"/>
    <x v="3001"/>
    <n v="41.63"/>
    <n v="42.161000000000001"/>
    <n v="354068740"/>
    <x v="6"/>
    <s v="Nvidia"/>
    <x v="0"/>
    <n v="-0.76"/>
    <x v="6"/>
    <x v="0"/>
    <s v="July"/>
    <s v="Loss"/>
    <n v="1.161999999999999"/>
    <n v="116.20599999999996"/>
  </r>
  <r>
    <s v="2023-07-11"/>
    <n v="42.462000000000003"/>
    <x v="3002"/>
    <n v="42.048000000000002"/>
    <n v="42.386000000000003"/>
    <n v="298379426"/>
    <x v="6"/>
    <s v="Nvidia"/>
    <x v="0"/>
    <n v="0.53400000000000003"/>
    <x v="6"/>
    <x v="0"/>
    <s v="July"/>
    <s v="Profit"/>
    <n v="0.6909999999999954"/>
    <n v="116.73999999999997"/>
  </r>
  <r>
    <s v="2023-07-12"/>
    <n v="43.014000000000003"/>
    <x v="3003"/>
    <n v="42.758000000000003"/>
    <n v="43.881999999999998"/>
    <n v="481495460"/>
    <x v="6"/>
    <s v="Nvidia"/>
    <x v="0"/>
    <n v="3.53"/>
    <x v="6"/>
    <x v="0"/>
    <s v="July"/>
    <s v="Profit"/>
    <n v="1.1569999999999965"/>
    <n v="120.26999999999997"/>
  </r>
  <r>
    <s v="2023-07-13"/>
    <n v="44.497999999999998"/>
    <x v="3004"/>
    <n v="44.472000000000001"/>
    <n v="45.956000000000003"/>
    <n v="478420735"/>
    <x v="6"/>
    <s v="Nvidia"/>
    <x v="0"/>
    <n v="4.7270000000000003"/>
    <x v="6"/>
    <x v="0"/>
    <s v="July"/>
    <s v="Profit"/>
    <n v="1.661999999999999"/>
    <n v="124.99699999999997"/>
  </r>
  <r>
    <s v="2023-07-14"/>
    <n v="46.561999999999998"/>
    <x v="3005"/>
    <n v="45.039000000000001"/>
    <n v="45.448999999999998"/>
    <n v="772425757"/>
    <x v="6"/>
    <s v="Nvidia"/>
    <x v="0"/>
    <n v="-1.105"/>
    <x v="6"/>
    <x v="0"/>
    <s v="July"/>
    <s v="Loss"/>
    <n v="3.027000000000001"/>
    <n v="123.89199999999997"/>
  </r>
  <r>
    <s v="2023-07-17"/>
    <n v="46.268000000000001"/>
    <x v="3006"/>
    <n v="45.241999999999997"/>
    <n v="46.44"/>
    <n v="510719919"/>
    <x v="6"/>
    <s v="Nvidia"/>
    <x v="0"/>
    <n v="2.181"/>
    <x v="6"/>
    <x v="0"/>
    <s v="July"/>
    <s v="Profit"/>
    <n v="1.2330000000000041"/>
    <n v="126.07299999999996"/>
  </r>
  <r>
    <s v="2023-07-18"/>
    <n v="46.68"/>
    <x v="3007"/>
    <n v="45.713000000000001"/>
    <n v="47.472000000000001"/>
    <n v="570449216"/>
    <x v="6"/>
    <s v="Nvidia"/>
    <x v="0"/>
    <n v="2.2229999999999999"/>
    <x v="6"/>
    <x v="0"/>
    <s v="July"/>
    <s v="Profit"/>
    <n v="2.1610000000000014"/>
    <n v="128.29599999999996"/>
  </r>
  <r>
    <s v="2023-07-19"/>
    <n v="47.442"/>
    <x v="3008"/>
    <n v="46.720999999999997"/>
    <n v="47.055999999999997"/>
    <n v="427695823"/>
    <x v="6"/>
    <s v="Nvidia"/>
    <x v="0"/>
    <n v="-0.878"/>
    <x v="6"/>
    <x v="0"/>
    <s v="July"/>
    <s v="Loss"/>
    <n v="1.0750000000000028"/>
    <n v="127.41799999999996"/>
  </r>
  <r>
    <s v="2023-07-20"/>
    <n v="46.485999999999997"/>
    <x v="3009"/>
    <n v="45.040999999999997"/>
    <n v="45.499000000000002"/>
    <n v="538108634"/>
    <x v="6"/>
    <s v="Nvidia"/>
    <x v="0"/>
    <n v="-3.3069999999999999"/>
    <x v="6"/>
    <x v="0"/>
    <s v="July"/>
    <s v="Loss"/>
    <n v="2.0250000000000057"/>
    <n v="124.11099999999996"/>
  </r>
  <r>
    <s v="2023-07-21"/>
    <n v="45.767000000000003"/>
    <x v="3010"/>
    <n v="44.08"/>
    <n v="44.289000000000001"/>
    <n v="964206063"/>
    <x v="6"/>
    <s v="Nvidia"/>
    <x v="0"/>
    <n v="-2.661"/>
    <x v="6"/>
    <x v="0"/>
    <s v="July"/>
    <s v="Loss"/>
    <n v="1.7650000000000006"/>
    <n v="121.44999999999996"/>
  </r>
  <r>
    <s v="2023-07-24"/>
    <n v="44.710999999999999"/>
    <x v="3011"/>
    <n v="44.02"/>
    <n v="44.591999999999999"/>
    <n v="383273620"/>
    <x v="6"/>
    <s v="Nvidia"/>
    <x v="0"/>
    <n v="0.68400000000000005"/>
    <x v="6"/>
    <x v="0"/>
    <s v="July"/>
    <s v="Profit"/>
    <n v="1.0689999999999955"/>
    <n v="122.13399999999996"/>
  </r>
  <r>
    <s v="2023-07-25"/>
    <n v="44.920999999999999"/>
    <x v="3012"/>
    <n v="44.902999999999999"/>
    <n v="45.658000000000001"/>
    <n v="348238896"/>
    <x v="6"/>
    <s v="Nvidia"/>
    <x v="0"/>
    <n v="2.3919999999999999"/>
    <x v="6"/>
    <x v="0"/>
    <s v="July"/>
    <s v="Profit"/>
    <n v="1.2580000000000027"/>
    <n v="124.52599999999995"/>
  </r>
  <r>
    <s v="2023-07-26"/>
    <n v="46"/>
    <x v="3013"/>
    <n v="44.61"/>
    <n v="45.430999999999997"/>
    <n v="364402579"/>
    <x v="6"/>
    <s v="Nvidia"/>
    <x v="0"/>
    <n v="-0.497"/>
    <x v="6"/>
    <x v="0"/>
    <s v="July"/>
    <s v="Loss"/>
    <n v="1.421999999999997"/>
    <n v="124.02899999999995"/>
  </r>
  <r>
    <s v="2023-07-27"/>
    <n v="46.497999999999998"/>
    <x v="3014"/>
    <n v="45.728999999999999"/>
    <n v="45.878999999999998"/>
    <n v="456182477"/>
    <x v="6"/>
    <s v="Nvidia"/>
    <x v="0"/>
    <n v="0.98499999999999999"/>
    <x v="6"/>
    <x v="0"/>
    <s v="July"/>
    <s v="Profit"/>
    <n v="1.6439999999999984"/>
    <n v="125.01399999999995"/>
  </r>
  <r>
    <s v="2023-07-28"/>
    <n v="46.646999999999998"/>
    <x v="3015"/>
    <n v="46.36"/>
    <n v="46.728999999999999"/>
    <n v="331344561"/>
    <x v="6"/>
    <s v="Nvidia"/>
    <x v="0"/>
    <n v="1.8520000000000001"/>
    <x v="6"/>
    <x v="0"/>
    <s v="July"/>
    <s v="Profit"/>
    <n v="0.6460000000000008"/>
    <n v="126.86599999999996"/>
  </r>
  <r>
    <s v="2023-07-31"/>
    <n v="46.732999999999997"/>
    <x v="3016"/>
    <n v="46.484999999999999"/>
    <n v="46.707999999999998"/>
    <n v="251169228"/>
    <x v="6"/>
    <s v="Nvidia"/>
    <x v="0"/>
    <n v="-4.4999999999999998E-2"/>
    <x v="6"/>
    <x v="0"/>
    <s v="July"/>
    <s v="Loss"/>
    <n v="0.62400000000000233"/>
    <n v="126.82099999999996"/>
  </r>
  <r>
    <s v="2023-08-01"/>
    <n v="46.438000000000002"/>
    <x v="3017"/>
    <n v="46.006"/>
    <n v="46.485999999999997"/>
    <n v="239384572"/>
    <x v="6"/>
    <s v="Nvidia"/>
    <x v="0"/>
    <n v="-0.47499999999999998"/>
    <x v="7"/>
    <x v="0"/>
    <s v="August"/>
    <s v="Loss"/>
    <n v="0.87299999999999756"/>
    <n v="126.34599999999996"/>
  </r>
  <r>
    <s v="2023-08-02"/>
    <n v="45.81"/>
    <x v="3018"/>
    <n v="43.366999999999997"/>
    <n v="44.249000000000002"/>
    <n v="530382189"/>
    <x v="6"/>
    <s v="Nvidia"/>
    <x v="0"/>
    <n v="-4.8120000000000003"/>
    <x v="7"/>
    <x v="0"/>
    <s v="August"/>
    <s v="Loss"/>
    <n v="2.4520000000000053"/>
    <n v="121.53399999999996"/>
  </r>
  <r>
    <s v="2023-08-03"/>
    <n v="43.78"/>
    <x v="3019"/>
    <n v="43.78"/>
    <n v="44.494999999999997"/>
    <n v="325224144"/>
    <x v="6"/>
    <s v="Nvidia"/>
    <x v="0"/>
    <n v="0.55500000000000005"/>
    <x v="7"/>
    <x v="0"/>
    <s v="August"/>
    <s v="Profit"/>
    <n v="1.3170000000000002"/>
    <n v="122.08899999999997"/>
  </r>
  <r>
    <s v="2023-08-04"/>
    <n v="44.965000000000003"/>
    <x v="3020"/>
    <n v="44.372999999999998"/>
    <n v="44.66"/>
    <n v="362830786"/>
    <x v="6"/>
    <s v="Nvidia"/>
    <x v="0"/>
    <n v="0.371"/>
    <x v="7"/>
    <x v="0"/>
    <s v="August"/>
    <s v="Profit"/>
    <n v="1.2480000000000047"/>
    <n v="122.45999999999997"/>
  </r>
  <r>
    <s v="2023-08-07"/>
    <n v="45.09"/>
    <x v="3021"/>
    <n v="44.542999999999999"/>
    <n v="45.396000000000001"/>
    <n v="322299758"/>
    <x v="6"/>
    <s v="Nvidia"/>
    <x v="0"/>
    <n v="1.649"/>
    <x v="7"/>
    <x v="0"/>
    <s v="August"/>
    <s v="Profit"/>
    <n v="0.97599999999999909"/>
    <n v="124.10899999999997"/>
  </r>
  <r>
    <s v="2023-08-08"/>
    <n v="44.832999999999998"/>
    <x v="3022"/>
    <n v="44.036000000000001"/>
    <n v="44.643999999999998"/>
    <n v="354004031"/>
    <x v="6"/>
    <s v="Nvidia"/>
    <x v="0"/>
    <n v="-1.657"/>
    <x v="7"/>
    <x v="0"/>
    <s v="August"/>
    <s v="Loss"/>
    <n v="1.1849999999999952"/>
    <n v="122.45199999999997"/>
  </r>
  <r>
    <s v="2023-08-09"/>
    <n v="44.253999999999998"/>
    <x v="3023"/>
    <n v="42.115000000000002"/>
    <n v="42.534999999999997"/>
    <n v="586715246"/>
    <x v="6"/>
    <s v="Nvidia"/>
    <x v="0"/>
    <n v="-4.7240000000000002"/>
    <x v="7"/>
    <x v="0"/>
    <s v="August"/>
    <s v="Loss"/>
    <n v="2.1769999999999996"/>
    <n v="117.72799999999997"/>
  </r>
  <r>
    <s v="2023-08-10"/>
    <n v="42.140999999999998"/>
    <x v="3024"/>
    <n v="41.816000000000003"/>
    <n v="42.369"/>
    <n v="492928927"/>
    <x v="6"/>
    <s v="Nvidia"/>
    <x v="0"/>
    <n v="-0.39"/>
    <x v="7"/>
    <x v="0"/>
    <s v="August"/>
    <s v="Loss"/>
    <n v="1.7379999999999995"/>
    <n v="117.33799999999997"/>
  </r>
  <r>
    <s v="2023-08-11"/>
    <n v="41.731999999999999"/>
    <x v="3025"/>
    <n v="40.621000000000002"/>
    <n v="40.835999999999999"/>
    <n v="533327215"/>
    <x v="6"/>
    <s v="Nvidia"/>
    <x v="0"/>
    <n v="-3.617"/>
    <x v="7"/>
    <x v="0"/>
    <s v="August"/>
    <s v="Loss"/>
    <n v="1.3780000000000001"/>
    <n v="113.72099999999996"/>
  </r>
  <r>
    <s v="2023-08-14"/>
    <n v="40.468000000000004"/>
    <x v="3026"/>
    <n v="40.292999999999999"/>
    <n v="43.732999999999997"/>
    <n v="690599135"/>
    <x v="6"/>
    <s v="Nvidia"/>
    <x v="0"/>
    <n v="7.0940000000000003"/>
    <x v="7"/>
    <x v="0"/>
    <s v="August"/>
    <s v="Profit"/>
    <n v="3.4870000000000019"/>
    <n v="120.81499999999996"/>
  </r>
  <r>
    <s v="2023-08-15"/>
    <n v="44.54"/>
    <x v="3027"/>
    <n v="43.69"/>
    <n v="43.92"/>
    <n v="676818563"/>
    <x v="6"/>
    <s v="Nvidia"/>
    <x v="0"/>
    <n v="0.42699999999999999"/>
    <x v="7"/>
    <x v="0"/>
    <s v="August"/>
    <s v="Profit"/>
    <n v="1.5579999999999998"/>
    <n v="121.24199999999996"/>
  </r>
  <r>
    <s v="2023-08-16"/>
    <n v="44.5"/>
    <x v="3028"/>
    <n v="43.386000000000003"/>
    <n v="43.466000000000001"/>
    <n v="527690078"/>
    <x v="6"/>
    <s v="Nvidia"/>
    <x v="0"/>
    <n v="-1.0329999999999999"/>
    <x v="7"/>
    <x v="0"/>
    <s v="August"/>
    <s v="Loss"/>
    <n v="1.2689999999999984"/>
    <n v="120.20899999999996"/>
  </r>
  <r>
    <s v="2023-08-17"/>
    <n v="43.95"/>
    <x v="3029"/>
    <n v="42.981000000000002"/>
    <n v="43.323999999999998"/>
    <n v="452600151"/>
    <x v="6"/>
    <s v="Nvidia"/>
    <x v="0"/>
    <n v="-0.32800000000000001"/>
    <x v="7"/>
    <x v="0"/>
    <s v="August"/>
    <s v="Loss"/>
    <n v="1.0609999999999999"/>
    <n v="119.88099999999996"/>
  </r>
  <r>
    <s v="2023-08-18"/>
    <n v="42.616"/>
    <x v="3030"/>
    <n v="41.640999999999998"/>
    <n v="43.279000000000003"/>
    <n v="584032829"/>
    <x v="6"/>
    <s v="Nvidia"/>
    <x v="0"/>
    <n v="-0.10299999999999999"/>
    <x v="7"/>
    <x v="0"/>
    <s v="August"/>
    <s v="Loss"/>
    <n v="1.9170000000000016"/>
    <n v="119.77799999999996"/>
  </r>
  <r>
    <s v="2023-08-21"/>
    <n v="44.473999999999997"/>
    <x v="3031"/>
    <n v="44.201999999999998"/>
    <n v="46.945999999999998"/>
    <n v="692887713"/>
    <x v="6"/>
    <s v="Nvidia"/>
    <x v="0"/>
    <n v="8.4710000000000001"/>
    <x v="7"/>
    <x v="0"/>
    <s v="August"/>
    <s v="Profit"/>
    <n v="2.8419999999999987"/>
    <n v="128.24899999999997"/>
  </r>
  <r>
    <s v="2023-08-22"/>
    <n v="48.113"/>
    <x v="3032"/>
    <n v="45.313000000000002"/>
    <n v="45.646999999999998"/>
    <n v="757550589"/>
    <x v="6"/>
    <s v="Nvidia"/>
    <x v="0"/>
    <n v="-2.766"/>
    <x v="7"/>
    <x v="0"/>
    <s v="August"/>
    <s v="Loss"/>
    <n v="2.8519999999999968"/>
    <n v="125.48299999999996"/>
  </r>
  <r>
    <s v="2023-08-23"/>
    <n v="45.844999999999999"/>
    <x v="3033"/>
    <n v="45.188000000000002"/>
    <n v="47.094999999999999"/>
    <n v="779399671"/>
    <x v="6"/>
    <s v="Nvidia"/>
    <x v="0"/>
    <n v="3.1709999999999998"/>
    <x v="7"/>
    <x v="0"/>
    <s v="August"/>
    <s v="Profit"/>
    <n v="1.9909999999999997"/>
    <n v="128.65399999999997"/>
  </r>
  <r>
    <s v="2023-08-24"/>
    <n v="50.192999999999998"/>
    <x v="3034"/>
    <n v="47.137999999999998"/>
    <n v="47.142000000000003"/>
    <n v="1156568792"/>
    <x v="6"/>
    <s v="Nvidia"/>
    <x v="0"/>
    <n v="0.1"/>
    <x v="7"/>
    <x v="0"/>
    <s v="August"/>
    <s v="Profit"/>
    <n v="3.105000000000004"/>
    <n v="128.75399999999996"/>
  </r>
  <r>
    <s v="2023-08-25"/>
    <n v="46.991"/>
    <x v="3035"/>
    <n v="45.003999999999998"/>
    <n v="45.997"/>
    <n v="925760511"/>
    <x v="6"/>
    <s v="Nvidia"/>
    <x v="0"/>
    <n v="-2.4279999999999999"/>
    <x v="7"/>
    <x v="0"/>
    <s v="August"/>
    <s v="Loss"/>
    <n v="2.7790000000000035"/>
    <n v="126.32599999999996"/>
  </r>
  <r>
    <s v="2023-08-28"/>
    <n v="46.460999999999999"/>
    <x v="3036"/>
    <n v="44.868000000000002"/>
    <n v="46.814"/>
    <n v="685503223"/>
    <x v="6"/>
    <s v="Nvidia"/>
    <x v="0"/>
    <n v="1.776"/>
    <x v="7"/>
    <x v="0"/>
    <s v="August"/>
    <s v="Profit"/>
    <n v="2.0910000000000011"/>
    <n v="128.10199999999998"/>
  </r>
  <r>
    <s v="2023-08-29"/>
    <n v="46.645000000000003"/>
    <x v="3037"/>
    <n v="46.37"/>
    <n v="48.762"/>
    <n v="701715338"/>
    <x v="6"/>
    <s v="Nvidia"/>
    <x v="0"/>
    <n v="4.1609999999999996"/>
    <x v="7"/>
    <x v="0"/>
    <s v="August"/>
    <s v="Profit"/>
    <n v="2.6890000000000001"/>
    <n v="132.26299999999998"/>
  </r>
  <r>
    <s v="2023-08-30"/>
    <n v="49.021999999999998"/>
    <x v="3038"/>
    <n v="48.402999999999999"/>
    <n v="49.241999999999997"/>
    <n v="735539673"/>
    <x v="6"/>
    <s v="Nvidia"/>
    <x v="0"/>
    <n v="0.98399999999999999"/>
    <x v="7"/>
    <x v="0"/>
    <s v="August"/>
    <s v="Profit"/>
    <n v="1.5010000000000048"/>
    <n v="133.24699999999999"/>
  </r>
  <r>
    <s v="2023-08-31"/>
    <n v="49.357999999999997"/>
    <x v="3039"/>
    <n v="48.936"/>
    <n v="49.332999999999998"/>
    <n v="528809675"/>
    <x v="6"/>
    <s v="Nvidia"/>
    <x v="0"/>
    <n v="0.185"/>
    <x v="7"/>
    <x v="0"/>
    <s v="August"/>
    <s v="Profit"/>
    <n v="0.78499999999999659"/>
    <n v="133.43199999999999"/>
  </r>
  <r>
    <s v="2023-09-01"/>
    <n v="49.738999999999997"/>
    <x v="3040"/>
    <n v="48.12"/>
    <n v="48.487000000000002"/>
    <n v="464040822"/>
    <x v="6"/>
    <s v="Nvidia"/>
    <x v="0"/>
    <n v="-1.714"/>
    <x v="8"/>
    <x v="0"/>
    <s v="September"/>
    <s v="Loss"/>
    <n v="1.6570000000000036"/>
    <n v="131.71799999999999"/>
  </r>
  <r>
    <s v="2023-09-05"/>
    <n v="48.201000000000001"/>
    <x v="3041"/>
    <n v="47.838000000000001"/>
    <n v="48.526000000000003"/>
    <n v="382826257"/>
    <x v="6"/>
    <s v="Nvidia"/>
    <x v="0"/>
    <n v="0.08"/>
    <x v="8"/>
    <x v="0"/>
    <s v="September"/>
    <s v="Profit"/>
    <n v="0.99099999999999966"/>
    <n v="131.798"/>
  </r>
  <r>
    <s v="2023-09-06"/>
    <n v="48.423000000000002"/>
    <x v="3042"/>
    <n v="46.563000000000002"/>
    <n v="47.043999999999997"/>
    <n v="468843656"/>
    <x v="6"/>
    <s v="Nvidia"/>
    <x v="0"/>
    <n v="-3.0550000000000002"/>
    <x v="8"/>
    <x v="0"/>
    <s v="September"/>
    <s v="Loss"/>
    <n v="1.9679999999999964"/>
    <n v="128.74299999999999"/>
  </r>
  <r>
    <s v="2023-09-07"/>
    <n v="45.508000000000003"/>
    <x v="3043"/>
    <n v="45.134999999999998"/>
    <n v="46.223999999999997"/>
    <n v="433490849"/>
    <x v="6"/>
    <s v="Nvidia"/>
    <x v="0"/>
    <n v="-1.7430000000000001"/>
    <x v="8"/>
    <x v="0"/>
    <s v="September"/>
    <s v="Loss"/>
    <n v="1.1920000000000002"/>
    <n v="127"/>
  </r>
  <r>
    <s v="2023-09-08"/>
    <n v="45.924999999999997"/>
    <x v="3044"/>
    <n v="45.253999999999998"/>
    <n v="45.555"/>
    <n v="474075968"/>
    <x v="6"/>
    <s v="Nvidia"/>
    <x v="0"/>
    <n v="-1.446"/>
    <x v="8"/>
    <x v="0"/>
    <s v="September"/>
    <s v="Loss"/>
    <n v="1.3350000000000009"/>
    <n v="125.554"/>
  </r>
  <r>
    <s v="2023-09-11"/>
    <n v="46.131"/>
    <x v="3045"/>
    <n v="44.295000000000002"/>
    <n v="45.161000000000001"/>
    <n v="474141603"/>
    <x v="6"/>
    <s v="Nvidia"/>
    <x v="0"/>
    <n v="-0.86499999999999999"/>
    <x v="8"/>
    <x v="0"/>
    <s v="September"/>
    <s v="Loss"/>
    <n v="1.8509999999999991"/>
    <n v="124.68900000000001"/>
  </r>
  <r>
    <s v="2023-09-12"/>
    <n v="44.720999999999997"/>
    <x v="3046"/>
    <n v="44.514000000000003"/>
    <n v="44.853000000000002"/>
    <n v="349386070"/>
    <x v="6"/>
    <s v="Nvidia"/>
    <x v="0"/>
    <n v="-0.68200000000000005"/>
    <x v="8"/>
    <x v="0"/>
    <s v="September"/>
    <s v="Loss"/>
    <n v="1.1419999999999959"/>
    <n v="124.00700000000001"/>
  </r>
  <r>
    <s v="2023-09-13"/>
    <n v="44.582999999999998"/>
    <x v="3047"/>
    <n v="44.485999999999997"/>
    <n v="45.468000000000004"/>
    <n v="398503318"/>
    <x v="6"/>
    <s v="Nvidia"/>
    <x v="0"/>
    <n v="1.371"/>
    <x v="8"/>
    <x v="0"/>
    <s v="September"/>
    <s v="Profit"/>
    <n v="1.4269999999999996"/>
    <n v="125.378"/>
  </r>
  <r>
    <s v="2023-09-14"/>
    <n v="45.933"/>
    <x v="3048"/>
    <n v="45.113999999999997"/>
    <n v="45.564"/>
    <n v="370234671"/>
    <x v="6"/>
    <s v="Nvidia"/>
    <x v="0"/>
    <n v="0.21099999999999999"/>
    <x v="8"/>
    <x v="0"/>
    <s v="September"/>
    <s v="Profit"/>
    <n v="0.85600000000000165"/>
    <n v="125.589"/>
  </r>
  <r>
    <s v="2023-09-15"/>
    <n v="45.323999999999998"/>
    <x v="3049"/>
    <n v="43.792000000000002"/>
    <n v="43.884"/>
    <n v="507018770"/>
    <x v="6"/>
    <s v="Nvidia"/>
    <x v="0"/>
    <n v="-3.6880000000000002"/>
    <x v="8"/>
    <x v="0"/>
    <s v="September"/>
    <s v="Loss"/>
    <n v="1.7899999999999991"/>
    <n v="121.901"/>
  </r>
  <r>
    <s v="2023-09-18"/>
    <n v="42.731999999999999"/>
    <x v="3050"/>
    <n v="41.984000000000002"/>
    <n v="43.95"/>
    <n v="500456614"/>
    <x v="6"/>
    <s v="Nvidia"/>
    <x v="0"/>
    <n v="0.15"/>
    <x v="8"/>
    <x v="0"/>
    <s v="September"/>
    <s v="Profit"/>
    <n v="2.2419999999999973"/>
    <n v="122.051"/>
  </r>
  <r>
    <s v="2023-09-19"/>
    <n v="43.817"/>
    <x v="3051"/>
    <n v="42.985999999999997"/>
    <n v="43.503999999999998"/>
    <n v="373202813"/>
    <x v="6"/>
    <s v="Nvidia"/>
    <x v="0"/>
    <n v="-1.014"/>
    <x v="8"/>
    <x v="0"/>
    <s v="September"/>
    <s v="Loss"/>
    <n v="0.96400000000000574"/>
    <n v="121.03700000000001"/>
  </r>
  <r>
    <s v="2023-09-20"/>
    <n v="43.584000000000003"/>
    <x v="3052"/>
    <n v="42.207000000000001"/>
    <n v="42.222999999999999"/>
    <n v="367244051"/>
    <x v="6"/>
    <s v="Nvidia"/>
    <x v="0"/>
    <n v="-2.944"/>
    <x v="8"/>
    <x v="0"/>
    <s v="September"/>
    <s v="Loss"/>
    <n v="1.6799999999999997"/>
    <n v="118.093"/>
  </r>
  <r>
    <s v="2023-09-21"/>
    <n v="41.567"/>
    <x v="3053"/>
    <n v="40.965000000000003"/>
    <n v="41.002000000000002"/>
    <n v="450903384"/>
    <x v="6"/>
    <s v="Nvidia"/>
    <x v="0"/>
    <n v="-2.8929999999999998"/>
    <x v="8"/>
    <x v="0"/>
    <s v="September"/>
    <s v="Loss"/>
    <n v="1.1189999999999998"/>
    <n v="115.2"/>
  </r>
  <r>
    <s v="2023-09-22"/>
    <n v="41.555999999999997"/>
    <x v="3054"/>
    <n v="41.216000000000001"/>
    <n v="41.594000000000001"/>
    <n v="479414321"/>
    <x v="6"/>
    <s v="Nvidia"/>
    <x v="0"/>
    <n v="1.4450000000000001"/>
    <x v="8"/>
    <x v="0"/>
    <s v="September"/>
    <s v="Profit"/>
    <n v="0.88299999999999557"/>
    <n v="116.645"/>
  </r>
  <r>
    <s v="2023-09-25"/>
    <n v="41.575000000000003"/>
    <x v="3055"/>
    <n v="41.161999999999999"/>
    <n v="42.206000000000003"/>
    <n v="419246630"/>
    <x v="6"/>
    <s v="Nvidia"/>
    <x v="0"/>
    <n v="1.4710000000000001"/>
    <x v="8"/>
    <x v="0"/>
    <s v="September"/>
    <s v="Profit"/>
    <n v="1.3580000000000041"/>
    <n v="118.116"/>
  </r>
  <r>
    <s v="2023-09-26"/>
    <n v="41.984999999999999"/>
    <x v="3056"/>
    <n v="41.639000000000003"/>
    <n v="41.895000000000003"/>
    <n v="402431516"/>
    <x v="6"/>
    <s v="Nvidia"/>
    <x v="0"/>
    <n v="-0.73699999999999999"/>
    <x v="8"/>
    <x v="0"/>
    <s v="September"/>
    <s v="Loss"/>
    <n v="1.1649999999999991"/>
    <n v="117.379"/>
  </r>
  <r>
    <s v="2023-09-27"/>
    <n v="42.314"/>
    <x v="3057"/>
    <n v="41.613999999999997"/>
    <n v="42.451999999999998"/>
    <n v="445100470"/>
    <x v="6"/>
    <s v="Nvidia"/>
    <x v="0"/>
    <n v="1.329"/>
    <x v="8"/>
    <x v="0"/>
    <s v="September"/>
    <s v="Profit"/>
    <n v="1.2420000000000044"/>
    <n v="118.708"/>
  </r>
  <r>
    <s v="2023-09-28"/>
    <n v="42.444000000000003"/>
    <x v="3058"/>
    <n v="42.098999999999997"/>
    <n v="43.073"/>
    <n v="424820529"/>
    <x v="6"/>
    <s v="Nvidia"/>
    <x v="0"/>
    <n v="1.462"/>
    <x v="8"/>
    <x v="0"/>
    <s v="September"/>
    <s v="Profit"/>
    <n v="1.3310000000000031"/>
    <n v="120.17"/>
  </r>
  <r>
    <s v="2023-09-29"/>
    <n v="43.811"/>
    <x v="3059"/>
    <n v="43.290999999999997"/>
    <n v="43.482999999999997"/>
    <n v="397977702"/>
    <x v="6"/>
    <s v="Nvidia"/>
    <x v="0"/>
    <n v="0.95199999999999996"/>
    <x v="8"/>
    <x v="0"/>
    <s v="September"/>
    <s v="Profit"/>
    <n v="0.8370000000000033"/>
    <n v="121.122"/>
  </r>
  <r>
    <s v="2023-10-02"/>
    <n v="44.014000000000003"/>
    <x v="3060"/>
    <n v="43.844999999999999"/>
    <n v="44.765000000000001"/>
    <n v="433459157"/>
    <x v="6"/>
    <s v="Nvidia"/>
    <x v="0"/>
    <n v="2.9489999999999998"/>
    <x v="9"/>
    <x v="0"/>
    <s v="October"/>
    <s v="Profit"/>
    <n v="1.3130000000000024"/>
    <n v="124.071"/>
  </r>
  <r>
    <s v="2023-10-03"/>
    <n v="44.790999999999997"/>
    <x v="3061"/>
    <n v="43.23"/>
    <n v="43.500999999999998"/>
    <n v="471024435"/>
    <x v="6"/>
    <s v="Nvidia"/>
    <x v="0"/>
    <n v="-2.8250000000000002"/>
    <x v="9"/>
    <x v="0"/>
    <s v="October"/>
    <s v="Loss"/>
    <n v="1.8830000000000027"/>
    <n v="121.246"/>
  </r>
  <r>
    <s v="2023-10-04"/>
    <n v="43.725999999999999"/>
    <x v="3062"/>
    <n v="43.276000000000003"/>
    <n v="44.024999999999999"/>
    <n v="361955257"/>
    <x v="6"/>
    <s v="Nvidia"/>
    <x v="0"/>
    <n v="1.204"/>
    <x v="9"/>
    <x v="0"/>
    <s v="October"/>
    <s v="Profit"/>
    <n v="0.85099999999999909"/>
    <n v="122.44999999999999"/>
  </r>
  <r>
    <s v="2023-10-05"/>
    <n v="44.033999999999999"/>
    <x v="3063"/>
    <n v="43.872"/>
    <n v="44.670999999999999"/>
    <n v="393629248"/>
    <x v="6"/>
    <s v="Nvidia"/>
    <x v="0"/>
    <n v="1.4690000000000001"/>
    <x v="9"/>
    <x v="0"/>
    <s v="October"/>
    <s v="Profit"/>
    <n v="1.0110000000000028"/>
    <n v="123.91899999999998"/>
  </r>
  <r>
    <s v="2023-10-06"/>
    <n v="44.177"/>
    <x v="3064"/>
    <n v="44.01"/>
    <n v="45.744999999999997"/>
    <n v="434597390"/>
    <x v="6"/>
    <s v="Nvidia"/>
    <x v="0"/>
    <n v="2.403"/>
    <x v="9"/>
    <x v="0"/>
    <s v="October"/>
    <s v="Profit"/>
    <n v="1.7620000000000005"/>
    <n v="126.32199999999999"/>
  </r>
  <r>
    <s v="2023-10-09"/>
    <n v="44.825000000000003"/>
    <x v="3065"/>
    <n v="44.351999999999997"/>
    <n v="45.256"/>
    <n v="409826892"/>
    <x v="6"/>
    <s v="Nvidia"/>
    <x v="0"/>
    <n v="-1.069"/>
    <x v="9"/>
    <x v="0"/>
    <s v="October"/>
    <s v="Loss"/>
    <n v="1.2360000000000042"/>
    <n v="125.25299999999999"/>
  </r>
  <r>
    <s v="2023-10-10"/>
    <n v="45.292999999999999"/>
    <x v="3066"/>
    <n v="45.070999999999998"/>
    <n v="45.780999999999999"/>
    <n v="368718988"/>
    <x v="6"/>
    <s v="Nvidia"/>
    <x v="0"/>
    <n v="1.1599999999999999"/>
    <x v="9"/>
    <x v="0"/>
    <s v="October"/>
    <s v="Profit"/>
    <n v="1.1709999999999994"/>
    <n v="126.41299999999998"/>
  </r>
  <r>
    <s v="2023-10-11"/>
    <n v="46.179000000000002"/>
    <x v="3067"/>
    <n v="46.033000000000001"/>
    <n v="46.789000000000001"/>
    <n v="378277348"/>
    <x v="6"/>
    <s v="Nvidia"/>
    <x v="0"/>
    <n v="2.2010000000000001"/>
    <x v="9"/>
    <x v="0"/>
    <s v="October"/>
    <s v="Profit"/>
    <n v="0.8089999999999975"/>
    <n v="128.61399999999998"/>
  </r>
  <r>
    <s v="2023-10-12"/>
    <n v="46.76"/>
    <x v="3068"/>
    <n v="46.313000000000002"/>
    <n v="46.927999999999997"/>
    <n v="481503786"/>
    <x v="6"/>
    <s v="Nvidia"/>
    <x v="0"/>
    <n v="0.29699999999999999"/>
    <x v="9"/>
    <x v="0"/>
    <s v="October"/>
    <s v="Profit"/>
    <n v="1.2779999999999987"/>
    <n v="128.91099999999997"/>
  </r>
  <r>
    <s v="2023-10-13"/>
    <n v="46.942999999999998"/>
    <x v="3069"/>
    <n v="45.262999999999998"/>
    <n v="45.444000000000003"/>
    <n v="475602585"/>
    <x v="6"/>
    <s v="Nvidia"/>
    <x v="0"/>
    <n v="-3.161"/>
    <x v="9"/>
    <x v="0"/>
    <s v="October"/>
    <s v="Loss"/>
    <n v="1.8359999999999985"/>
    <n v="125.74999999999997"/>
  </r>
  <r>
    <s v="2023-10-16"/>
    <n v="45.045999999999999"/>
    <x v="3070"/>
    <n v="44.895000000000003"/>
    <n v="46.078000000000003"/>
    <n v="375238569"/>
    <x v="6"/>
    <s v="Nvidia"/>
    <x v="0"/>
    <n v="1.3939999999999999"/>
    <x v="9"/>
    <x v="0"/>
    <s v="October"/>
    <s v="Profit"/>
    <n v="1.3129999999999953"/>
    <n v="127.14399999999998"/>
  </r>
  <r>
    <s v="2023-10-17"/>
    <n v="43.984000000000002"/>
    <x v="3071"/>
    <n v="42.463999999999999"/>
    <n v="43.921999999999997"/>
    <n v="812634408"/>
    <x v="6"/>
    <s v="Nvidia"/>
    <x v="0"/>
    <n v="-4.6790000000000003"/>
    <x v="9"/>
    <x v="0"/>
    <s v="October"/>
    <s v="Loss"/>
    <n v="2.2730000000000032"/>
    <n v="122.46499999999997"/>
  </r>
  <r>
    <s v="2023-10-18"/>
    <n v="42.575000000000003"/>
    <x v="3072"/>
    <n v="41.808999999999997"/>
    <n v="42.18"/>
    <n v="627527346"/>
    <x v="6"/>
    <s v="Nvidia"/>
    <x v="0"/>
    <n v="-3.9649999999999999"/>
    <x v="9"/>
    <x v="0"/>
    <s v="October"/>
    <s v="Loss"/>
    <n v="1.3940000000000055"/>
    <n v="118.49999999999997"/>
  </r>
  <r>
    <s v="2023-10-19"/>
    <n v="42.795000000000002"/>
    <x v="3073"/>
    <n v="41.866"/>
    <n v="42.085000000000001"/>
    <n v="501419261"/>
    <x v="6"/>
    <s v="Nvidia"/>
    <x v="0"/>
    <n v="-0.22500000000000001"/>
    <x v="9"/>
    <x v="0"/>
    <s v="October"/>
    <s v="Loss"/>
    <n v="1.4149999999999991"/>
    <n v="118.27499999999998"/>
  </r>
  <r>
    <s v="2023-10-20"/>
    <n v="41.874000000000002"/>
    <x v="3074"/>
    <n v="41.063000000000002"/>
    <n v="41.372"/>
    <n v="477443329"/>
    <x v="6"/>
    <s v="Nvidia"/>
    <x v="0"/>
    <n v="-1.696"/>
    <x v="9"/>
    <x v="0"/>
    <s v="October"/>
    <s v="Loss"/>
    <n v="1.3909999999999982"/>
    <n v="116.57899999999998"/>
  </r>
  <r>
    <s v="2023-10-23"/>
    <n v="41.213999999999999"/>
    <x v="3075"/>
    <n v="40.93"/>
    <n v="42.959000000000003"/>
    <n v="478708238"/>
    <x v="6"/>
    <s v="Nvidia"/>
    <x v="0"/>
    <n v="3.8370000000000002"/>
    <x v="9"/>
    <x v="0"/>
    <s v="October"/>
    <s v="Profit"/>
    <n v="2.3019999999999996"/>
    <n v="120.41599999999998"/>
  </r>
  <r>
    <s v="2023-10-24"/>
    <n v="43.061"/>
    <x v="3076"/>
    <n v="42.674999999999997"/>
    <n v="43.646999999999998"/>
    <n v="401612492"/>
    <x v="6"/>
    <s v="Nvidia"/>
    <x v="0"/>
    <n v="1.601"/>
    <x v="9"/>
    <x v="0"/>
    <s v="October"/>
    <s v="Profit"/>
    <n v="1.0060000000000002"/>
    <n v="122.01699999999998"/>
  </r>
  <r>
    <s v="2023-10-25"/>
    <n v="43.381999999999998"/>
    <x v="3077"/>
    <n v="41.539000000000001"/>
    <n v="41.762999999999998"/>
    <n v="398527196"/>
    <x v="6"/>
    <s v="Nvidia"/>
    <x v="0"/>
    <n v="-4.3150000000000004"/>
    <x v="9"/>
    <x v="0"/>
    <s v="October"/>
    <s v="Loss"/>
    <n v="2.0949999999999989"/>
    <n v="117.70199999999998"/>
  </r>
  <r>
    <s v="2023-10-26"/>
    <n v="41.837000000000003"/>
    <x v="3078"/>
    <n v="39.865000000000002"/>
    <n v="40.311"/>
    <n v="541202273"/>
    <x v="6"/>
    <s v="Nvidia"/>
    <x v="0"/>
    <n v="-3.4769999999999999"/>
    <x v="9"/>
    <x v="0"/>
    <s v="October"/>
    <s v="Loss"/>
    <n v="2.375"/>
    <n v="114.22499999999998"/>
  </r>
  <r>
    <s v="2023-10-27"/>
    <n v="41.115000000000002"/>
    <x v="3079"/>
    <n v="40"/>
    <n v="40.484999999999999"/>
    <n v="416939223"/>
    <x v="6"/>
    <s v="Nvidia"/>
    <x v="0"/>
    <n v="0.43099999999999999"/>
    <x v="9"/>
    <x v="0"/>
    <s v="October"/>
    <s v="Profit"/>
    <n v="1.1910000000000025"/>
    <n v="114.65599999999998"/>
  </r>
  <r>
    <s v="2023-10-30"/>
    <n v="41.072000000000003"/>
    <x v="3080"/>
    <n v="40.466000000000001"/>
    <n v="41.146000000000001"/>
    <n v="388172272"/>
    <x v="6"/>
    <s v="Nvidia"/>
    <x v="0"/>
    <n v="1.6319999999999999"/>
    <x v="9"/>
    <x v="0"/>
    <s v="October"/>
    <s v="Profit"/>
    <n v="1.2839999999999989"/>
    <n v="116.28799999999998"/>
  </r>
  <r>
    <s v="2023-10-31"/>
    <n v="40.435000000000002"/>
    <x v="3081"/>
    <n v="39.215000000000003"/>
    <n v="40.765000000000001"/>
    <n v="518161098"/>
    <x v="6"/>
    <s v="Nvidia"/>
    <x v="0"/>
    <n v="-0.92600000000000005"/>
    <x v="9"/>
    <x v="0"/>
    <s v="October"/>
    <s v="Loss"/>
    <n v="1.6489999999999938"/>
    <n v="115.36199999999998"/>
  </r>
  <r>
    <s v="2023-11-01"/>
    <n v="40.869"/>
    <x v="3082"/>
    <n v="40.853999999999999"/>
    <n v="42.308999999999997"/>
    <n v="437755442"/>
    <x v="6"/>
    <s v="Nvidia"/>
    <x v="0"/>
    <n v="3.7890000000000001"/>
    <x v="10"/>
    <x v="0"/>
    <s v="November"/>
    <s v="Profit"/>
    <n v="1.5110000000000028"/>
    <n v="119.15099999999998"/>
  </r>
  <r>
    <s v="2023-11-02"/>
    <n v="43.311999999999998"/>
    <x v="3083"/>
    <n v="42.878"/>
    <n v="43.49"/>
    <n v="409323855"/>
    <x v="6"/>
    <s v="Nvidia"/>
    <x v="0"/>
    <n v="2.79"/>
    <x v="10"/>
    <x v="0"/>
    <s v="November"/>
    <s v="Profit"/>
    <n v="0.99000000000000199"/>
    <n v="121.94099999999999"/>
  </r>
  <r>
    <s v="2023-11-03"/>
    <n v="44.003999999999998"/>
    <x v="3084"/>
    <n v="43.707000000000001"/>
    <n v="44.988"/>
    <n v="424767310"/>
    <x v="6"/>
    <s v="Nvidia"/>
    <x v="0"/>
    <n v="3.4449999999999998"/>
    <x v="10"/>
    <x v="0"/>
    <s v="November"/>
    <s v="Profit"/>
    <n v="1.5850000000000009"/>
    <n v="125.38599999999998"/>
  </r>
  <r>
    <s v="2023-11-06"/>
    <n v="45.268000000000001"/>
    <x v="3085"/>
    <n v="44.881999999999998"/>
    <n v="45.734000000000002"/>
    <n v="400882201"/>
    <x v="6"/>
    <s v="Nvidia"/>
    <x v="0"/>
    <n v="1.6579999999999999"/>
    <x v="10"/>
    <x v="0"/>
    <s v="November"/>
    <s v="Profit"/>
    <n v="1.0360000000000014"/>
    <n v="127.04399999999998"/>
  </r>
  <r>
    <s v="2023-11-07"/>
    <n v="45.701999999999998"/>
    <x v="3086"/>
    <n v="45.140999999999998"/>
    <n v="45.938000000000002"/>
    <n v="343292937"/>
    <x v="6"/>
    <s v="Nvidia"/>
    <x v="0"/>
    <n v="0.44600000000000001"/>
    <x v="10"/>
    <x v="0"/>
    <s v="November"/>
    <s v="Profit"/>
    <n v="1.0600000000000023"/>
    <n v="127.48999999999998"/>
  </r>
  <r>
    <s v="2023-11-08"/>
    <n v="46.082999999999998"/>
    <x v="3087"/>
    <n v="45.951000000000001"/>
    <n v="46.557000000000002"/>
    <n v="346847727"/>
    <x v="6"/>
    <s v="Nvidia"/>
    <x v="0"/>
    <n v="1.347"/>
    <x v="10"/>
    <x v="0"/>
    <s v="November"/>
    <s v="Profit"/>
    <n v="0.89900000000000091"/>
    <n v="128.83699999999999"/>
  </r>
  <r>
    <s v="2023-11-09"/>
    <n v="47.448999999999998"/>
    <x v="3088"/>
    <n v="46.732999999999997"/>
    <n v="46.933"/>
    <n v="540696735"/>
    <x v="6"/>
    <s v="Nvidia"/>
    <x v="0"/>
    <n v="0.80700000000000005"/>
    <x v="10"/>
    <x v="0"/>
    <s v="November"/>
    <s v="Profit"/>
    <n v="1.4790000000000063"/>
    <n v="129.64399999999998"/>
  </r>
  <r>
    <s v="2023-11-10"/>
    <n v="47.481999999999999"/>
    <x v="3089"/>
    <n v="47.265999999999998"/>
    <n v="48.317"/>
    <n v="422598474"/>
    <x v="6"/>
    <s v="Nvidia"/>
    <x v="0"/>
    <n v="2.95"/>
    <x v="10"/>
    <x v="0"/>
    <s v="November"/>
    <s v="Profit"/>
    <n v="1.1880000000000024"/>
    <n v="132.59399999999997"/>
  </r>
  <r>
    <s v="2023-11-13"/>
    <n v="48.302"/>
    <x v="3090"/>
    <n v="48.081000000000003"/>
    <n v="48.601999999999997"/>
    <n v="384278386"/>
    <x v="6"/>
    <s v="Nvidia"/>
    <x v="0"/>
    <n v="0.58899999999999997"/>
    <x v="10"/>
    <x v="0"/>
    <s v="November"/>
    <s v="Profit"/>
    <n v="1.0169999999999959"/>
    <n v="133.18299999999996"/>
  </r>
  <r>
    <s v="2023-11-14"/>
    <n v="49.661999999999999"/>
    <x v="3091"/>
    <n v="49.021999999999998"/>
    <n v="49.637999999999998"/>
    <n v="417108746"/>
    <x v="6"/>
    <s v="Nvidia"/>
    <x v="0"/>
    <n v="2.1309999999999998"/>
    <x v="10"/>
    <x v="0"/>
    <s v="November"/>
    <s v="Profit"/>
    <n v="0.79400000000000404"/>
    <n v="135.31399999999996"/>
  </r>
  <r>
    <s v="2023-11-15"/>
    <n v="49.915999999999997"/>
    <x v="3092"/>
    <n v="48.182000000000002"/>
    <n v="48.87"/>
    <n v="475673972"/>
    <x v="6"/>
    <s v="Nvidia"/>
    <x v="0"/>
    <n v="-1.5469999999999999"/>
    <x v="10"/>
    <x v="0"/>
    <s v="November"/>
    <s v="Loss"/>
    <n v="1.7590000000000003"/>
    <n v="133.76699999999997"/>
  </r>
  <r>
    <s v="2023-11-16"/>
    <n v="48.661000000000001"/>
    <x v="3093"/>
    <n v="48.311999999999998"/>
    <n v="49.462000000000003"/>
    <n v="339882441"/>
    <x v="6"/>
    <s v="Nvidia"/>
    <x v="0"/>
    <n v="1.2110000000000001"/>
    <x v="10"/>
    <x v="0"/>
    <s v="November"/>
    <s v="Profit"/>
    <n v="1.1940000000000026"/>
    <n v="134.97799999999998"/>
  </r>
  <r>
    <s v="2023-11-17"/>
    <n v="49.506"/>
    <x v="3094"/>
    <n v="48.988999999999997"/>
    <n v="49.28"/>
    <n v="326017963"/>
    <x v="6"/>
    <s v="Nvidia"/>
    <x v="0"/>
    <n v="-0.36799999999999999"/>
    <x v="10"/>
    <x v="0"/>
    <s v="November"/>
    <s v="Loss"/>
    <n v="0.71000000000000085"/>
    <n v="134.60999999999999"/>
  </r>
  <r>
    <s v="2023-11-20"/>
    <n v="49.293999999999997"/>
    <x v="3095"/>
    <n v="49.162999999999997"/>
    <n v="50.39"/>
    <n v="416297175"/>
    <x v="6"/>
    <s v="Nvidia"/>
    <x v="0"/>
    <n v="2.2530000000000001"/>
    <x v="10"/>
    <x v="0"/>
    <s v="November"/>
    <s v="Profit"/>
    <n v="1.3660000000000068"/>
    <n v="136.863"/>
  </r>
  <r>
    <s v="2023-11-21"/>
    <n v="50.106999999999999"/>
    <x v="3096"/>
    <n v="49.204000000000001"/>
    <n v="49.924999999999997"/>
    <n v="565957015"/>
    <x v="6"/>
    <s v="Nvidia"/>
    <x v="0"/>
    <n v="-0.92200000000000004"/>
    <x v="10"/>
    <x v="0"/>
    <s v="November"/>
    <s v="Loss"/>
    <n v="1.2939999999999969"/>
    <n v="135.941"/>
  </r>
  <r>
    <s v="2023-11-22"/>
    <n v="49.834000000000003"/>
    <x v="3097"/>
    <n v="47.671999999999997"/>
    <n v="48.698"/>
    <n v="900976871"/>
    <x v="6"/>
    <s v="Nvidia"/>
    <x v="0"/>
    <n v="-2.4590000000000001"/>
    <x v="10"/>
    <x v="0"/>
    <s v="November"/>
    <s v="Loss"/>
    <n v="2.6440000000000055"/>
    <n v="133.482"/>
  </r>
  <r>
    <s v="2023-11-24"/>
    <n v="48.451999999999998"/>
    <x v="3098"/>
    <n v="47.726999999999997"/>
    <n v="47.758000000000003"/>
    <n v="294754085"/>
    <x v="6"/>
    <s v="Nvidia"/>
    <x v="0"/>
    <n v="-1.929"/>
    <x v="10"/>
    <x v="0"/>
    <s v="November"/>
    <s v="Loss"/>
    <n v="1.1760000000000019"/>
    <n v="131.553"/>
  </r>
  <r>
    <s v="2023-11-27"/>
    <n v="47.781999999999996"/>
    <x v="3099"/>
    <n v="47.634"/>
    <n v="48.223999999999997"/>
    <n v="395808867"/>
    <x v="6"/>
    <s v="Nvidia"/>
    <x v="0"/>
    <n v="0.97499999999999998"/>
    <x v="10"/>
    <x v="0"/>
    <s v="November"/>
    <s v="Profit"/>
    <n v="0.87800000000000011"/>
    <n v="132.52799999999999"/>
  </r>
  <r>
    <s v="2023-11-28"/>
    <n v="48.218000000000004"/>
    <x v="3100"/>
    <n v="47.454999999999998"/>
    <n v="47.802999999999997"/>
    <n v="401639982"/>
    <x v="6"/>
    <s v="Nvidia"/>
    <x v="0"/>
    <n v="-0.873"/>
    <x v="10"/>
    <x v="0"/>
    <s v="November"/>
    <s v="Loss"/>
    <n v="0.85000000000000142"/>
    <n v="131.655"/>
  </r>
  <r>
    <s v="2023-11-29"/>
    <n v="48.360999999999997"/>
    <x v="3101"/>
    <n v="47.841999999999999"/>
    <n v="48.122"/>
    <n v="382146544"/>
    <x v="6"/>
    <s v="Nvidia"/>
    <x v="0"/>
    <n v="0.66700000000000004"/>
    <x v="10"/>
    <x v="0"/>
    <s v="November"/>
    <s v="Profit"/>
    <n v="0.90200000000000102"/>
    <n v="132.322"/>
  </r>
  <r>
    <s v="2023-11-30"/>
    <n v="48.006"/>
    <x v="3102"/>
    <n v="46.405000000000001"/>
    <n v="46.753"/>
    <n v="526442102"/>
    <x v="6"/>
    <s v="Nvidia"/>
    <x v="0"/>
    <n v="-2.8460000000000001"/>
    <x v="10"/>
    <x v="0"/>
    <s v="November"/>
    <s v="Loss"/>
    <n v="1.6869999999999976"/>
    <n v="129.476"/>
  </r>
  <r>
    <s v="2023-12-01"/>
    <n v="46.508000000000003"/>
    <x v="3103"/>
    <n v="46.17"/>
    <n v="46.747999999999998"/>
    <n v="369454191"/>
    <x v="6"/>
    <s v="Nvidia"/>
    <x v="0"/>
    <n v="-1.0999999999999999E-2"/>
    <x v="11"/>
    <x v="0"/>
    <s v="December"/>
    <s v="Loss"/>
    <n v="1.0120000000000005"/>
    <n v="129.465"/>
  </r>
  <r>
    <s v="2023-12-04"/>
    <n v="46.06"/>
    <x v="3104"/>
    <n v="44.993000000000002"/>
    <n v="45.493000000000002"/>
    <n v="437705964"/>
    <x v="6"/>
    <s v="Nvidia"/>
    <x v="0"/>
    <n v="-2.6840000000000002"/>
    <x v="11"/>
    <x v="0"/>
    <s v="December"/>
    <s v="Loss"/>
    <n v="1.0670000000000002"/>
    <n v="126.78100000000001"/>
  </r>
  <r>
    <s v="2023-12-05"/>
    <n v="45.453000000000003"/>
    <x v="3105"/>
    <n v="45.258000000000003"/>
    <n v="46.552999999999997"/>
    <n v="371823010"/>
    <x v="6"/>
    <s v="Nvidia"/>
    <x v="0"/>
    <n v="2.3290000000000002"/>
    <x v="11"/>
    <x v="0"/>
    <s v="December"/>
    <s v="Profit"/>
    <n v="1.3290000000000006"/>
    <n v="129.11000000000001"/>
  </r>
  <r>
    <s v="2023-12-06"/>
    <n v="47.201000000000001"/>
    <x v="3014"/>
    <n v="45.399000000000001"/>
    <n v="45.49"/>
    <n v="380697455"/>
    <x v="6"/>
    <s v="Nvidia"/>
    <x v="0"/>
    <n v="-2.2829999999999999"/>
    <x v="11"/>
    <x v="0"/>
    <s v="December"/>
    <s v="Loss"/>
    <n v="1.9739999999999966"/>
    <n v="126.82700000000001"/>
  </r>
  <r>
    <s v="2023-12-07"/>
    <n v="45.686999999999998"/>
    <x v="3106"/>
    <n v="45.591000000000001"/>
    <n v="46.582999999999998"/>
    <n v="350922015"/>
    <x v="6"/>
    <s v="Nvidia"/>
    <x v="0"/>
    <n v="2.4020000000000001"/>
    <x v="11"/>
    <x v="0"/>
    <s v="December"/>
    <s v="Profit"/>
    <n v="1.0249999999999986"/>
    <n v="129.22900000000001"/>
  </r>
  <r>
    <s v="2023-12-08"/>
    <n v="46.582000000000001"/>
    <x v="3107"/>
    <n v="46.536999999999999"/>
    <n v="47.491999999999997"/>
    <n v="359325547"/>
    <x v="6"/>
    <s v="Nvidia"/>
    <x v="0"/>
    <n v="1.9530000000000001"/>
    <x v="11"/>
    <x v="0"/>
    <s v="December"/>
    <s v="Profit"/>
    <n v="1.1899999999999977"/>
    <n v="131.18200000000002"/>
  </r>
  <r>
    <s v="2023-12-11"/>
    <n v="47.476999999999997"/>
    <x v="3108"/>
    <n v="45.817"/>
    <n v="46.613999999999997"/>
    <n v="509872609"/>
    <x v="6"/>
    <s v="Nvidia"/>
    <x v="0"/>
    <n v="-1.85"/>
    <x v="11"/>
    <x v="0"/>
    <s v="December"/>
    <s v="Loss"/>
    <n v="1.7000000000000028"/>
    <n v="129.33200000000002"/>
  </r>
  <r>
    <s v="2023-12-12"/>
    <n v="46.033000000000001"/>
    <x v="3109"/>
    <n v="46.033000000000001"/>
    <n v="47.643999999999998"/>
    <n v="372492439"/>
    <x v="6"/>
    <s v="Nvidia"/>
    <x v="0"/>
    <n v="2.2090000000000001"/>
    <x v="11"/>
    <x v="0"/>
    <s v="December"/>
    <s v="Profit"/>
    <n v="1.6199999999999974"/>
    <n v="131.54100000000003"/>
  </r>
  <r>
    <s v="2023-12-13"/>
    <n v="47.615000000000002"/>
    <x v="3110"/>
    <n v="47.594000000000001"/>
    <n v="48.073999999999998"/>
    <n v="447918818"/>
    <x v="6"/>
    <s v="Nvidia"/>
    <x v="0"/>
    <n v="0.90400000000000003"/>
    <x v="11"/>
    <x v="0"/>
    <s v="December"/>
    <s v="Profit"/>
    <n v="0.9859999999999971"/>
    <n v="132.44500000000002"/>
  </r>
  <r>
    <s v="2023-12-14"/>
    <n v="48.375999999999998"/>
    <x v="3111"/>
    <n v="47.408000000000001"/>
    <n v="48.335999999999999"/>
    <n v="391342662"/>
    <x v="6"/>
    <s v="Nvidia"/>
    <x v="0"/>
    <n v="0.54500000000000004"/>
    <x v="11"/>
    <x v="0"/>
    <s v="December"/>
    <s v="Profit"/>
    <n v="1.2479999999999976"/>
    <n v="132.99"/>
  </r>
  <r>
    <s v="2023-12-15"/>
    <n v="48.18"/>
    <x v="3112"/>
    <n v="48.106000000000002"/>
    <n v="48.875999999999998"/>
    <n v="480083655"/>
    <x v="6"/>
    <s v="Nvidia"/>
    <x v="0"/>
    <n v="1.117"/>
    <x v="11"/>
    <x v="0"/>
    <s v="December"/>
    <s v="Profit"/>
    <n v="1.2839999999999989"/>
    <n v="134.107"/>
  </r>
  <r>
    <s v="2023-12-18"/>
    <n v="49.386000000000003"/>
    <x v="3113"/>
    <n v="49.136000000000003"/>
    <n v="50.063000000000002"/>
    <n v="412704147"/>
    <x v="6"/>
    <s v="Nvidia"/>
    <x v="0"/>
    <n v="2.4279999999999999"/>
    <x v="11"/>
    <x v="0"/>
    <s v="December"/>
    <s v="Profit"/>
    <n v="1.2829999999999941"/>
    <n v="136.535"/>
  </r>
  <r>
    <s v="2023-12-19"/>
    <n v="49.41"/>
    <x v="3114"/>
    <n v="48.881"/>
    <n v="49.59"/>
    <n v="464576140"/>
    <x v="6"/>
    <s v="Nvidia"/>
    <x v="0"/>
    <n v="-0.94399999999999995"/>
    <x v="11"/>
    <x v="0"/>
    <s v="December"/>
    <s v="Loss"/>
    <n v="0.80499999999999972"/>
    <n v="135.59100000000001"/>
  </r>
  <r>
    <s v="2023-12-20"/>
    <n v="49.640999999999998"/>
    <x v="3115"/>
    <n v="48.084000000000003"/>
    <n v="48.097000000000001"/>
    <n v="398007201"/>
    <x v="6"/>
    <s v="Nvidia"/>
    <x v="0"/>
    <n v="-3.01"/>
    <x v="11"/>
    <x v="0"/>
    <s v="December"/>
    <s v="Loss"/>
    <n v="1.9009999999999962"/>
    <n v="132.58100000000002"/>
  </r>
  <r>
    <s v="2023-12-21"/>
    <n v="48.796999999999997"/>
    <x v="3116"/>
    <n v="48.405000000000001"/>
    <n v="48.975999999999999"/>
    <n v="300510527"/>
    <x v="6"/>
    <s v="Nvidia"/>
    <x v="0"/>
    <n v="1.827"/>
    <x v="11"/>
    <x v="0"/>
    <s v="December"/>
    <s v="Profit"/>
    <n v="0.67600000000000193"/>
    <n v="134.40800000000002"/>
  </r>
  <r>
    <s v="2023-12-22"/>
    <n v="49.180999999999997"/>
    <x v="3117"/>
    <n v="48.453000000000003"/>
    <n v="48.816000000000003"/>
    <n v="252578351"/>
    <x v="6"/>
    <s v="Nvidia"/>
    <x v="0"/>
    <n v="-0.32700000000000001"/>
    <x v="11"/>
    <x v="0"/>
    <s v="December"/>
    <s v="Loss"/>
    <n v="0.91599999999999682"/>
    <n v="134.08100000000002"/>
  </r>
  <r>
    <s v="2023-12-26"/>
    <n v="48.954000000000001"/>
    <x v="3118"/>
    <n v="48.945999999999998"/>
    <n v="49.265000000000001"/>
    <n v="244268755"/>
    <x v="6"/>
    <s v="Nvidia"/>
    <x v="0"/>
    <n v="0.92"/>
    <x v="11"/>
    <x v="0"/>
    <s v="December"/>
    <s v="Profit"/>
    <n v="0.64000000000000057"/>
    <n v="135.001"/>
  </r>
  <r>
    <s v="2023-12-27"/>
    <n v="49.497"/>
    <x v="3119"/>
    <n v="49.070999999999998"/>
    <n v="49.402999999999999"/>
    <n v="233714224"/>
    <x v="6"/>
    <s v="Nvidia"/>
    <x v="0"/>
    <n v="0.28000000000000003"/>
    <x v="11"/>
    <x v="0"/>
    <s v="December"/>
    <s v="Profit"/>
    <n v="0.59499999999999886"/>
    <n v="135.28100000000001"/>
  </r>
  <r>
    <s v="2023-12-28"/>
    <n v="49.628999999999998"/>
    <x v="3120"/>
    <n v="49.398000000000003"/>
    <n v="49.508000000000003"/>
    <n v="246657392"/>
    <x v="6"/>
    <s v="Nvidia"/>
    <x v="0"/>
    <n v="0.21299999999999999"/>
    <x v="11"/>
    <x v="0"/>
    <s v="December"/>
    <s v="Profit"/>
    <n v="0.4719999999999942"/>
    <n v="135.494"/>
  </r>
  <r>
    <s v="2023-12-29"/>
    <n v="49.798999999999999"/>
    <x v="3121"/>
    <n v="48.737000000000002"/>
    <n v="49.508000000000003"/>
    <n v="389403673"/>
    <x v="6"/>
    <s v="Nvidia"/>
    <x v="0"/>
    <n v="0"/>
    <x v="11"/>
    <x v="0"/>
    <s v="December"/>
    <s v="Neutral"/>
    <n v="1.2459999999999951"/>
    <n v="135.494"/>
  </r>
  <r>
    <s v="2024-01-02"/>
    <n v="49.23"/>
    <x v="3122"/>
    <n v="47.581000000000003"/>
    <n v="48.154000000000003"/>
    <n v="411370819"/>
    <x v="6"/>
    <s v="Nvidia"/>
    <x v="0"/>
    <n v="-2.734"/>
    <x v="12"/>
    <x v="1"/>
    <s v="January"/>
    <s v="Loss"/>
    <n v="1.6999999999999957"/>
    <n v="132.76"/>
  </r>
  <r>
    <s v="2024-01-03"/>
    <n v="47.470999999999997"/>
    <x v="3123"/>
    <n v="47.307000000000002"/>
    <n v="47.555999999999997"/>
    <n v="320987151"/>
    <x v="6"/>
    <s v="Nvidia"/>
    <x v="0"/>
    <n v="-1.244"/>
    <x v="12"/>
    <x v="1"/>
    <s v="January"/>
    <s v="Loss"/>
    <n v="0.86299999999999955"/>
    <n v="131.51599999999999"/>
  </r>
  <r>
    <s v="2024-01-04"/>
    <n v="47.753999999999998"/>
    <x v="3124"/>
    <n v="47.494999999999997"/>
    <n v="47.984000000000002"/>
    <n v="306621799"/>
    <x v="6"/>
    <s v="Nvidia"/>
    <x v="0"/>
    <n v="0.90200000000000002"/>
    <x v="12"/>
    <x v="1"/>
    <s v="January"/>
    <s v="Profit"/>
    <n v="0.99099999999999966"/>
    <n v="132.41799999999998"/>
  </r>
  <r>
    <s v="2024-01-05"/>
    <n v="48.448"/>
    <x v="3125"/>
    <n v="48.292000000000002"/>
    <n v="49.082999999999998"/>
    <n v="415156942"/>
    <x v="6"/>
    <s v="Nvidia"/>
    <x v="0"/>
    <n v="2.29"/>
    <x v="12"/>
    <x v="1"/>
    <s v="January"/>
    <s v="Profit"/>
    <n v="1.2409999999999997"/>
    <n v="134.70799999999997"/>
  </r>
  <r>
    <s v="2024-01-08"/>
    <n v="49.497999999999998"/>
    <x v="3126"/>
    <n v="49.465000000000003"/>
    <n v="52.238"/>
    <n v="642692065"/>
    <x v="6"/>
    <s v="Nvidia"/>
    <x v="0"/>
    <n v="6.4279999999999999"/>
    <x v="12"/>
    <x v="1"/>
    <s v="January"/>
    <s v="Profit"/>
    <n v="2.7949999999999946"/>
    <n v="141.13599999999997"/>
  </r>
  <r>
    <s v="2024-01-09"/>
    <n v="52.386000000000003"/>
    <x v="3127"/>
    <n v="51.674999999999997"/>
    <n v="53.125"/>
    <n v="773319250"/>
    <x v="6"/>
    <s v="Nvidia"/>
    <x v="0"/>
    <n v="1.698"/>
    <x v="12"/>
    <x v="1"/>
    <s v="January"/>
    <s v="Profit"/>
    <n v="2.6350000000000051"/>
    <n v="142.83399999999997"/>
  </r>
  <r>
    <s v="2024-01-10"/>
    <n v="53.600999999999999"/>
    <x v="3128"/>
    <n v="53.473999999999997"/>
    <n v="54.335000000000001"/>
    <n v="533947102"/>
    <x v="6"/>
    <s v="Nvidia"/>
    <x v="0"/>
    <n v="2.2770000000000001"/>
    <x v="12"/>
    <x v="1"/>
    <s v="January"/>
    <s v="Profit"/>
    <n v="1.1100000000000065"/>
    <n v="145.11099999999996"/>
  </r>
  <r>
    <s v="2024-01-11"/>
    <n v="54.982999999999997"/>
    <x v="3129"/>
    <n v="53.545000000000002"/>
    <n v="54.805999999999997"/>
    <n v="596927964"/>
    <x v="6"/>
    <s v="Nvidia"/>
    <x v="0"/>
    <n v="0.86799999999999999"/>
    <x v="12"/>
    <x v="1"/>
    <s v="January"/>
    <s v="Profit"/>
    <n v="1.7849999999999966"/>
    <n v="145.97899999999996"/>
  </r>
  <r>
    <s v="2024-01-12"/>
    <n v="54.603999999999999"/>
    <x v="3130"/>
    <n v="54.314999999999998"/>
    <n v="54.694000000000003"/>
    <n v="353093681"/>
    <x v="6"/>
    <s v="Nvidia"/>
    <x v="0"/>
    <n v="-0.20399999999999999"/>
    <x v="12"/>
    <x v="1"/>
    <s v="January"/>
    <s v="Loss"/>
    <n v="0.6390000000000029"/>
    <n v="145.77499999999995"/>
  </r>
  <r>
    <s v="2024-01-16"/>
    <n v="55.002000000000002"/>
    <x v="3131"/>
    <n v="54.884"/>
    <n v="56.366"/>
    <n v="449707195"/>
    <x v="6"/>
    <s v="Nvidia"/>
    <x v="0"/>
    <n v="3.056"/>
    <x v="12"/>
    <x v="1"/>
    <s v="January"/>
    <s v="Profit"/>
    <n v="1.9350000000000023"/>
    <n v="148.83099999999996"/>
  </r>
  <r>
    <s v="2024-01-17"/>
    <n v="56.331000000000003"/>
    <x v="3132"/>
    <n v="54.723999999999997"/>
    <n v="56.036999999999999"/>
    <n v="474528941"/>
    <x v="6"/>
    <s v="Nvidia"/>
    <x v="0"/>
    <n v="-0.58399999999999996"/>
    <x v="12"/>
    <x v="1"/>
    <s v="January"/>
    <s v="Loss"/>
    <n v="1.7310000000000016"/>
    <n v="148.24699999999996"/>
  </r>
  <r>
    <s v="2024-01-18"/>
    <n v="57.244"/>
    <x v="3133"/>
    <n v="56.091000000000001"/>
    <n v="57.091000000000001"/>
    <n v="491789753"/>
    <x v="6"/>
    <s v="Nvidia"/>
    <x v="0"/>
    <n v="1.88"/>
    <x v="12"/>
    <x v="1"/>
    <s v="January"/>
    <s v="Profit"/>
    <n v="1.4930000000000021"/>
    <n v="150.12699999999995"/>
  </r>
  <r>
    <s v="2024-01-19"/>
    <n v="57.972000000000001"/>
    <x v="3134"/>
    <n v="57.209000000000003"/>
    <n v="59.473999999999997"/>
    <n v="543655574"/>
    <x v="6"/>
    <s v="Nvidia"/>
    <x v="0"/>
    <n v="4.1749999999999998"/>
    <x v="12"/>
    <x v="1"/>
    <s v="January"/>
    <s v="Profit"/>
    <n v="2.2739999999999938"/>
    <n v="154.30199999999996"/>
  </r>
  <r>
    <s v="2024-01-22"/>
    <n v="60.031999999999996"/>
    <x v="3135"/>
    <n v="59.052999999999997"/>
    <n v="59.637"/>
    <n v="453083052"/>
    <x v="6"/>
    <s v="Nvidia"/>
    <x v="0"/>
    <n v="0.27400000000000002"/>
    <x v="12"/>
    <x v="1"/>
    <s v="January"/>
    <s v="Profit"/>
    <n v="1.2610000000000028"/>
    <n v="154.57599999999996"/>
  </r>
  <r>
    <s v="2024-01-23"/>
    <n v="59.552999999999997"/>
    <x v="3136"/>
    <n v="58.569000000000003"/>
    <n v="59.856000000000002"/>
    <n v="294737991"/>
    <x v="6"/>
    <s v="Nvidia"/>
    <x v="0"/>
    <n v="0.36699999999999999"/>
    <x v="12"/>
    <x v="1"/>
    <s v="January"/>
    <s v="Profit"/>
    <n v="1.3239999999999981"/>
    <n v="154.94299999999996"/>
  </r>
  <r>
    <s v="2024-01-24"/>
    <n v="60.286999999999999"/>
    <x v="3137"/>
    <n v="59.920999999999999"/>
    <n v="61.344999999999999"/>
    <n v="560429609"/>
    <x v="6"/>
    <s v="Nvidia"/>
    <x v="0"/>
    <n v="2.4870000000000001"/>
    <x v="12"/>
    <x v="1"/>
    <s v="January"/>
    <s v="Profit"/>
    <n v="2.9100000000000037"/>
    <n v="157.42999999999995"/>
  </r>
  <r>
    <s v="2024-01-25"/>
    <n v="62.332000000000001"/>
    <x v="3138"/>
    <n v="60.832999999999998"/>
    <n v="61.598999999999997"/>
    <n v="482913717"/>
    <x v="6"/>
    <s v="Nvidia"/>
    <x v="0"/>
    <n v="0.41499999999999998"/>
    <x v="12"/>
    <x v="1"/>
    <s v="January"/>
    <s v="Profit"/>
    <n v="1.8680000000000021"/>
    <n v="157.84499999999994"/>
  </r>
  <r>
    <s v="2024-01-26"/>
    <n v="60.942999999999998"/>
    <x v="3139"/>
    <n v="60.555999999999997"/>
    <n v="61.014000000000003"/>
    <n v="390419251"/>
    <x v="6"/>
    <s v="Nvidia"/>
    <x v="0"/>
    <n v="-0.95099999999999996"/>
    <x v="12"/>
    <x v="1"/>
    <s v="January"/>
    <s v="Loss"/>
    <n v="1.2090000000000032"/>
    <n v="156.89399999999995"/>
  </r>
  <r>
    <s v="2024-01-29"/>
    <n v="61.215000000000003"/>
    <x v="3140"/>
    <n v="60.89"/>
    <n v="62.447000000000003"/>
    <n v="348831853"/>
    <x v="6"/>
    <s v="Nvidia"/>
    <x v="0"/>
    <n v="2.35"/>
    <x v="12"/>
    <x v="1"/>
    <s v="January"/>
    <s v="Profit"/>
    <n v="1.580999999999996"/>
    <n v="159.24399999999994"/>
  </r>
  <r>
    <s v="2024-01-30"/>
    <n v="62.881999999999998"/>
    <x v="3141"/>
    <n v="62.241999999999997"/>
    <n v="62.756"/>
    <n v="410851752"/>
    <x v="6"/>
    <s v="Nvidia"/>
    <x v="0"/>
    <n v="0.49399999999999999"/>
    <x v="12"/>
    <x v="1"/>
    <s v="January"/>
    <s v="Profit"/>
    <n v="1.2330000000000041"/>
    <n v="159.73799999999994"/>
  </r>
  <r>
    <s v="2024-01-31"/>
    <n v="61.423000000000002"/>
    <x v="3142"/>
    <n v="60.683"/>
    <n v="61.51"/>
    <n v="453923530"/>
    <x v="6"/>
    <s v="Nvidia"/>
    <x v="0"/>
    <n v="-1.9870000000000001"/>
    <x v="12"/>
    <x v="1"/>
    <s v="January"/>
    <s v="Loss"/>
    <n v="1.5679999999999978"/>
    <n v="157.75099999999995"/>
  </r>
  <r>
    <s v="2024-02-01"/>
    <n v="62.082000000000001"/>
    <x v="3143"/>
    <n v="61.633000000000003"/>
    <n v="63.009"/>
    <n v="369250450"/>
    <x v="6"/>
    <s v="Nvidia"/>
    <x v="0"/>
    <n v="2.4380000000000002"/>
    <x v="13"/>
    <x v="1"/>
    <s v="February"/>
    <s v="Profit"/>
    <n v="1.5399999999999991"/>
    <n v="160.18899999999994"/>
  </r>
  <r>
    <s v="2024-02-02"/>
    <n v="63.956000000000003"/>
    <x v="3144"/>
    <n v="63.671999999999997"/>
    <n v="66.141000000000005"/>
    <n v="476712770"/>
    <x v="6"/>
    <s v="Nvidia"/>
    <x v="0"/>
    <n v="4.9710000000000001"/>
    <x v="13"/>
    <x v="1"/>
    <s v="February"/>
    <s v="Profit"/>
    <n v="2.909000000000006"/>
    <n v="165.15999999999994"/>
  </r>
  <r>
    <s v="2024-02-05"/>
    <n v="68.206000000000003"/>
    <x v="3145"/>
    <n v="67.186000000000007"/>
    <n v="69.311999999999998"/>
    <n v="680270827"/>
    <x v="6"/>
    <s v="Nvidia"/>
    <x v="0"/>
    <n v="4.7939999999999996"/>
    <x v="13"/>
    <x v="1"/>
    <s v="February"/>
    <s v="Profit"/>
    <n v="2.2909999999999968"/>
    <n v="169.95399999999995"/>
  </r>
  <r>
    <s v="2024-02-06"/>
    <n v="69.61"/>
    <x v="3146"/>
    <n v="66.281000000000006"/>
    <n v="68.203999999999994"/>
    <n v="683305037"/>
    <x v="6"/>
    <s v="Nvidia"/>
    <x v="0"/>
    <n v="-1.599"/>
    <x v="13"/>
    <x v="1"/>
    <s v="February"/>
    <s v="Loss"/>
    <n v="3.4529999999999887"/>
    <n v="168.35499999999996"/>
  </r>
  <r>
    <s v="2024-02-07"/>
    <n v="68.3"/>
    <x v="3147"/>
    <n v="67.581000000000003"/>
    <n v="70.078999999999994"/>
    <n v="495715056"/>
    <x v="6"/>
    <s v="Nvidia"/>
    <x v="0"/>
    <n v="2.75"/>
    <x v="13"/>
    <x v="1"/>
    <s v="February"/>
    <s v="Profit"/>
    <n v="2.6189999999999998"/>
    <n v="171.10499999999996"/>
  </r>
  <r>
    <s v="2024-02-08"/>
    <n v="70.054000000000002"/>
    <x v="3148"/>
    <n v="69.435000000000002"/>
    <n v="69.620999999999995"/>
    <n v="414539607"/>
    <x v="6"/>
    <s v="Nvidia"/>
    <x v="0"/>
    <n v="-0.65300000000000002"/>
    <x v="13"/>
    <x v="1"/>
    <s v="February"/>
    <s v="Loss"/>
    <n v="1.3389999999999986"/>
    <n v="170.45199999999997"/>
  </r>
  <r>
    <s v="2024-02-09"/>
    <n v="70.513000000000005"/>
    <x v="3149"/>
    <n v="70.191999999999993"/>
    <n v="72.111999999999995"/>
    <n v="436760686"/>
    <x v="6"/>
    <s v="Nvidia"/>
    <x v="0"/>
    <n v="3.5779999999999998"/>
    <x v="13"/>
    <x v="1"/>
    <s v="February"/>
    <s v="Profit"/>
    <n v="1.9730000000000132"/>
    <n v="174.02999999999997"/>
  </r>
  <r>
    <s v="2024-02-12"/>
    <n v="72.578999999999994"/>
    <x v="3150"/>
    <n v="71.23"/>
    <n v="72.227999999999994"/>
    <n v="613884180"/>
    <x v="6"/>
    <s v="Nvidia"/>
    <x v="0"/>
    <n v="0.159"/>
    <x v="13"/>
    <x v="1"/>
    <s v="February"/>
    <s v="Profit"/>
    <n v="3.3599999999999994"/>
    <n v="174.18899999999996"/>
  </r>
  <r>
    <s v="2024-02-13"/>
    <n v="70.38"/>
    <x v="3151"/>
    <n v="69.599999999999994"/>
    <n v="72.108000000000004"/>
    <n v="602750994"/>
    <x v="6"/>
    <s v="Nvidia"/>
    <x v="0"/>
    <n v="-0.16600000000000001"/>
    <x v="13"/>
    <x v="1"/>
    <s v="February"/>
    <s v="Loss"/>
    <n v="3.8290000000000077"/>
    <n v="174.02299999999997"/>
  </r>
  <r>
    <s v="2024-02-14"/>
    <n v="73.180999999999997"/>
    <x v="3152"/>
    <n v="71.918000000000006"/>
    <n v="73.879000000000005"/>
    <n v="505060575"/>
    <x v="6"/>
    <s v="Nvidia"/>
    <x v="0"/>
    <n v="2.4569999999999999"/>
    <x v="13"/>
    <x v="1"/>
    <s v="February"/>
    <s v="Profit"/>
    <n v="2.296999999999997"/>
    <n v="176.47999999999996"/>
  </r>
  <r>
    <s v="2024-02-15"/>
    <n v="73.847999999999999"/>
    <x v="3153"/>
    <n v="72.379000000000005"/>
    <n v="72.637"/>
    <n v="420240923"/>
    <x v="6"/>
    <s v="Nvidia"/>
    <x v="0"/>
    <n v="-1.681"/>
    <x v="13"/>
    <x v="1"/>
    <s v="February"/>
    <s v="Loss"/>
    <n v="1.5749999999999886"/>
    <n v="174.79899999999995"/>
  </r>
  <r>
    <s v="2024-02-16"/>
    <n v="74.078999999999994"/>
    <x v="3154"/>
    <n v="72.48"/>
    <n v="72.591999999999999"/>
    <n v="495467056"/>
    <x v="6"/>
    <s v="Nvidia"/>
    <x v="0"/>
    <n v="-6.2E-2"/>
    <x v="13"/>
    <x v="1"/>
    <s v="February"/>
    <s v="Loss"/>
    <n v="1.9009999999999962"/>
    <n v="174.73699999999994"/>
  </r>
  <r>
    <s v="2024-02-20"/>
    <n v="71.927000000000007"/>
    <x v="3155"/>
    <n v="67.715000000000003"/>
    <n v="69.432000000000002"/>
    <n v="705032935"/>
    <x v="6"/>
    <s v="Nvidia"/>
    <x v="0"/>
    <n v="-4.3529999999999998"/>
    <x v="13"/>
    <x v="1"/>
    <s v="February"/>
    <s v="Loss"/>
    <n v="4.2210000000000036"/>
    <n v="170.38399999999993"/>
  </r>
  <r>
    <s v="2024-02-21"/>
    <n v="67.986999999999995"/>
    <x v="3156"/>
    <n v="66.228999999999999"/>
    <n v="67.453000000000003"/>
    <n v="690493844"/>
    <x v="6"/>
    <s v="Nvidia"/>
    <x v="0"/>
    <n v="-2.851"/>
    <x v="13"/>
    <x v="1"/>
    <s v="February"/>
    <s v="Loss"/>
    <n v="2.6389999999999958"/>
    <n v="167.53299999999993"/>
  </r>
  <r>
    <s v="2024-02-22"/>
    <n v="75.004000000000005"/>
    <x v="3157"/>
    <n v="74.198999999999998"/>
    <n v="78.516000000000005"/>
    <n v="865345014"/>
    <x v="6"/>
    <s v="Nvidia"/>
    <x v="0"/>
    <n v="16.401"/>
    <x v="13"/>
    <x v="1"/>
    <s v="February"/>
    <s v="Profit"/>
    <n v="4.3539999999999992"/>
    <n v="183.93399999999994"/>
  </r>
  <r>
    <s v="2024-02-23"/>
    <n v="80.766999999999996"/>
    <x v="3158"/>
    <n v="77.548000000000002"/>
    <n v="78.795000000000002"/>
    <n v="829623519"/>
    <x v="6"/>
    <s v="Nvidia"/>
    <x v="0"/>
    <n v="0.35499999999999998"/>
    <x v="13"/>
    <x v="1"/>
    <s v="February"/>
    <s v="Profit"/>
    <n v="4.8229999999999933"/>
    <n v="184.28899999999993"/>
  </r>
  <r>
    <s v="2024-02-26"/>
    <n v="79.677000000000007"/>
    <x v="3159"/>
    <n v="78.483000000000004"/>
    <n v="79.069999999999993"/>
    <n v="504115617"/>
    <x v="6"/>
    <s v="Nvidia"/>
    <x v="0"/>
    <n v="0.34899999999999998"/>
    <x v="13"/>
    <x v="1"/>
    <s v="February"/>
    <s v="Profit"/>
    <n v="2.1400000000000006"/>
    <n v="184.63799999999992"/>
  </r>
  <r>
    <s v="2024-02-27"/>
    <n v="79.358999999999995"/>
    <x v="3160"/>
    <n v="77.14"/>
    <n v="78.679000000000002"/>
    <n v="391816297"/>
    <x v="6"/>
    <s v="Nvidia"/>
    <x v="0"/>
    <n v="-0.49399999999999999"/>
    <x v="13"/>
    <x v="1"/>
    <s v="February"/>
    <s v="Loss"/>
    <n v="2.3169999999999931"/>
    <n v="184.14399999999992"/>
  </r>
  <r>
    <s v="2024-02-28"/>
    <n v="77.597999999999999"/>
    <x v="3161"/>
    <n v="77.102999999999994"/>
    <n v="77.641000000000005"/>
    <n v="393221855"/>
    <x v="6"/>
    <s v="Nvidia"/>
    <x v="0"/>
    <n v="-1.319"/>
    <x v="13"/>
    <x v="1"/>
    <s v="February"/>
    <s v="Loss"/>
    <n v="1.8080000000000069"/>
    <n v="182.82499999999993"/>
  </r>
  <r>
    <s v="2024-02-29"/>
    <n v="79.072000000000003"/>
    <x v="3162"/>
    <n v="78.328000000000003"/>
    <n v="79.09"/>
    <n v="507432807"/>
    <x v="6"/>
    <s v="Nvidia"/>
    <x v="0"/>
    <n v="1.8660000000000001"/>
    <x v="13"/>
    <x v="1"/>
    <s v="February"/>
    <s v="Profit"/>
    <n v="1.6389999999999958"/>
    <n v="184.69099999999995"/>
  </r>
  <r>
    <s v="2024-03-01"/>
    <n v="79.977000000000004"/>
    <x v="3163"/>
    <n v="79.412000000000006"/>
    <n v="82.256"/>
    <n v="479270945"/>
    <x v="6"/>
    <s v="Nvidia"/>
    <x v="0"/>
    <n v="4.0030000000000001"/>
    <x v="14"/>
    <x v="1"/>
    <s v="March"/>
    <s v="Profit"/>
    <n v="2.8649999999999949"/>
    <n v="188.69399999999996"/>
  </r>
  <r>
    <s v="2024-03-04"/>
    <n v="84.105999999999995"/>
    <x v="3164"/>
    <n v="83.694999999999993"/>
    <n v="85.212999999999994"/>
    <n v="615790990"/>
    <x v="6"/>
    <s v="Nvidia"/>
    <x v="0"/>
    <n v="3.5950000000000002"/>
    <x v="14"/>
    <x v="1"/>
    <s v="March"/>
    <s v="Profit"/>
    <n v="3.9750000000000085"/>
    <n v="192.28899999999996"/>
  </r>
  <r>
    <s v="2024-03-05"/>
    <n v="85.25"/>
    <x v="3165"/>
    <n v="83.397000000000006"/>
    <n v="85.944000000000003"/>
    <n v="520762473"/>
    <x v="6"/>
    <s v="Nvidia"/>
    <x v="0"/>
    <n v="0.85799999999999998"/>
    <x v="14"/>
    <x v="1"/>
    <s v="March"/>
    <s v="Profit"/>
    <n v="2.6799999999999926"/>
    <n v="193.14699999999996"/>
  </r>
  <r>
    <s v="2024-03-06"/>
    <n v="88.001000000000005"/>
    <x v="3166"/>
    <n v="87.01"/>
    <n v="88.679000000000002"/>
    <n v="582658113"/>
    <x v="6"/>
    <s v="Nvidia"/>
    <x v="0"/>
    <n v="3.1829999999999998"/>
    <x v="14"/>
    <x v="1"/>
    <s v="March"/>
    <s v="Profit"/>
    <n v="2.6929999999999978"/>
    <n v="196.32999999999996"/>
  </r>
  <r>
    <s v="2024-03-07"/>
    <n v="90.137"/>
    <x v="3167"/>
    <n v="89.581000000000003"/>
    <n v="92.647000000000006"/>
    <n v="608263029"/>
    <x v="6"/>
    <s v="Nvidia"/>
    <x v="0"/>
    <n v="4.4749999999999996"/>
    <x v="14"/>
    <x v="1"/>
    <s v="March"/>
    <s v="Profit"/>
    <n v="3.1640000000000015"/>
    <n v="200.80499999999995"/>
  </r>
  <r>
    <s v="2024-03-08"/>
    <n v="95.114999999999995"/>
    <x v="3168"/>
    <n v="86.486000000000004"/>
    <n v="87.507000000000005"/>
    <n v="1142539298"/>
    <x v="6"/>
    <s v="Nvidia"/>
    <x v="0"/>
    <n v="-5.548"/>
    <x v="14"/>
    <x v="1"/>
    <s v="March"/>
    <s v="Loss"/>
    <n v="10.890999999999991"/>
    <n v="195.25699999999995"/>
  </r>
  <r>
    <s v="2024-03-11"/>
    <n v="86.409000000000006"/>
    <x v="3169"/>
    <n v="84.146000000000001"/>
    <n v="85.754000000000005"/>
    <n v="678524607"/>
    <x v="6"/>
    <s v="Nvidia"/>
    <x v="0"/>
    <n v="-2.004"/>
    <x v="14"/>
    <x v="1"/>
    <s v="March"/>
    <s v="Loss"/>
    <n v="4.6299999999999955"/>
    <n v="193.25299999999996"/>
  </r>
  <r>
    <s v="2024-03-12"/>
    <n v="88.028000000000006"/>
    <x v="3170"/>
    <n v="86.13"/>
    <n v="91.891000000000005"/>
    <n v="668233203"/>
    <x v="6"/>
    <s v="Nvidia"/>
    <x v="0"/>
    <n v="7.157"/>
    <x v="14"/>
    <x v="1"/>
    <s v="March"/>
    <s v="Profit"/>
    <n v="5.8080000000000069"/>
    <n v="200.40999999999997"/>
  </r>
  <r>
    <s v="2024-03-13"/>
    <n v="91.033000000000001"/>
    <x v="3171"/>
    <n v="88.414000000000001"/>
    <n v="90.866"/>
    <n v="635863287"/>
    <x v="6"/>
    <s v="Nvidia"/>
    <x v="0"/>
    <n v="-1.115"/>
    <x v="14"/>
    <x v="1"/>
    <s v="March"/>
    <s v="Loss"/>
    <n v="3.0679999999999978"/>
    <n v="199.29499999999996"/>
  </r>
  <r>
    <s v="2024-03-14"/>
    <n v="89.555999999999997"/>
    <x v="3172"/>
    <n v="86.578999999999994"/>
    <n v="87.923000000000002"/>
    <n v="602460656"/>
    <x v="6"/>
    <s v="Nvidia"/>
    <x v="0"/>
    <n v="-3.2389999999999999"/>
    <x v="14"/>
    <x v="1"/>
    <s v="March"/>
    <s v="Loss"/>
    <n v="4.0460000000000065"/>
    <n v="196.05599999999995"/>
  </r>
  <r>
    <s v="2024-03-15"/>
    <n v="86.909000000000006"/>
    <x v="3173"/>
    <n v="86.236999999999995"/>
    <n v="87.816000000000003"/>
    <n v="642238065"/>
    <x v="6"/>
    <s v="Nvidia"/>
    <x v="0"/>
    <n v="-0.122"/>
    <x v="14"/>
    <x v="1"/>
    <s v="March"/>
    <s v="Loss"/>
    <n v="3.2880000000000109"/>
    <n v="195.93399999999994"/>
  </r>
  <r>
    <s v="2024-03-18"/>
    <n v="90.367000000000004"/>
    <x v="3174"/>
    <n v="87.063999999999993"/>
    <n v="88.433999999999997"/>
    <n v="669134196"/>
    <x v="6"/>
    <s v="Nvidia"/>
    <x v="0"/>
    <n v="0.70399999999999996"/>
    <x v="14"/>
    <x v="1"/>
    <s v="March"/>
    <s v="Profit"/>
    <n v="5.3190000000000026"/>
    <n v="196.63799999999995"/>
  </r>
  <r>
    <s v="2024-03-19"/>
    <n v="86.68"/>
    <x v="3175"/>
    <n v="84.99"/>
    <n v="89.376999999999995"/>
    <n v="672330292"/>
    <x v="6"/>
    <s v="Nvidia"/>
    <x v="0"/>
    <n v="1.0660000000000001"/>
    <x v="14"/>
    <x v="1"/>
    <s v="March"/>
    <s v="Profit"/>
    <n v="5.5330000000000013"/>
    <n v="197.70399999999995"/>
  </r>
  <r>
    <s v="2024-03-20"/>
    <n v="89.775999999999996"/>
    <x v="3176"/>
    <n v="88.201999999999998"/>
    <n v="90.350999999999999"/>
    <n v="479176127"/>
    <x v="6"/>
    <s v="Nvidia"/>
    <x v="0"/>
    <n v="1.0900000000000001"/>
    <x v="14"/>
    <x v="1"/>
    <s v="March"/>
    <s v="Profit"/>
    <n v="2.1869999999999976"/>
    <n v="198.79399999999995"/>
  </r>
  <r>
    <s v="2024-03-21"/>
    <n v="92.278000000000006"/>
    <x v="3177"/>
    <n v="90.384"/>
    <n v="91.412999999999997"/>
    <n v="480485956"/>
    <x v="6"/>
    <s v="Nvidia"/>
    <x v="0"/>
    <n v="1.1759999999999999"/>
    <x v="14"/>
    <x v="1"/>
    <s v="March"/>
    <s v="Profit"/>
    <n v="2.2420000000000044"/>
    <n v="199.96999999999994"/>
  </r>
  <r>
    <s v="2024-03-22"/>
    <n v="91.119"/>
    <x v="3178"/>
    <n v="90.811999999999998"/>
    <n v="94.266999999999996"/>
    <n v="586858166"/>
    <x v="6"/>
    <s v="Nvidia"/>
    <x v="0"/>
    <n v="3.121"/>
    <x v="14"/>
    <x v="1"/>
    <s v="March"/>
    <s v="Profit"/>
    <n v="3.9440000000000026"/>
    <n v="203.09099999999995"/>
  </r>
  <r>
    <s v="2024-03-25"/>
    <n v="93.918999999999997"/>
    <x v="3179"/>
    <n v="93.488"/>
    <n v="94.98"/>
    <n v="552266704"/>
    <x v="6"/>
    <s v="Nvidia"/>
    <x v="0"/>
    <n v="0.75600000000000001"/>
    <x v="14"/>
    <x v="1"/>
    <s v="March"/>
    <s v="Profit"/>
    <n v="3.2549999999999955"/>
    <n v="203.84699999999995"/>
  </r>
  <r>
    <s v="2024-03-26"/>
    <n v="95.828000000000003"/>
    <x v="3180"/>
    <n v="92.48"/>
    <n v="92.539000000000001"/>
    <n v="513769099"/>
    <x v="6"/>
    <s v="Nvidia"/>
    <x v="0"/>
    <n v="-2.569"/>
    <x v="14"/>
    <x v="1"/>
    <s v="March"/>
    <s v="Loss"/>
    <n v="3.8719999999999999"/>
    <n v="201.27799999999996"/>
  </r>
  <r>
    <s v="2024-03-27"/>
    <n v="93.09"/>
    <x v="3181"/>
    <n v="89.102000000000004"/>
    <n v="90.228999999999999"/>
    <n v="586205882"/>
    <x v="6"/>
    <s v="Nvidia"/>
    <x v="0"/>
    <n v="-2.4969999999999999"/>
    <x v="14"/>
    <x v="1"/>
    <s v="March"/>
    <s v="Loss"/>
    <n v="4.1159999999999997"/>
    <n v="198.78099999999995"/>
  </r>
  <r>
    <s v="2024-03-28"/>
    <n v="89.978999999999999"/>
    <x v="3182"/>
    <n v="89.171999999999997"/>
    <n v="90.334999999999994"/>
    <n v="435315232"/>
    <x v="6"/>
    <s v="Nvidia"/>
    <x v="0"/>
    <n v="0.11700000000000001"/>
    <x v="14"/>
    <x v="1"/>
    <s v="March"/>
    <s v="Profit"/>
    <n v="2.1060000000000088"/>
    <n v="198.89799999999994"/>
  </r>
  <r>
    <s v="2024-04-01"/>
    <n v="90.278000000000006"/>
    <x v="3183"/>
    <n v="89.183000000000007"/>
    <n v="90.341999999999999"/>
    <n v="452548528"/>
    <x v="6"/>
    <s v="Nvidia"/>
    <x v="0"/>
    <n v="8.0000000000000002E-3"/>
    <x v="15"/>
    <x v="1"/>
    <s v="April"/>
    <s v="Profit"/>
    <n v="3.019999999999996"/>
    <n v="198.90599999999995"/>
  </r>
  <r>
    <s v="2024-04-02"/>
    <n v="88.427000000000007"/>
    <x v="3184"/>
    <n v="87.599000000000004"/>
    <n v="89.430999999999997"/>
    <n v="433166004"/>
    <x v="6"/>
    <s v="Nvidia"/>
    <x v="0"/>
    <n v="-1.008"/>
    <x v="15"/>
    <x v="1"/>
    <s v="April"/>
    <s v="Loss"/>
    <n v="2.4739999999999895"/>
    <n v="197.89799999999994"/>
  </r>
  <r>
    <s v="2024-04-03"/>
    <n v="88.462999999999994"/>
    <x v="3185"/>
    <n v="88.379000000000005"/>
    <n v="88.942999999999998"/>
    <n v="370154100"/>
    <x v="6"/>
    <s v="Nvidia"/>
    <x v="0"/>
    <n v="-0.54500000000000004"/>
    <x v="15"/>
    <x v="1"/>
    <s v="April"/>
    <s v="Loss"/>
    <n v="1.9739999999999895"/>
    <n v="197.35299999999995"/>
  </r>
  <r>
    <s v="2024-04-04"/>
    <n v="90.385000000000005"/>
    <x v="3186"/>
    <n v="85.86"/>
    <n v="85.885000000000005"/>
    <n v="435067824"/>
    <x v="6"/>
    <s v="Nvidia"/>
    <x v="0"/>
    <n v="-3.4380000000000002"/>
    <x v="15"/>
    <x v="1"/>
    <s v="April"/>
    <s v="Loss"/>
    <n v="4.7530000000000001"/>
    <n v="193.91499999999996"/>
  </r>
  <r>
    <s v="2024-04-05"/>
    <n v="86.846000000000004"/>
    <x v="3187"/>
    <n v="85.906000000000006"/>
    <n v="87.986999999999995"/>
    <n v="399773016"/>
    <x v="6"/>
    <s v="Nvidia"/>
    <x v="0"/>
    <n v="2.448"/>
    <x v="15"/>
    <x v="1"/>
    <s v="April"/>
    <s v="Profit"/>
    <n v="2.5539999999999878"/>
    <n v="196.36299999999997"/>
  </r>
  <r>
    <s v="2024-04-08"/>
    <n v="88.679000000000002"/>
    <x v="3188"/>
    <n v="86.712000000000003"/>
    <n v="87.111999999999995"/>
    <n v="283287004"/>
    <x v="6"/>
    <s v="Nvidia"/>
    <x v="0"/>
    <n v="-0.99399999999999999"/>
    <x v="15"/>
    <x v="1"/>
    <s v="April"/>
    <s v="Loss"/>
    <n v="2.0969999999999942"/>
    <n v="195.36899999999997"/>
  </r>
  <r>
    <s v="2024-04-09"/>
    <n v="87.421000000000006"/>
    <x v="3189"/>
    <n v="83.001999999999995"/>
    <n v="85.334000000000003"/>
    <n v="503666479"/>
    <x v="6"/>
    <s v="Nvidia"/>
    <x v="0"/>
    <n v="-2.0419999999999998"/>
    <x v="15"/>
    <x v="1"/>
    <s v="April"/>
    <s v="Loss"/>
    <n v="4.612000000000009"/>
    <n v="193.32699999999997"/>
  </r>
  <r>
    <s v="2024-04-10"/>
    <n v="83.906000000000006"/>
    <x v="3190"/>
    <n v="83.688999999999993"/>
    <n v="87.019000000000005"/>
    <n v="432030715"/>
    <x v="6"/>
    <s v="Nvidia"/>
    <x v="0"/>
    <n v="1.974"/>
    <x v="15"/>
    <x v="1"/>
    <s v="April"/>
    <s v="Profit"/>
    <n v="3.6900000000000119"/>
    <n v="195.30099999999996"/>
  </r>
  <r>
    <s v="2024-04-11"/>
    <n v="87.399000000000001"/>
    <x v="3191"/>
    <n v="86.906000000000006"/>
    <n v="90.594999999999999"/>
    <n v="431739387"/>
    <x v="6"/>
    <s v="Nvidia"/>
    <x v="0"/>
    <n v="4.1100000000000003"/>
    <x v="15"/>
    <x v="1"/>
    <s v="April"/>
    <s v="Profit"/>
    <n v="3.8109999999999928"/>
    <n v="199.41099999999997"/>
  </r>
  <r>
    <s v="2024-04-12"/>
    <n v="89.677999999999997"/>
    <x v="3192"/>
    <n v="87.509"/>
    <n v="88.165000000000006"/>
    <n v="426905763"/>
    <x v="6"/>
    <s v="Nvidia"/>
    <x v="0"/>
    <n v="-2.6819999999999999"/>
    <x v="15"/>
    <x v="1"/>
    <s v="April"/>
    <s v="Loss"/>
    <n v="2.644999999999996"/>
    <n v="196.72899999999998"/>
  </r>
  <r>
    <s v="2024-04-15"/>
    <n v="89.076999999999998"/>
    <x v="3193"/>
    <n v="85.909000000000006"/>
    <n v="85.980999999999995"/>
    <n v="443181773"/>
    <x v="6"/>
    <s v="Nvidia"/>
    <x v="0"/>
    <n v="-2.4780000000000002"/>
    <x v="15"/>
    <x v="1"/>
    <s v="April"/>
    <s v="Loss"/>
    <n v="4.6829999999999927"/>
    <n v="194.25099999999998"/>
  </r>
  <r>
    <s v="2024-04-16"/>
    <n v="86.412000000000006"/>
    <x v="3194"/>
    <n v="86.043000000000006"/>
    <n v="87.394000000000005"/>
    <n v="370540662"/>
    <x v="6"/>
    <s v="Nvidia"/>
    <x v="0"/>
    <n v="1.6439999999999999"/>
    <x v="15"/>
    <x v="1"/>
    <s v="April"/>
    <s v="Profit"/>
    <n v="2.0539999999999878"/>
    <n v="195.89499999999998"/>
  </r>
  <r>
    <s v="2024-04-17"/>
    <n v="88.319000000000003"/>
    <x v="3195"/>
    <n v="83.93"/>
    <n v="84.015000000000001"/>
    <n v="495516712"/>
    <x v="6"/>
    <s v="Nvidia"/>
    <x v="0"/>
    <n v="-3.867"/>
    <x v="15"/>
    <x v="1"/>
    <s v="April"/>
    <s v="Loss"/>
    <n v="4.8239999999999981"/>
    <n v="192.02799999999999"/>
  </r>
  <r>
    <s v="2024-04-18"/>
    <n v="84.95"/>
    <x v="3196"/>
    <n v="82.382000000000005"/>
    <n v="84.650999999999996"/>
    <n v="447366153"/>
    <x v="6"/>
    <s v="Nvidia"/>
    <x v="0"/>
    <n v="0.75700000000000001"/>
    <x v="15"/>
    <x v="1"/>
    <s v="April"/>
    <s v="Profit"/>
    <n v="3.7879999999999967"/>
    <n v="192.785"/>
  </r>
  <r>
    <s v="2024-04-19"/>
    <n v="83.13"/>
    <x v="3197"/>
    <n v="75.587999999999994"/>
    <n v="76.182000000000002"/>
    <n v="871686845"/>
    <x v="6"/>
    <s v="Nvidia"/>
    <x v="0"/>
    <n v="-10.005000000000001"/>
    <x v="15"/>
    <x v="1"/>
    <s v="April"/>
    <s v="Loss"/>
    <n v="8.7160000000000082"/>
    <n v="182.78"/>
  </r>
  <r>
    <s v="2024-04-22"/>
    <n v="78.084999999999994"/>
    <x v="3198"/>
    <n v="76.382000000000005"/>
    <n v="79.498999999999995"/>
    <n v="596481592"/>
    <x v="6"/>
    <s v="Nvidia"/>
    <x v="0"/>
    <n v="4.3540000000000001"/>
    <x v="15"/>
    <x v="1"/>
    <s v="April"/>
    <s v="Profit"/>
    <n v="3.671999999999997"/>
    <n v="187.13400000000001"/>
  </r>
  <r>
    <s v="2024-04-23"/>
    <n v="80.75"/>
    <x v="3199"/>
    <n v="80.245000000000005"/>
    <n v="82.403000000000006"/>
    <n v="438663124"/>
    <x v="6"/>
    <s v="Nvidia"/>
    <x v="0"/>
    <n v="3.653"/>
    <x v="15"/>
    <x v="1"/>
    <s v="April"/>
    <s v="Profit"/>
    <n v="2.5039999999999907"/>
    <n v="190.78700000000001"/>
  </r>
  <r>
    <s v="2024-04-24"/>
    <n v="83.93"/>
    <x v="3200"/>
    <n v="79.164000000000001"/>
    <n v="79.658000000000001"/>
    <n v="512328708"/>
    <x v="6"/>
    <s v="Nvidia"/>
    <x v="0"/>
    <n v="-3.3319999999999999"/>
    <x v="15"/>
    <x v="1"/>
    <s v="April"/>
    <s v="Loss"/>
    <n v="4.8979999999999961"/>
    <n v="187.45500000000001"/>
  </r>
  <r>
    <s v="2024-04-25"/>
    <n v="78.849000000000004"/>
    <x v="3201"/>
    <n v="78.203999999999994"/>
    <n v="82.611999999999995"/>
    <n v="424741191"/>
    <x v="6"/>
    <s v="Nvidia"/>
    <x v="0"/>
    <n v="3.7090000000000001"/>
    <x v="15"/>
    <x v="1"/>
    <s v="April"/>
    <s v="Profit"/>
    <n v="5.0990000000000038"/>
    <n v="191.16400000000002"/>
  </r>
  <r>
    <s v="2024-04-26"/>
    <n v="83.798000000000002"/>
    <x v="3202"/>
    <n v="83.367000000000004"/>
    <n v="87.713999999999999"/>
    <n v="551141138"/>
    <x v="6"/>
    <s v="Nvidia"/>
    <x v="0"/>
    <n v="6.1760000000000002"/>
    <x v="15"/>
    <x v="1"/>
    <s v="April"/>
    <s v="Profit"/>
    <n v="4.9429999999999978"/>
    <n v="197.34"/>
  </r>
  <r>
    <s v="2024-04-29"/>
    <n v="87.573999999999998"/>
    <x v="3203"/>
    <n v="85.245999999999995"/>
    <n v="87.736000000000004"/>
    <n v="389062783"/>
    <x v="6"/>
    <s v="Nvidia"/>
    <x v="0"/>
    <n v="2.5000000000000001E-2"/>
    <x v="15"/>
    <x v="1"/>
    <s v="April"/>
    <s v="Profit"/>
    <n v="2.7250000000000085"/>
    <n v="197.36500000000001"/>
  </r>
  <r>
    <s v="2024-04-30"/>
    <n v="87.218999999999994"/>
    <x v="3204"/>
    <n v="86.28"/>
    <n v="86.382000000000005"/>
    <n v="363794746"/>
    <x v="6"/>
    <s v="Nvidia"/>
    <x v="0"/>
    <n v="-1.544"/>
    <x v="15"/>
    <x v="1"/>
    <s v="April"/>
    <s v="Loss"/>
    <n v="2.5180000000000007"/>
    <n v="195.821"/>
  </r>
  <r>
    <s v="2024-05-01"/>
    <n v="85.057000000000002"/>
    <x v="3205"/>
    <n v="81.234999999999999"/>
    <n v="83.021000000000001"/>
    <n v="559995622"/>
    <x v="6"/>
    <s v="Nvidia"/>
    <x v="0"/>
    <n v="-3.89"/>
    <x v="16"/>
    <x v="1"/>
    <s v="May"/>
    <s v="Loss"/>
    <n v="4.7450000000000045"/>
    <n v="191.93100000000001"/>
  </r>
  <r>
    <s v="2024-05-02"/>
    <n v="84.429000000000002"/>
    <x v="3206"/>
    <n v="83.18"/>
    <n v="85.796999999999997"/>
    <n v="377986943"/>
    <x v="6"/>
    <s v="Nvidia"/>
    <x v="0"/>
    <n v="3.343"/>
    <x v="16"/>
    <x v="1"/>
    <s v="May"/>
    <s v="Profit"/>
    <n v="3.0369999999999919"/>
    <n v="195.274"/>
  </r>
  <r>
    <s v="2024-05-03"/>
    <n v="87.768000000000001"/>
    <x v="3207"/>
    <n v="87.019000000000005"/>
    <n v="88.768000000000001"/>
    <n v="398434959"/>
    <x v="6"/>
    <s v="Nvidia"/>
    <x v="0"/>
    <n v="3.4630000000000001"/>
    <x v="16"/>
    <x v="1"/>
    <s v="May"/>
    <s v="Profit"/>
    <n v="2.2409999999999997"/>
    <n v="198.73699999999999"/>
  </r>
  <r>
    <s v="2024-05-06"/>
    <n v="89.369"/>
    <x v="3208"/>
    <n v="89.034000000000006"/>
    <n v="92.117999999999995"/>
    <n v="376291552"/>
    <x v="6"/>
    <s v="Nvidia"/>
    <x v="0"/>
    <n v="3.774"/>
    <x v="16"/>
    <x v="1"/>
    <s v="May"/>
    <s v="Profit"/>
    <n v="3.1639999999999873"/>
    <n v="202.511"/>
  </r>
  <r>
    <s v="2024-05-07"/>
    <n v="91.075999999999993"/>
    <x v="3209"/>
    <n v="88.99"/>
    <n v="90.533000000000001"/>
    <n v="437445076"/>
    <x v="6"/>
    <s v="Nvidia"/>
    <x v="0"/>
    <n v="-1.7210000000000001"/>
    <x v="16"/>
    <x v="1"/>
    <s v="May"/>
    <s v="Loss"/>
    <n v="2.7690000000000055"/>
    <n v="200.79"/>
  </r>
  <r>
    <s v="2024-05-08"/>
    <n v="89.460999999999999"/>
    <x v="3210"/>
    <n v="89.399000000000001"/>
    <n v="90.391000000000005"/>
    <n v="325798079"/>
    <x v="6"/>
    <s v="Nvidia"/>
    <x v="0"/>
    <n v="-0.157"/>
    <x v="16"/>
    <x v="1"/>
    <s v="May"/>
    <s v="Loss"/>
    <n v="1.7729999999999961"/>
    <n v="200.63299999999998"/>
  </r>
  <r>
    <s v="2024-05-09"/>
    <n v="90.507999999999996"/>
    <x v="3211"/>
    <n v="88.21"/>
    <n v="88.725999999999999"/>
    <n v="378102110"/>
    <x v="6"/>
    <s v="Nvidia"/>
    <x v="0"/>
    <n v="-1.8420000000000001"/>
    <x v="16"/>
    <x v="1"/>
    <s v="May"/>
    <s v="Loss"/>
    <n v="2.8400000000000034"/>
    <n v="198.79099999999997"/>
  </r>
  <r>
    <s v="2024-05-10"/>
    <n v="90.283000000000001"/>
    <x v="3212"/>
    <n v="89.206000000000003"/>
    <n v="89.856999999999999"/>
    <n v="335404741"/>
    <x v="6"/>
    <s v="Nvidia"/>
    <x v="0"/>
    <n v="1.274"/>
    <x v="16"/>
    <x v="1"/>
    <s v="May"/>
    <s v="Profit"/>
    <n v="2.1730000000000018"/>
    <n v="200.06499999999997"/>
  </r>
  <r>
    <s v="2024-05-13"/>
    <n v="90.456999999999994"/>
    <x v="3213"/>
    <n v="88.507999999999996"/>
    <n v="90.378"/>
    <n v="289748702"/>
    <x v="6"/>
    <s v="Nvidia"/>
    <x v="0"/>
    <n v="0.57999999999999996"/>
    <x v="16"/>
    <x v="1"/>
    <s v="May"/>
    <s v="Profit"/>
    <n v="2.4680000000000035"/>
    <n v="200.64499999999998"/>
  </r>
  <r>
    <s v="2024-05-14"/>
    <n v="89.578000000000003"/>
    <x v="3214"/>
    <n v="88.912999999999997"/>
    <n v="91.334000000000003"/>
    <n v="296577227"/>
    <x v="6"/>
    <s v="Nvidia"/>
    <x v="0"/>
    <n v="1.0589999999999999"/>
    <x v="16"/>
    <x v="1"/>
    <s v="May"/>
    <s v="Profit"/>
    <n v="2.7160000000000082"/>
    <n v="201.70399999999998"/>
  </r>
  <r>
    <s v="2024-05-15"/>
    <n v="92.45"/>
    <x v="3215"/>
    <n v="91.576999999999998"/>
    <n v="94.608000000000004"/>
    <n v="417834278"/>
    <x v="6"/>
    <s v="Nvidia"/>
    <x v="0"/>
    <n v="3.5840000000000001"/>
    <x v="16"/>
    <x v="1"/>
    <s v="May"/>
    <s v="Profit"/>
    <n v="3.2630000000000052"/>
    <n v="205.28799999999998"/>
  </r>
  <r>
    <s v="2024-05-16"/>
    <n v="94.888000000000005"/>
    <x v="3216"/>
    <n v="94.081000000000003"/>
    <n v="94.337000000000003"/>
    <n v="324028460"/>
    <x v="6"/>
    <s v="Nvidia"/>
    <x v="0"/>
    <n v="-0.28599999999999998"/>
    <x v="16"/>
    <x v="1"/>
    <s v="May"/>
    <s v="Loss"/>
    <n v="1.7150000000000034"/>
    <n v="205.00199999999998"/>
  </r>
  <r>
    <s v="2024-05-17"/>
    <n v="94.346999999999994"/>
    <x v="3217"/>
    <n v="91.784000000000006"/>
    <n v="92.456999999999994"/>
    <n v="359776125"/>
    <x v="6"/>
    <s v="Nvidia"/>
    <x v="0"/>
    <n v="-1.992"/>
    <x v="16"/>
    <x v="1"/>
    <s v="May"/>
    <s v="Loss"/>
    <n v="2.9339999999999975"/>
    <n v="203.01"/>
  </r>
  <r>
    <s v="2024-05-20"/>
    <n v="93.727999999999994"/>
    <x v="3218"/>
    <n v="93.418000000000006"/>
    <n v="94.757999999999996"/>
    <n v="318839873"/>
    <x v="6"/>
    <s v="Nvidia"/>
    <x v="0"/>
    <n v="2.488"/>
    <x v="16"/>
    <x v="1"/>
    <s v="May"/>
    <s v="Profit"/>
    <n v="1.7590000000000003"/>
    <n v="205.49799999999999"/>
  </r>
  <r>
    <s v="2024-05-21"/>
    <n v="93.576999999999998"/>
    <x v="3219"/>
    <n v="93.158000000000001"/>
    <n v="95.363"/>
    <n v="329024282"/>
    <x v="6"/>
    <s v="Nvidia"/>
    <x v="0"/>
    <n v="0.63900000000000001"/>
    <x v="16"/>
    <x v="1"/>
    <s v="May"/>
    <s v="Profit"/>
    <n v="2.2189999999999941"/>
    <n v="206.137"/>
  </r>
  <r>
    <s v="2024-05-22"/>
    <n v="95.436000000000007"/>
    <x v="3220"/>
    <n v="93.227000000000004"/>
    <n v="94.927999999999997"/>
    <n v="548777789"/>
    <x v="6"/>
    <s v="Nvidia"/>
    <x v="0"/>
    <n v="-0.45700000000000002"/>
    <x v="16"/>
    <x v="1"/>
    <s v="May"/>
    <s v="Loss"/>
    <n v="2.769999999999996"/>
    <n v="205.68"/>
  </r>
  <r>
    <s v="2024-05-23"/>
    <n v="102.004"/>
    <x v="3221"/>
    <n v="101.496"/>
    <n v="103.774"/>
    <n v="835262840"/>
    <x v="6"/>
    <s v="Nvidia"/>
    <x v="0"/>
    <n v="9.3190000000000008"/>
    <x v="16"/>
    <x v="1"/>
    <s v="May"/>
    <s v="Profit"/>
    <n v="4.7990000000000066"/>
    <n v="214.999"/>
  </r>
  <r>
    <s v="2024-05-24"/>
    <n v="104.42400000000001"/>
    <x v="3222"/>
    <n v="102.976"/>
    <n v="106.444"/>
    <n v="429595279"/>
    <x v="6"/>
    <s v="Nvidia"/>
    <x v="0"/>
    <n v="2.573"/>
    <x v="16"/>
    <x v="1"/>
    <s v="May"/>
    <s v="Profit"/>
    <n v="3.4740000000000038"/>
    <n v="217.572"/>
  </r>
  <r>
    <s v="2024-05-28"/>
    <n v="110.218"/>
    <x v="3223"/>
    <n v="109.857"/>
    <n v="113.874"/>
    <n v="652882312"/>
    <x v="6"/>
    <s v="Nvidia"/>
    <x v="0"/>
    <n v="6.98"/>
    <x v="16"/>
    <x v="1"/>
    <s v="May"/>
    <s v="Profit"/>
    <n v="5.0550000000000068"/>
    <n v="224.55199999999999"/>
  </r>
  <r>
    <s v="2024-05-29"/>
    <n v="113.023"/>
    <x v="3224"/>
    <n v="110.875"/>
    <n v="114.798"/>
    <n v="557573810"/>
    <x v="6"/>
    <s v="Nvidia"/>
    <x v="0"/>
    <n v="0.81100000000000005"/>
    <x v="16"/>
    <x v="1"/>
    <s v="May"/>
    <s v="Profit"/>
    <n v="4.5900000000000034"/>
    <n v="225.363"/>
  </r>
  <r>
    <s v="2024-05-30"/>
    <n v="114.623"/>
    <x v="3225"/>
    <n v="109.637"/>
    <n v="110.474"/>
    <n v="487465627"/>
    <x v="6"/>
    <s v="Nvidia"/>
    <x v="0"/>
    <n v="-3.7669999999999999"/>
    <x v="16"/>
    <x v="1"/>
    <s v="May"/>
    <s v="Loss"/>
    <n v="6.1539999999999964"/>
    <n v="221.596"/>
  </r>
  <r>
    <s v="2024-05-31"/>
    <n v="112.49299999999999"/>
    <x v="3226"/>
    <n v="106.91500000000001"/>
    <n v="109.607"/>
    <n v="613407586"/>
    <x v="6"/>
    <s v="Nvidia"/>
    <x v="0"/>
    <n v="-0.78500000000000003"/>
    <x v="16"/>
    <x v="1"/>
    <s v="May"/>
    <s v="Loss"/>
    <n v="5.7749999999999915"/>
    <n v="220.81100000000001"/>
  </r>
  <r>
    <s v="2024-06-03"/>
    <n v="113.59399999999999"/>
    <x v="3227"/>
    <n v="111.976"/>
    <n v="114.973"/>
    <n v="438495475"/>
    <x v="6"/>
    <s v="Nvidia"/>
    <x v="0"/>
    <n v="4.8959999999999999"/>
    <x v="17"/>
    <x v="1"/>
    <s v="June"/>
    <s v="Profit"/>
    <n v="2.9969999999999999"/>
    <n v="225.70699999999999"/>
  </r>
  <r>
    <s v="2024-06-04"/>
    <n v="115.688"/>
    <x v="3228"/>
    <n v="114.018"/>
    <n v="116.40900000000001"/>
    <n v="403419428"/>
    <x v="6"/>
    <s v="Nvidia"/>
    <x v="0"/>
    <n v="1.2490000000000001"/>
    <x v="17"/>
    <x v="1"/>
    <s v="June"/>
    <s v="Profit"/>
    <n v="2.554000000000002"/>
    <n v="226.95599999999999"/>
  </r>
  <r>
    <s v="2024-06-05"/>
    <n v="118.343"/>
    <x v="3229"/>
    <n v="117.44"/>
    <n v="122.41200000000001"/>
    <n v="528526789"/>
    <x v="6"/>
    <s v="Nvidia"/>
    <x v="0"/>
    <n v="5.157"/>
    <x v="17"/>
    <x v="1"/>
    <s v="June"/>
    <s v="Profit"/>
    <n v="4.9810000000000088"/>
    <n v="232.113"/>
  </r>
  <r>
    <s v="2024-06-06"/>
    <n v="124.018"/>
    <x v="3230"/>
    <n v="118.292"/>
    <n v="120.97"/>
    <n v="664853444"/>
    <x v="6"/>
    <s v="Nvidia"/>
    <x v="0"/>
    <n v="-1.1779999999999999"/>
    <x v="17"/>
    <x v="1"/>
    <s v="June"/>
    <s v="Loss"/>
    <n v="7.2650000000000006"/>
    <n v="230.935"/>
  </r>
  <r>
    <s v="2024-06-07"/>
    <n v="119.742"/>
    <x v="3231"/>
    <n v="117.994"/>
    <n v="120.86"/>
    <n v="412483362"/>
    <x v="6"/>
    <s v="Nvidia"/>
    <x v="0"/>
    <n v="-9.0999999999999998E-2"/>
    <x v="17"/>
    <x v="1"/>
    <s v="June"/>
    <s v="Loss"/>
    <n v="3.6700000000000017"/>
    <n v="230.84399999999999"/>
  </r>
  <r>
    <s v="2024-06-10"/>
    <n v="120.342"/>
    <x v="3232"/>
    <n v="116.982"/>
    <n v="121.762"/>
    <n v="314236974"/>
    <x v="6"/>
    <s v="Nvidia"/>
    <x v="0"/>
    <n v="0.746"/>
    <x v="17"/>
    <x v="1"/>
    <s v="June"/>
    <s v="Profit"/>
    <n v="6.0889999999999986"/>
    <n v="231.59"/>
  </r>
  <r>
    <s v="2024-06-11"/>
    <n v="121.752"/>
    <x v="3233"/>
    <n v="118.72199999999999"/>
    <n v="120.892"/>
    <n v="222585531"/>
    <x v="6"/>
    <s v="Nvidia"/>
    <x v="0"/>
    <n v="-0.71499999999999997"/>
    <x v="17"/>
    <x v="1"/>
    <s v="June"/>
    <s v="Loss"/>
    <n v="4.1290000000000049"/>
    <n v="230.875"/>
  </r>
  <r>
    <s v="2024-06-12"/>
    <n v="123.041"/>
    <x v="3234"/>
    <n v="122.55200000000001"/>
    <n v="125.18"/>
    <n v="299641274"/>
    <x v="6"/>
    <s v="Nvidia"/>
    <x v="0"/>
    <n v="3.5470000000000002"/>
    <x v="17"/>
    <x v="1"/>
    <s v="June"/>
    <s v="Profit"/>
    <n v="4.3079999999999927"/>
    <n v="234.422"/>
  </r>
  <r>
    <s v="2024-06-13"/>
    <n v="129.37"/>
    <x v="3235"/>
    <n v="127.14"/>
    <n v="129.59"/>
    <n v="260744803"/>
    <x v="6"/>
    <s v="Nvidia"/>
    <x v="0"/>
    <n v="3.5230000000000001"/>
    <x v="17"/>
    <x v="1"/>
    <s v="June"/>
    <s v="Profit"/>
    <n v="2.6400000000000006"/>
    <n v="237.94499999999999"/>
  </r>
  <r>
    <s v="2024-06-14"/>
    <n v="129.94"/>
    <x v="3236"/>
    <n v="128.30000000000001"/>
    <n v="131.86000000000001"/>
    <n v="309368151"/>
    <x v="6"/>
    <s v="Nvidia"/>
    <x v="0"/>
    <n v="1.752"/>
    <x v="17"/>
    <x v="1"/>
    <s v="June"/>
    <s v="Profit"/>
    <n v="4.5199999999999818"/>
    <n v="239.697"/>
  </r>
  <r>
    <s v="2024-06-17"/>
    <n v="132.97"/>
    <x v="3237"/>
    <n v="129.56"/>
    <n v="130.96"/>
    <n v="288549004"/>
    <x v="6"/>
    <s v="Nvidia"/>
    <x v="0"/>
    <n v="-0.68300000000000005"/>
    <x v="17"/>
    <x v="1"/>
    <s v="June"/>
    <s v="Loss"/>
    <n v="4.1500000000000057"/>
    <n v="239.01400000000001"/>
  </r>
  <r>
    <s v="2024-06-18"/>
    <n v="131.12"/>
    <x v="3238"/>
    <n v="130.66999999999999"/>
    <n v="135.559"/>
    <n v="294380514"/>
    <x v="6"/>
    <s v="Nvidia"/>
    <x v="0"/>
    <n v="3.512"/>
    <x v="17"/>
    <x v="1"/>
    <s v="June"/>
    <s v="Profit"/>
    <n v="5.63900000000001"/>
    <n v="242.52600000000001"/>
  </r>
  <r>
    <s v="2024-06-20"/>
    <n v="139.77799999999999"/>
    <x v="3239"/>
    <n v="129.5"/>
    <n v="130.76"/>
    <n v="517848395"/>
    <x v="6"/>
    <s v="Nvidia"/>
    <x v="0"/>
    <n v="-3.54"/>
    <x v="17"/>
    <x v="1"/>
    <s v="June"/>
    <s v="Loss"/>
    <n v="11.238"/>
    <n v="238.98600000000002"/>
  </r>
  <r>
    <s v="2024-06-21"/>
    <n v="127.1"/>
    <x v="3240"/>
    <n v="124.28"/>
    <n v="126.55"/>
    <n v="655585905"/>
    <x v="6"/>
    <s v="Nvidia"/>
    <x v="0"/>
    <n v="-3.22"/>
    <x v="17"/>
    <x v="1"/>
    <s v="June"/>
    <s v="Loss"/>
    <n v="6.3300000000000125"/>
    <n v="235.76600000000002"/>
  </r>
  <r>
    <s v="2024-06-24"/>
    <n v="123.221"/>
    <x v="3241"/>
    <n v="118.02200000000001"/>
    <n v="118.092"/>
    <n v="476134394"/>
    <x v="6"/>
    <s v="Nvidia"/>
    <x v="0"/>
    <n v="-6.6840000000000002"/>
    <x v="17"/>
    <x v="1"/>
    <s v="June"/>
    <s v="Loss"/>
    <n v="6.4179999999999922"/>
    <n v="229.08200000000002"/>
  </r>
  <r>
    <s v="2024-06-25"/>
    <n v="121.182"/>
    <x v="3242"/>
    <n v="119.30200000000001"/>
    <n v="126.07"/>
    <n v="425853220"/>
    <x v="6"/>
    <s v="Nvidia"/>
    <x v="0"/>
    <n v="6.7560000000000002"/>
    <x v="17"/>
    <x v="1"/>
    <s v="June"/>
    <s v="Profit"/>
    <n v="7.1779999999999973"/>
    <n v="235.83800000000002"/>
  </r>
  <r>
    <s v="2024-06-26"/>
    <n v="126.11"/>
    <x v="3243"/>
    <n v="122.58199999999999"/>
    <n v="126.38"/>
    <n v="363031980"/>
    <x v="6"/>
    <s v="Nvidia"/>
    <x v="0"/>
    <n v="0.246"/>
    <x v="17"/>
    <x v="1"/>
    <s v="June"/>
    <s v="Profit"/>
    <n v="5.5180000000000007"/>
    <n v="236.08400000000003"/>
  </r>
  <r>
    <s v="2024-06-27"/>
    <n v="124.08"/>
    <x v="599"/>
    <n v="122.901"/>
    <n v="123.97"/>
    <n v="252610703"/>
    <x v="6"/>
    <s v="Nvidia"/>
    <x v="0"/>
    <n v="-1.907"/>
    <x v="17"/>
    <x v="1"/>
    <s v="June"/>
    <s v="Loss"/>
    <n v="3.4890000000000043"/>
    <n v="234.17700000000002"/>
  </r>
  <r>
    <s v="2024-06-28"/>
    <n v="124.56"/>
    <x v="607"/>
    <n v="122.732"/>
    <n v="123.52"/>
    <n v="315565472"/>
    <x v="6"/>
    <s v="Nvidia"/>
    <x v="0"/>
    <n v="-0.36299999999999999"/>
    <x v="17"/>
    <x v="1"/>
    <s v="June"/>
    <s v="Loss"/>
    <n v="4.9579999999999984"/>
    <n v="233.81400000000002"/>
  </r>
  <r>
    <s v="2024-07-01"/>
    <n v="123.45"/>
    <x v="3244"/>
    <n v="118.812"/>
    <n v="124.28"/>
    <n v="284929535"/>
    <x v="6"/>
    <s v="Nvidia"/>
    <x v="0"/>
    <n v="0.61499999999999999"/>
    <x v="18"/>
    <x v="1"/>
    <s v="July"/>
    <s v="Profit"/>
    <n v="6.0079999999999956"/>
    <n v="234.42900000000003"/>
  </r>
  <r>
    <s v="2024-07-02"/>
    <n v="121.11199999999999"/>
    <x v="3245"/>
    <n v="121.012"/>
    <n v="122.652"/>
    <n v="218407697"/>
    <x v="6"/>
    <s v="Nvidia"/>
    <x v="0"/>
    <n v="-1.31"/>
    <x v="18"/>
    <x v="1"/>
    <s v="July"/>
    <s v="Loss"/>
    <n v="2.3780000000000001"/>
    <n v="233.11900000000003"/>
  </r>
  <r>
    <s v="2024-07-03"/>
    <n v="121.642"/>
    <x v="1142"/>
    <n v="121.342"/>
    <n v="128.26"/>
    <n v="215782278"/>
    <x v="6"/>
    <s v="Nvidia"/>
    <x v="0"/>
    <n v="4.5720000000000001"/>
    <x v="18"/>
    <x v="1"/>
    <s v="July"/>
    <s v="Profit"/>
    <n v="6.9179999999999922"/>
    <n v="237.69100000000003"/>
  </r>
  <r>
    <s v="2024-07-05"/>
    <n v="127.36"/>
    <x v="3246"/>
    <n v="125.66"/>
    <n v="125.81"/>
    <n v="214209769"/>
    <x v="6"/>
    <s v="Nvidia"/>
    <x v="0"/>
    <n v="-1.91"/>
    <x v="18"/>
    <x v="1"/>
    <s v="July"/>
    <s v="Loss"/>
    <n v="3.1700000000000159"/>
    <n v="235.78100000000003"/>
  </r>
  <r>
    <s v="2024-07-08"/>
    <n v="127.47"/>
    <x v="3247"/>
    <n v="127.02"/>
    <n v="128.18"/>
    <n v="237714031"/>
    <x v="6"/>
    <s v="Nvidia"/>
    <x v="0"/>
    <n v="1.8839999999999999"/>
    <x v="18"/>
    <x v="1"/>
    <s v="July"/>
    <s v="Profit"/>
    <n v="3.730000000000004"/>
    <n v="237.66500000000002"/>
  </r>
  <r>
    <s v="2024-07-09"/>
    <n v="130.33000000000001"/>
    <x v="3248"/>
    <n v="128.63"/>
    <n v="131.36000000000001"/>
    <n v="287065151"/>
    <x v="6"/>
    <s v="Nvidia"/>
    <x v="0"/>
    <n v="2.4809999999999999"/>
    <x v="18"/>
    <x v="1"/>
    <s v="July"/>
    <s v="Profit"/>
    <n v="5.1700000000000159"/>
    <n v="240.14600000000002"/>
  </r>
  <r>
    <s v="2024-07-10"/>
    <n v="134.01"/>
    <x v="3249"/>
    <n v="132.4"/>
    <n v="134.88900000000001"/>
    <n v="249017024"/>
    <x v="6"/>
    <s v="Nvidia"/>
    <x v="0"/>
    <n v="2.6869999999999998"/>
    <x v="18"/>
    <x v="1"/>
    <s v="July"/>
    <s v="Profit"/>
    <n v="2.679000000000002"/>
    <n v="242.83300000000003"/>
  </r>
  <r>
    <s v="2024-07-11"/>
    <n v="135.72900000000001"/>
    <x v="3250"/>
    <n v="127.03"/>
    <n v="127.38"/>
    <n v="374840624"/>
    <x v="6"/>
    <s v="Nvidia"/>
    <x v="0"/>
    <n v="-5.5670000000000002"/>
    <x v="18"/>
    <x v="1"/>
    <s v="July"/>
    <s v="Loss"/>
    <n v="9.0989999999999895"/>
    <n v="237.26600000000002"/>
  </r>
  <r>
    <s v="2024-07-12"/>
    <n v="128.24"/>
    <x v="3251"/>
    <n v="127.2"/>
    <n v="129.22"/>
    <n v="252719562"/>
    <x v="6"/>
    <s v="Nvidia"/>
    <x v="0"/>
    <n v="1.444"/>
    <x v="18"/>
    <x v="1"/>
    <s v="July"/>
    <s v="Profit"/>
    <n v="4.7000000000000028"/>
    <n v="238.71"/>
  </r>
  <r>
    <s v="2024-07-15"/>
    <n v="130.54"/>
    <x v="631"/>
    <n v="127.16"/>
    <n v="128.41999999999999"/>
    <n v="208358340"/>
    <x v="6"/>
    <s v="Nvidia"/>
    <x v="0"/>
    <n v="-0.61899999999999999"/>
    <x v="18"/>
    <x v="1"/>
    <s v="July"/>
    <s v="Loss"/>
    <n v="4.210000000000008"/>
    <n v="238.09100000000001"/>
  </r>
  <r>
    <s v="2024-07-16"/>
    <n v="128.41999999999999"/>
    <x v="3252"/>
    <n v="124.56"/>
    <n v="126.34"/>
    <n v="214802686"/>
    <x v="6"/>
    <s v="Nvidia"/>
    <x v="0"/>
    <n v="-1.62"/>
    <x v="18"/>
    <x v="1"/>
    <s v="July"/>
    <s v="Loss"/>
    <n v="4.460000000000008"/>
    <n v="236.471"/>
  </r>
  <r>
    <s v="2024-07-17"/>
    <n v="121.33199999999999"/>
    <x v="3253"/>
    <n v="116.702"/>
    <n v="117.97199999999999"/>
    <n v="390146438"/>
    <x v="6"/>
    <s v="Nvidia"/>
    <x v="0"/>
    <n v="-6.6230000000000002"/>
    <x v="18"/>
    <x v="1"/>
    <s v="July"/>
    <s v="Loss"/>
    <n v="5.1299999999999955"/>
    <n v="229.84800000000001"/>
  </r>
  <r>
    <s v="2024-07-18"/>
    <n v="121.83199999999999"/>
    <x v="3254"/>
    <n v="116.542"/>
    <n v="121.072"/>
    <n v="321029106"/>
    <x v="6"/>
    <s v="Nvidia"/>
    <x v="0"/>
    <n v="2.6280000000000001"/>
    <x v="18"/>
    <x v="1"/>
    <s v="July"/>
    <s v="Profit"/>
    <n v="5.8400000000000034"/>
    <n v="232.476"/>
  </r>
  <r>
    <s v="2024-07-19"/>
    <n v="120.33199999999999"/>
    <x v="3255"/>
    <n v="117.352"/>
    <n v="117.91200000000001"/>
    <n v="217257350"/>
    <x v="6"/>
    <s v="Nvidia"/>
    <x v="0"/>
    <n v="-2.61"/>
    <x v="18"/>
    <x v="1"/>
    <s v="July"/>
    <s v="Loss"/>
    <n v="4.2299999999999898"/>
    <n v="229.86599999999999"/>
  </r>
  <r>
    <s v="2024-07-22"/>
    <n v="120.33199999999999"/>
    <x v="3256"/>
    <n v="119.842"/>
    <n v="123.52"/>
    <n v="258108802"/>
    <x v="6"/>
    <s v="Nvidia"/>
    <x v="0"/>
    <n v="4.7560000000000002"/>
    <x v="18"/>
    <x v="1"/>
    <s v="July"/>
    <s v="Profit"/>
    <n v="4.2079999999999984"/>
    <n v="234.62199999999999"/>
  </r>
  <r>
    <s v="2024-07-23"/>
    <n v="122.761"/>
    <x v="3257"/>
    <n v="122.08199999999999"/>
    <n v="122.572"/>
    <n v="173937844"/>
    <x v="6"/>
    <s v="Nvidia"/>
    <x v="0"/>
    <n v="-0.76700000000000002"/>
    <x v="18"/>
    <x v="1"/>
    <s v="July"/>
    <s v="Loss"/>
    <n v="2.5880000000000081"/>
    <n v="233.85499999999999"/>
  </r>
  <r>
    <s v="2024-07-24"/>
    <n v="119.152"/>
    <x v="3258"/>
    <n v="113.422"/>
    <n v="114.232"/>
    <n v="327827510"/>
    <x v="6"/>
    <s v="Nvidia"/>
    <x v="0"/>
    <n v="-6.8040000000000003"/>
    <x v="18"/>
    <x v="1"/>
    <s v="July"/>
    <s v="Loss"/>
    <n v="6.5100000000000051"/>
    <n v="227.05099999999999"/>
  </r>
  <r>
    <s v="2024-07-25"/>
    <n v="113.02200000000001"/>
    <x v="3259"/>
    <n v="106.28400000000001"/>
    <n v="112.262"/>
    <n v="460138077"/>
    <x v="6"/>
    <s v="Nvidia"/>
    <x v="0"/>
    <n v="-1.7250000000000001"/>
    <x v="18"/>
    <x v="1"/>
    <s v="July"/>
    <s v="Loss"/>
    <n v="10.327999999999989"/>
    <n v="225.32599999999999"/>
  </r>
  <r>
    <s v="2024-07-26"/>
    <n v="116.172"/>
    <x v="3260"/>
    <n v="111.562"/>
    <n v="113.042"/>
    <n v="293444389"/>
    <x v="6"/>
    <s v="Nvidia"/>
    <x v="0"/>
    <n v="0.69499999999999995"/>
    <x v="18"/>
    <x v="1"/>
    <s v="July"/>
    <s v="Profit"/>
    <n v="4.6200000000000045"/>
    <n v="226.02099999999999"/>
  </r>
  <r>
    <s v="2024-07-29"/>
    <n v="113.672"/>
    <x v="3261"/>
    <n v="111.282"/>
    <n v="111.572"/>
    <n v="248190395"/>
    <x v="6"/>
    <s v="Nvidia"/>
    <x v="0"/>
    <n v="-1.3"/>
    <x v="18"/>
    <x v="1"/>
    <s v="July"/>
    <s v="Loss"/>
    <n v="4.980000000000004"/>
    <n v="224.72099999999998"/>
  </r>
  <r>
    <s v="2024-07-30"/>
    <n v="111.502"/>
    <x v="3262"/>
    <n v="102.524"/>
    <n v="103.714"/>
    <n v="486908466"/>
    <x v="6"/>
    <s v="Nvidia"/>
    <x v="0"/>
    <n v="-7.0430000000000001"/>
    <x v="18"/>
    <x v="1"/>
    <s v="July"/>
    <s v="Loss"/>
    <n v="9.4479999999999933"/>
    <n v="217.67799999999997"/>
  </r>
  <r>
    <s v="2024-07-31"/>
    <n v="112.88200000000001"/>
    <x v="3263"/>
    <n v="110.863"/>
    <n v="117.002"/>
    <n v="473247265"/>
    <x v="6"/>
    <s v="Nvidia"/>
    <x v="0"/>
    <n v="12.811999999999999"/>
    <x v="18"/>
    <x v="1"/>
    <s v="July"/>
    <s v="Profit"/>
    <n v="7.4590000000000032"/>
    <n v="230.48999999999998"/>
  </r>
  <r>
    <s v="2024-08-01"/>
    <n v="117.512"/>
    <x v="3264"/>
    <n v="106.794"/>
    <n v="109.193"/>
    <n v="523543176"/>
    <x v="6"/>
    <s v="Nvidia"/>
    <x v="0"/>
    <n v="-6.6740000000000004"/>
    <x v="19"/>
    <x v="1"/>
    <s v="August"/>
    <s v="Loss"/>
    <n v="13.347999999999999"/>
    <n v="223.81599999999997"/>
  </r>
  <r>
    <s v="2024-08-02"/>
    <n v="103.744"/>
    <x v="3265"/>
    <n v="101.354"/>
    <n v="107.254"/>
    <n v="482101914"/>
    <x v="6"/>
    <s v="Nvidia"/>
    <x v="0"/>
    <n v="-1.776"/>
    <x v="19"/>
    <x v="1"/>
    <s v="August"/>
    <s v="Loss"/>
    <n v="7.3499999999999943"/>
    <n v="222.03999999999996"/>
  </r>
  <r>
    <s v="2024-08-05"/>
    <n v="92.046000000000006"/>
    <x v="3266"/>
    <n v="90.676000000000002"/>
    <n v="100.434"/>
    <n v="552927763"/>
    <x v="6"/>
    <s v="Nvidia"/>
    <x v="0"/>
    <n v="-6.359"/>
    <x v="19"/>
    <x v="1"/>
    <s v="August"/>
    <s v="Loss"/>
    <n v="12.718000000000004"/>
    <n v="215.68099999999995"/>
  </r>
  <r>
    <s v="2024-08-06"/>
    <n v="103.824"/>
    <x v="3267"/>
    <n v="100.53400000000001"/>
    <n v="104.23399999999999"/>
    <n v="409075262"/>
    <x v="6"/>
    <s v="Nvidia"/>
    <x v="0"/>
    <n v="3.7839999999999998"/>
    <x v="19"/>
    <x v="1"/>
    <s v="August"/>
    <s v="Profit"/>
    <n v="7.1599999999999966"/>
    <n v="219.46499999999995"/>
  </r>
  <r>
    <s v="2024-08-07"/>
    <n v="107.794"/>
    <x v="3268"/>
    <n v="98.674999999999997"/>
    <n v="98.894999999999996"/>
    <n v="411503971"/>
    <x v="6"/>
    <s v="Nvidia"/>
    <x v="0"/>
    <n v="-5.1219999999999999"/>
    <x v="19"/>
    <x v="1"/>
    <s v="August"/>
    <s v="Loss"/>
    <n v="10.109000000000009"/>
    <n v="214.34299999999996"/>
  </r>
  <r>
    <s v="2024-08-08"/>
    <n v="101.98399999999999"/>
    <x v="3269"/>
    <n v="97.504999999999995"/>
    <n v="104.95399999999999"/>
    <n v="391970554"/>
    <x v="6"/>
    <s v="Nvidia"/>
    <x v="0"/>
    <n v="6.1269999999999998"/>
    <x v="19"/>
    <x v="1"/>
    <s v="August"/>
    <s v="Profit"/>
    <n v="7.9789999999999992"/>
    <n v="220.46999999999997"/>
  </r>
  <r>
    <s v="2024-08-09"/>
    <n v="105.624"/>
    <x v="3270"/>
    <n v="103.414"/>
    <n v="104.73399999999999"/>
    <n v="290889078"/>
    <x v="6"/>
    <s v="Nvidia"/>
    <x v="0"/>
    <n v="-0.21"/>
    <x v="19"/>
    <x v="1"/>
    <s v="August"/>
    <s v="Loss"/>
    <n v="3.1700000000000017"/>
    <n v="220.25999999999996"/>
  </r>
  <r>
    <s v="2024-08-12"/>
    <n v="106.304"/>
    <x v="3271"/>
    <n v="106.244"/>
    <n v="109.003"/>
    <n v="325610153"/>
    <x v="6"/>
    <s v="Nvidia"/>
    <x v="0"/>
    <n v="4.0759999999999996"/>
    <x v="19"/>
    <x v="1"/>
    <s v="August"/>
    <s v="Profit"/>
    <n v="4.8080000000000069"/>
    <n v="224.33599999999996"/>
  </r>
  <r>
    <s v="2024-08-13"/>
    <n v="112.422"/>
    <x v="3272"/>
    <n v="111.562"/>
    <n v="116.122"/>
    <n v="312694949"/>
    <x v="6"/>
    <s v="Nvidia"/>
    <x v="0"/>
    <n v="6.5309999999999997"/>
    <x v="19"/>
    <x v="1"/>
    <s v="August"/>
    <s v="Profit"/>
    <n v="4.6500000000000057"/>
    <n v="230.86699999999996"/>
  </r>
  <r>
    <s v="2024-08-14"/>
    <n v="118.512"/>
    <x v="3273"/>
    <n v="114.05200000000001"/>
    <n v="118.062"/>
    <n v="339298804"/>
    <x v="6"/>
    <s v="Nvidia"/>
    <x v="0"/>
    <n v="1.671"/>
    <x v="19"/>
    <x v="1"/>
    <s v="August"/>
    <s v="Profit"/>
    <n v="4.5299999999999869"/>
    <n v="232.53799999999995"/>
  </r>
  <r>
    <s v="2024-08-15"/>
    <n v="118.742"/>
    <x v="3274"/>
    <n v="117.452"/>
    <n v="122.84099999999999"/>
    <n v="318135802"/>
    <x v="6"/>
    <s v="Nvidia"/>
    <x v="0"/>
    <n v="4.048"/>
    <x v="19"/>
    <x v="1"/>
    <s v="August"/>
    <s v="Profit"/>
    <n v="5.7690000000000055"/>
    <n v="236.58599999999996"/>
  </r>
  <r>
    <s v="2024-08-16"/>
    <n v="121.922"/>
    <x v="3275"/>
    <n v="121.16200000000001"/>
    <n v="124.56"/>
    <n v="302636607"/>
    <x v="6"/>
    <s v="Nvidia"/>
    <x v="0"/>
    <n v="1.399"/>
    <x v="19"/>
    <x v="1"/>
    <s v="August"/>
    <s v="Profit"/>
    <n v="3.8179999999999978"/>
    <n v="237.98499999999996"/>
  </r>
  <r>
    <s v="2024-08-19"/>
    <n v="124.26"/>
    <x v="3276"/>
    <n v="123.4"/>
    <n v="129.97999999999999"/>
    <n v="318382744"/>
    <x v="6"/>
    <s v="Nvidia"/>
    <x v="0"/>
    <n v="4.351"/>
    <x v="19"/>
    <x v="1"/>
    <s v="August"/>
    <s v="Profit"/>
    <n v="6.5799999999999841"/>
    <n v="242.33599999999996"/>
  </r>
  <r>
    <s v="2024-08-20"/>
    <n v="128.38"/>
    <x v="3277"/>
    <n v="125.87"/>
    <n v="127.23"/>
    <n v="300133764"/>
    <x v="6"/>
    <s v="Nvidia"/>
    <x v="0"/>
    <n v="-2.1160000000000001"/>
    <x v="19"/>
    <x v="1"/>
    <s v="August"/>
    <s v="Loss"/>
    <n v="3.9900000000000091"/>
    <n v="240.21999999999994"/>
  </r>
  <r>
    <s v="2024-08-21"/>
    <n v="127.295"/>
    <x v="3278"/>
    <n v="126.64"/>
    <n v="128.47999999999999"/>
    <n v="257923402"/>
    <x v="6"/>
    <s v="Nvidia"/>
    <x v="0"/>
    <n v="0.98199999999999998"/>
    <x v="19"/>
    <x v="1"/>
    <s v="August"/>
    <s v="Profit"/>
    <n v="2.6900000000000119"/>
    <n v="241.20199999999994"/>
  </r>
  <r>
    <s v="2024-08-22"/>
    <n v="130"/>
    <x v="3279"/>
    <n v="123.081"/>
    <n v="123.72"/>
    <n v="376247179"/>
    <x v="6"/>
    <s v="Nvidia"/>
    <x v="0"/>
    <n v="-3.7050000000000001"/>
    <x v="19"/>
    <x v="1"/>
    <s v="August"/>
    <s v="Loss"/>
    <n v="7.6489999999999867"/>
    <n v="237.49699999999993"/>
  </r>
  <r>
    <s v="2024-08-23"/>
    <n v="125.84"/>
    <x v="633"/>
    <n v="125.2"/>
    <n v="129.35"/>
    <n v="323280255"/>
    <x v="6"/>
    <s v="Nvidia"/>
    <x v="0"/>
    <n v="4.5510000000000002"/>
    <x v="19"/>
    <x v="1"/>
    <s v="August"/>
    <s v="Profit"/>
    <n v="4.3800000000000097"/>
    <n v="242.04799999999992"/>
  </r>
  <r>
    <s v="2024-08-26"/>
    <n v="129.55000000000001"/>
    <x v="3280"/>
    <n v="124.35"/>
    <n v="126.44"/>
    <n v="332015944"/>
    <x v="6"/>
    <s v="Nvidia"/>
    <x v="0"/>
    <n v="-2.25"/>
    <x v="19"/>
    <x v="1"/>
    <s v="August"/>
    <s v="Loss"/>
    <n v="6.8900000000000148"/>
    <n v="239.79799999999992"/>
  </r>
  <r>
    <s v="2024-08-27"/>
    <n v="125.03"/>
    <x v="3281"/>
    <n v="123.86"/>
    <n v="128.28"/>
    <n v="303181392"/>
    <x v="6"/>
    <s v="Nvidia"/>
    <x v="0"/>
    <n v="1.4550000000000001"/>
    <x v="19"/>
    <x v="1"/>
    <s v="August"/>
    <s v="Profit"/>
    <n v="5.3200000000000074"/>
    <n v="241.25299999999993"/>
  </r>
  <r>
    <s v="2024-08-28"/>
    <n v="128.1"/>
    <x v="3282"/>
    <n v="122.622"/>
    <n v="125.59"/>
    <n v="448170325"/>
    <x v="6"/>
    <s v="Nvidia"/>
    <x v="0"/>
    <n v="-2.097"/>
    <x v="19"/>
    <x v="1"/>
    <s v="August"/>
    <s v="Loss"/>
    <n v="5.6880000000000024"/>
    <n v="239.15599999999992"/>
  </r>
  <r>
    <s v="2024-08-29"/>
    <n v="121.337"/>
    <x v="3283"/>
    <n v="116.69199999999999"/>
    <n v="117.572"/>
    <n v="453093275"/>
    <x v="6"/>
    <s v="Nvidia"/>
    <x v="0"/>
    <n v="-6.3840000000000003"/>
    <x v="19"/>
    <x v="1"/>
    <s v="August"/>
    <s v="Loss"/>
    <n v="7.7180000000000035"/>
    <n v="232.77199999999993"/>
  </r>
  <r>
    <s v="2024-08-30"/>
    <n v="119.512"/>
    <x v="3284"/>
    <n v="117.202"/>
    <n v="119.352"/>
    <n v="333803131"/>
    <x v="6"/>
    <s v="Nvidia"/>
    <x v="0"/>
    <n v="1.514"/>
    <x v="19"/>
    <x v="1"/>
    <s v="August"/>
    <s v="Profit"/>
    <n v="4.5300000000000011"/>
    <n v="234.28599999999994"/>
  </r>
  <r>
    <s v="2024-09-03"/>
    <n v="115.992"/>
    <x v="3285"/>
    <n v="107.274"/>
    <n v="107.98399999999999"/>
    <n v="477228797"/>
    <x v="6"/>
    <s v="Nvidia"/>
    <x v="0"/>
    <n v="-9.5250000000000004"/>
    <x v="20"/>
    <x v="1"/>
    <s v="September"/>
    <s v="Loss"/>
    <n v="8.9179999999999922"/>
    <n v="224.76099999999994"/>
  </r>
  <r>
    <s v="2024-09-04"/>
    <n v="105.39400000000001"/>
    <x v="3286"/>
    <n v="104.104"/>
    <n v="106.194"/>
    <n v="372527820"/>
    <x v="6"/>
    <s v="Nvidia"/>
    <x v="0"/>
    <n v="-1.6579999999999999"/>
    <x v="20"/>
    <x v="1"/>
    <s v="September"/>
    <s v="Loss"/>
    <n v="9.1479999999999961"/>
    <n v="223.10299999999995"/>
  </r>
  <r>
    <s v="2024-09-05"/>
    <n v="104.96899999999999"/>
    <x v="3287"/>
    <n v="104.744"/>
    <n v="107.194"/>
    <n v="306898089"/>
    <x v="6"/>
    <s v="Nvidia"/>
    <x v="0"/>
    <n v="0.94199999999999995"/>
    <x v="20"/>
    <x v="1"/>
    <s v="September"/>
    <s v="Profit"/>
    <n v="4.8889999999999958"/>
    <n v="224.04499999999996"/>
  </r>
  <r>
    <s v="2024-09-06"/>
    <n v="108.024"/>
    <x v="3288"/>
    <n v="100.934"/>
    <n v="102.81399999999999"/>
    <n v="413701985"/>
    <x v="6"/>
    <s v="Nvidia"/>
    <x v="0"/>
    <n v="-4.0860000000000003"/>
    <x v="20"/>
    <x v="1"/>
    <s v="September"/>
    <s v="Loss"/>
    <n v="7.2000000000000028"/>
    <n v="219.95899999999995"/>
  </r>
  <r>
    <s v="2024-09-09"/>
    <n v="104.864"/>
    <x v="3289"/>
    <n v="103.67400000000001"/>
    <n v="106.45399999999999"/>
    <n v="273954321"/>
    <x v="6"/>
    <s v="Nvidia"/>
    <x v="0"/>
    <n v="3.54"/>
    <x v="20"/>
    <x v="1"/>
    <s v="September"/>
    <s v="Profit"/>
    <n v="2.8599999999999994"/>
    <n v="223.49899999999994"/>
  </r>
  <r>
    <s v="2024-09-10"/>
    <n v="107.794"/>
    <x v="3290"/>
    <n v="104.934"/>
    <n v="108.084"/>
    <n v="268325173"/>
    <x v="6"/>
    <s v="Nvidia"/>
    <x v="0"/>
    <n v="1.5309999999999999"/>
    <x v="20"/>
    <x v="1"/>
    <s v="September"/>
    <s v="Profit"/>
    <n v="4.4489999999999981"/>
    <n v="225.02999999999994"/>
  </r>
  <r>
    <s v="2024-09-11"/>
    <n v="109.373"/>
    <x v="3291"/>
    <n v="107.404"/>
    <n v="116.892"/>
    <n v="441490548"/>
    <x v="6"/>
    <s v="Nvidia"/>
    <x v="0"/>
    <n v="8.1489999999999991"/>
    <x v="20"/>
    <x v="1"/>
    <s v="September"/>
    <s v="Profit"/>
    <n v="9.7680000000000007"/>
    <n v="233.17899999999995"/>
  </r>
  <r>
    <s v="2024-09-12"/>
    <n v="116.83199999999999"/>
    <x v="3292"/>
    <n v="115.372"/>
    <n v="119.13200000000001"/>
    <n v="367125790"/>
    <x v="6"/>
    <s v="Nvidia"/>
    <x v="0"/>
    <n v="1.9159999999999999"/>
    <x v="20"/>
    <x v="1"/>
    <s v="September"/>
    <s v="Profit"/>
    <n v="5.4099999999999966"/>
    <n v="235.09499999999994"/>
  </r>
  <r>
    <s v="2024-09-13"/>
    <n v="119.072"/>
    <x v="3293"/>
    <n v="117.592"/>
    <n v="119.092"/>
    <n v="238374751"/>
    <x v="6"/>
    <s v="Nvidia"/>
    <x v="0"/>
    <n v="-3.4000000000000002E-2"/>
    <x v="20"/>
    <x v="1"/>
    <s v="September"/>
    <s v="Loss"/>
    <n v="2.355000000000004"/>
    <n v="235.06099999999995"/>
  </r>
  <r>
    <s v="2024-09-16"/>
    <n v="116.782"/>
    <x v="3294"/>
    <n v="114.352"/>
    <n v="116.77200000000001"/>
    <n v="248789449"/>
    <x v="6"/>
    <s v="Nvidia"/>
    <x v="0"/>
    <n v="-1.948"/>
    <x v="20"/>
    <x v="1"/>
    <s v="September"/>
    <s v="Loss"/>
    <n v="3.8199999999999932"/>
    <n v="233.11299999999994"/>
  </r>
  <r>
    <s v="2024-09-17"/>
    <n v="118.16200000000001"/>
    <x v="3295"/>
    <n v="114.822"/>
    <n v="115.58199999999999"/>
    <n v="231941856"/>
    <x v="6"/>
    <s v="Nvidia"/>
    <x v="0"/>
    <n v="-1.0189999999999999"/>
    <x v="20"/>
    <x v="1"/>
    <s v="September"/>
    <s v="Loss"/>
    <n v="3.9699999999999989"/>
    <n v="232.09399999999994"/>
  </r>
  <r>
    <s v="2024-09-18"/>
    <n v="115.88200000000001"/>
    <x v="3296"/>
    <n v="113.212"/>
    <n v="113.36199999999999"/>
    <n v="310340319"/>
    <x v="6"/>
    <s v="Nvidia"/>
    <x v="0"/>
    <n v="-1.921"/>
    <x v="20"/>
    <x v="1"/>
    <s v="September"/>
    <s v="Loss"/>
    <n v="4.4799999999999898"/>
    <n v="230.17299999999994"/>
  </r>
  <r>
    <s v="2024-09-19"/>
    <n v="117.342"/>
    <x v="3297"/>
    <n v="117.242"/>
    <n v="117.86199999999999"/>
    <n v="293526661"/>
    <x v="6"/>
    <s v="Nvidia"/>
    <x v="0"/>
    <n v="3.97"/>
    <x v="20"/>
    <x v="1"/>
    <s v="September"/>
    <s v="Profit"/>
    <n v="2.4099999999999966"/>
    <n v="234.14299999999994"/>
  </r>
  <r>
    <s v="2024-09-20"/>
    <n v="117.05200000000001"/>
    <x v="3298"/>
    <n v="115.38200000000001"/>
    <n v="115.992"/>
    <n v="382488781"/>
    <x v="6"/>
    <s v="Nvidia"/>
    <x v="0"/>
    <n v="-1.587"/>
    <x v="20"/>
    <x v="1"/>
    <s v="September"/>
    <s v="Loss"/>
    <n v="3.2279999999999944"/>
    <n v="232.55599999999995"/>
  </r>
  <r>
    <s v="2024-09-23"/>
    <n v="116.542"/>
    <x v="3299"/>
    <n v="114.852"/>
    <n v="116.252"/>
    <n v="206242699"/>
    <x v="6"/>
    <s v="Nvidia"/>
    <x v="0"/>
    <n v="0.224"/>
    <x v="20"/>
    <x v="1"/>
    <s v="September"/>
    <s v="Profit"/>
    <n v="2.1299999999999955"/>
    <n v="232.77999999999994"/>
  </r>
  <r>
    <s v="2024-09-24"/>
    <n v="116.50700000000001"/>
    <x v="3300"/>
    <n v="115.372"/>
    <n v="120.86199999999999"/>
    <n v="354991230"/>
    <x v="6"/>
    <s v="Nvidia"/>
    <x v="0"/>
    <n v="3.9660000000000002"/>
    <x v="20"/>
    <x v="1"/>
    <s v="September"/>
    <s v="Profit"/>
    <n v="6.4200000000000017"/>
    <n v="236.74599999999995"/>
  </r>
  <r>
    <s v="2024-09-25"/>
    <n v="122.012"/>
    <x v="3301"/>
    <n v="121.602"/>
    <n v="123.501"/>
    <n v="284712564"/>
    <x v="6"/>
    <s v="Nvidia"/>
    <x v="0"/>
    <n v="2.1829999999999998"/>
    <x v="20"/>
    <x v="1"/>
    <s v="September"/>
    <s v="Profit"/>
    <n v="3.3289999999999935"/>
    <n v="238.92899999999995"/>
  </r>
  <r>
    <s v="2024-09-26"/>
    <n v="126.791"/>
    <x v="3302"/>
    <n v="121.792"/>
    <n v="124.03100000000001"/>
    <n v="302603717"/>
    <x v="6"/>
    <s v="Nvidia"/>
    <x v="0"/>
    <n v="0.42899999999999999"/>
    <x v="20"/>
    <x v="1"/>
    <s v="September"/>
    <s v="Profit"/>
    <n v="5.8640000000000043"/>
    <n v="239.35799999999995"/>
  </r>
  <r>
    <s v="2024-09-27"/>
    <n v="123.961"/>
    <x v="3303"/>
    <n v="119.252"/>
    <n v="121.392"/>
    <n v="271027848"/>
    <x v="6"/>
    <s v="Nvidia"/>
    <x v="0"/>
    <n v="-2.1280000000000001"/>
    <x v="20"/>
    <x v="1"/>
    <s v="September"/>
    <s v="Loss"/>
    <n v="4.7690000000000055"/>
    <n v="237.22999999999996"/>
  </r>
  <r>
    <s v="2024-09-30"/>
    <n v="118.30200000000001"/>
    <x v="3304"/>
    <n v="118.142"/>
    <n v="121.432"/>
    <n v="227069295"/>
    <x v="6"/>
    <s v="Nvidia"/>
    <x v="0"/>
    <n v="3.3000000000000002E-2"/>
    <x v="20"/>
    <x v="1"/>
    <s v="September"/>
    <s v="Profit"/>
    <n v="3.3500000000000085"/>
    <n v="237.26299999999995"/>
  </r>
  <r>
    <s v="2024-10-01"/>
    <n v="121.75700000000001"/>
    <x v="3305"/>
    <n v="115.782"/>
    <n v="116.992"/>
    <n v="302115300"/>
    <x v="6"/>
    <s v="Nvidia"/>
    <x v="0"/>
    <n v="-3.6560000000000001"/>
    <x v="21"/>
    <x v="1"/>
    <s v="October"/>
    <s v="Loss"/>
    <n v="6.6450000000000102"/>
    <n v="233.60699999999994"/>
  </r>
  <r>
    <s v="2024-10-02"/>
    <n v="116.432"/>
    <x v="3306"/>
    <n v="115.13200000000001"/>
    <n v="118.842"/>
    <n v="221861173"/>
    <x v="6"/>
    <s v="Nvidia"/>
    <x v="0"/>
    <n v="1.581"/>
    <x v="21"/>
    <x v="1"/>
    <s v="October"/>
    <s v="Profit"/>
    <n v="4.2399999999999949"/>
    <n v="235.18799999999993"/>
  </r>
  <r>
    <s v="2024-10-03"/>
    <n v="120.91200000000001"/>
    <x v="3307"/>
    <n v="120.33199999999999"/>
    <n v="122.842"/>
    <n v="277137067"/>
    <x v="6"/>
    <s v="Nvidia"/>
    <x v="0"/>
    <n v="3.3660000000000001"/>
    <x v="21"/>
    <x v="1"/>
    <s v="October"/>
    <s v="Profit"/>
    <n v="4.0190000000000055"/>
    <n v="238.55399999999995"/>
  </r>
  <r>
    <s v="2024-10-04"/>
    <n v="124.931"/>
    <x v="3308"/>
    <n v="121.822"/>
    <n v="124.911"/>
    <n v="244482396"/>
    <x v="6"/>
    <s v="Nvidia"/>
    <x v="0"/>
    <n v="1.6839999999999999"/>
    <x v="21"/>
    <x v="1"/>
    <s v="October"/>
    <s v="Profit"/>
    <n v="3.2090000000000032"/>
    <n v="240.23799999999994"/>
  </r>
  <r>
    <s v="2024-10-07"/>
    <n v="124.98099999999999"/>
    <x v="3309"/>
    <n v="124.941"/>
    <n v="127.711"/>
    <n v="346274090"/>
    <x v="6"/>
    <s v="Nvidia"/>
    <x v="0"/>
    <n v="2.242"/>
    <x v="21"/>
    <x v="1"/>
    <s v="October"/>
    <s v="Profit"/>
    <n v="5.6899999999999977"/>
    <n v="242.47999999999993"/>
  </r>
  <r>
    <s v="2024-10-08"/>
    <n v="130.251"/>
    <x v="3310"/>
    <n v="129.411"/>
    <n v="132.881"/>
    <n v="285742172"/>
    <x v="6"/>
    <s v="Nvidia"/>
    <x v="0"/>
    <n v="4.048"/>
    <x v="21"/>
    <x v="1"/>
    <s v="October"/>
    <s v="Profit"/>
    <n v="4.0600000000000023"/>
    <n v="246.52799999999993"/>
  </r>
  <r>
    <s v="2024-10-09"/>
    <n v="134.101"/>
    <x v="3311"/>
    <n v="131.37100000000001"/>
    <n v="132.64099999999999"/>
    <n v="246208575"/>
    <x v="6"/>
    <s v="Nvidia"/>
    <x v="0"/>
    <n v="-0.18099999999999999"/>
    <x v="21"/>
    <x v="1"/>
    <s v="October"/>
    <s v="Loss"/>
    <n v="3.1399999999999864"/>
    <n v="246.34699999999992"/>
  </r>
  <r>
    <s v="2024-10-10"/>
    <n v="131.90100000000001"/>
    <x v="3312"/>
    <n v="130.99100000000001"/>
    <n v="134.80099999999999"/>
    <n v="242328033"/>
    <x v="6"/>
    <s v="Nvidia"/>
    <x v="0"/>
    <n v="1.6279999999999999"/>
    <x v="21"/>
    <x v="1"/>
    <s v="October"/>
    <s v="Profit"/>
    <n v="4"/>
    <n v="247.97499999999991"/>
  </r>
  <r>
    <s v="2024-10-11"/>
    <n v="134.001"/>
    <x v="3313"/>
    <n v="133.65100000000001"/>
    <n v="134.791"/>
    <n v="170221202"/>
    <x v="6"/>
    <s v="Nvidia"/>
    <x v="0"/>
    <n v="-7.0000000000000001E-3"/>
    <x v="21"/>
    <x v="1"/>
    <s v="October"/>
    <s v="Loss"/>
    <n v="2.1199999999999761"/>
    <n v="247.9679999999999"/>
  </r>
  <r>
    <s v="2024-10-14"/>
    <n v="136.46100000000001"/>
    <x v="3314"/>
    <n v="136.291"/>
    <n v="138.06"/>
    <n v="232363677"/>
    <x v="6"/>
    <s v="Nvidia"/>
    <x v="0"/>
    <n v="2.4249999999999998"/>
    <x v="21"/>
    <x v="1"/>
    <s v="October"/>
    <s v="Profit"/>
    <n v="3.2990000000000066"/>
    <n v="250.39299999999992"/>
  </r>
  <r>
    <s v="2024-10-15"/>
    <n v="137.86099999999999"/>
    <x v="3315"/>
    <n v="128.73099999999999"/>
    <n v="131.59100000000001"/>
    <n v="377857054"/>
    <x v="6"/>
    <s v="Nvidia"/>
    <x v="0"/>
    <n v="-4.6859999999999999"/>
    <x v="21"/>
    <x v="1"/>
    <s v="October"/>
    <s v="Loss"/>
    <n v="9.8290000000000077"/>
    <n v="245.70699999999991"/>
  </r>
  <r>
    <s v="2024-10-16"/>
    <n v="133.971"/>
    <x v="3316"/>
    <n v="131.571"/>
    <n v="135.71100000000001"/>
    <n v="264897971"/>
    <x v="6"/>
    <s v="Nvidia"/>
    <x v="0"/>
    <n v="3.1309999999999998"/>
    <x v="21"/>
    <x v="1"/>
    <s v="October"/>
    <s v="Profit"/>
    <n v="5.039999999999992"/>
    <n v="248.83799999999991"/>
  </r>
  <r>
    <s v="2024-10-17"/>
    <n v="139.33000000000001"/>
    <x v="3317"/>
    <n v="136.86099999999999"/>
    <n v="136.92099999999999"/>
    <n v="306457035"/>
    <x v="6"/>
    <s v="Nvidia"/>
    <x v="0"/>
    <n v="0.89200000000000002"/>
    <x v="21"/>
    <x v="1"/>
    <s v="October"/>
    <s v="Profit"/>
    <n v="4.0190000000000055"/>
    <n v="249.7299999999999"/>
  </r>
  <r>
    <s v="2024-10-18"/>
    <n v="138.655"/>
    <x v="3318"/>
    <n v="137.27099999999999"/>
    <n v="137.99"/>
    <n v="176102317"/>
    <x v="6"/>
    <s v="Nvidia"/>
    <x v="0"/>
    <n v="0.78100000000000003"/>
    <x v="21"/>
    <x v="1"/>
    <s v="October"/>
    <s v="Profit"/>
    <n v="1.6189999999999998"/>
    <n v="250.51099999999991"/>
  </r>
  <r>
    <s v="2024-10-21"/>
    <n v="138.12"/>
    <x v="3319"/>
    <n v="137.99"/>
    <n v="143.69999999999999"/>
    <n v="264572742"/>
    <x v="6"/>
    <s v="Nvidia"/>
    <x v="0"/>
    <n v="4.1379999999999999"/>
    <x v="21"/>
    <x v="1"/>
    <s v="October"/>
    <s v="Profit"/>
    <n v="5.7099999999999795"/>
    <n v="254.64899999999992"/>
  </r>
  <r>
    <s v="2024-10-22"/>
    <n v="142.9"/>
    <x v="3320"/>
    <n v="141.77000000000001"/>
    <n v="143.58000000000001"/>
    <n v="226327182"/>
    <x v="6"/>
    <s v="Nvidia"/>
    <x v="0"/>
    <n v="-8.4000000000000005E-2"/>
    <x v="21"/>
    <x v="1"/>
    <s v="October"/>
    <s v="Loss"/>
    <n v="2.6399999999999864"/>
    <n v="254.56499999999991"/>
  </r>
  <r>
    <s v="2024-10-23"/>
    <n v="142.02000000000001"/>
    <x v="3321"/>
    <n v="137.45099999999999"/>
    <n v="139.55000000000001"/>
    <n v="285949739"/>
    <x v="6"/>
    <s v="Nvidia"/>
    <x v="0"/>
    <n v="-2.8069999999999999"/>
    <x v="21"/>
    <x v="1"/>
    <s v="October"/>
    <s v="Loss"/>
    <n v="4.9689999999999941"/>
    <n v="251.75799999999992"/>
  </r>
  <r>
    <s v="2024-10-24"/>
    <n v="140.81"/>
    <x v="1948"/>
    <n v="138.44999999999999"/>
    <n v="140.4"/>
    <n v="172366763"/>
    <x v="6"/>
    <s v="Nvidia"/>
    <x v="0"/>
    <n v="0.60899999999999999"/>
    <x v="21"/>
    <x v="1"/>
    <s v="October"/>
    <s v="Profit"/>
    <n v="2.8900000000000148"/>
    <n v="252.36699999999993"/>
  </r>
  <r>
    <s v="2024-10-25"/>
    <n v="140.91999999999999"/>
    <x v="2068"/>
    <n v="140.79"/>
    <n v="141.53"/>
    <n v="205136242"/>
    <x v="6"/>
    <s v="Nvidia"/>
    <x v="0"/>
    <n v="0.80500000000000005"/>
    <x v="21"/>
    <x v="1"/>
    <s v="October"/>
    <s v="Profit"/>
    <n v="3.3300000000000125"/>
    <n v="253.17199999999994"/>
  </r>
  <r>
    <s v="2024-10-28"/>
    <n v="142.99"/>
    <x v="3322"/>
    <n v="140.04"/>
    <n v="140.51"/>
    <n v="173598705"/>
    <x v="6"/>
    <s v="Nvidia"/>
    <x v="0"/>
    <n v="-0.72099999999999997"/>
    <x v="21"/>
    <x v="1"/>
    <s v="October"/>
    <s v="Loss"/>
    <n v="3.0900000000000034"/>
    <n v="252.45099999999994"/>
  </r>
  <r>
    <s v="2024-10-29"/>
    <n v="140.27500000000001"/>
    <x v="3323"/>
    <n v="138.88999999999999"/>
    <n v="141.24"/>
    <n v="157604492"/>
    <x v="6"/>
    <s v="Nvidia"/>
    <x v="0"/>
    <n v="0.52"/>
    <x v="21"/>
    <x v="1"/>
    <s v="October"/>
    <s v="Profit"/>
    <n v="3.3600000000000136"/>
    <n v="252.97099999999995"/>
  </r>
  <r>
    <s v="2024-10-30"/>
    <n v="139.53"/>
    <x v="644"/>
    <n v="136.80099999999999"/>
    <n v="139.32499999999999"/>
    <n v="179430444"/>
    <x v="6"/>
    <s v="Nvidia"/>
    <x v="0"/>
    <n v="-1.3560000000000001"/>
    <x v="21"/>
    <x v="1"/>
    <s v="October"/>
    <s v="Loss"/>
    <n v="3.5190000000000055"/>
    <n v="251.61499999999995"/>
  </r>
  <r>
    <s v="2024-10-31"/>
    <n v="137.59100000000001"/>
    <x v="3324"/>
    <n v="132.101"/>
    <n v="132.751"/>
    <n v="270058247"/>
    <x v="6"/>
    <s v="Nvidia"/>
    <x v="0"/>
    <n v="-4.718"/>
    <x v="21"/>
    <x v="1"/>
    <s v="October"/>
    <s v="Loss"/>
    <n v="5.5"/>
    <n v="246.89699999999996"/>
  </r>
  <r>
    <s v="2024-11-01"/>
    <n v="134.691"/>
    <x v="3325"/>
    <n v="134.56100000000001"/>
    <n v="135.36099999999999"/>
    <n v="207142109"/>
    <x v="6"/>
    <s v="Nvidia"/>
    <x v="0"/>
    <n v="1.966"/>
    <x v="22"/>
    <x v="1"/>
    <s v="November"/>
    <s v="Profit"/>
    <n v="2.7399999999999807"/>
    <n v="248.86299999999997"/>
  </r>
  <r>
    <s v="2024-11-04"/>
    <n v="137.20099999999999"/>
    <x v="3326"/>
    <n v="135.56100000000001"/>
    <n v="136.041"/>
    <n v="187541094"/>
    <x v="6"/>
    <s v="Nvidia"/>
    <x v="0"/>
    <n v="0.502"/>
    <x v="22"/>
    <x v="1"/>
    <s v="November"/>
    <s v="Profit"/>
    <n v="3.3889999999999816"/>
    <n v="249.36499999999998"/>
  </r>
  <r>
    <s v="2024-11-05"/>
    <n v="137.441"/>
    <x v="3327"/>
    <n v="137.321"/>
    <n v="139.9"/>
    <n v="160548434"/>
    <x v="6"/>
    <s v="Nvidia"/>
    <x v="0"/>
    <n v="2.8370000000000002"/>
    <x v="22"/>
    <x v="1"/>
    <s v="November"/>
    <s v="Profit"/>
    <n v="3.0390000000000157"/>
    <n v="252.20199999999997"/>
  </r>
  <r>
    <s v="2024-11-06"/>
    <n v="142.94999999999999"/>
    <x v="2109"/>
    <n v="141.94999999999999"/>
    <n v="145.6"/>
    <n v="242060622"/>
    <x v="6"/>
    <s v="Nvidia"/>
    <x v="0"/>
    <n v="4.0739999999999998"/>
    <x v="22"/>
    <x v="1"/>
    <s v="November"/>
    <s v="Profit"/>
    <n v="4.5300000000000011"/>
    <n v="256.27599999999995"/>
  </r>
  <r>
    <s v="2024-11-07"/>
    <n v="146.38"/>
    <x v="3328"/>
    <n v="146.16"/>
    <n v="148.87"/>
    <n v="207337588"/>
    <x v="6"/>
    <s v="Nvidia"/>
    <x v="0"/>
    <n v="2.246"/>
    <x v="22"/>
    <x v="1"/>
    <s v="November"/>
    <s v="Profit"/>
    <n v="2.7599999999999909"/>
    <n v="258.52199999999993"/>
  </r>
  <r>
    <s v="2024-11-08"/>
    <n v="148.76"/>
    <x v="1668"/>
    <n v="146.25"/>
    <n v="147.62"/>
    <n v="175677934"/>
    <x v="6"/>
    <s v="Nvidia"/>
    <x v="0"/>
    <n v="-0.84"/>
    <x v="22"/>
    <x v="1"/>
    <s v="November"/>
    <s v="Loss"/>
    <n v="3.5099999999999909"/>
    <n v="257.68199999999996"/>
  </r>
  <r>
    <s v="2024-11-11"/>
    <n v="148.66999999999999"/>
    <x v="3329"/>
    <n v="143.56"/>
    <n v="145.25"/>
    <n v="182338182"/>
    <x v="6"/>
    <s v="Nvidia"/>
    <x v="0"/>
    <n v="-1.605"/>
    <x v="22"/>
    <x v="1"/>
    <s v="November"/>
    <s v="Loss"/>
    <n v="5.2800000000000011"/>
    <n v="256.07699999999994"/>
  </r>
  <r>
    <s v="2024-11-12"/>
    <n v="146.77000000000001"/>
    <x v="3330"/>
    <n v="146"/>
    <n v="148.28"/>
    <n v="198648424"/>
    <x v="6"/>
    <s v="Nvidia"/>
    <x v="0"/>
    <n v="2.0859999999999999"/>
    <x v="22"/>
    <x v="1"/>
    <s v="November"/>
    <s v="Profit"/>
    <n v="3.6399999999999864"/>
    <n v="258.16299999999995"/>
  </r>
  <r>
    <s v="2024-11-13"/>
    <n v="149.06"/>
    <x v="3331"/>
    <n v="145.88999999999999"/>
    <n v="146.26"/>
    <n v="191916489"/>
    <x v="6"/>
    <s v="Nvidia"/>
    <x v="0"/>
    <n v="-1.3620000000000001"/>
    <x v="22"/>
    <x v="1"/>
    <s v="November"/>
    <s v="Loss"/>
    <n v="3.4300000000000068"/>
    <n v="256.80099999999993"/>
  </r>
  <r>
    <s v="2024-11-14"/>
    <n v="147.63"/>
    <x v="1770"/>
    <n v="145.54"/>
    <n v="146.75"/>
    <n v="194476700"/>
    <x v="6"/>
    <s v="Nvidia"/>
    <x v="0"/>
    <n v="0.33500000000000002"/>
    <x v="22"/>
    <x v="1"/>
    <s v="November"/>
    <s v="Profit"/>
    <n v="3.4500000000000171"/>
    <n v="257.13599999999991"/>
  </r>
  <r>
    <s v="2024-11-15"/>
    <n v="144.86000000000001"/>
    <x v="712"/>
    <n v="140.07"/>
    <n v="141.97"/>
    <n v="250150104"/>
    <x v="6"/>
    <s v="Nvidia"/>
    <x v="0"/>
    <n v="-3.2570000000000001"/>
    <x v="22"/>
    <x v="1"/>
    <s v="November"/>
    <s v="Loss"/>
    <n v="5.1599999999999966"/>
    <n v="253.87899999999991"/>
  </r>
  <r>
    <s v="2024-11-18"/>
    <n v="139.49"/>
    <x v="1925"/>
    <n v="137.14099999999999"/>
    <n v="140.13999999999999"/>
    <n v="221881280"/>
    <x v="6"/>
    <s v="Nvidia"/>
    <x v="0"/>
    <n v="-1.2889999999999999"/>
    <x v="22"/>
    <x v="1"/>
    <s v="November"/>
    <s v="Loss"/>
    <n v="4.3990000000000009"/>
    <n v="252.58999999999992"/>
  </r>
  <r>
    <s v="2024-11-19"/>
    <n v="141.31"/>
    <x v="3332"/>
    <n v="140.97999999999999"/>
    <n v="147"/>
    <n v="227850610"/>
    <x v="6"/>
    <s v="Nvidia"/>
    <x v="0"/>
    <n v="4.8949999999999996"/>
    <x v="22"/>
    <x v="1"/>
    <s v="November"/>
    <s v="Profit"/>
    <n v="6.1400000000000148"/>
    <n v="257.4849999999999"/>
  </r>
  <r>
    <s v="2024-11-20"/>
    <n v="147.4"/>
    <x v="3333"/>
    <n v="142.72"/>
    <n v="145.88"/>
    <n v="309893005"/>
    <x v="6"/>
    <s v="Nvidia"/>
    <x v="0"/>
    <n v="-0.76200000000000001"/>
    <x v="22"/>
    <x v="1"/>
    <s v="November"/>
    <s v="Loss"/>
    <n v="4.8300000000000125"/>
    <n v="256.7229999999999"/>
  </r>
  <r>
    <s v="2024-11-21"/>
    <n v="149.34"/>
    <x v="3334"/>
    <n v="140.69"/>
    <n v="146.66"/>
    <n v="400974196"/>
    <x v="6"/>
    <s v="Nvidia"/>
    <x v="0"/>
    <n v="0.53500000000000003"/>
    <x v="22"/>
    <x v="1"/>
    <s v="November"/>
    <s v="Profit"/>
    <n v="12.188999999999993"/>
    <n v="257.25799999999992"/>
  </r>
  <r>
    <s v="2024-11-22"/>
    <n v="145.91999999999999"/>
    <x v="1814"/>
    <n v="141.09"/>
    <n v="141.94"/>
    <n v="236422443"/>
    <x v="6"/>
    <s v="Nvidia"/>
    <x v="0"/>
    <n v="-3.218"/>
    <x v="22"/>
    <x v="1"/>
    <s v="November"/>
    <s v="Loss"/>
    <n v="6.0600000000000023"/>
    <n v="254.03999999999994"/>
  </r>
  <r>
    <s v="2024-11-25"/>
    <n v="141.97999999999999"/>
    <x v="3335"/>
    <n v="135.81100000000001"/>
    <n v="136.011"/>
    <n v="344965642"/>
    <x v="6"/>
    <s v="Nvidia"/>
    <x v="0"/>
    <n v="-4.1769999999999996"/>
    <x v="22"/>
    <x v="1"/>
    <s v="November"/>
    <s v="Loss"/>
    <n v="6.228999999999985"/>
    <n v="249.86299999999994"/>
  </r>
  <r>
    <s v="2024-11-26"/>
    <n v="137.691"/>
    <x v="3336"/>
    <n v="135.661"/>
    <n v="136.911"/>
    <n v="190300765"/>
    <x v="6"/>
    <s v="Nvidia"/>
    <x v="0"/>
    <n v="0.66200000000000003"/>
    <x v="22"/>
    <x v="1"/>
    <s v="November"/>
    <s v="Profit"/>
    <n v="3.6289999999999907"/>
    <n v="250.52499999999995"/>
  </r>
  <r>
    <s v="2024-11-27"/>
    <n v="135.001"/>
    <x v="3337"/>
    <n v="131.791"/>
    <n v="135.33099999999999"/>
    <n v="226386509"/>
    <x v="6"/>
    <s v="Nvidia"/>
    <x v="0"/>
    <n v="-1.1539999999999999"/>
    <x v="22"/>
    <x v="1"/>
    <s v="November"/>
    <s v="Loss"/>
    <n v="5.4200000000000159"/>
    <n v="249.37099999999995"/>
  </r>
  <r>
    <s v="2024-11-29"/>
    <n v="136.77099999999999"/>
    <x v="3338"/>
    <n v="136.041"/>
    <n v="138.24"/>
    <n v="141872930"/>
    <x v="6"/>
    <s v="Nvidia"/>
    <x v="0"/>
    <n v="2.15"/>
    <x v="22"/>
    <x v="1"/>
    <s v="November"/>
    <s v="Profit"/>
    <n v="3.2990000000000066"/>
    <n v="251.52099999999996"/>
  </r>
  <r>
    <s v="2024-12-02"/>
    <n v="138.82"/>
    <x v="3339"/>
    <n v="137.816"/>
    <n v="138.62"/>
    <n v="171694606"/>
    <x v="6"/>
    <s v="Nvidia"/>
    <x v="0"/>
    <n v="0.27500000000000002"/>
    <x v="23"/>
    <x v="1"/>
    <s v="December"/>
    <s v="Profit"/>
    <n v="2.6239999999999952"/>
    <n v="251.79599999999996"/>
  </r>
  <r>
    <s v="2024-12-03"/>
    <n v="138.25"/>
    <x v="2103"/>
    <n v="137.94"/>
    <n v="140.25"/>
    <n v="164425293"/>
    <x v="6"/>
    <s v="Nvidia"/>
    <x v="0"/>
    <n v="1.1759999999999999"/>
    <x v="23"/>
    <x v="1"/>
    <s v="December"/>
    <s v="Profit"/>
    <n v="2.5900000000000034"/>
    <n v="252.97199999999995"/>
  </r>
  <r>
    <s v="2024-12-04"/>
    <n v="141.98500000000001"/>
    <x v="3340"/>
    <n v="140.28"/>
    <n v="145.13"/>
    <n v="231240227"/>
    <x v="6"/>
    <s v="Nvidia"/>
    <x v="0"/>
    <n v="3.48"/>
    <x v="23"/>
    <x v="1"/>
    <s v="December"/>
    <s v="Profit"/>
    <n v="5.5"/>
    <n v="256.45199999999994"/>
  </r>
  <r>
    <s v="2024-12-05"/>
    <n v="145.11000000000001"/>
    <x v="3341"/>
    <n v="143.94999999999999"/>
    <n v="145.06"/>
    <n v="172621180"/>
    <x v="6"/>
    <s v="Nvidia"/>
    <x v="0"/>
    <n v="-4.8000000000000001E-2"/>
    <x v="23"/>
    <x v="1"/>
    <s v="December"/>
    <s v="Loss"/>
    <n v="2.5900000000000034"/>
    <n v="256.40399999999994"/>
  </r>
  <r>
    <s v="2024-12-06"/>
    <n v="144.6"/>
    <x v="3342"/>
    <n v="141.31"/>
    <n v="142.44"/>
    <n v="188505573"/>
    <x v="6"/>
    <s v="Nvidia"/>
    <x v="0"/>
    <n v="-1.806"/>
    <x v="23"/>
    <x v="1"/>
    <s v="December"/>
    <s v="Loss"/>
    <n v="4.3899999999999864"/>
    <n v="254.59799999999993"/>
  </r>
  <r>
    <s v="2024-12-09"/>
    <n v="138.97"/>
    <x v="3343"/>
    <n v="137.13"/>
    <n v="138.81"/>
    <n v="189308625"/>
    <x v="6"/>
    <s v="Nvidia"/>
    <x v="0"/>
    <n v="-2.548"/>
    <x v="23"/>
    <x v="1"/>
    <s v="December"/>
    <s v="Loss"/>
    <n v="2.8199999999999932"/>
    <n v="252.04999999999993"/>
  </r>
  <r>
    <s v="2024-12-10"/>
    <n v="139.01"/>
    <x v="3344"/>
    <n v="133.79"/>
    <n v="135.07"/>
    <n v="210020888"/>
    <x v="6"/>
    <s v="Nvidia"/>
    <x v="0"/>
    <n v="-2.694"/>
    <x v="23"/>
    <x v="1"/>
    <s v="December"/>
    <s v="Loss"/>
    <n v="8.0300000000000011"/>
    <n v="249.35599999999994"/>
  </r>
  <r>
    <s v="2024-12-11"/>
    <n v="137.36000000000001"/>
    <x v="1950"/>
    <n v="135.21"/>
    <n v="139.31"/>
    <n v="184905192"/>
    <x v="6"/>
    <s v="Nvidia"/>
    <x v="0"/>
    <n v="3.1389999999999998"/>
    <x v="23"/>
    <x v="1"/>
    <s v="December"/>
    <s v="Profit"/>
    <n v="4.9599999999999795"/>
    <n v="252.49499999999995"/>
  </r>
  <r>
    <s v="2024-12-12"/>
    <n v="137.08000000000001"/>
    <x v="3345"/>
    <n v="135.80000000000001"/>
    <n v="137.34"/>
    <n v="159211393"/>
    <x v="6"/>
    <s v="Nvidia"/>
    <x v="0"/>
    <n v="-1.4139999999999999"/>
    <x v="23"/>
    <x v="1"/>
    <s v="December"/>
    <s v="Loss"/>
    <n v="2.6399999999999864"/>
    <n v="251.08099999999996"/>
  </r>
  <r>
    <s v="2024-12-13"/>
    <n v="138.94"/>
    <x v="3346"/>
    <n v="132.54"/>
    <n v="134.25"/>
    <n v="231514881"/>
    <x v="6"/>
    <s v="Nvidia"/>
    <x v="0"/>
    <n v="-2.25"/>
    <x v="23"/>
    <x v="1"/>
    <s v="December"/>
    <s v="Loss"/>
    <n v="7.0600000000000023"/>
    <n v="248.83099999999996"/>
  </r>
  <r>
    <s v="2024-12-16"/>
    <n v="134.18"/>
    <x v="3347"/>
    <n v="130.41999999999999"/>
    <n v="132"/>
    <n v="237951130"/>
    <x v="6"/>
    <s v="Nvidia"/>
    <x v="0"/>
    <n v="-1.6759999999999999"/>
    <x v="23"/>
    <x v="1"/>
    <s v="December"/>
    <s v="Loss"/>
    <n v="3.9800000000000182"/>
    <n v="247.15499999999997"/>
  </r>
  <r>
    <s v="2024-12-17"/>
    <n v="129.09"/>
    <x v="3348"/>
    <n v="126.86"/>
    <n v="130.38999999999999"/>
    <n v="259410263"/>
    <x v="6"/>
    <s v="Nvidia"/>
    <x v="0"/>
    <n v="-1.22"/>
    <x v="23"/>
    <x v="1"/>
    <s v="December"/>
    <s v="Loss"/>
    <n v="4.730000000000004"/>
    <n v="245.93499999999997"/>
  </r>
  <r>
    <s v="2024-12-18"/>
    <n v="133.86000000000001"/>
    <x v="3349"/>
    <n v="128.28"/>
    <n v="128.91"/>
    <n v="277444533"/>
    <x v="6"/>
    <s v="Nvidia"/>
    <x v="0"/>
    <n v="-1.135"/>
    <x v="23"/>
    <x v="1"/>
    <s v="December"/>
    <s v="Loss"/>
    <n v="8.4199999999999875"/>
    <n v="244.79999999999998"/>
  </r>
  <r>
    <s v="2024-12-19"/>
    <n v="131.76"/>
    <x v="3350"/>
    <n v="129.55000000000001"/>
    <n v="130.68"/>
    <n v="209719210"/>
    <x v="6"/>
    <s v="Nvidia"/>
    <x v="0"/>
    <n v="1.373"/>
    <x v="23"/>
    <x v="1"/>
    <s v="December"/>
    <s v="Profit"/>
    <n v="4.4799999999999898"/>
    <n v="246.17299999999997"/>
  </r>
  <r>
    <s v="2024-12-20"/>
    <n v="129.81"/>
    <x v="3351"/>
    <n v="128.22"/>
    <n v="134.69999999999999"/>
    <n v="306528553"/>
    <x v="6"/>
    <s v="Nvidia"/>
    <x v="0"/>
    <n v="3.0760000000000001"/>
    <x v="23"/>
    <x v="1"/>
    <s v="December"/>
    <s v="Profit"/>
    <n v="7.0600000000000023"/>
    <n v="249.24899999999997"/>
  </r>
  <r>
    <s v="2024-12-23"/>
    <n v="136.28"/>
    <x v="3352"/>
    <n v="135.12"/>
    <n v="139.66999999999999"/>
    <n v="176053506"/>
    <x v="6"/>
    <s v="Nvidia"/>
    <x v="0"/>
    <n v="3.69"/>
    <x v="23"/>
    <x v="1"/>
    <s v="December"/>
    <s v="Profit"/>
    <n v="4.6699999999999875"/>
    <n v="252.93899999999996"/>
  </r>
  <r>
    <s v="2024-12-24"/>
    <n v="140"/>
    <x v="3353"/>
    <n v="138.65"/>
    <n v="140.22"/>
    <n v="105156989"/>
    <x v="6"/>
    <s v="Nvidia"/>
    <x v="0"/>
    <n v="0.39400000000000002"/>
    <x v="23"/>
    <x v="1"/>
    <s v="December"/>
    <s v="Profit"/>
    <n v="3.25"/>
    <n v="253.33299999999997"/>
  </r>
  <r>
    <s v="2024-12-26"/>
    <n v="139.69999999999999"/>
    <x v="3354"/>
    <n v="137.72999999999999"/>
    <n v="139.93"/>
    <n v="116519090"/>
    <x v="6"/>
    <s v="Nvidia"/>
    <x v="0"/>
    <n v="-0.20699999999999999"/>
    <x v="23"/>
    <x v="1"/>
    <s v="December"/>
    <s v="Loss"/>
    <n v="3.1200000000000045"/>
    <n v="253.12599999999998"/>
  </r>
  <r>
    <s v="2024-12-27"/>
    <n v="138.55000000000001"/>
    <x v="3355"/>
    <n v="134.71"/>
    <n v="137.01"/>
    <n v="170582603"/>
    <x v="6"/>
    <s v="Nvidia"/>
    <x v="0"/>
    <n v="-2.0870000000000002"/>
    <x v="23"/>
    <x v="1"/>
    <s v="December"/>
    <s v="Loss"/>
    <n v="4.3100000000000023"/>
    <n v="251.03899999999999"/>
  </r>
  <r>
    <s v="2024-12-30"/>
    <n v="134.83000000000001"/>
    <x v="3356"/>
    <n v="134.02000000000001"/>
    <n v="137.49"/>
    <n v="167734700"/>
    <x v="6"/>
    <s v="Nvidia"/>
    <x v="0"/>
    <n v="0.35"/>
    <x v="23"/>
    <x v="1"/>
    <s v="December"/>
    <s v="Profit"/>
    <n v="6.25"/>
    <n v="251.38899999999998"/>
  </r>
  <r>
    <s v="2024-12-31"/>
    <n v="138.03"/>
    <x v="3357"/>
    <n v="133.83000000000001"/>
    <n v="134.29"/>
    <n v="155659211"/>
    <x v="6"/>
    <s v="Nvidia"/>
    <x v="0"/>
    <n v="-2.327"/>
    <x v="23"/>
    <x v="1"/>
    <s v="December"/>
    <s v="Loss"/>
    <n v="4.2399999999999807"/>
    <n v="249.06199999999998"/>
  </r>
  <r>
    <s v="2023-01-03"/>
    <n v="118.47"/>
    <x v="3358"/>
    <n v="104.64"/>
    <n v="108.1"/>
    <n v="231402818"/>
    <x v="7"/>
    <s v="Tesla"/>
    <x v="4"/>
    <m/>
    <x v="0"/>
    <x v="0"/>
    <s v="January"/>
    <m/>
    <n v="14.159999999999997"/>
    <n v="0"/>
  </r>
  <r>
    <s v="2023-01-04"/>
    <n v="109.11"/>
    <x v="3359"/>
    <n v="107.52"/>
    <n v="113.64"/>
    <n v="180388976"/>
    <x v="7"/>
    <s v="Tesla"/>
    <x v="4"/>
    <n v="5.125"/>
    <x v="0"/>
    <x v="0"/>
    <s v="January"/>
    <s v="Profit"/>
    <n v="7.0700000000000074"/>
    <n v="5.125"/>
  </r>
  <r>
    <s v="2023-01-05"/>
    <n v="110.51"/>
    <x v="3360"/>
    <n v="107.16"/>
    <n v="110.34"/>
    <n v="157986324"/>
    <x v="7"/>
    <s v="Tesla"/>
    <x v="4"/>
    <n v="-2.9039999999999999"/>
    <x v="0"/>
    <x v="0"/>
    <s v="January"/>
    <s v="Loss"/>
    <n v="4.5900000000000034"/>
    <n v="2.2210000000000001"/>
  </r>
  <r>
    <s v="2023-01-06"/>
    <n v="103"/>
    <x v="3361"/>
    <n v="101.81"/>
    <n v="113.06"/>
    <n v="220911051"/>
    <x v="7"/>
    <s v="Tesla"/>
    <x v="4"/>
    <n v="2.4649999999999999"/>
    <x v="0"/>
    <x v="0"/>
    <s v="January"/>
    <s v="Profit"/>
    <n v="12.579999999999998"/>
    <n v="4.6859999999999999"/>
  </r>
  <r>
    <s v="2023-01-09"/>
    <n v="118.96"/>
    <x v="3362"/>
    <n v="117.11"/>
    <n v="119.77"/>
    <n v="190283951"/>
    <x v="7"/>
    <s v="Tesla"/>
    <x v="4"/>
    <n v="5.9349999999999996"/>
    <x v="0"/>
    <x v="0"/>
    <s v="January"/>
    <s v="Profit"/>
    <n v="6.4099999999999966"/>
    <n v="10.620999999999999"/>
  </r>
  <r>
    <s v="2023-01-10"/>
    <n v="121.07"/>
    <x v="3363"/>
    <n v="114.92"/>
    <n v="118.85"/>
    <n v="167642485"/>
    <x v="7"/>
    <s v="Tesla"/>
    <x v="4"/>
    <n v="-0.76800000000000002"/>
    <x v="0"/>
    <x v="0"/>
    <s v="January"/>
    <s v="Loss"/>
    <n v="7.8400000000000034"/>
    <n v="9.852999999999998"/>
  </r>
  <r>
    <s v="2023-01-11"/>
    <n v="122.09"/>
    <x v="3364"/>
    <n v="120.51"/>
    <n v="123.22"/>
    <n v="183810771"/>
    <x v="7"/>
    <s v="Tesla"/>
    <x v="4"/>
    <n v="3.677"/>
    <x v="0"/>
    <x v="0"/>
    <s v="January"/>
    <s v="Profit"/>
    <n v="5.4399999999999977"/>
    <n v="13.529999999999998"/>
  </r>
  <r>
    <s v="2023-01-12"/>
    <n v="122.56"/>
    <x v="3365"/>
    <n v="117"/>
    <n v="123.56"/>
    <n v="169400913"/>
    <x v="7"/>
    <s v="Tesla"/>
    <x v="4"/>
    <n v="0.27600000000000002"/>
    <x v="0"/>
    <x v="0"/>
    <s v="January"/>
    <s v="Profit"/>
    <n v="7.1310000000000002"/>
    <n v="13.805999999999997"/>
  </r>
  <r>
    <s v="2023-01-13"/>
    <n v="116.55"/>
    <x v="3366"/>
    <n v="115.6"/>
    <n v="122.4"/>
    <n v="180714119"/>
    <x v="7"/>
    <s v="Tesla"/>
    <x v="4"/>
    <n v="-0.93899999999999995"/>
    <x v="0"/>
    <x v="0"/>
    <s v="January"/>
    <s v="Loss"/>
    <n v="7.0300000000000011"/>
    <n v="12.866999999999997"/>
  </r>
  <r>
    <s v="2023-01-17"/>
    <n v="125.69499999999999"/>
    <x v="3367"/>
    <n v="125.02"/>
    <n v="131.49"/>
    <n v="186476985"/>
    <x v="7"/>
    <s v="Tesla"/>
    <x v="4"/>
    <n v="7.4260000000000002"/>
    <x v="0"/>
    <x v="0"/>
    <s v="January"/>
    <s v="Profit"/>
    <n v="6.6799999999999926"/>
    <n v="20.292999999999999"/>
  </r>
  <r>
    <s v="2023-01-18"/>
    <n v="136.55500000000001"/>
    <x v="3368"/>
    <n v="127.01"/>
    <n v="128.78"/>
    <n v="195680318"/>
    <x v="7"/>
    <s v="Tesla"/>
    <x v="4"/>
    <n v="-2.0609999999999999"/>
    <x v="0"/>
    <x v="0"/>
    <s v="January"/>
    <s v="Loss"/>
    <n v="9.6700000000000017"/>
    <n v="18.231999999999999"/>
  </r>
  <r>
    <s v="2023-01-19"/>
    <n v="127.26"/>
    <x v="3369"/>
    <n v="124.30800000000001"/>
    <n v="127.17"/>
    <n v="170291880"/>
    <x v="7"/>
    <s v="Tesla"/>
    <x v="4"/>
    <n v="-1.25"/>
    <x v="0"/>
    <x v="0"/>
    <s v="January"/>
    <s v="Loss"/>
    <n v="5.6820000000000022"/>
    <n v="16.981999999999999"/>
  </r>
  <r>
    <s v="2023-01-20"/>
    <n v="128.68"/>
    <x v="3370"/>
    <n v="127.34699999999999"/>
    <n v="133.41999999999999"/>
    <n v="138858136"/>
    <x v="7"/>
    <s v="Tesla"/>
    <x v="4"/>
    <n v="4.915"/>
    <x v="0"/>
    <x v="0"/>
    <s v="January"/>
    <s v="Profit"/>
    <n v="6.1629999999999967"/>
    <n v="21.896999999999998"/>
  </r>
  <r>
    <s v="2023-01-23"/>
    <n v="135.87"/>
    <x v="3371"/>
    <n v="134.27000000000001"/>
    <n v="143.75"/>
    <n v="203119211"/>
    <x v="7"/>
    <s v="Tesla"/>
    <x v="4"/>
    <n v="7.742"/>
    <x v="0"/>
    <x v="0"/>
    <s v="January"/>
    <s v="Profit"/>
    <n v="11.10899999999998"/>
    <n v="29.638999999999999"/>
  </r>
  <r>
    <s v="2023-01-24"/>
    <n v="143"/>
    <x v="3372"/>
    <n v="141.1"/>
    <n v="143.88999999999999"/>
    <n v="158699056"/>
    <x v="7"/>
    <s v="Tesla"/>
    <x v="4"/>
    <n v="9.7000000000000003E-2"/>
    <x v="0"/>
    <x v="0"/>
    <s v="January"/>
    <s v="Profit"/>
    <n v="5.4000000000000057"/>
    <n v="29.736000000000001"/>
  </r>
  <r>
    <s v="2023-01-25"/>
    <n v="141.905"/>
    <x v="3373"/>
    <n v="138.07"/>
    <n v="144.43"/>
    <n v="192734347"/>
    <x v="7"/>
    <s v="Tesla"/>
    <x v="4"/>
    <n v="0.375"/>
    <x v="0"/>
    <x v="0"/>
    <s v="January"/>
    <s v="Profit"/>
    <n v="8.3400000000000034"/>
    <n v="30.111000000000001"/>
  </r>
  <r>
    <s v="2023-01-26"/>
    <n v="159.965"/>
    <x v="3374"/>
    <n v="154.76"/>
    <n v="160.27000000000001"/>
    <n v="234815090"/>
    <x v="7"/>
    <s v="Tesla"/>
    <x v="4"/>
    <n v="10.967000000000001"/>
    <x v="0"/>
    <x v="0"/>
    <s v="January"/>
    <s v="Profit"/>
    <n v="6.6599999999999966"/>
    <n v="41.078000000000003"/>
  </r>
  <r>
    <s v="2023-01-27"/>
    <n v="162.43"/>
    <x v="3375"/>
    <n v="161.16999999999999"/>
    <n v="177.9"/>
    <n v="306590613"/>
    <x v="7"/>
    <s v="Tesla"/>
    <x v="4"/>
    <n v="11"/>
    <x v="0"/>
    <x v="0"/>
    <s v="January"/>
    <s v="Profit"/>
    <n v="19.510000000000019"/>
    <n v="52.078000000000003"/>
  </r>
  <r>
    <s v="2023-01-30"/>
    <n v="178.05"/>
    <x v="3376"/>
    <n v="166.5"/>
    <n v="166.66"/>
    <n v="230878807"/>
    <x v="7"/>
    <s v="Tesla"/>
    <x v="4"/>
    <n v="-6.3179999999999996"/>
    <x v="0"/>
    <x v="0"/>
    <s v="January"/>
    <s v="Loss"/>
    <n v="13.27000000000001"/>
    <n v="45.760000000000005"/>
  </r>
  <r>
    <s v="2023-01-31"/>
    <n v="164.57"/>
    <x v="3377"/>
    <n v="162.78"/>
    <n v="173.22"/>
    <n v="196813541"/>
    <x v="7"/>
    <s v="Tesla"/>
    <x v="4"/>
    <n v="3.9359999999999999"/>
    <x v="0"/>
    <x v="0"/>
    <s v="January"/>
    <s v="Profit"/>
    <n v="11.52000000000001"/>
    <n v="49.696000000000005"/>
  </r>
  <r>
    <s v="2023-02-01"/>
    <n v="173.89"/>
    <x v="3378"/>
    <n v="169.93"/>
    <n v="181.41"/>
    <n v="213806323"/>
    <x v="7"/>
    <s v="Tesla"/>
    <x v="4"/>
    <n v="4.7279999999999998"/>
    <x v="1"/>
    <x v="0"/>
    <s v="February"/>
    <s v="Profit"/>
    <n v="13.875"/>
    <n v="54.424000000000007"/>
  </r>
  <r>
    <s v="2023-02-02"/>
    <n v="187.32499999999999"/>
    <x v="3379"/>
    <n v="182.61"/>
    <n v="188.27"/>
    <n v="217448287"/>
    <x v="7"/>
    <s v="Tesla"/>
    <x v="4"/>
    <n v="3.7810000000000001"/>
    <x v="1"/>
    <x v="0"/>
    <s v="February"/>
    <s v="Profit"/>
    <n v="14.139999999999986"/>
    <n v="58.205000000000005"/>
  </r>
  <r>
    <s v="2023-02-03"/>
    <n v="183.95"/>
    <x v="1461"/>
    <n v="183.69"/>
    <n v="189.98"/>
    <n v="232662023"/>
    <x v="7"/>
    <s v="Tesla"/>
    <x v="4"/>
    <n v="0.90800000000000003"/>
    <x v="1"/>
    <x v="0"/>
    <s v="February"/>
    <s v="Profit"/>
    <n v="15.310000000000002"/>
    <n v="59.113000000000007"/>
  </r>
  <r>
    <s v="2023-02-06"/>
    <n v="193.01"/>
    <x v="3380"/>
    <n v="189.92"/>
    <n v="194.76"/>
    <n v="186188131"/>
    <x v="7"/>
    <s v="Tesla"/>
    <x v="4"/>
    <n v="2.516"/>
    <x v="1"/>
    <x v="0"/>
    <s v="February"/>
    <s v="Profit"/>
    <n v="8.25"/>
    <n v="61.629000000000005"/>
  </r>
  <r>
    <s v="2023-02-07"/>
    <n v="196.43"/>
    <x v="3381"/>
    <n v="189.55"/>
    <n v="196.81"/>
    <n v="186010325"/>
    <x v="7"/>
    <s v="Tesla"/>
    <x v="4"/>
    <n v="1.0529999999999999"/>
    <x v="1"/>
    <x v="0"/>
    <s v="February"/>
    <s v="Profit"/>
    <n v="7.9499999999999886"/>
    <n v="62.682000000000002"/>
  </r>
  <r>
    <s v="2023-02-08"/>
    <n v="196.1"/>
    <x v="3382"/>
    <n v="194.31"/>
    <n v="201.29"/>
    <n v="180673644"/>
    <x v="7"/>
    <s v="Tesla"/>
    <x v="4"/>
    <n v="2.2759999999999998"/>
    <x v="1"/>
    <x v="0"/>
    <s v="February"/>
    <s v="Profit"/>
    <n v="8.6899999999999977"/>
    <n v="64.957999999999998"/>
  </r>
  <r>
    <s v="2023-02-09"/>
    <n v="207.77500000000001"/>
    <x v="3383"/>
    <n v="204.77"/>
    <n v="207.32"/>
    <n v="215431442"/>
    <x v="7"/>
    <s v="Tesla"/>
    <x v="4"/>
    <n v="2.996"/>
    <x v="1"/>
    <x v="0"/>
    <s v="February"/>
    <s v="Profit"/>
    <n v="9.2299999999999898"/>
    <n v="67.953999999999994"/>
  </r>
  <r>
    <s v="2023-02-10"/>
    <n v="202.22499999999999"/>
    <x v="3384"/>
    <n v="192.89"/>
    <n v="196.89"/>
    <n v="204754129"/>
    <x v="7"/>
    <s v="Tesla"/>
    <x v="4"/>
    <n v="-5.0309999999999997"/>
    <x v="1"/>
    <x v="0"/>
    <s v="February"/>
    <s v="Loss"/>
    <n v="13.310000000000002"/>
    <n v="62.922999999999995"/>
  </r>
  <r>
    <s v="2023-02-13"/>
    <n v="194.41499999999999"/>
    <x v="3385"/>
    <n v="187.61"/>
    <n v="194.64"/>
    <n v="172475452"/>
    <x v="7"/>
    <s v="Tesla"/>
    <x v="4"/>
    <n v="-1.143"/>
    <x v="1"/>
    <x v="0"/>
    <s v="February"/>
    <s v="Loss"/>
    <n v="8.6899999999999977"/>
    <n v="61.779999999999994"/>
  </r>
  <r>
    <s v="2023-02-14"/>
    <n v="191.94"/>
    <x v="3386"/>
    <n v="189.44"/>
    <n v="209.25"/>
    <n v="216455708"/>
    <x v="7"/>
    <s v="Tesla"/>
    <x v="4"/>
    <n v="7.5060000000000002"/>
    <x v="1"/>
    <x v="0"/>
    <s v="February"/>
    <s v="Profit"/>
    <n v="20.379999999999995"/>
    <n v="69.286000000000001"/>
  </r>
  <r>
    <s v="2023-02-15"/>
    <n v="211.755"/>
    <x v="3387"/>
    <n v="206.11"/>
    <n v="214.24"/>
    <n v="182108581"/>
    <x v="7"/>
    <s v="Tesla"/>
    <x v="4"/>
    <n v="2.3849999999999998"/>
    <x v="1"/>
    <x v="0"/>
    <s v="February"/>
    <s v="Profit"/>
    <n v="8.5499999999999829"/>
    <n v="71.671000000000006"/>
  </r>
  <r>
    <s v="2023-02-16"/>
    <n v="210.78"/>
    <x v="3388"/>
    <n v="201.84"/>
    <n v="202.04"/>
    <n v="229586538"/>
    <x v="7"/>
    <s v="Tesla"/>
    <x v="4"/>
    <n v="-5.6950000000000003"/>
    <x v="1"/>
    <x v="0"/>
    <s v="February"/>
    <s v="Loss"/>
    <n v="15.810000000000002"/>
    <n v="65.975999999999999"/>
  </r>
  <r>
    <s v="2023-02-17"/>
    <n v="199.98500000000001"/>
    <x v="3389"/>
    <n v="197.5"/>
    <n v="208.31"/>
    <n v="213738549"/>
    <x v="7"/>
    <s v="Tesla"/>
    <x v="4"/>
    <n v="3.1030000000000002"/>
    <x v="1"/>
    <x v="0"/>
    <s v="February"/>
    <s v="Profit"/>
    <n v="10.939999999999998"/>
    <n v="69.078999999999994"/>
  </r>
  <r>
    <s v="2023-02-21"/>
    <n v="204.99"/>
    <x v="3390"/>
    <n v="197.22"/>
    <n v="197.37"/>
    <n v="180018588"/>
    <x v="7"/>
    <s v="Tesla"/>
    <x v="4"/>
    <n v="-5.2519999999999998"/>
    <x v="1"/>
    <x v="0"/>
    <s v="February"/>
    <s v="Loss"/>
    <n v="12.490000000000009"/>
    <n v="63.826999999999991"/>
  </r>
  <r>
    <s v="2023-02-22"/>
    <n v="197.93"/>
    <x v="3391"/>
    <n v="191.78"/>
    <n v="200.86"/>
    <n v="191828457"/>
    <x v="7"/>
    <s v="Tesla"/>
    <x v="4"/>
    <n v="1.768"/>
    <x v="1"/>
    <x v="0"/>
    <s v="February"/>
    <s v="Profit"/>
    <n v="10.210000000000008"/>
    <n v="65.594999999999985"/>
  </r>
  <r>
    <s v="2023-02-23"/>
    <n v="203.91"/>
    <x v="3392"/>
    <n v="196.33"/>
    <n v="202.07"/>
    <n v="146359950"/>
    <x v="7"/>
    <s v="Tesla"/>
    <x v="4"/>
    <n v="0.60199999999999998"/>
    <x v="1"/>
    <x v="0"/>
    <s v="February"/>
    <s v="Profit"/>
    <n v="8.8099999999999739"/>
    <n v="66.196999999999989"/>
  </r>
  <r>
    <s v="2023-02-24"/>
    <n v="196.32499999999999"/>
    <x v="3393"/>
    <n v="192.8"/>
    <n v="196.88"/>
    <n v="142228105"/>
    <x v="7"/>
    <s v="Tesla"/>
    <x v="4"/>
    <n v="-2.5680000000000001"/>
    <x v="1"/>
    <x v="0"/>
    <s v="February"/>
    <s v="Loss"/>
    <n v="4.8689999999999998"/>
    <n v="63.628999999999991"/>
  </r>
  <r>
    <s v="2023-02-27"/>
    <n v="202.03"/>
    <x v="3394"/>
    <n v="201.26"/>
    <n v="207.63"/>
    <n v="161028315"/>
    <x v="7"/>
    <s v="Tesla"/>
    <x v="4"/>
    <n v="5.46"/>
    <x v="1"/>
    <x v="0"/>
    <s v="February"/>
    <s v="Profit"/>
    <n v="8.1599999999999966"/>
    <n v="69.088999999999984"/>
  </r>
  <r>
    <s v="2023-02-28"/>
    <n v="210.59"/>
    <x v="3395"/>
    <n v="203.75"/>
    <n v="205.71"/>
    <n v="153144912"/>
    <x v="7"/>
    <s v="Tesla"/>
    <x v="4"/>
    <n v="-0.92500000000000004"/>
    <x v="1"/>
    <x v="0"/>
    <s v="February"/>
    <s v="Loss"/>
    <n v="7.4799999999999898"/>
    <n v="68.163999999999987"/>
  </r>
  <r>
    <s v="2023-03-01"/>
    <n v="206.21"/>
    <x v="3396"/>
    <n v="198.52"/>
    <n v="202.77"/>
    <n v="156852790"/>
    <x v="7"/>
    <s v="Tesla"/>
    <x v="4"/>
    <n v="-1.429"/>
    <x v="2"/>
    <x v="0"/>
    <s v="March"/>
    <s v="Loss"/>
    <n v="8.6799999999999784"/>
    <n v="66.734999999999985"/>
  </r>
  <r>
    <s v="2023-03-02"/>
    <n v="186.74"/>
    <x v="3397"/>
    <n v="186.01"/>
    <n v="190.9"/>
    <n v="181979154"/>
    <x v="7"/>
    <s v="Tesla"/>
    <x v="4"/>
    <n v="-5.8540000000000001"/>
    <x v="2"/>
    <x v="0"/>
    <s v="March"/>
    <s v="Loss"/>
    <n v="7.7400000000000091"/>
    <n v="60.880999999999986"/>
  </r>
  <r>
    <s v="2023-03-03"/>
    <n v="194.79499999999999"/>
    <x v="2185"/>
    <n v="192.88"/>
    <n v="197.79"/>
    <n v="154193277"/>
    <x v="7"/>
    <s v="Tesla"/>
    <x v="4"/>
    <n v="3.609"/>
    <x v="2"/>
    <x v="0"/>
    <s v="March"/>
    <s v="Profit"/>
    <n v="7.5999999999999943"/>
    <n v="64.489999999999981"/>
  </r>
  <r>
    <s v="2023-03-06"/>
    <n v="198.54"/>
    <x v="3398"/>
    <n v="192.3"/>
    <n v="193.81"/>
    <n v="128100106"/>
    <x v="7"/>
    <s v="Tesla"/>
    <x v="4"/>
    <n v="-2.012"/>
    <x v="2"/>
    <x v="0"/>
    <s v="March"/>
    <s v="Loss"/>
    <n v="6.2999999999999829"/>
    <n v="62.47799999999998"/>
  </r>
  <r>
    <s v="2023-03-07"/>
    <n v="191.38"/>
    <x v="3399"/>
    <n v="186.1"/>
    <n v="187.71"/>
    <n v="148125790"/>
    <x v="7"/>
    <s v="Tesla"/>
    <x v="4"/>
    <n v="-3.1469999999999998"/>
    <x v="2"/>
    <x v="0"/>
    <s v="March"/>
    <s v="Loss"/>
    <n v="8.0999999999999943"/>
    <n v="59.330999999999982"/>
  </r>
  <r>
    <s v="2023-03-08"/>
    <n v="185.04"/>
    <x v="3400"/>
    <n v="180"/>
    <n v="182"/>
    <n v="151897763"/>
    <x v="7"/>
    <s v="Tesla"/>
    <x v="4"/>
    <n v="-3.0419999999999998"/>
    <x v="2"/>
    <x v="0"/>
    <s v="March"/>
    <s v="Loss"/>
    <n v="6.5"/>
    <n v="56.28899999999998"/>
  </r>
  <r>
    <s v="2023-03-09"/>
    <n v="180.25"/>
    <x v="3401"/>
    <n v="172.512"/>
    <n v="172.92"/>
    <n v="170023794"/>
    <x v="7"/>
    <s v="Tesla"/>
    <x v="4"/>
    <n v="-4.9889999999999999"/>
    <x v="2"/>
    <x v="0"/>
    <s v="March"/>
    <s v="Loss"/>
    <n v="12.668000000000006"/>
    <n v="51.299999999999983"/>
  </r>
  <r>
    <s v="2023-03-10"/>
    <n v="175.13"/>
    <x v="3402"/>
    <n v="168.44"/>
    <n v="173.44"/>
    <n v="191488872"/>
    <x v="7"/>
    <s v="Tesla"/>
    <x v="4"/>
    <n v="0.30099999999999999"/>
    <x v="2"/>
    <x v="0"/>
    <s v="March"/>
    <s v="Profit"/>
    <n v="9.8499999999999943"/>
    <n v="51.600999999999985"/>
  </r>
  <r>
    <s v="2023-03-13"/>
    <n v="167.45500000000001"/>
    <x v="3403"/>
    <n v="163.91"/>
    <n v="174.48"/>
    <n v="167790256"/>
    <x v="7"/>
    <s v="Tesla"/>
    <x v="4"/>
    <n v="0.6"/>
    <x v="2"/>
    <x v="0"/>
    <s v="March"/>
    <s v="Profit"/>
    <n v="13.439999999999998"/>
    <n v="52.200999999999986"/>
  </r>
  <r>
    <s v="2023-03-14"/>
    <n v="177.31"/>
    <x v="3404"/>
    <n v="177.14"/>
    <n v="183.26"/>
    <n v="143717897"/>
    <x v="7"/>
    <s v="Tesla"/>
    <x v="4"/>
    <n v="5.032"/>
    <x v="2"/>
    <x v="0"/>
    <s v="March"/>
    <s v="Profit"/>
    <n v="6.660000000000025"/>
    <n v="57.23299999999999"/>
  </r>
  <r>
    <s v="2023-03-15"/>
    <n v="180.8"/>
    <x v="3405"/>
    <n v="176.03"/>
    <n v="180.45"/>
    <n v="145995583"/>
    <x v="7"/>
    <s v="Tesla"/>
    <x v="4"/>
    <n v="-1.5329999999999999"/>
    <x v="2"/>
    <x v="0"/>
    <s v="March"/>
    <s v="Loss"/>
    <n v="6.3100000000000023"/>
    <n v="55.699999999999989"/>
  </r>
  <r>
    <s v="2023-03-16"/>
    <n v="180.36500000000001"/>
    <x v="914"/>
    <n v="178.84"/>
    <n v="184.13"/>
    <n v="121374453"/>
    <x v="7"/>
    <s v="Tesla"/>
    <x v="4"/>
    <n v="2.0390000000000001"/>
    <x v="2"/>
    <x v="0"/>
    <s v="March"/>
    <s v="Profit"/>
    <n v="6.9699999999999989"/>
    <n v="57.73899999999999"/>
  </r>
  <r>
    <s v="2023-03-17"/>
    <n v="184.51499999999999"/>
    <x v="3406"/>
    <n v="177.33"/>
    <n v="180.13"/>
    <n v="133197140"/>
    <x v="7"/>
    <s v="Tesla"/>
    <x v="4"/>
    <n v="-2.1720000000000002"/>
    <x v="2"/>
    <x v="0"/>
    <s v="March"/>
    <s v="Loss"/>
    <n v="8.8899999999999864"/>
    <n v="55.566999999999993"/>
  </r>
  <r>
    <s v="2023-03-20"/>
    <n v="178.08"/>
    <x v="2170"/>
    <n v="176.35"/>
    <n v="183.25"/>
    <n v="129684359"/>
    <x v="7"/>
    <s v="Tesla"/>
    <x v="4"/>
    <n v="1.732"/>
    <x v="2"/>
    <x v="0"/>
    <s v="March"/>
    <s v="Profit"/>
    <n v="10.090000000000003"/>
    <n v="57.298999999999992"/>
  </r>
  <r>
    <s v="2023-03-21"/>
    <n v="188.28"/>
    <x v="3407"/>
    <n v="188.04"/>
    <n v="197.58"/>
    <n v="153391444"/>
    <x v="7"/>
    <s v="Tesla"/>
    <x v="4"/>
    <n v="7.82"/>
    <x v="2"/>
    <x v="0"/>
    <s v="March"/>
    <s v="Profit"/>
    <n v="9.960000000000008"/>
    <n v="65.119"/>
  </r>
  <r>
    <s v="2023-03-22"/>
    <n v="199.3"/>
    <x v="3408"/>
    <n v="190.95"/>
    <n v="191.15"/>
    <n v="150376373"/>
    <x v="7"/>
    <s v="Tesla"/>
    <x v="4"/>
    <n v="-3.254"/>
    <x v="2"/>
    <x v="0"/>
    <s v="March"/>
    <s v="Loss"/>
    <n v="9.710000000000008"/>
    <n v="61.865000000000002"/>
  </r>
  <r>
    <s v="2023-03-23"/>
    <n v="195.26"/>
    <x v="3409"/>
    <n v="188.65"/>
    <n v="192.22"/>
    <n v="144193876"/>
    <x v="7"/>
    <s v="Tesla"/>
    <x v="4"/>
    <n v="0.56000000000000005"/>
    <x v="2"/>
    <x v="0"/>
    <s v="March"/>
    <s v="Profit"/>
    <n v="10.659999999999997"/>
    <n v="62.425000000000004"/>
  </r>
  <r>
    <s v="2023-03-24"/>
    <n v="191.65"/>
    <x v="3410"/>
    <n v="187.15"/>
    <n v="190.41"/>
    <n v="116531584"/>
    <x v="7"/>
    <s v="Tesla"/>
    <x v="4"/>
    <n v="-0.94199999999999995"/>
    <x v="2"/>
    <x v="0"/>
    <s v="March"/>
    <s v="Loss"/>
    <n v="5.210000000000008"/>
    <n v="61.483000000000004"/>
  </r>
  <r>
    <s v="2023-03-27"/>
    <n v="194.41499999999999"/>
    <x v="3411"/>
    <n v="189.94"/>
    <n v="191.81"/>
    <n v="120851587"/>
    <x v="7"/>
    <s v="Tesla"/>
    <x v="4"/>
    <n v="0.73499999999999999"/>
    <x v="2"/>
    <x v="0"/>
    <s v="March"/>
    <s v="Profit"/>
    <n v="7.4499999999999886"/>
    <n v="62.218000000000004"/>
  </r>
  <r>
    <s v="2023-03-28"/>
    <n v="192"/>
    <x v="3412"/>
    <n v="185.43"/>
    <n v="189.19"/>
    <n v="98654635"/>
    <x v="7"/>
    <s v="Tesla"/>
    <x v="4"/>
    <n v="-1.3660000000000001"/>
    <x v="2"/>
    <x v="0"/>
    <s v="March"/>
    <s v="Loss"/>
    <n v="6.9199999999999875"/>
    <n v="60.852000000000004"/>
  </r>
  <r>
    <s v="2023-03-29"/>
    <n v="193.13"/>
    <x v="3413"/>
    <n v="189.44"/>
    <n v="193.88"/>
    <n v="123660026"/>
    <x v="7"/>
    <s v="Tesla"/>
    <x v="4"/>
    <n v="2.4790000000000001"/>
    <x v="2"/>
    <x v="0"/>
    <s v="March"/>
    <s v="Profit"/>
    <n v="5.8499999999999943"/>
    <n v="63.331000000000003"/>
  </r>
  <r>
    <s v="2023-03-30"/>
    <n v="195.58"/>
    <x v="948"/>
    <n v="194.42"/>
    <n v="195.28"/>
    <n v="110252238"/>
    <x v="7"/>
    <s v="Tesla"/>
    <x v="4"/>
    <n v="0.72199999999999998"/>
    <x v="2"/>
    <x v="0"/>
    <s v="March"/>
    <s v="Profit"/>
    <n v="2.910000000000025"/>
    <n v="64.052999999999997"/>
  </r>
  <r>
    <s v="2023-03-31"/>
    <n v="197.53"/>
    <x v="3414"/>
    <n v="197.2"/>
    <n v="207.46"/>
    <n v="170222118"/>
    <x v="7"/>
    <s v="Tesla"/>
    <x v="4"/>
    <n v="6.2370000000000001"/>
    <x v="2"/>
    <x v="0"/>
    <s v="March"/>
    <s v="Profit"/>
    <n v="10.590000000000003"/>
    <n v="70.289999999999992"/>
  </r>
  <r>
    <s v="2023-04-03"/>
    <n v="199.91"/>
    <x v="2222"/>
    <n v="192.2"/>
    <n v="194.77"/>
    <n v="169545900"/>
    <x v="7"/>
    <s v="Tesla"/>
    <x v="4"/>
    <n v="-6.117"/>
    <x v="3"/>
    <x v="0"/>
    <s v="April"/>
    <s v="Loss"/>
    <n v="10.490000000000009"/>
    <n v="64.172999999999988"/>
  </r>
  <r>
    <s v="2023-04-04"/>
    <n v="197.32"/>
    <x v="3415"/>
    <n v="190.32"/>
    <n v="192.58"/>
    <n v="126463845"/>
    <x v="7"/>
    <s v="Tesla"/>
    <x v="4"/>
    <n v="-1.1240000000000001"/>
    <x v="3"/>
    <x v="0"/>
    <s v="April"/>
    <s v="Loss"/>
    <n v="8.4250000000000114"/>
    <n v="63.048999999999985"/>
  </r>
  <r>
    <s v="2023-04-05"/>
    <n v="190.51499999999999"/>
    <x v="3416"/>
    <n v="183.76"/>
    <n v="185.52"/>
    <n v="133882493"/>
    <x v="7"/>
    <s v="Tesla"/>
    <x v="4"/>
    <n v="-3.6659999999999999"/>
    <x v="3"/>
    <x v="0"/>
    <s v="April"/>
    <s v="Loss"/>
    <n v="6.9200000000000159"/>
    <n v="59.382999999999988"/>
  </r>
  <r>
    <s v="2023-04-06"/>
    <n v="183.08"/>
    <x v="3417"/>
    <n v="179.74"/>
    <n v="185.06"/>
    <n v="123857932"/>
    <x v="7"/>
    <s v="Tesla"/>
    <x v="4"/>
    <n v="-0.248"/>
    <x v="3"/>
    <x v="0"/>
    <s v="April"/>
    <s v="Loss"/>
    <n v="6.6499999999999773"/>
    <n v="59.134999999999991"/>
  </r>
  <r>
    <s v="2023-04-10"/>
    <n v="179.94"/>
    <x v="805"/>
    <n v="176.11"/>
    <n v="184.51"/>
    <n v="142154637"/>
    <x v="7"/>
    <s v="Tesla"/>
    <x v="4"/>
    <n v="-0.29699999999999999"/>
    <x v="3"/>
    <x v="0"/>
    <s v="April"/>
    <s v="Loss"/>
    <n v="8.9899999999999807"/>
    <n v="58.837999999999994"/>
  </r>
  <r>
    <s v="2023-04-11"/>
    <n v="186.69"/>
    <x v="3418"/>
    <n v="185.648"/>
    <n v="186.79"/>
    <n v="115770892"/>
    <x v="7"/>
    <s v="Tesla"/>
    <x v="4"/>
    <n v="1.236"/>
    <x v="3"/>
    <x v="0"/>
    <s v="April"/>
    <s v="Profit"/>
    <n v="3.5420000000000016"/>
    <n v="60.073999999999991"/>
  </r>
  <r>
    <s v="2023-04-12"/>
    <n v="190.74"/>
    <x v="3419"/>
    <n v="180.31"/>
    <n v="180.54"/>
    <n v="150256278"/>
    <x v="7"/>
    <s v="Tesla"/>
    <x v="4"/>
    <n v="-3.3460000000000001"/>
    <x v="3"/>
    <x v="0"/>
    <s v="April"/>
    <s v="Loss"/>
    <n v="11.275000000000006"/>
    <n v="56.727999999999994"/>
  </r>
  <r>
    <s v="2023-04-13"/>
    <n v="182.95500000000001"/>
    <x v="3400"/>
    <n v="180.94"/>
    <n v="185.9"/>
    <n v="112932985"/>
    <x v="7"/>
    <s v="Tesla"/>
    <x v="4"/>
    <n v="2.9689999999999999"/>
    <x v="3"/>
    <x v="0"/>
    <s v="April"/>
    <s v="Profit"/>
    <n v="5.5600000000000023"/>
    <n v="59.696999999999996"/>
  </r>
  <r>
    <s v="2023-04-14"/>
    <n v="183.95"/>
    <x v="3420"/>
    <n v="182.01"/>
    <n v="185"/>
    <n v="96438664"/>
    <x v="7"/>
    <s v="Tesla"/>
    <x v="4"/>
    <n v="-0.48399999999999999"/>
    <x v="3"/>
    <x v="0"/>
    <s v="April"/>
    <s v="Loss"/>
    <n v="4.2700000000000102"/>
    <n v="59.212999999999994"/>
  </r>
  <r>
    <s v="2023-04-17"/>
    <n v="186.32"/>
    <x v="3421"/>
    <n v="182.69"/>
    <n v="187.04"/>
    <n v="116662189"/>
    <x v="7"/>
    <s v="Tesla"/>
    <x v="4"/>
    <n v="1.103"/>
    <x v="3"/>
    <x v="0"/>
    <s v="April"/>
    <s v="Profit"/>
    <n v="7"/>
    <n v="60.315999999999995"/>
  </r>
  <r>
    <s v="2023-04-18"/>
    <n v="187.15"/>
    <x v="3422"/>
    <n v="183.577"/>
    <n v="184.31"/>
    <n v="92067016"/>
    <x v="7"/>
    <s v="Tesla"/>
    <x v="4"/>
    <n v="-1.46"/>
    <x v="3"/>
    <x v="0"/>
    <s v="April"/>
    <s v="Loss"/>
    <n v="4.1129999999999995"/>
    <n v="58.855999999999995"/>
  </r>
  <r>
    <s v="2023-04-19"/>
    <n v="179.1"/>
    <x v="3423"/>
    <n v="177.65"/>
    <n v="180.59"/>
    <n v="125732687"/>
    <x v="7"/>
    <s v="Tesla"/>
    <x v="4"/>
    <n v="-2.0179999999999998"/>
    <x v="3"/>
    <x v="0"/>
    <s v="April"/>
    <s v="Loss"/>
    <n v="5.8499999999999943"/>
    <n v="56.837999999999994"/>
  </r>
  <r>
    <s v="2023-04-20"/>
    <n v="166.16499999999999"/>
    <x v="3424"/>
    <n v="160.56"/>
    <n v="162.99"/>
    <n v="210970819"/>
    <x v="7"/>
    <s v="Tesla"/>
    <x v="4"/>
    <n v="-9.7460000000000004"/>
    <x v="3"/>
    <x v="0"/>
    <s v="April"/>
    <s v="Loss"/>
    <n v="9.1399999999999864"/>
    <n v="47.091999999999992"/>
  </r>
  <r>
    <s v="2023-04-21"/>
    <n v="164.8"/>
    <x v="1877"/>
    <n v="161.321"/>
    <n v="165.08"/>
    <n v="123538954"/>
    <x v="7"/>
    <s v="Tesla"/>
    <x v="4"/>
    <n v="1.282"/>
    <x v="3"/>
    <x v="0"/>
    <s v="April"/>
    <s v="Profit"/>
    <n v="4.679000000000002"/>
    <n v="48.373999999999995"/>
  </r>
  <r>
    <s v="2023-04-24"/>
    <n v="164.65"/>
    <x v="3425"/>
    <n v="158.61000000000001"/>
    <n v="162.55000000000001"/>
    <n v="140006559"/>
    <x v="7"/>
    <s v="Tesla"/>
    <x v="4"/>
    <n v="-1.5329999999999999"/>
    <x v="3"/>
    <x v="0"/>
    <s v="April"/>
    <s v="Loss"/>
    <n v="7.039999999999992"/>
    <n v="46.840999999999994"/>
  </r>
  <r>
    <s v="2023-04-25"/>
    <n v="159.82"/>
    <x v="3426"/>
    <n v="158.75"/>
    <n v="160.66999999999999"/>
    <n v="121999312"/>
    <x v="7"/>
    <s v="Tesla"/>
    <x v="4"/>
    <n v="-1.157"/>
    <x v="3"/>
    <x v="0"/>
    <s v="April"/>
    <s v="Loss"/>
    <n v="4.7199999999999989"/>
    <n v="45.683999999999997"/>
  </r>
  <r>
    <s v="2023-04-26"/>
    <n v="160.29"/>
    <x v="3427"/>
    <n v="153.13999999999999"/>
    <n v="153.75"/>
    <n v="153364142"/>
    <x v="7"/>
    <s v="Tesla"/>
    <x v="4"/>
    <n v="-4.3070000000000004"/>
    <x v="3"/>
    <x v="0"/>
    <s v="April"/>
    <s v="Loss"/>
    <n v="7.5300000000000011"/>
    <n v="41.376999999999995"/>
  </r>
  <r>
    <s v="2023-04-27"/>
    <n v="152.63999999999999"/>
    <x v="3428"/>
    <n v="152.37"/>
    <n v="160.19"/>
    <n v="127015177"/>
    <x v="7"/>
    <s v="Tesla"/>
    <x v="4"/>
    <n v="4.1890000000000001"/>
    <x v="3"/>
    <x v="0"/>
    <s v="April"/>
    <s v="Profit"/>
    <n v="8.1099999999999852"/>
    <n v="45.565999999999995"/>
  </r>
  <r>
    <s v="2023-04-28"/>
    <n v="160.9"/>
    <x v="1845"/>
    <n v="157.32"/>
    <n v="164.31"/>
    <n v="122515812"/>
    <x v="7"/>
    <s v="Tesla"/>
    <x v="4"/>
    <n v="2.5720000000000001"/>
    <x v="3"/>
    <x v="0"/>
    <s v="April"/>
    <s v="Profit"/>
    <n v="7.6800000000000068"/>
    <n v="48.137999999999998"/>
  </r>
  <r>
    <s v="2023-05-01"/>
    <n v="163.16999999999999"/>
    <x v="1710"/>
    <n v="158.83000000000001"/>
    <n v="161.83000000000001"/>
    <n v="109015048"/>
    <x v="7"/>
    <s v="Tesla"/>
    <x v="4"/>
    <n v="-1.5089999999999999"/>
    <x v="4"/>
    <x v="0"/>
    <s v="May"/>
    <s v="Loss"/>
    <n v="4.4499999999999886"/>
    <n v="46.628999999999998"/>
  </r>
  <r>
    <s v="2023-05-02"/>
    <n v="161.88"/>
    <x v="3429"/>
    <n v="158.93"/>
    <n v="160.31"/>
    <n v="128259744"/>
    <x v="7"/>
    <s v="Tesla"/>
    <x v="4"/>
    <n v="-0.93899999999999995"/>
    <x v="4"/>
    <x v="0"/>
    <s v="May"/>
    <s v="Loss"/>
    <n v="6.5600000000000023"/>
    <n v="45.69"/>
  </r>
  <r>
    <s v="2023-05-03"/>
    <n v="160.01"/>
    <x v="1845"/>
    <n v="159.91"/>
    <n v="160.61000000000001"/>
    <n v="119727972"/>
    <x v="7"/>
    <s v="Tesla"/>
    <x v="4"/>
    <n v="0.187"/>
    <x v="4"/>
    <x v="0"/>
    <s v="May"/>
    <s v="Profit"/>
    <n v="5.0900000000000034"/>
    <n v="45.876999999999995"/>
  </r>
  <r>
    <s v="2023-05-04"/>
    <n v="162.71"/>
    <x v="3430"/>
    <n v="159.65"/>
    <n v="161.19999999999999"/>
    <n v="95108492"/>
    <x v="7"/>
    <s v="Tesla"/>
    <x v="4"/>
    <n v="0.36699999999999999"/>
    <x v="4"/>
    <x v="0"/>
    <s v="May"/>
    <s v="Profit"/>
    <n v="3.2999999999999829"/>
    <n v="46.243999999999993"/>
  </r>
  <r>
    <s v="2023-05-05"/>
    <n v="163.97"/>
    <x v="3431"/>
    <n v="163.51"/>
    <n v="170.06"/>
    <n v="107607259"/>
    <x v="7"/>
    <s v="Tesla"/>
    <x v="4"/>
    <n v="5.4960000000000004"/>
    <x v="4"/>
    <x v="0"/>
    <s v="May"/>
    <s v="Profit"/>
    <n v="7.2800000000000011"/>
    <n v="51.739999999999995"/>
  </r>
  <r>
    <s v="2023-05-08"/>
    <n v="173.72"/>
    <x v="3432"/>
    <n v="169.19"/>
    <n v="171.79"/>
    <n v="112249449"/>
    <x v="7"/>
    <s v="Tesla"/>
    <x v="4"/>
    <n v="1.0169999999999999"/>
    <x v="4"/>
    <x v="0"/>
    <s v="May"/>
    <s v="Profit"/>
    <n v="4.6100000000000136"/>
    <n v="52.756999999999998"/>
  </r>
  <r>
    <s v="2023-05-09"/>
    <n v="168.95"/>
    <x v="3433"/>
    <n v="166.56"/>
    <n v="169.15"/>
    <n v="88965043"/>
    <x v="7"/>
    <s v="Tesla"/>
    <x v="4"/>
    <n v="-1.5369999999999999"/>
    <x v="4"/>
    <x v="0"/>
    <s v="May"/>
    <s v="Loss"/>
    <n v="3.2599999999999909"/>
    <n v="51.22"/>
  </r>
  <r>
    <s v="2023-05-10"/>
    <n v="172.55"/>
    <x v="3434"/>
    <n v="166.68"/>
    <n v="168.54"/>
    <n v="119840693"/>
    <x v="7"/>
    <s v="Tesla"/>
    <x v="4"/>
    <n v="-0.36099999999999999"/>
    <x v="4"/>
    <x v="0"/>
    <s v="May"/>
    <s v="Loss"/>
    <n v="7.75"/>
    <n v="50.859000000000002"/>
  </r>
  <r>
    <s v="2023-05-11"/>
    <n v="168.7"/>
    <x v="3435"/>
    <n v="166.79"/>
    <n v="172.08"/>
    <n v="103889930"/>
    <x v="7"/>
    <s v="Tesla"/>
    <x v="4"/>
    <n v="2.1"/>
    <x v="4"/>
    <x v="0"/>
    <s v="May"/>
    <s v="Profit"/>
    <n v="6.7800000000000011"/>
    <n v="52.959000000000003"/>
  </r>
  <r>
    <s v="2023-05-12"/>
    <n v="176.07"/>
    <x v="3436"/>
    <n v="167.23"/>
    <n v="167.98"/>
    <n v="157849625"/>
    <x v="7"/>
    <s v="Tesla"/>
    <x v="4"/>
    <n v="-2.383"/>
    <x v="4"/>
    <x v="0"/>
    <s v="May"/>
    <s v="Loss"/>
    <n v="10.150000000000006"/>
    <n v="50.576000000000001"/>
  </r>
  <r>
    <s v="2023-05-15"/>
    <n v="167.655"/>
    <x v="3437"/>
    <n v="164.55"/>
    <n v="166.35"/>
    <n v="105592510"/>
    <x v="7"/>
    <s v="Tesla"/>
    <x v="4"/>
    <n v="-0.97"/>
    <x v="4"/>
    <x v="0"/>
    <s v="May"/>
    <s v="Loss"/>
    <n v="5.2099999999999795"/>
    <n v="49.606000000000002"/>
  </r>
  <r>
    <s v="2023-05-16"/>
    <n v="165.65"/>
    <x v="3438"/>
    <n v="164.35"/>
    <n v="166.52"/>
    <n v="98288792"/>
    <x v="7"/>
    <s v="Tesla"/>
    <x v="4"/>
    <n v="0.10199999999999999"/>
    <x v="4"/>
    <x v="0"/>
    <s v="May"/>
    <s v="Profit"/>
    <n v="5.1680000000000064"/>
    <n v="49.707999999999998"/>
  </r>
  <r>
    <s v="2023-05-17"/>
    <n v="168.41"/>
    <x v="3439"/>
    <n v="167.185"/>
    <n v="173.86"/>
    <n v="125473558"/>
    <x v="7"/>
    <s v="Tesla"/>
    <x v="4"/>
    <n v="4.4080000000000004"/>
    <x v="4"/>
    <x v="0"/>
    <s v="May"/>
    <s v="Profit"/>
    <n v="7.3149999999999977"/>
    <n v="54.116"/>
  </r>
  <r>
    <s v="2023-05-18"/>
    <n v="174.22"/>
    <x v="3440"/>
    <n v="172.45"/>
    <n v="176.89"/>
    <n v="109520332"/>
    <x v="7"/>
    <s v="Tesla"/>
    <x v="4"/>
    <n v="1.7430000000000001"/>
    <x v="4"/>
    <x v="0"/>
    <s v="May"/>
    <s v="Profit"/>
    <n v="4.6100000000000136"/>
    <n v="55.859000000000002"/>
  </r>
  <r>
    <s v="2023-05-19"/>
    <n v="177.17"/>
    <x v="3441"/>
    <n v="176.31"/>
    <n v="180.14"/>
    <n v="136196668"/>
    <x v="7"/>
    <s v="Tesla"/>
    <x v="4"/>
    <n v="1.837"/>
    <x v="4"/>
    <x v="0"/>
    <s v="May"/>
    <s v="Profit"/>
    <n v="5.6399999999999864"/>
    <n v="57.696000000000005"/>
  </r>
  <r>
    <s v="2023-05-22"/>
    <n v="180.7"/>
    <x v="3442"/>
    <n v="180.11"/>
    <n v="188.87"/>
    <n v="132001430"/>
    <x v="7"/>
    <s v="Tesla"/>
    <x v="4"/>
    <n v="4.8460000000000001"/>
    <x v="4"/>
    <x v="0"/>
    <s v="May"/>
    <s v="Profit"/>
    <n v="9.2099999999999795"/>
    <n v="62.542000000000002"/>
  </r>
  <r>
    <s v="2023-05-23"/>
    <n v="186.2"/>
    <x v="3443"/>
    <n v="185.26"/>
    <n v="185.77"/>
    <n v="156952130"/>
    <x v="7"/>
    <s v="Tesla"/>
    <x v="4"/>
    <n v="-1.641"/>
    <x v="4"/>
    <x v="0"/>
    <s v="May"/>
    <s v="Loss"/>
    <n v="7.7000000000000171"/>
    <n v="60.901000000000003"/>
  </r>
  <r>
    <s v="2023-05-24"/>
    <n v="182.23"/>
    <x v="3444"/>
    <n v="178.22"/>
    <n v="182.9"/>
    <n v="137605054"/>
    <x v="7"/>
    <s v="Tesla"/>
    <x v="4"/>
    <n v="-1.5449999999999999"/>
    <x v="4"/>
    <x v="0"/>
    <s v="May"/>
    <s v="Loss"/>
    <n v="6"/>
    <n v="59.356000000000002"/>
  </r>
  <r>
    <s v="2023-05-25"/>
    <n v="186.54"/>
    <x v="3445"/>
    <n v="180.58"/>
    <n v="184.47"/>
    <n v="96870719"/>
    <x v="7"/>
    <s v="Tesla"/>
    <x v="4"/>
    <n v="0.85799999999999998"/>
    <x v="4"/>
    <x v="0"/>
    <s v="May"/>
    <s v="Profit"/>
    <n v="6.1999999999999886"/>
    <n v="60.213999999999999"/>
  </r>
  <r>
    <s v="2023-05-26"/>
    <n v="184.62"/>
    <x v="3398"/>
    <n v="184.53"/>
    <n v="193.17"/>
    <n v="162061496"/>
    <x v="7"/>
    <s v="Tesla"/>
    <x v="4"/>
    <n v="4.7160000000000002"/>
    <x v="4"/>
    <x v="0"/>
    <s v="May"/>
    <s v="Profit"/>
    <n v="14.069999999999993"/>
    <n v="64.929999999999993"/>
  </r>
  <r>
    <s v="2023-05-30"/>
    <n v="200.1"/>
    <x v="2223"/>
    <n v="197.53"/>
    <n v="201.16"/>
    <n v="128818746"/>
    <x v="7"/>
    <s v="Tesla"/>
    <x v="4"/>
    <n v="4.1360000000000001"/>
    <x v="4"/>
    <x v="0"/>
    <s v="May"/>
    <s v="Profit"/>
    <n v="6.9499999999999886"/>
    <n v="69.065999999999988"/>
  </r>
  <r>
    <s v="2023-05-31"/>
    <n v="199.78"/>
    <x v="3446"/>
    <n v="195.12"/>
    <n v="203.93"/>
    <n v="150711736"/>
    <x v="7"/>
    <s v="Tesla"/>
    <x v="4"/>
    <n v="1.377"/>
    <x v="4"/>
    <x v="0"/>
    <s v="May"/>
    <s v="Profit"/>
    <n v="8.8299999999999841"/>
    <n v="70.442999999999984"/>
  </r>
  <r>
    <s v="2023-06-01"/>
    <n v="202.59"/>
    <x v="3447"/>
    <n v="199.37"/>
    <n v="207.52"/>
    <n v="148029931"/>
    <x v="7"/>
    <s v="Tesla"/>
    <x v="4"/>
    <n v="1.76"/>
    <x v="5"/>
    <x v="0"/>
    <s v="June"/>
    <s v="Profit"/>
    <n v="10.430000000000007"/>
    <n v="72.202999999999989"/>
  </r>
  <r>
    <s v="2023-06-02"/>
    <n v="210.15"/>
    <x v="3448"/>
    <n v="209.75200000000001"/>
    <n v="213.97"/>
    <n v="164398372"/>
    <x v="7"/>
    <s v="Tesla"/>
    <x v="4"/>
    <n v="3.1080000000000001"/>
    <x v="5"/>
    <x v="0"/>
    <s v="June"/>
    <s v="Profit"/>
    <n v="7.4979999999999905"/>
    <n v="75.310999999999993"/>
  </r>
  <r>
    <s v="2023-06-05"/>
    <n v="217.8"/>
    <x v="3449"/>
    <n v="214.52"/>
    <n v="217.61"/>
    <n v="151143052"/>
    <x v="7"/>
    <s v="Tesla"/>
    <x v="4"/>
    <n v="1.7010000000000001"/>
    <x v="5"/>
    <x v="0"/>
    <s v="June"/>
    <s v="Profit"/>
    <n v="6.7699999999999818"/>
    <n v="77.011999999999986"/>
  </r>
  <r>
    <s v="2023-06-06"/>
    <n v="216.14"/>
    <x v="3450"/>
    <n v="212.53"/>
    <n v="221.31"/>
    <n v="146911576"/>
    <x v="7"/>
    <s v="Tesla"/>
    <x v="4"/>
    <n v="1.7"/>
    <x v="5"/>
    <x v="0"/>
    <s v="June"/>
    <s v="Profit"/>
    <n v="9.3799999999999955"/>
    <n v="78.711999999999989"/>
  </r>
  <r>
    <s v="2023-06-07"/>
    <n v="228"/>
    <x v="3451"/>
    <n v="223.2"/>
    <n v="224.57"/>
    <n v="185710777"/>
    <x v="7"/>
    <s v="Tesla"/>
    <x v="4"/>
    <n v="1.4730000000000001"/>
    <x v="5"/>
    <x v="0"/>
    <s v="June"/>
    <s v="Profit"/>
    <n v="7.6300000000000239"/>
    <n v="80.184999999999988"/>
  </r>
  <r>
    <s v="2023-06-08"/>
    <n v="224.22"/>
    <x v="3452"/>
    <n v="223.01"/>
    <n v="234.86"/>
    <n v="164489739"/>
    <x v="7"/>
    <s v="Tesla"/>
    <x v="4"/>
    <n v="4.5819999999999999"/>
    <x v="5"/>
    <x v="0"/>
    <s v="June"/>
    <s v="Profit"/>
    <n v="12.219999999999999"/>
    <n v="84.766999999999982"/>
  </r>
  <r>
    <s v="2023-06-09"/>
    <n v="249.07"/>
    <x v="3453"/>
    <n v="242.02"/>
    <n v="244.4"/>
    <n v="200242371"/>
    <x v="7"/>
    <s v="Tesla"/>
    <x v="4"/>
    <n v="4.0620000000000003"/>
    <x v="5"/>
    <x v="0"/>
    <s v="June"/>
    <s v="Profit"/>
    <n v="10.399999999999977"/>
    <n v="88.828999999999979"/>
  </r>
  <r>
    <s v="2023-06-12"/>
    <n v="247.94"/>
    <x v="3454"/>
    <n v="244.59"/>
    <n v="249.83"/>
    <n v="150740523"/>
    <x v="7"/>
    <s v="Tesla"/>
    <x v="4"/>
    <n v="2.222"/>
    <x v="5"/>
    <x v="0"/>
    <s v="June"/>
    <s v="Profit"/>
    <n v="6.3799999999999955"/>
    <n v="91.050999999999974"/>
  </r>
  <r>
    <s v="2023-06-13"/>
    <n v="253.51"/>
    <x v="3455"/>
    <n v="251.34"/>
    <n v="258.70999999999998"/>
    <n v="162384343"/>
    <x v="7"/>
    <s v="Tesla"/>
    <x v="4"/>
    <n v="3.5539999999999998"/>
    <x v="5"/>
    <x v="0"/>
    <s v="June"/>
    <s v="Profit"/>
    <n v="8.3400000000000034"/>
    <n v="94.604999999999976"/>
  </r>
  <r>
    <s v="2023-06-14"/>
    <n v="260.17"/>
    <x v="3456"/>
    <n v="250.5"/>
    <n v="256.79000000000002"/>
    <n v="170575536"/>
    <x v="7"/>
    <s v="Tesla"/>
    <x v="4"/>
    <n v="-0.74199999999999999"/>
    <x v="5"/>
    <x v="0"/>
    <s v="June"/>
    <s v="Loss"/>
    <n v="11.069999999999993"/>
    <n v="93.862999999999971"/>
  </r>
  <r>
    <s v="2023-06-15"/>
    <n v="248.4"/>
    <x v="3457"/>
    <n v="247.29"/>
    <n v="255.9"/>
    <n v="160171238"/>
    <x v="7"/>
    <s v="Tesla"/>
    <x v="4"/>
    <n v="-0.34699999999999998"/>
    <x v="5"/>
    <x v="0"/>
    <s v="June"/>
    <s v="Loss"/>
    <n v="11.659999999999997"/>
    <n v="93.515999999999977"/>
  </r>
  <r>
    <s v="2023-06-16"/>
    <n v="258.92"/>
    <x v="3458"/>
    <n v="257.209"/>
    <n v="260.54000000000002"/>
    <n v="167915649"/>
    <x v="7"/>
    <s v="Tesla"/>
    <x v="4"/>
    <n v="1.8129999999999999"/>
    <x v="5"/>
    <x v="0"/>
    <s v="June"/>
    <s v="Profit"/>
    <n v="6.3910000000000196"/>
    <n v="95.328999999999979"/>
  </r>
  <r>
    <s v="2023-06-20"/>
    <n v="261.5"/>
    <x v="3459"/>
    <n v="261.12"/>
    <n v="274.45"/>
    <n v="165611217"/>
    <x v="7"/>
    <s v="Tesla"/>
    <x v="4"/>
    <n v="5.3390000000000004"/>
    <x v="5"/>
    <x v="0"/>
    <s v="June"/>
    <s v="Profit"/>
    <n v="13.629999999999995"/>
    <n v="100.66799999999998"/>
  </r>
  <r>
    <s v="2023-06-21"/>
    <n v="275.13"/>
    <x v="3460"/>
    <n v="257.77999999999997"/>
    <n v="259.45999999999998"/>
    <n v="211797109"/>
    <x v="7"/>
    <s v="Tesla"/>
    <x v="4"/>
    <n v="-5.4619999999999997"/>
    <x v="5"/>
    <x v="0"/>
    <s v="June"/>
    <s v="Loss"/>
    <n v="19.210000000000036"/>
    <n v="95.205999999999975"/>
  </r>
  <r>
    <s v="2023-06-22"/>
    <n v="250.77"/>
    <x v="3461"/>
    <n v="248.25"/>
    <n v="264.61"/>
    <n v="166875944"/>
    <x v="7"/>
    <s v="Tesla"/>
    <x v="4"/>
    <n v="1.9850000000000001"/>
    <x v="5"/>
    <x v="0"/>
    <s v="June"/>
    <s v="Profit"/>
    <n v="16.75"/>
    <n v="97.190999999999974"/>
  </r>
  <r>
    <s v="2023-06-23"/>
    <n v="259.29000000000002"/>
    <x v="3462"/>
    <n v="252.8"/>
    <n v="256.60000000000002"/>
    <n v="177460803"/>
    <x v="7"/>
    <s v="Tesla"/>
    <x v="4"/>
    <n v="-3.0270000000000001"/>
    <x v="5"/>
    <x v="0"/>
    <s v="June"/>
    <s v="Loss"/>
    <n v="9.6499999999999773"/>
    <n v="94.163999999999973"/>
  </r>
  <r>
    <s v="2023-06-26"/>
    <n v="254.28"/>
    <x v="3463"/>
    <n v="240.7"/>
    <n v="241.05"/>
    <n v="179990552"/>
    <x v="7"/>
    <s v="Tesla"/>
    <x v="4"/>
    <n v="-6.06"/>
    <x v="5"/>
    <x v="0"/>
    <s v="June"/>
    <s v="Loss"/>
    <n v="17.670000000000016"/>
    <n v="88.103999999999971"/>
  </r>
  <r>
    <s v="2023-06-27"/>
    <n v="243.24"/>
    <x v="3464"/>
    <n v="240.85"/>
    <n v="250.21"/>
    <n v="164968214"/>
    <x v="7"/>
    <s v="Tesla"/>
    <x v="4"/>
    <n v="3.8"/>
    <x v="5"/>
    <x v="0"/>
    <s v="June"/>
    <s v="Profit"/>
    <n v="9.539999999999992"/>
    <n v="91.903999999999968"/>
  </r>
  <r>
    <s v="2023-06-28"/>
    <n v="249.7"/>
    <x v="3465"/>
    <n v="248.89"/>
    <n v="256.24"/>
    <n v="159770797"/>
    <x v="7"/>
    <s v="Tesla"/>
    <x v="4"/>
    <n v="2.41"/>
    <x v="5"/>
    <x v="0"/>
    <s v="June"/>
    <s v="Profit"/>
    <n v="10.990000000000009"/>
    <n v="94.313999999999965"/>
  </r>
  <r>
    <s v="2023-06-29"/>
    <n v="258.02999999999997"/>
    <x v="3466"/>
    <n v="253.61"/>
    <n v="257.5"/>
    <n v="131283360"/>
    <x v="7"/>
    <s v="Tesla"/>
    <x v="4"/>
    <n v="0.49199999999999999"/>
    <x v="5"/>
    <x v="0"/>
    <s v="June"/>
    <s v="Profit"/>
    <n v="7.1299999999999955"/>
    <n v="94.805999999999969"/>
  </r>
  <r>
    <s v="2023-06-30"/>
    <n v="260.60000000000002"/>
    <x v="3467"/>
    <n v="259.89"/>
    <n v="261.77"/>
    <n v="112620784"/>
    <x v="7"/>
    <s v="Tesla"/>
    <x v="4"/>
    <n v="1.6579999999999999"/>
    <x v="5"/>
    <x v="0"/>
    <s v="June"/>
    <s v="Profit"/>
    <n v="4.5600000000000023"/>
    <n v="96.46399999999997"/>
  </r>
  <r>
    <s v="2023-07-03"/>
    <n v="276.49"/>
    <x v="3468"/>
    <n v="275.11"/>
    <n v="279.82"/>
    <n v="119685891"/>
    <x v="7"/>
    <s v="Tesla"/>
    <x v="4"/>
    <n v="6.8949999999999996"/>
    <x v="6"/>
    <x v="0"/>
    <s v="July"/>
    <s v="Profit"/>
    <n v="9.1399999999999864"/>
    <n v="103.35899999999997"/>
  </r>
  <r>
    <s v="2023-07-05"/>
    <n v="278.82"/>
    <x v="3469"/>
    <n v="277.60000000000002"/>
    <n v="282.48"/>
    <n v="131530862"/>
    <x v="7"/>
    <s v="Tesla"/>
    <x v="4"/>
    <n v="0.95099999999999996"/>
    <x v="6"/>
    <x v="0"/>
    <s v="July"/>
    <s v="Profit"/>
    <n v="6.25"/>
    <n v="104.30999999999996"/>
  </r>
  <r>
    <s v="2023-07-06"/>
    <n v="278.08999999999997"/>
    <x v="3470"/>
    <n v="272.88"/>
    <n v="276.54000000000002"/>
    <n v="120707419"/>
    <x v="7"/>
    <s v="Tesla"/>
    <x v="4"/>
    <n v="-2.1030000000000002"/>
    <x v="6"/>
    <x v="0"/>
    <s v="July"/>
    <s v="Loss"/>
    <n v="7.0900000000000318"/>
    <n v="102.20699999999997"/>
  </r>
  <r>
    <s v="2023-07-07"/>
    <n v="278.43"/>
    <x v="3471"/>
    <n v="273.77"/>
    <n v="274.43"/>
    <n v="113879174"/>
    <x v="7"/>
    <s v="Tesla"/>
    <x v="4"/>
    <n v="-0.76300000000000001"/>
    <x v="6"/>
    <x v="0"/>
    <s v="July"/>
    <s v="Loss"/>
    <n v="7.0099999999999909"/>
    <n v="101.44399999999996"/>
  </r>
  <r>
    <s v="2023-07-10"/>
    <n v="276.47000000000003"/>
    <x v="3472"/>
    <n v="265.10000000000002"/>
    <n v="269.61"/>
    <n v="119425405"/>
    <x v="7"/>
    <s v="Tesla"/>
    <x v="4"/>
    <n v="-1.756"/>
    <x v="6"/>
    <x v="0"/>
    <s v="July"/>
    <s v="Loss"/>
    <n v="12.419999999999959"/>
    <n v="99.68799999999996"/>
  </r>
  <r>
    <s v="2023-07-11"/>
    <n v="268.64999999999998"/>
    <x v="3473"/>
    <n v="266.37"/>
    <n v="269.79000000000002"/>
    <n v="91972358"/>
    <x v="7"/>
    <s v="Tesla"/>
    <x v="4"/>
    <n v="6.7000000000000004E-2"/>
    <x v="6"/>
    <x v="0"/>
    <s v="July"/>
    <s v="Profit"/>
    <n v="4.5299999999999727"/>
    <n v="99.754999999999953"/>
  </r>
  <r>
    <s v="2023-07-12"/>
    <n v="276.32499999999999"/>
    <x v="3474"/>
    <n v="271.45999999999998"/>
    <n v="271.99"/>
    <n v="95672139"/>
    <x v="7"/>
    <s v="Tesla"/>
    <x v="4"/>
    <n v="0.81499999999999995"/>
    <x v="6"/>
    <x v="0"/>
    <s v="July"/>
    <s v="Profit"/>
    <n v="5.0600000000000023"/>
    <n v="100.56999999999995"/>
  </r>
  <r>
    <s v="2023-07-13"/>
    <n v="274.58999999999997"/>
    <x v="3475"/>
    <n v="270.60000000000002"/>
    <n v="277.89999999999998"/>
    <n v="112681458"/>
    <x v="7"/>
    <s v="Tesla"/>
    <x v="4"/>
    <n v="2.173"/>
    <x v="6"/>
    <x v="0"/>
    <s v="July"/>
    <s v="Profit"/>
    <n v="8.8499999999999659"/>
    <n v="102.74299999999995"/>
  </r>
  <r>
    <s v="2023-07-14"/>
    <n v="277.01"/>
    <x v="3476"/>
    <n v="276.31"/>
    <n v="281.38"/>
    <n v="120062369"/>
    <x v="7"/>
    <s v="Tesla"/>
    <x v="4"/>
    <n v="1.252"/>
    <x v="6"/>
    <x v="0"/>
    <s v="July"/>
    <s v="Profit"/>
    <n v="8.9900000000000091"/>
    <n v="103.99499999999995"/>
  </r>
  <r>
    <s v="2023-07-17"/>
    <n v="286.625"/>
    <x v="3477"/>
    <n v="283.57"/>
    <n v="290.38"/>
    <n v="131569593"/>
    <x v="7"/>
    <s v="Tesla"/>
    <x v="4"/>
    <n v="3.1989999999999998"/>
    <x v="6"/>
    <x v="0"/>
    <s v="July"/>
    <s v="Profit"/>
    <n v="8.660000000000025"/>
    <n v="107.19399999999995"/>
  </r>
  <r>
    <s v="2023-07-18"/>
    <n v="290.14999999999998"/>
    <x v="3478"/>
    <n v="286.01"/>
    <n v="293.33999999999997"/>
    <n v="112434713"/>
    <x v="7"/>
    <s v="Tesla"/>
    <x v="4"/>
    <n v="1.0189999999999999"/>
    <x v="6"/>
    <x v="0"/>
    <s v="July"/>
    <s v="Profit"/>
    <n v="9.25"/>
    <n v="108.21299999999995"/>
  </r>
  <r>
    <s v="2023-07-19"/>
    <n v="296.04000000000002"/>
    <x v="3479"/>
    <n v="289.52"/>
    <n v="291.26"/>
    <n v="142355353"/>
    <x v="7"/>
    <s v="Tesla"/>
    <x v="4"/>
    <n v="-0.70899999999999996"/>
    <x v="6"/>
    <x v="0"/>
    <s v="July"/>
    <s v="Loss"/>
    <n v="9.7700000000000387"/>
    <n v="107.50399999999995"/>
  </r>
  <r>
    <s v="2023-07-20"/>
    <n v="279.56"/>
    <x v="3480"/>
    <n v="261.2"/>
    <n v="262.89999999999998"/>
    <n v="175158273"/>
    <x v="7"/>
    <s v="Tesla"/>
    <x v="4"/>
    <n v="-9.7370000000000001"/>
    <x v="6"/>
    <x v="0"/>
    <s v="July"/>
    <s v="Loss"/>
    <n v="19.730000000000018"/>
    <n v="97.766999999999953"/>
  </r>
  <r>
    <s v="2023-07-21"/>
    <n v="268"/>
    <x v="3481"/>
    <n v="255.8"/>
    <n v="260.02"/>
    <n v="161796073"/>
    <x v="7"/>
    <s v="Tesla"/>
    <x v="4"/>
    <n v="-1.095"/>
    <x v="6"/>
    <x v="0"/>
    <s v="July"/>
    <s v="Loss"/>
    <n v="12.199999999999989"/>
    <n v="96.671999999999954"/>
  </r>
  <r>
    <s v="2023-07-24"/>
    <n v="255.85"/>
    <x v="3482"/>
    <n v="254.12"/>
    <n v="269.06"/>
    <n v="137005037"/>
    <x v="7"/>
    <s v="Tesla"/>
    <x v="4"/>
    <n v="3.4769999999999999"/>
    <x v="6"/>
    <x v="0"/>
    <s v="July"/>
    <s v="Profit"/>
    <n v="15.730000000000018"/>
    <n v="100.14899999999996"/>
  </r>
  <r>
    <s v="2023-07-25"/>
    <n v="272.38"/>
    <x v="3483"/>
    <n v="265"/>
    <n v="265.27999999999997"/>
    <n v="112757327"/>
    <x v="7"/>
    <s v="Tesla"/>
    <x v="4"/>
    <n v="-1.405"/>
    <x v="6"/>
    <x v="0"/>
    <s v="July"/>
    <s v="Loss"/>
    <n v="7.8999999999999773"/>
    <n v="98.743999999999957"/>
  </r>
  <r>
    <s v="2023-07-26"/>
    <n v="263.25"/>
    <x v="3484"/>
    <n v="261.75"/>
    <n v="264.35000000000002"/>
    <n v="95856177"/>
    <x v="7"/>
    <s v="Tesla"/>
    <x v="4"/>
    <n v="-0.35099999999999998"/>
    <x v="6"/>
    <x v="0"/>
    <s v="July"/>
    <s v="Loss"/>
    <n v="6.2900000000000205"/>
    <n v="98.392999999999958"/>
  </r>
  <r>
    <s v="2023-07-27"/>
    <n v="268.31"/>
    <x v="3485"/>
    <n v="255.3"/>
    <n v="255.71"/>
    <n v="103697263"/>
    <x v="7"/>
    <s v="Tesla"/>
    <x v="4"/>
    <n v="-3.2679999999999998"/>
    <x v="6"/>
    <x v="0"/>
    <s v="July"/>
    <s v="Loss"/>
    <n v="13.829999999999984"/>
    <n v="95.124999999999957"/>
  </r>
  <r>
    <s v="2023-07-28"/>
    <n v="259.86"/>
    <x v="3486"/>
    <n v="258.23099999999999"/>
    <n v="266.44"/>
    <n v="111446026"/>
    <x v="7"/>
    <s v="Tesla"/>
    <x v="4"/>
    <n v="4.1959999999999997"/>
    <x v="6"/>
    <x v="0"/>
    <s v="July"/>
    <s v="Profit"/>
    <n v="9.0190000000000055"/>
    <n v="99.320999999999955"/>
  </r>
  <r>
    <s v="2023-07-31"/>
    <n v="267.48"/>
    <x v="3487"/>
    <n v="263.77999999999997"/>
    <n v="267.43"/>
    <n v="84582172"/>
    <x v="7"/>
    <s v="Tesla"/>
    <x v="4"/>
    <n v="0.372"/>
    <x v="6"/>
    <x v="0"/>
    <s v="July"/>
    <s v="Profit"/>
    <n v="5.3000000000000114"/>
    <n v="99.692999999999955"/>
  </r>
  <r>
    <s v="2023-08-01"/>
    <n v="266.26"/>
    <x v="3488"/>
    <n v="260.25"/>
    <n v="261.07"/>
    <n v="83645720"/>
    <x v="7"/>
    <s v="Tesla"/>
    <x v="4"/>
    <n v="-2.3780000000000001"/>
    <x v="7"/>
    <x v="0"/>
    <s v="August"/>
    <s v="Loss"/>
    <n v="6.2200000000000273"/>
    <n v="97.314999999999955"/>
  </r>
  <r>
    <s v="2023-08-02"/>
    <n v="255.57"/>
    <x v="3489"/>
    <n v="250.49"/>
    <n v="254.11"/>
    <n v="101752865"/>
    <x v="7"/>
    <s v="Tesla"/>
    <x v="4"/>
    <n v="-2.6659999999999999"/>
    <x v="7"/>
    <x v="0"/>
    <s v="August"/>
    <s v="Loss"/>
    <n v="9.0299999999999727"/>
    <n v="94.648999999999958"/>
  </r>
  <r>
    <s v="2023-08-03"/>
    <n v="252.04"/>
    <x v="3490"/>
    <n v="252"/>
    <n v="259.32"/>
    <n v="97829545"/>
    <x v="7"/>
    <s v="Tesla"/>
    <x v="4"/>
    <n v="2.0499999999999998"/>
    <x v="7"/>
    <x v="0"/>
    <s v="August"/>
    <s v="Profit"/>
    <n v="8.4900000000000091"/>
    <n v="96.698999999999955"/>
  </r>
  <r>
    <s v="2023-08-04"/>
    <n v="260.97000000000003"/>
    <x v="3491"/>
    <n v="253.11"/>
    <n v="253.86"/>
    <n v="99539907"/>
    <x v="7"/>
    <s v="Tesla"/>
    <x v="4"/>
    <n v="-2.1059999999999999"/>
    <x v="7"/>
    <x v="0"/>
    <s v="August"/>
    <s v="Loss"/>
    <n v="11.659999999999968"/>
    <n v="94.592999999999961"/>
  </r>
  <r>
    <s v="2023-08-07"/>
    <n v="251.45"/>
    <x v="3492"/>
    <n v="242.76"/>
    <n v="251.45"/>
    <n v="111097943"/>
    <x v="7"/>
    <s v="Tesla"/>
    <x v="4"/>
    <n v="-0.94899999999999995"/>
    <x v="7"/>
    <x v="0"/>
    <s v="August"/>
    <s v="Loss"/>
    <n v="10.89100000000002"/>
    <n v="93.643999999999963"/>
  </r>
  <r>
    <s v="2023-08-08"/>
    <n v="247.45"/>
    <x v="3493"/>
    <n v="245.01"/>
    <n v="249.7"/>
    <n v="96642183"/>
    <x v="7"/>
    <s v="Tesla"/>
    <x v="4"/>
    <n v="-0.69599999999999995"/>
    <x v="7"/>
    <x v="0"/>
    <s v="August"/>
    <s v="Loss"/>
    <n v="5.9099999999999966"/>
    <n v="92.947999999999965"/>
  </r>
  <r>
    <s v="2023-08-09"/>
    <n v="250.87"/>
    <x v="3494"/>
    <n v="241.9"/>
    <n v="242.19"/>
    <n v="101596324"/>
    <x v="7"/>
    <s v="Tesla"/>
    <x v="4"/>
    <n v="-3.008"/>
    <x v="7"/>
    <x v="0"/>
    <s v="August"/>
    <s v="Loss"/>
    <n v="9.1999999999999886"/>
    <n v="89.939999999999969"/>
  </r>
  <r>
    <s v="2023-08-10"/>
    <n v="245.4"/>
    <x v="3495"/>
    <n v="243"/>
    <n v="245.34"/>
    <n v="109498608"/>
    <x v="7"/>
    <s v="Tesla"/>
    <x v="4"/>
    <n v="1.3009999999999999"/>
    <x v="7"/>
    <x v="0"/>
    <s v="August"/>
    <s v="Profit"/>
    <n v="8.8000000000000114"/>
    <n v="91.240999999999971"/>
  </r>
  <r>
    <s v="2023-08-11"/>
    <n v="241.77"/>
    <x v="3496"/>
    <n v="238.02"/>
    <n v="242.65"/>
    <n v="99038642"/>
    <x v="7"/>
    <s v="Tesla"/>
    <x v="4"/>
    <n v="-1.0960000000000001"/>
    <x v="7"/>
    <x v="0"/>
    <s v="August"/>
    <s v="Loss"/>
    <n v="5.7699999999999818"/>
    <n v="90.144999999999968"/>
  </r>
  <r>
    <s v="2023-08-14"/>
    <n v="235.7"/>
    <x v="3497"/>
    <n v="233.75"/>
    <n v="239.76"/>
    <n v="98595331"/>
    <x v="7"/>
    <s v="Tesla"/>
    <x v="4"/>
    <n v="-1.1910000000000001"/>
    <x v="7"/>
    <x v="0"/>
    <s v="August"/>
    <s v="Loss"/>
    <n v="6.9099999999999966"/>
    <n v="88.953999999999965"/>
  </r>
  <r>
    <s v="2023-08-15"/>
    <n v="238.73"/>
    <x v="3498"/>
    <n v="232.61"/>
    <n v="232.96"/>
    <n v="88197599"/>
    <x v="7"/>
    <s v="Tesla"/>
    <x v="4"/>
    <n v="-2.8359999999999999"/>
    <x v="7"/>
    <x v="0"/>
    <s v="August"/>
    <s v="Loss"/>
    <n v="7.8899999999999864"/>
    <n v="86.117999999999967"/>
  </r>
  <r>
    <s v="2023-08-16"/>
    <n v="228.02"/>
    <x v="3499"/>
    <n v="225.38"/>
    <n v="225.6"/>
    <n v="112484520"/>
    <x v="7"/>
    <s v="Tesla"/>
    <x v="4"/>
    <n v="-3.1589999999999998"/>
    <x v="7"/>
    <x v="0"/>
    <s v="August"/>
    <s v="Loss"/>
    <n v="8.5900000000000034"/>
    <n v="82.958999999999961"/>
  </r>
  <r>
    <s v="2023-08-17"/>
    <n v="226.06"/>
    <x v="3500"/>
    <n v="218.83"/>
    <n v="219.22"/>
    <n v="120718417"/>
    <x v="7"/>
    <s v="Tesla"/>
    <x v="4"/>
    <n v="-2.8279999999999998"/>
    <x v="7"/>
    <x v="0"/>
    <s v="August"/>
    <s v="Loss"/>
    <n v="7.9099999999999966"/>
    <n v="80.130999999999958"/>
  </r>
  <r>
    <s v="2023-08-18"/>
    <n v="214.12"/>
    <x v="3501"/>
    <n v="212.36"/>
    <n v="215.49"/>
    <n v="136276584"/>
    <x v="7"/>
    <s v="Tesla"/>
    <x v="4"/>
    <n v="-1.7010000000000001"/>
    <x v="7"/>
    <x v="0"/>
    <s v="August"/>
    <s v="Loss"/>
    <n v="5.2199999999999989"/>
    <n v="78.429999999999964"/>
  </r>
  <r>
    <s v="2023-08-21"/>
    <n v="221.55099999999999"/>
    <x v="3502"/>
    <n v="220.58"/>
    <n v="231.28"/>
    <n v="135702671"/>
    <x v="7"/>
    <s v="Tesla"/>
    <x v="4"/>
    <n v="7.327"/>
    <x v="7"/>
    <x v="0"/>
    <s v="August"/>
    <s v="Profit"/>
    <n v="11.553999999999974"/>
    <n v="85.756999999999962"/>
  </r>
  <r>
    <s v="2023-08-22"/>
    <n v="240.25"/>
    <x v="3503"/>
    <n v="229.55"/>
    <n v="233.19"/>
    <n v="130597886"/>
    <x v="7"/>
    <s v="Tesla"/>
    <x v="4"/>
    <n v="0.82599999999999996"/>
    <x v="7"/>
    <x v="0"/>
    <s v="August"/>
    <s v="Profit"/>
    <n v="11.269999999999982"/>
    <n v="86.582999999999956"/>
  </r>
  <r>
    <s v="2023-08-23"/>
    <n v="229.34"/>
    <x v="3504"/>
    <n v="229.29"/>
    <n v="236.86"/>
    <n v="101077635"/>
    <x v="7"/>
    <s v="Tesla"/>
    <x v="4"/>
    <n v="1.5740000000000001"/>
    <x v="7"/>
    <x v="0"/>
    <s v="August"/>
    <s v="Profit"/>
    <n v="9.6899999999999977"/>
    <n v="88.156999999999954"/>
  </r>
  <r>
    <s v="2023-08-24"/>
    <n v="238.66"/>
    <x v="3505"/>
    <n v="228.18"/>
    <n v="230.04"/>
    <n v="99777432"/>
    <x v="7"/>
    <s v="Tesla"/>
    <x v="4"/>
    <n v="-2.879"/>
    <x v="7"/>
    <x v="0"/>
    <s v="August"/>
    <s v="Loss"/>
    <n v="10.739999999999981"/>
    <n v="85.277999999999949"/>
  </r>
  <r>
    <s v="2023-08-25"/>
    <n v="231.31"/>
    <x v="3506"/>
    <n v="230.35"/>
    <n v="238.59"/>
    <n v="106612231"/>
    <x v="7"/>
    <s v="Tesla"/>
    <x v="4"/>
    <n v="3.7170000000000001"/>
    <x v="7"/>
    <x v="0"/>
    <s v="August"/>
    <s v="Profit"/>
    <n v="8.6500000000000057"/>
    <n v="88.994999999999948"/>
  </r>
  <r>
    <s v="2023-08-28"/>
    <n v="242.58"/>
    <x v="3507"/>
    <n v="235.35"/>
    <n v="238.82"/>
    <n v="107673727"/>
    <x v="7"/>
    <s v="Tesla"/>
    <x v="4"/>
    <n v="9.6000000000000002E-2"/>
    <x v="7"/>
    <x v="0"/>
    <s v="August"/>
    <s v="Profit"/>
    <n v="9.0300000000000011"/>
    <n v="89.090999999999951"/>
  </r>
  <r>
    <s v="2023-08-29"/>
    <n v="238.58"/>
    <x v="3508"/>
    <n v="237.77"/>
    <n v="257.18"/>
    <n v="134047603"/>
    <x v="7"/>
    <s v="Tesla"/>
    <x v="4"/>
    <n v="7.6879999999999997"/>
    <x v="7"/>
    <x v="0"/>
    <s v="August"/>
    <s v="Profit"/>
    <n v="19.710000000000008"/>
    <n v="96.778999999999954"/>
  </r>
  <r>
    <s v="2023-08-30"/>
    <n v="254.2"/>
    <x v="3509"/>
    <n v="250.59"/>
    <n v="256.89999999999998"/>
    <n v="121988437"/>
    <x v="7"/>
    <s v="Tesla"/>
    <x v="4"/>
    <n v="-0.109"/>
    <x v="7"/>
    <x v="0"/>
    <s v="August"/>
    <s v="Loss"/>
    <n v="9.9199999999999875"/>
    <n v="96.669999999999959"/>
  </r>
  <r>
    <s v="2023-08-31"/>
    <n v="255.98"/>
    <x v="3510"/>
    <n v="255.05"/>
    <n v="258.08"/>
    <n v="108861698"/>
    <x v="7"/>
    <s v="Tesla"/>
    <x v="4"/>
    <n v="0.45900000000000002"/>
    <x v="7"/>
    <x v="0"/>
    <s v="August"/>
    <s v="Profit"/>
    <n v="6.1299999999999955"/>
    <n v="97.128999999999962"/>
  </r>
  <r>
    <s v="2023-09-01"/>
    <n v="257.26"/>
    <x v="3511"/>
    <n v="242.01"/>
    <n v="245.01"/>
    <n v="132541640"/>
    <x v="7"/>
    <s v="Tesla"/>
    <x v="4"/>
    <n v="-5.0640000000000001"/>
    <x v="8"/>
    <x v="0"/>
    <s v="September"/>
    <s v="Loss"/>
    <n v="17.069000000000017"/>
    <n v="92.064999999999969"/>
  </r>
  <r>
    <s v="2023-09-05"/>
    <n v="245"/>
    <x v="3512"/>
    <n v="244.86"/>
    <n v="256.49"/>
    <n v="129469565"/>
    <x v="7"/>
    <s v="Tesla"/>
    <x v="4"/>
    <n v="4.6859999999999999"/>
    <x v="8"/>
    <x v="0"/>
    <s v="September"/>
    <s v="Profit"/>
    <n v="13.139999999999986"/>
    <n v="96.750999999999976"/>
  </r>
  <r>
    <s v="2023-09-06"/>
    <n v="255.13499999999999"/>
    <x v="3513"/>
    <n v="245.06"/>
    <n v="251.92"/>
    <n v="116959759"/>
    <x v="7"/>
    <s v="Tesla"/>
    <x v="4"/>
    <n v="-1.782"/>
    <x v="8"/>
    <x v="0"/>
    <s v="September"/>
    <s v="Loss"/>
    <n v="10.329999999999984"/>
    <n v="94.96899999999998"/>
  </r>
  <r>
    <s v="2023-09-07"/>
    <n v="245.07"/>
    <x v="3514"/>
    <n v="243.26499999999999"/>
    <n v="251.49"/>
    <n v="115312886"/>
    <x v="7"/>
    <s v="Tesla"/>
    <x v="4"/>
    <n v="-0.17100000000000001"/>
    <x v="8"/>
    <x v="0"/>
    <s v="September"/>
    <s v="Loss"/>
    <n v="9.5450000000000159"/>
    <n v="94.797999999999973"/>
  </r>
  <r>
    <s v="2023-09-08"/>
    <n v="251.22"/>
    <x v="3515"/>
    <n v="246.67"/>
    <n v="248.5"/>
    <n v="118559635"/>
    <x v="7"/>
    <s v="Tesla"/>
    <x v="4"/>
    <n v="-1.1890000000000001"/>
    <x v="8"/>
    <x v="0"/>
    <s v="September"/>
    <s v="Loss"/>
    <n v="9.8499999999999943"/>
    <n v="93.60899999999998"/>
  </r>
  <r>
    <s v="2023-09-11"/>
    <n v="264.27"/>
    <x v="3516"/>
    <n v="260.61"/>
    <n v="273.58"/>
    <n v="174667852"/>
    <x v="7"/>
    <s v="Tesla"/>
    <x v="4"/>
    <n v="10.093"/>
    <x v="8"/>
    <x v="0"/>
    <s v="September"/>
    <s v="Profit"/>
    <n v="14.240000000000009"/>
    <n v="103.70199999999998"/>
  </r>
  <r>
    <s v="2023-09-12"/>
    <n v="270.76"/>
    <x v="3517"/>
    <n v="266.60000000000002"/>
    <n v="267.48"/>
    <n v="135999866"/>
    <x v="7"/>
    <s v="Tesla"/>
    <x v="4"/>
    <n v="-2.23"/>
    <x v="8"/>
    <x v="0"/>
    <s v="September"/>
    <s v="Loss"/>
    <n v="11.789999999999964"/>
    <n v="101.47199999999998"/>
  </r>
  <r>
    <s v="2023-09-13"/>
    <n v="270.07"/>
    <x v="3518"/>
    <n v="268.10000000000002"/>
    <n v="271.3"/>
    <n v="111673737"/>
    <x v="7"/>
    <s v="Tesla"/>
    <x v="4"/>
    <n v="1.4279999999999999"/>
    <x v="8"/>
    <x v="0"/>
    <s v="September"/>
    <s v="Profit"/>
    <n v="6.8799999999999955"/>
    <n v="102.89999999999998"/>
  </r>
  <r>
    <s v="2023-09-14"/>
    <n v="271.32"/>
    <x v="3519"/>
    <n v="270.42"/>
    <n v="276.04000000000002"/>
    <n v="107709842"/>
    <x v="7"/>
    <s v="Tesla"/>
    <x v="4"/>
    <n v="1.7470000000000001"/>
    <x v="8"/>
    <x v="0"/>
    <s v="September"/>
    <s v="Profit"/>
    <n v="6.2889999999999873"/>
    <n v="104.64699999999998"/>
  </r>
  <r>
    <s v="2023-09-15"/>
    <n v="277.55"/>
    <x v="3520"/>
    <n v="271"/>
    <n v="274.39"/>
    <n v="133692313"/>
    <x v="7"/>
    <s v="Tesla"/>
    <x v="4"/>
    <n v="-0.59799999999999998"/>
    <x v="8"/>
    <x v="0"/>
    <s v="September"/>
    <s v="Loss"/>
    <n v="7.9800000000000182"/>
    <n v="104.04899999999998"/>
  </r>
  <r>
    <s v="2023-09-18"/>
    <n v="271.16000000000003"/>
    <x v="3521"/>
    <n v="263.76"/>
    <n v="265.27999999999997"/>
    <n v="101543305"/>
    <x v="7"/>
    <s v="Tesla"/>
    <x v="4"/>
    <n v="-3.32"/>
    <x v="8"/>
    <x v="0"/>
    <s v="September"/>
    <s v="Loss"/>
    <n v="7.6800000000000068"/>
    <n v="100.72899999999998"/>
  </r>
  <r>
    <s v="2023-09-19"/>
    <n v="264.35000000000002"/>
    <x v="3522"/>
    <n v="261.2"/>
    <n v="266.5"/>
    <n v="103704040"/>
    <x v="7"/>
    <s v="Tesla"/>
    <x v="4"/>
    <n v="0.46"/>
    <x v="8"/>
    <x v="0"/>
    <s v="September"/>
    <s v="Profit"/>
    <n v="6.6500000000000341"/>
    <n v="101.18899999999998"/>
  </r>
  <r>
    <s v="2023-09-20"/>
    <n v="267.04000000000002"/>
    <x v="3523"/>
    <n v="262.46100000000001"/>
    <n v="262.58999999999997"/>
    <n v="122514643"/>
    <x v="7"/>
    <s v="Tesla"/>
    <x v="4"/>
    <n v="-1.4670000000000001"/>
    <x v="8"/>
    <x v="0"/>
    <s v="September"/>
    <s v="Loss"/>
    <n v="11.468999999999994"/>
    <n v="99.72199999999998"/>
  </r>
  <r>
    <s v="2023-09-21"/>
    <n v="257.85000000000002"/>
    <x v="3524"/>
    <n v="254.21"/>
    <n v="255.7"/>
    <n v="119951516"/>
    <x v="7"/>
    <s v="Tesla"/>
    <x v="4"/>
    <n v="-2.6240000000000001"/>
    <x v="8"/>
    <x v="0"/>
    <s v="September"/>
    <s v="Loss"/>
    <n v="6.6500000000000057"/>
    <n v="97.097999999999985"/>
  </r>
  <r>
    <s v="2023-09-22"/>
    <n v="257.39999999999998"/>
    <x v="3525"/>
    <n v="244.48"/>
    <n v="244.88"/>
    <n v="127524083"/>
    <x v="7"/>
    <s v="Tesla"/>
    <x v="4"/>
    <n v="-4.2320000000000002"/>
    <x v="8"/>
    <x v="0"/>
    <s v="September"/>
    <s v="Loss"/>
    <n v="13.308999999999997"/>
    <n v="92.865999999999985"/>
  </r>
  <r>
    <s v="2023-09-25"/>
    <n v="243.38"/>
    <x v="3526"/>
    <n v="238.31"/>
    <n v="246.99"/>
    <n v="104636557"/>
    <x v="7"/>
    <s v="Tesla"/>
    <x v="4"/>
    <n v="0.86199999999999999"/>
    <x v="8"/>
    <x v="0"/>
    <s v="September"/>
    <s v="Profit"/>
    <n v="8.789999999999992"/>
    <n v="93.72799999999998"/>
  </r>
  <r>
    <s v="2023-09-26"/>
    <n v="242.98"/>
    <x v="3527"/>
    <n v="241.66"/>
    <n v="244.12"/>
    <n v="101993631"/>
    <x v="7"/>
    <s v="Tesla"/>
    <x v="4"/>
    <n v="-1.1619999999999999"/>
    <x v="8"/>
    <x v="0"/>
    <s v="September"/>
    <s v="Loss"/>
    <n v="7.8900000000000148"/>
    <n v="92.565999999999974"/>
  </r>
  <r>
    <s v="2023-09-27"/>
    <n v="244.262"/>
    <x v="3528"/>
    <n v="234.58"/>
    <n v="240.5"/>
    <n v="136597184"/>
    <x v="7"/>
    <s v="Tesla"/>
    <x v="4"/>
    <n v="-1.4830000000000001"/>
    <x v="8"/>
    <x v="0"/>
    <s v="September"/>
    <s v="Loss"/>
    <n v="10.75"/>
    <n v="91.08299999999997"/>
  </r>
  <r>
    <s v="2023-09-28"/>
    <n v="240.02"/>
    <x v="3529"/>
    <n v="238.65"/>
    <n v="246.38"/>
    <n v="117058870"/>
    <x v="7"/>
    <s v="Tesla"/>
    <x v="4"/>
    <n v="2.4449999999999998"/>
    <x v="8"/>
    <x v="0"/>
    <s v="September"/>
    <s v="Profit"/>
    <n v="8.9000000000000057"/>
    <n v="93.527999999999963"/>
  </r>
  <r>
    <s v="2023-09-29"/>
    <n v="250"/>
    <x v="3530"/>
    <n v="246.35"/>
    <n v="250.22"/>
    <n v="128522729"/>
    <x v="7"/>
    <s v="Tesla"/>
    <x v="4"/>
    <n v="1.5589999999999999"/>
    <x v="8"/>
    <x v="0"/>
    <s v="September"/>
    <s v="Profit"/>
    <n v="8.4200000000000159"/>
    <n v="95.086999999999961"/>
  </r>
  <r>
    <s v="2023-10-02"/>
    <n v="244.81"/>
    <x v="3531"/>
    <n v="242.62"/>
    <n v="251.6"/>
    <n v="123810402"/>
    <x v="7"/>
    <s v="Tesla"/>
    <x v="4"/>
    <n v="0.55200000000000005"/>
    <x v="9"/>
    <x v="0"/>
    <s v="October"/>
    <s v="Profit"/>
    <n v="11.659999999999997"/>
    <n v="95.638999999999967"/>
  </r>
  <r>
    <s v="2023-10-03"/>
    <n v="248.61"/>
    <x v="3532"/>
    <n v="244.45"/>
    <n v="246.53"/>
    <n v="101985305"/>
    <x v="7"/>
    <s v="Tesla"/>
    <x v="4"/>
    <n v="-2.0150000000000001"/>
    <x v="9"/>
    <x v="0"/>
    <s v="October"/>
    <s v="Loss"/>
    <n v="5.5700000000000216"/>
    <n v="93.623999999999967"/>
  </r>
  <r>
    <s v="2023-10-04"/>
    <n v="248.14"/>
    <x v="3533"/>
    <n v="247.6"/>
    <n v="261.16000000000003"/>
    <n v="129721567"/>
    <x v="7"/>
    <s v="Tesla"/>
    <x v="4"/>
    <n v="5.9340000000000002"/>
    <x v="9"/>
    <x v="0"/>
    <s v="October"/>
    <s v="Profit"/>
    <n v="14.260000000000019"/>
    <n v="99.557999999999964"/>
  </r>
  <r>
    <s v="2023-10-05"/>
    <n v="260"/>
    <x v="3458"/>
    <n v="256.25"/>
    <n v="260.05"/>
    <n v="119159214"/>
    <x v="7"/>
    <s v="Tesla"/>
    <x v="4"/>
    <n v="-0.42499999999999999"/>
    <x v="9"/>
    <x v="0"/>
    <s v="October"/>
    <s v="Loss"/>
    <n v="7.3500000000000227"/>
    <n v="99.132999999999967"/>
  </r>
  <r>
    <s v="2023-10-06"/>
    <n v="253.98"/>
    <x v="3534"/>
    <n v="250.65"/>
    <n v="260.52999999999997"/>
    <n v="118121812"/>
    <x v="7"/>
    <s v="Tesla"/>
    <x v="4"/>
    <n v="0.185"/>
    <x v="9"/>
    <x v="0"/>
    <s v="October"/>
    <s v="Profit"/>
    <n v="10.999999999999972"/>
    <n v="99.317999999999969"/>
  </r>
  <r>
    <s v="2023-10-09"/>
    <n v="255.31"/>
    <x v="3535"/>
    <n v="252.05"/>
    <n v="259.67"/>
    <n v="101377947"/>
    <x v="7"/>
    <s v="Tesla"/>
    <x v="4"/>
    <n v="-0.33"/>
    <x v="9"/>
    <x v="0"/>
    <s v="October"/>
    <s v="Loss"/>
    <n v="9.3100000000000023"/>
    <n v="98.987999999999971"/>
  </r>
  <r>
    <s v="2023-10-10"/>
    <n v="257.75"/>
    <x v="3536"/>
    <n v="257.64999999999998"/>
    <n v="263.62"/>
    <n v="122656030"/>
    <x v="7"/>
    <s v="Tesla"/>
    <x v="4"/>
    <n v="1.5209999999999999"/>
    <x v="9"/>
    <x v="0"/>
    <s v="October"/>
    <s v="Profit"/>
    <n v="11.29000000000002"/>
    <n v="100.50899999999997"/>
  </r>
  <r>
    <s v="2023-10-11"/>
    <n v="266.2"/>
    <x v="3537"/>
    <n v="260.89999999999998"/>
    <n v="262.99"/>
    <n v="103706266"/>
    <x v="7"/>
    <s v="Tesla"/>
    <x v="4"/>
    <n v="-0.23899999999999999"/>
    <x v="9"/>
    <x v="0"/>
    <s v="October"/>
    <s v="Loss"/>
    <n v="7.7000000000000455"/>
    <n v="100.26999999999997"/>
  </r>
  <r>
    <s v="2023-10-12"/>
    <n v="262.92"/>
    <x v="3538"/>
    <n v="256.63099999999997"/>
    <n v="258.87"/>
    <n v="111508114"/>
    <x v="7"/>
    <s v="Tesla"/>
    <x v="4"/>
    <n v="-1.5669999999999999"/>
    <x v="9"/>
    <x v="0"/>
    <s v="October"/>
    <s v="Loss"/>
    <n v="8.7790000000000532"/>
    <n v="98.702999999999975"/>
  </r>
  <r>
    <s v="2023-10-13"/>
    <n v="258.89999999999998"/>
    <x v="3539"/>
    <n v="250.22"/>
    <n v="251.12"/>
    <n v="102296786"/>
    <x v="7"/>
    <s v="Tesla"/>
    <x v="4"/>
    <n v="-2.9940000000000002"/>
    <x v="9"/>
    <x v="0"/>
    <s v="October"/>
    <s v="Loss"/>
    <n v="9.3800000000000239"/>
    <n v="95.708999999999975"/>
  </r>
  <r>
    <s v="2023-10-16"/>
    <n v="250.05"/>
    <x v="3540"/>
    <n v="248.48"/>
    <n v="253.92"/>
    <n v="88917176"/>
    <x v="7"/>
    <s v="Tesla"/>
    <x v="4"/>
    <n v="1.115"/>
    <x v="9"/>
    <x v="0"/>
    <s v="October"/>
    <s v="Profit"/>
    <n v="6.9200000000000159"/>
    <n v="96.82399999999997"/>
  </r>
  <r>
    <s v="2023-10-17"/>
    <n v="250.1"/>
    <x v="3541"/>
    <n v="247.08"/>
    <n v="254.85"/>
    <n v="93562909"/>
    <x v="7"/>
    <s v="Tesla"/>
    <x v="4"/>
    <n v="0.36599999999999999"/>
    <x v="9"/>
    <x v="0"/>
    <s v="October"/>
    <s v="Profit"/>
    <n v="10.10299999999998"/>
    <n v="97.189999999999969"/>
  </r>
  <r>
    <s v="2023-10-18"/>
    <n v="252.7"/>
    <x v="3542"/>
    <n v="242.08"/>
    <n v="242.68"/>
    <n v="125147846"/>
    <x v="7"/>
    <s v="Tesla"/>
    <x v="4"/>
    <n v="-4.7750000000000004"/>
    <x v="9"/>
    <x v="0"/>
    <s v="October"/>
    <s v="Loss"/>
    <n v="12.549999999999983"/>
    <n v="92.414999999999964"/>
  </r>
  <r>
    <s v="2023-10-19"/>
    <n v="225.95"/>
    <x v="3543"/>
    <n v="216.78"/>
    <n v="220.11"/>
    <n v="170772713"/>
    <x v="7"/>
    <s v="Tesla"/>
    <x v="4"/>
    <n v="-9.3000000000000007"/>
    <x v="9"/>
    <x v="0"/>
    <s v="October"/>
    <s v="Loss"/>
    <n v="13.830000000000013"/>
    <n v="83.114999999999966"/>
  </r>
  <r>
    <s v="2023-10-20"/>
    <n v="217.01"/>
    <x v="3544"/>
    <n v="210.42"/>
    <n v="211.99"/>
    <n v="138010095"/>
    <x v="7"/>
    <s v="Tesla"/>
    <x v="4"/>
    <n v="-3.6890000000000001"/>
    <x v="9"/>
    <x v="0"/>
    <s v="October"/>
    <s v="Loss"/>
    <n v="8.4410000000000025"/>
    <n v="79.425999999999959"/>
  </r>
  <r>
    <s v="2023-10-23"/>
    <n v="210"/>
    <x v="3545"/>
    <n v="202.51"/>
    <n v="212.08"/>
    <n v="150683368"/>
    <x v="7"/>
    <s v="Tesla"/>
    <x v="4"/>
    <n v="4.2000000000000003E-2"/>
    <x v="9"/>
    <x v="0"/>
    <s v="October"/>
    <s v="Profit"/>
    <n v="14.469999999999999"/>
    <n v="79.467999999999961"/>
  </r>
  <r>
    <s v="2023-10-24"/>
    <n v="216.5"/>
    <x v="3546"/>
    <n v="214.11"/>
    <n v="216.52"/>
    <n v="118231113"/>
    <x v="7"/>
    <s v="Tesla"/>
    <x v="4"/>
    <n v="2.0939999999999999"/>
    <x v="9"/>
    <x v="0"/>
    <s v="October"/>
    <s v="Profit"/>
    <n v="7.9399999999999977"/>
    <n v="81.561999999999955"/>
  </r>
  <r>
    <s v="2023-10-25"/>
    <n v="215.88"/>
    <x v="3547"/>
    <n v="212.2"/>
    <n v="212.42"/>
    <n v="107065087"/>
    <x v="7"/>
    <s v="Tesla"/>
    <x v="4"/>
    <n v="-1.8939999999999999"/>
    <x v="9"/>
    <x v="0"/>
    <s v="October"/>
    <s v="Loss"/>
    <n v="7.9000000000000057"/>
    <n v="79.66799999999995"/>
  </r>
  <r>
    <s v="2023-10-26"/>
    <n v="211.32"/>
    <x v="3548"/>
    <n v="204.88"/>
    <n v="205.76"/>
    <n v="115112635"/>
    <x v="7"/>
    <s v="Tesla"/>
    <x v="4"/>
    <n v="-3.1349999999999998"/>
    <x v="9"/>
    <x v="0"/>
    <s v="October"/>
    <s v="Loss"/>
    <n v="9.9200000000000159"/>
    <n v="76.532999999999944"/>
  </r>
  <r>
    <s v="2023-10-27"/>
    <n v="210.6"/>
    <x v="3549"/>
    <n v="205.77"/>
    <n v="207.3"/>
    <n v="94881173"/>
    <x v="7"/>
    <s v="Tesla"/>
    <x v="4"/>
    <n v="0.748"/>
    <x v="9"/>
    <x v="0"/>
    <s v="October"/>
    <s v="Profit"/>
    <n v="6.6399999999999864"/>
    <n v="77.280999999999949"/>
  </r>
  <r>
    <s v="2023-10-30"/>
    <n v="209.28"/>
    <x v="3550"/>
    <n v="194.67"/>
    <n v="197.36"/>
    <n v="136448167"/>
    <x v="7"/>
    <s v="Tesla"/>
    <x v="4"/>
    <n v="-4.7949999999999999"/>
    <x v="9"/>
    <x v="0"/>
    <s v="October"/>
    <s v="Loss"/>
    <n v="16.210000000000008"/>
    <n v="72.485999999999947"/>
  </r>
  <r>
    <s v="2023-10-31"/>
    <n v="196.12"/>
    <x v="3551"/>
    <n v="194.07"/>
    <n v="200.84"/>
    <n v="118068273"/>
    <x v="7"/>
    <s v="Tesla"/>
    <x v="4"/>
    <n v="1.7629999999999999"/>
    <x v="9"/>
    <x v="0"/>
    <s v="October"/>
    <s v="Profit"/>
    <n v="8.7300000000000182"/>
    <n v="74.248999999999953"/>
  </r>
  <r>
    <s v="2023-11-01"/>
    <n v="204.04"/>
    <x v="3552"/>
    <n v="197.85"/>
    <n v="205.66"/>
    <n v="121661656"/>
    <x v="7"/>
    <s v="Tesla"/>
    <x v="4"/>
    <n v="2.4"/>
    <x v="10"/>
    <x v="0"/>
    <s v="November"/>
    <s v="Profit"/>
    <n v="8.1400000000000148"/>
    <n v="76.648999999999958"/>
  </r>
  <r>
    <s v="2023-11-02"/>
    <n v="212.97"/>
    <x v="3553"/>
    <n v="211.45"/>
    <n v="218.51"/>
    <n v="125987621"/>
    <x v="7"/>
    <s v="Tesla"/>
    <x v="4"/>
    <n v="6.2480000000000002"/>
    <x v="10"/>
    <x v="0"/>
    <s v="November"/>
    <s v="Profit"/>
    <n v="7.75"/>
    <n v="82.896999999999963"/>
  </r>
  <r>
    <s v="2023-11-03"/>
    <n v="221.15"/>
    <x v="3554"/>
    <n v="218.4"/>
    <n v="219.96"/>
    <n v="119534790"/>
    <x v="7"/>
    <s v="Tesla"/>
    <x v="4"/>
    <n v="0.66400000000000003"/>
    <x v="10"/>
    <x v="0"/>
    <s v="November"/>
    <s v="Profit"/>
    <n v="7.9699999999999989"/>
    <n v="83.560999999999964"/>
  </r>
  <r>
    <s v="2023-11-06"/>
    <n v="223.98"/>
    <x v="3555"/>
    <n v="215"/>
    <n v="219.27"/>
    <n v="117335820"/>
    <x v="7"/>
    <s v="Tesla"/>
    <x v="4"/>
    <n v="-0.314"/>
    <x v="10"/>
    <x v="0"/>
    <s v="November"/>
    <s v="Loss"/>
    <n v="11.319999999999993"/>
    <n v="83.246999999999971"/>
  </r>
  <r>
    <s v="2023-11-07"/>
    <n v="219.98"/>
    <x v="3556"/>
    <n v="215.72"/>
    <n v="222.18"/>
    <n v="116900130"/>
    <x v="7"/>
    <s v="Tesla"/>
    <x v="4"/>
    <n v="1.327"/>
    <x v="10"/>
    <x v="0"/>
    <s v="November"/>
    <s v="Profit"/>
    <n v="7.4000000000000057"/>
    <n v="84.57399999999997"/>
  </r>
  <r>
    <s v="2023-11-08"/>
    <n v="223.15"/>
    <x v="3557"/>
    <n v="217.64"/>
    <n v="222.11"/>
    <n v="106584841"/>
    <x v="7"/>
    <s v="Tesla"/>
    <x v="4"/>
    <n v="-3.2000000000000001E-2"/>
    <x v="10"/>
    <x v="0"/>
    <s v="November"/>
    <s v="Loss"/>
    <n v="6.5100000000000193"/>
    <n v="84.541999999999973"/>
  </r>
  <r>
    <s v="2023-11-09"/>
    <n v="219.75"/>
    <x v="2294"/>
    <n v="206.68"/>
    <n v="209.98"/>
    <n v="142110454"/>
    <x v="7"/>
    <s v="Tesla"/>
    <x v="4"/>
    <n v="-5.4610000000000003"/>
    <x v="10"/>
    <x v="0"/>
    <s v="November"/>
    <s v="Loss"/>
    <n v="14.120000000000005"/>
    <n v="79.080999999999975"/>
  </r>
  <r>
    <s v="2023-11-10"/>
    <n v="210.03"/>
    <x v="3558"/>
    <n v="205.69"/>
    <n v="214.65"/>
    <n v="131310128"/>
    <x v="7"/>
    <s v="Tesla"/>
    <x v="4"/>
    <n v="2.2240000000000002"/>
    <x v="10"/>
    <x v="0"/>
    <s v="November"/>
    <s v="Profit"/>
    <n v="9.6899999999999977"/>
    <n v="81.304999999999978"/>
  </r>
  <r>
    <s v="2023-11-13"/>
    <n v="215.6"/>
    <x v="3559"/>
    <n v="211.61"/>
    <n v="223.71"/>
    <n v="140447569"/>
    <x v="7"/>
    <s v="Tesla"/>
    <x v="4"/>
    <n v="4.2210000000000001"/>
    <x v="10"/>
    <x v="0"/>
    <s v="November"/>
    <s v="Profit"/>
    <n v="13.789999999999992"/>
    <n v="85.525999999999982"/>
  </r>
  <r>
    <s v="2023-11-14"/>
    <n v="235.03"/>
    <x v="3560"/>
    <n v="230.72"/>
    <n v="237.41"/>
    <n v="149771642"/>
    <x v="7"/>
    <s v="Tesla"/>
    <x v="4"/>
    <n v="6.1239999999999997"/>
    <x v="10"/>
    <x v="0"/>
    <s v="November"/>
    <s v="Profit"/>
    <n v="7.414999999999992"/>
    <n v="91.649999999999977"/>
  </r>
  <r>
    <s v="2023-11-15"/>
    <n v="239.29"/>
    <x v="3561"/>
    <n v="236.45"/>
    <n v="242.84"/>
    <n v="150353975"/>
    <x v="7"/>
    <s v="Tesla"/>
    <x v="4"/>
    <n v="2.2869999999999999"/>
    <x v="10"/>
    <x v="0"/>
    <s v="November"/>
    <s v="Profit"/>
    <n v="10.25"/>
    <n v="93.936999999999983"/>
  </r>
  <r>
    <s v="2023-11-16"/>
    <n v="239.49"/>
    <x v="3562"/>
    <n v="230.96"/>
    <n v="233.59"/>
    <n v="136816819"/>
    <x v="7"/>
    <s v="Tesla"/>
    <x v="4"/>
    <n v="-3.8090000000000002"/>
    <x v="10"/>
    <x v="0"/>
    <s v="November"/>
    <s v="Loss"/>
    <n v="9.9199999999999875"/>
    <n v="90.127999999999986"/>
  </r>
  <r>
    <s v="2023-11-17"/>
    <n v="232"/>
    <x v="3563"/>
    <n v="226.54"/>
    <n v="234.3"/>
    <n v="142766234"/>
    <x v="7"/>
    <s v="Tesla"/>
    <x v="4"/>
    <n v="0.30399999999999999"/>
    <x v="10"/>
    <x v="0"/>
    <s v="November"/>
    <s v="Profit"/>
    <n v="10.849999999999994"/>
    <n v="90.431999999999988"/>
  </r>
  <r>
    <s v="2023-11-20"/>
    <n v="234.04"/>
    <x v="3564"/>
    <n v="231.02"/>
    <n v="235.6"/>
    <n v="116562402"/>
    <x v="7"/>
    <s v="Tesla"/>
    <x v="4"/>
    <n v="0.55500000000000005"/>
    <x v="10"/>
    <x v="0"/>
    <s v="November"/>
    <s v="Profit"/>
    <n v="6.0799999999999841"/>
    <n v="90.986999999999995"/>
  </r>
  <r>
    <s v="2023-11-21"/>
    <n v="235.04"/>
    <x v="3565"/>
    <n v="233.34"/>
    <n v="241.2"/>
    <n v="122288000"/>
    <x v="7"/>
    <s v="Tesla"/>
    <x v="4"/>
    <n v="2.3769999999999998"/>
    <x v="10"/>
    <x v="0"/>
    <s v="November"/>
    <s v="Profit"/>
    <n v="10.280000000000001"/>
    <n v="93.36399999999999"/>
  </r>
  <r>
    <s v="2023-11-22"/>
    <n v="242.04"/>
    <x v="3566"/>
    <n v="231.4"/>
    <n v="234.21"/>
    <n v="118117078"/>
    <x v="7"/>
    <s v="Tesla"/>
    <x v="4"/>
    <n v="-2.8980000000000001"/>
    <x v="10"/>
    <x v="0"/>
    <s v="November"/>
    <s v="Loss"/>
    <n v="12.609999999999985"/>
    <n v="90.465999999999994"/>
  </r>
  <r>
    <s v="2023-11-24"/>
    <n v="233.75"/>
    <x v="3567"/>
    <n v="232.33"/>
    <n v="235.45"/>
    <n v="65125203"/>
    <x v="7"/>
    <s v="Tesla"/>
    <x v="4"/>
    <n v="0.52900000000000003"/>
    <x v="10"/>
    <x v="0"/>
    <s v="November"/>
    <s v="Profit"/>
    <n v="6.4199999999999875"/>
    <n v="90.99499999999999"/>
  </r>
  <r>
    <s v="2023-11-27"/>
    <n v="236.89"/>
    <x v="3568"/>
    <n v="232.1"/>
    <n v="236.08"/>
    <n v="112031763"/>
    <x v="7"/>
    <s v="Tesla"/>
    <x v="4"/>
    <n v="0.26800000000000002"/>
    <x v="10"/>
    <x v="0"/>
    <s v="November"/>
    <s v="Profit"/>
    <n v="6.2300000000000182"/>
    <n v="91.262999999999991"/>
  </r>
  <r>
    <s v="2023-11-28"/>
    <n v="236.68"/>
    <x v="3569"/>
    <n v="234.01"/>
    <n v="246.72"/>
    <n v="148549913"/>
    <x v="7"/>
    <s v="Tesla"/>
    <x v="4"/>
    <n v="4.5069999999999997"/>
    <x v="10"/>
    <x v="0"/>
    <s v="November"/>
    <s v="Profit"/>
    <n v="12.990000000000009"/>
    <n v="95.77"/>
  </r>
  <r>
    <s v="2023-11-29"/>
    <n v="249.21"/>
    <x v="3570"/>
    <n v="242.76"/>
    <n v="244.14"/>
    <n v="135401335"/>
    <x v="7"/>
    <s v="Tesla"/>
    <x v="4"/>
    <n v="-1.046"/>
    <x v="10"/>
    <x v="0"/>
    <s v="November"/>
    <s v="Loss"/>
    <n v="9.9900000000000091"/>
    <n v="94.72399999999999"/>
  </r>
  <r>
    <s v="2023-11-30"/>
    <n v="245.14"/>
    <x v="3571"/>
    <n v="236.91"/>
    <n v="240.08"/>
    <n v="132353196"/>
    <x v="7"/>
    <s v="Tesla"/>
    <x v="4"/>
    <n v="-1.663"/>
    <x v="10"/>
    <x v="0"/>
    <s v="November"/>
    <s v="Loss"/>
    <n v="8.3100000000000023"/>
    <n v="93.060999999999993"/>
  </r>
  <r>
    <s v="2023-12-01"/>
    <n v="233.14"/>
    <x v="3572"/>
    <n v="231.9"/>
    <n v="238.83"/>
    <n v="121331709"/>
    <x v="7"/>
    <s v="Tesla"/>
    <x v="4"/>
    <n v="-0.52100000000000002"/>
    <x v="11"/>
    <x v="0"/>
    <s v="December"/>
    <s v="Loss"/>
    <n v="8.289999999999992"/>
    <n v="92.539999999999992"/>
  </r>
  <r>
    <s v="2023-12-04"/>
    <n v="235.75"/>
    <x v="2391"/>
    <n v="233.29"/>
    <n v="235.58"/>
    <n v="104099817"/>
    <x v="7"/>
    <s v="Tesla"/>
    <x v="4"/>
    <n v="-1.361"/>
    <x v="11"/>
    <x v="0"/>
    <s v="December"/>
    <s v="Loss"/>
    <n v="6.0829999999999984"/>
    <n v="91.178999999999988"/>
  </r>
  <r>
    <s v="2023-12-05"/>
    <n v="233.87"/>
    <x v="3573"/>
    <n v="233.7"/>
    <n v="238.72"/>
    <n v="137971115"/>
    <x v="7"/>
    <s v="Tesla"/>
    <x v="4"/>
    <n v="1.333"/>
    <x v="11"/>
    <x v="0"/>
    <s v="December"/>
    <s v="Profit"/>
    <n v="12.960000000000008"/>
    <n v="92.511999999999986"/>
  </r>
  <r>
    <s v="2023-12-06"/>
    <n v="242.92"/>
    <x v="3574"/>
    <n v="239.17099999999999"/>
    <n v="239.37"/>
    <n v="126436179"/>
    <x v="7"/>
    <s v="Tesla"/>
    <x v="4"/>
    <n v="0.27200000000000002"/>
    <x v="11"/>
    <x v="0"/>
    <s v="December"/>
    <s v="Profit"/>
    <n v="7.3990000000000009"/>
    <n v="92.783999999999992"/>
  </r>
  <r>
    <s v="2023-12-07"/>
    <n v="241.55"/>
    <x v="3575"/>
    <n v="236.98"/>
    <n v="242.64"/>
    <n v="107142262"/>
    <x v="7"/>
    <s v="Tesla"/>
    <x v="4"/>
    <n v="1.3660000000000001"/>
    <x v="11"/>
    <x v="0"/>
    <s v="December"/>
    <s v="Profit"/>
    <n v="7.1000000000000227"/>
    <n v="94.149999999999991"/>
  </r>
  <r>
    <s v="2023-12-08"/>
    <n v="240.27"/>
    <x v="3576"/>
    <n v="239.27"/>
    <n v="243.84"/>
    <n v="103126829"/>
    <x v="7"/>
    <s v="Tesla"/>
    <x v="4"/>
    <n v="0.495"/>
    <x v="11"/>
    <x v="0"/>
    <s v="December"/>
    <s v="Profit"/>
    <n v="6"/>
    <n v="94.644999999999996"/>
  </r>
  <r>
    <s v="2023-12-11"/>
    <n v="242.74"/>
    <x v="3577"/>
    <n v="237.45"/>
    <n v="239.74"/>
    <n v="97913888"/>
    <x v="7"/>
    <s v="Tesla"/>
    <x v="4"/>
    <n v="-1.681"/>
    <x v="11"/>
    <x v="0"/>
    <s v="December"/>
    <s v="Loss"/>
    <n v="5.9910000000000139"/>
    <n v="92.963999999999999"/>
  </r>
  <r>
    <s v="2023-12-12"/>
    <n v="238.55"/>
    <x v="3578"/>
    <n v="233.87"/>
    <n v="237.01"/>
    <n v="95328313"/>
    <x v="7"/>
    <s v="Tesla"/>
    <x v="4"/>
    <n v="-1.139"/>
    <x v="11"/>
    <x v="0"/>
    <s v="December"/>
    <s v="Loss"/>
    <n v="5.1200000000000045"/>
    <n v="91.825000000000003"/>
  </r>
  <r>
    <s v="2023-12-13"/>
    <n v="234.19"/>
    <x v="3579"/>
    <n v="228.2"/>
    <n v="239.29"/>
    <n v="146286348"/>
    <x v="7"/>
    <s v="Tesla"/>
    <x v="4"/>
    <n v="0.96199999999999997"/>
    <x v="11"/>
    <x v="0"/>
    <s v="December"/>
    <s v="Profit"/>
    <n v="12.100000000000023"/>
    <n v="92.787000000000006"/>
  </r>
  <r>
    <s v="2023-12-14"/>
    <n v="241.22"/>
    <x v="3580"/>
    <n v="240.79"/>
    <n v="251.05"/>
    <n v="160829239"/>
    <x v="7"/>
    <s v="Tesla"/>
    <x v="4"/>
    <n v="4.915"/>
    <x v="11"/>
    <x v="0"/>
    <s v="December"/>
    <s v="Profit"/>
    <n v="13.090000000000003"/>
    <n v="97.702000000000012"/>
  </r>
  <r>
    <s v="2023-12-15"/>
    <n v="251.21"/>
    <x v="3581"/>
    <n v="248.3"/>
    <n v="253.5"/>
    <n v="135932762"/>
    <x v="7"/>
    <s v="Tesla"/>
    <x v="4"/>
    <n v="0.97599999999999998"/>
    <x v="11"/>
    <x v="0"/>
    <s v="December"/>
    <s v="Profit"/>
    <n v="5.8299999999999841"/>
    <n v="98.678000000000011"/>
  </r>
  <r>
    <s v="2023-12-18"/>
    <n v="253.78"/>
    <x v="3582"/>
    <n v="251.36"/>
    <n v="252.08"/>
    <n v="116416490"/>
    <x v="7"/>
    <s v="Tesla"/>
    <x v="4"/>
    <n v="-0.56000000000000005"/>
    <x v="11"/>
    <x v="0"/>
    <s v="December"/>
    <s v="Loss"/>
    <n v="7.3799999999999955"/>
    <n v="98.118000000000009"/>
  </r>
  <r>
    <s v="2023-12-19"/>
    <n v="253.48"/>
    <x v="3583"/>
    <n v="253.01"/>
    <n v="257.22000000000003"/>
    <n v="106737369"/>
    <x v="7"/>
    <s v="Tesla"/>
    <x v="4"/>
    <n v="2.0390000000000001"/>
    <x v="11"/>
    <x v="0"/>
    <s v="December"/>
    <s v="Profit"/>
    <n v="5.3299999999999841"/>
    <n v="100.15700000000001"/>
  </r>
  <r>
    <s v="2023-12-20"/>
    <n v="256.41000000000003"/>
    <x v="3584"/>
    <n v="247"/>
    <n v="247.14"/>
    <n v="125096987"/>
    <x v="7"/>
    <s v="Tesla"/>
    <x v="4"/>
    <n v="-3.919"/>
    <x v="11"/>
    <x v="0"/>
    <s v="December"/>
    <s v="Loss"/>
    <n v="12.839999999999975"/>
    <n v="96.238000000000014"/>
  </r>
  <r>
    <s v="2023-12-21"/>
    <n v="251.9"/>
    <x v="3585"/>
    <n v="248.55"/>
    <n v="254.5"/>
    <n v="109594227"/>
    <x v="7"/>
    <s v="Tesla"/>
    <x v="4"/>
    <n v="2.9780000000000002"/>
    <x v="11"/>
    <x v="0"/>
    <s v="December"/>
    <s v="Profit"/>
    <n v="6.25"/>
    <n v="99.216000000000008"/>
  </r>
  <r>
    <s v="2023-12-22"/>
    <n v="256.76"/>
    <x v="3586"/>
    <n v="251.37"/>
    <n v="252.54"/>
    <n v="93370094"/>
    <x v="7"/>
    <s v="Tesla"/>
    <x v="4"/>
    <n v="-0.77"/>
    <x v="11"/>
    <x v="0"/>
    <s v="December"/>
    <s v="Loss"/>
    <n v="6.8500000000000227"/>
    <n v="98.446000000000012"/>
  </r>
  <r>
    <s v="2023-12-26"/>
    <n v="254.49"/>
    <x v="3587"/>
    <n v="252.91"/>
    <n v="256.61"/>
    <n v="86892382"/>
    <x v="7"/>
    <s v="Tesla"/>
    <x v="4"/>
    <n v="1.6120000000000001"/>
    <x v="11"/>
    <x v="0"/>
    <s v="December"/>
    <s v="Profit"/>
    <n v="5.0600000000000307"/>
    <n v="100.05800000000001"/>
  </r>
  <r>
    <s v="2023-12-27"/>
    <n v="258.35000000000002"/>
    <x v="3588"/>
    <n v="257.52"/>
    <n v="261.44"/>
    <n v="106494359"/>
    <x v="7"/>
    <s v="Tesla"/>
    <x v="4"/>
    <n v="1.8819999999999999"/>
    <x v="11"/>
    <x v="0"/>
    <s v="December"/>
    <s v="Profit"/>
    <n v="5.8199999999999932"/>
    <n v="101.94000000000001"/>
  </r>
  <r>
    <s v="2023-12-28"/>
    <n v="263.66000000000003"/>
    <x v="3589"/>
    <n v="252.71"/>
    <n v="253.18"/>
    <n v="113619943"/>
    <x v="7"/>
    <s v="Tesla"/>
    <x v="4"/>
    <n v="-3.1589999999999998"/>
    <x v="11"/>
    <x v="0"/>
    <s v="December"/>
    <s v="Loss"/>
    <n v="12.419999999999987"/>
    <n v="98.781000000000006"/>
  </r>
  <r>
    <s v="2023-12-29"/>
    <n v="255.1"/>
    <x v="3590"/>
    <n v="247.43"/>
    <n v="248.48"/>
    <n v="100891578"/>
    <x v="7"/>
    <s v="Tesla"/>
    <x v="4"/>
    <n v="-1.8560000000000001"/>
    <x v="11"/>
    <x v="0"/>
    <s v="December"/>
    <s v="Loss"/>
    <n v="7.7599999999999909"/>
    <n v="96.925000000000011"/>
  </r>
  <r>
    <s v="2024-01-02"/>
    <n v="250.08"/>
    <x v="3591"/>
    <n v="244.41"/>
    <n v="248.42"/>
    <n v="104654163"/>
    <x v="7"/>
    <s v="Tesla"/>
    <x v="4"/>
    <n v="-2.4E-2"/>
    <x v="12"/>
    <x v="1"/>
    <s v="January"/>
    <s v="Loss"/>
    <n v="6.8400000000000034"/>
    <n v="96.90100000000001"/>
  </r>
  <r>
    <s v="2024-01-03"/>
    <n v="244.98"/>
    <x v="3592"/>
    <n v="236.32"/>
    <n v="238.45"/>
    <n v="121082599"/>
    <x v="7"/>
    <s v="Tesla"/>
    <x v="4"/>
    <n v="-4.0129999999999999"/>
    <x v="12"/>
    <x v="1"/>
    <s v="January"/>
    <s v="Loss"/>
    <n v="9.3600000000000136"/>
    <n v="92.888000000000005"/>
  </r>
  <r>
    <s v="2024-01-04"/>
    <n v="239.25"/>
    <x v="3593"/>
    <n v="237.73"/>
    <n v="237.93"/>
    <n v="102629283"/>
    <x v="7"/>
    <s v="Tesla"/>
    <x v="4"/>
    <n v="-0.218"/>
    <x v="12"/>
    <x v="1"/>
    <s v="January"/>
    <s v="Loss"/>
    <n v="4.9699999999999989"/>
    <n v="92.67"/>
  </r>
  <r>
    <s v="2024-01-05"/>
    <n v="236.86"/>
    <x v="3594"/>
    <n v="234.9"/>
    <n v="237.49"/>
    <n v="92488939"/>
    <x v="7"/>
    <s v="Tesla"/>
    <x v="4"/>
    <n v="-0.185"/>
    <x v="12"/>
    <x v="1"/>
    <s v="January"/>
    <s v="Loss"/>
    <n v="5.2199999999999989"/>
    <n v="92.484999999999999"/>
  </r>
  <r>
    <s v="2024-01-08"/>
    <n v="236.14"/>
    <x v="3595"/>
    <n v="235.3"/>
    <n v="240.45"/>
    <n v="85166580"/>
    <x v="7"/>
    <s v="Tesla"/>
    <x v="4"/>
    <n v="1.246"/>
    <x v="12"/>
    <x v="1"/>
    <s v="January"/>
    <s v="Profit"/>
    <n v="5.9499999999999886"/>
    <n v="93.730999999999995"/>
  </r>
  <r>
    <s v="2024-01-09"/>
    <n v="238.11"/>
    <x v="3596"/>
    <n v="232.04"/>
    <n v="234.96"/>
    <n v="96705664"/>
    <x v="7"/>
    <s v="Tesla"/>
    <x v="4"/>
    <n v="-2.2829999999999999"/>
    <x v="12"/>
    <x v="1"/>
    <s v="January"/>
    <s v="Loss"/>
    <n v="6.9250000000000114"/>
    <n v="91.447999999999993"/>
  </r>
  <r>
    <s v="2024-01-10"/>
    <n v="235.1"/>
    <x v="3597"/>
    <n v="231.29"/>
    <n v="233.94"/>
    <n v="91628502"/>
    <x v="7"/>
    <s v="Tesla"/>
    <x v="4"/>
    <n v="-0.434"/>
    <x v="12"/>
    <x v="1"/>
    <s v="January"/>
    <s v="Loss"/>
    <n v="4.210000000000008"/>
    <n v="91.013999999999996"/>
  </r>
  <r>
    <s v="2024-01-11"/>
    <n v="230.57"/>
    <x v="3598"/>
    <n v="225.37"/>
    <n v="227.22"/>
    <n v="105873612"/>
    <x v="7"/>
    <s v="Tesla"/>
    <x v="4"/>
    <n v="-2.8730000000000002"/>
    <x v="12"/>
    <x v="1"/>
    <s v="January"/>
    <s v="Loss"/>
    <n v="5.5600000000000023"/>
    <n v="88.140999999999991"/>
  </r>
  <r>
    <s v="2024-01-12"/>
    <n v="220.08"/>
    <x v="3599"/>
    <n v="217.15"/>
    <n v="218.89"/>
    <n v="123043812"/>
    <x v="7"/>
    <s v="Tesla"/>
    <x v="4"/>
    <n v="-3.6659999999999999"/>
    <x v="12"/>
    <x v="1"/>
    <s v="January"/>
    <s v="Loss"/>
    <n v="8.1899999999999977"/>
    <n v="84.474999999999994"/>
  </r>
  <r>
    <s v="2024-01-16"/>
    <n v="215.1"/>
    <x v="3600"/>
    <n v="212.18"/>
    <n v="219.91"/>
    <n v="115355046"/>
    <x v="7"/>
    <s v="Tesla"/>
    <x v="4"/>
    <n v="0.46600000000000003"/>
    <x v="12"/>
    <x v="1"/>
    <s v="January"/>
    <s v="Profit"/>
    <n v="11.310000000000002"/>
    <n v="84.940999999999988"/>
  </r>
  <r>
    <s v="2024-01-17"/>
    <n v="214.86"/>
    <x v="3601"/>
    <n v="212.01"/>
    <n v="215.55"/>
    <n v="103164400"/>
    <x v="7"/>
    <s v="Tesla"/>
    <x v="4"/>
    <n v="-1.9830000000000001"/>
    <x v="12"/>
    <x v="1"/>
    <s v="January"/>
    <s v="Loss"/>
    <n v="3.6599999999999966"/>
    <n v="82.957999999999984"/>
  </r>
  <r>
    <s v="2024-01-18"/>
    <n v="216.88"/>
    <x v="3602"/>
    <n v="208.74"/>
    <n v="211.88"/>
    <n v="108595431"/>
    <x v="7"/>
    <s v="Tesla"/>
    <x v="4"/>
    <n v="-1.7030000000000001"/>
    <x v="12"/>
    <x v="1"/>
    <s v="January"/>
    <s v="Loss"/>
    <n v="8.7099999999999795"/>
    <n v="81.254999999999981"/>
  </r>
  <r>
    <s v="2024-01-19"/>
    <n v="209.99"/>
    <x v="3603"/>
    <n v="207.56"/>
    <n v="212.19"/>
    <n v="102260343"/>
    <x v="7"/>
    <s v="Tesla"/>
    <x v="4"/>
    <n v="0.14599999999999999"/>
    <x v="12"/>
    <x v="1"/>
    <s v="January"/>
    <s v="Profit"/>
    <n v="5.6299999999999955"/>
    <n v="81.400999999999982"/>
  </r>
  <r>
    <s v="2024-01-22"/>
    <n v="212.26"/>
    <x v="3604"/>
    <n v="206.27"/>
    <n v="208.8"/>
    <n v="117952527"/>
    <x v="7"/>
    <s v="Tesla"/>
    <x v="4"/>
    <n v="-1.5980000000000001"/>
    <x v="12"/>
    <x v="1"/>
    <s v="January"/>
    <s v="Loss"/>
    <n v="11.530000000000001"/>
    <n v="79.802999999999983"/>
  </r>
  <r>
    <s v="2024-01-23"/>
    <n v="211.3"/>
    <x v="3605"/>
    <n v="207.75200000000001"/>
    <n v="209.14"/>
    <n v="106605946"/>
    <x v="7"/>
    <s v="Tesla"/>
    <x v="4"/>
    <n v="0.16300000000000001"/>
    <x v="12"/>
    <x v="1"/>
    <s v="January"/>
    <s v="Profit"/>
    <n v="7.8979999999999961"/>
    <n v="79.96599999999998"/>
  </r>
  <r>
    <s v="2024-01-24"/>
    <n v="211.88"/>
    <x v="3606"/>
    <n v="206.77"/>
    <n v="207.83"/>
    <n v="123369932"/>
    <x v="7"/>
    <s v="Tesla"/>
    <x v="4"/>
    <n v="-0.626"/>
    <x v="12"/>
    <x v="1"/>
    <s v="January"/>
    <s v="Loss"/>
    <n v="5.9599999999999795"/>
    <n v="79.339999999999975"/>
  </r>
  <r>
    <s v="2024-01-25"/>
    <n v="189.7"/>
    <x v="3607"/>
    <n v="180.06"/>
    <n v="182.63"/>
    <n v="198076787"/>
    <x v="7"/>
    <s v="Tesla"/>
    <x v="4"/>
    <n v="-12.125"/>
    <x v="12"/>
    <x v="1"/>
    <s v="January"/>
    <s v="Loss"/>
    <n v="12.939999999999998"/>
    <n v="67.214999999999975"/>
  </r>
  <r>
    <s v="2024-01-26"/>
    <n v="185.5"/>
    <x v="3445"/>
    <n v="182.1"/>
    <n v="183.25"/>
    <n v="107343231"/>
    <x v="7"/>
    <s v="Tesla"/>
    <x v="4"/>
    <n v="0.33900000000000002"/>
    <x v="12"/>
    <x v="1"/>
    <s v="January"/>
    <s v="Profit"/>
    <n v="4.6800000000000068"/>
    <n v="67.553999999999974"/>
  </r>
  <r>
    <s v="2024-01-29"/>
    <n v="185.63"/>
    <x v="3608"/>
    <n v="183.67"/>
    <n v="190.93"/>
    <n v="125013148"/>
    <x v="7"/>
    <s v="Tesla"/>
    <x v="4"/>
    <n v="4.1909999999999998"/>
    <x v="12"/>
    <x v="1"/>
    <s v="January"/>
    <s v="Profit"/>
    <n v="7.8100000000000023"/>
    <n v="71.744999999999976"/>
  </r>
  <r>
    <s v="2024-01-30"/>
    <n v="195.33"/>
    <x v="3609"/>
    <n v="190.61"/>
    <n v="191.59"/>
    <n v="109982327"/>
    <x v="7"/>
    <s v="Tesla"/>
    <x v="4"/>
    <n v="0.34599999999999997"/>
    <x v="12"/>
    <x v="1"/>
    <s v="January"/>
    <s v="Profit"/>
    <n v="5.7489999999999952"/>
    <n v="72.09099999999998"/>
  </r>
  <r>
    <s v="2024-01-31"/>
    <n v="186.995"/>
    <x v="3610"/>
    <n v="185.846"/>
    <n v="187.29"/>
    <n v="103221430"/>
    <x v="7"/>
    <s v="Tesla"/>
    <x v="4"/>
    <n v="-2.2440000000000002"/>
    <x v="12"/>
    <x v="1"/>
    <s v="January"/>
    <s v="Loss"/>
    <n v="8.1239999999999952"/>
    <n v="69.84699999999998"/>
  </r>
  <r>
    <s v="2024-02-01"/>
    <n v="188.5"/>
    <x v="3611"/>
    <n v="184.28"/>
    <n v="188.86"/>
    <n v="91843275"/>
    <x v="7"/>
    <s v="Tesla"/>
    <x v="4"/>
    <n v="0.83799999999999997"/>
    <x v="13"/>
    <x v="1"/>
    <s v="February"/>
    <s v="Profit"/>
    <n v="5.5999999999999943"/>
    <n v="70.684999999999974"/>
  </r>
  <r>
    <s v="2024-02-02"/>
    <n v="185.04"/>
    <x v="811"/>
    <n v="182"/>
    <n v="187.91"/>
    <n v="110612672"/>
    <x v="7"/>
    <s v="Tesla"/>
    <x v="4"/>
    <n v="-0.503"/>
    <x v="13"/>
    <x v="1"/>
    <s v="February"/>
    <s v="Loss"/>
    <n v="6.6899999999999977"/>
    <n v="70.181999999999974"/>
  </r>
  <r>
    <s v="2024-02-05"/>
    <n v="184.26"/>
    <x v="3612"/>
    <n v="175.01"/>
    <n v="181.06"/>
    <n v="134294447"/>
    <x v="7"/>
    <s v="Tesla"/>
    <x v="4"/>
    <n v="-3.645"/>
    <x v="13"/>
    <x v="1"/>
    <s v="February"/>
    <s v="Loss"/>
    <n v="9.6700000000000159"/>
    <n v="66.536999999999978"/>
  </r>
  <r>
    <s v="2024-02-06"/>
    <n v="177.21"/>
    <x v="3613"/>
    <n v="177.11"/>
    <n v="185.1"/>
    <n v="122675954"/>
    <x v="7"/>
    <s v="Tesla"/>
    <x v="4"/>
    <n v="2.2309999999999999"/>
    <x v="13"/>
    <x v="1"/>
    <s v="February"/>
    <s v="Profit"/>
    <n v="9.3799999999999955"/>
    <n v="68.767999999999972"/>
  </r>
  <r>
    <s v="2024-02-07"/>
    <n v="188.18"/>
    <x v="3614"/>
    <n v="182.68"/>
    <n v="187.58"/>
    <n v="111535217"/>
    <x v="7"/>
    <s v="Tesla"/>
    <x v="4"/>
    <n v="1.34"/>
    <x v="13"/>
    <x v="1"/>
    <s v="February"/>
    <s v="Profit"/>
    <n v="7.1099999999999852"/>
    <n v="70.107999999999976"/>
  </r>
  <r>
    <s v="2024-02-08"/>
    <n v="189"/>
    <x v="3615"/>
    <n v="185.58"/>
    <n v="189.56"/>
    <n v="83034043"/>
    <x v="7"/>
    <s v="Tesla"/>
    <x v="4"/>
    <n v="1.056"/>
    <x v="13"/>
    <x v="1"/>
    <s v="February"/>
    <s v="Profit"/>
    <n v="6.0369999999999777"/>
    <n v="71.163999999999973"/>
  </r>
  <r>
    <s v="2024-02-09"/>
    <n v="190.18"/>
    <x v="3616"/>
    <n v="189.48"/>
    <n v="193.57"/>
    <n v="84476347"/>
    <x v="7"/>
    <s v="Tesla"/>
    <x v="4"/>
    <n v="2.1150000000000002"/>
    <x v="13"/>
    <x v="1"/>
    <s v="February"/>
    <s v="Profit"/>
    <n v="4.6400000000000148"/>
    <n v="73.278999999999968"/>
  </r>
  <r>
    <s v="2024-02-12"/>
    <n v="192.11"/>
    <x v="3617"/>
    <n v="187.28"/>
    <n v="188.13"/>
    <n v="95498597"/>
    <x v="7"/>
    <s v="Tesla"/>
    <x v="4"/>
    <n v="-2.81"/>
    <x v="13"/>
    <x v="1"/>
    <s v="February"/>
    <s v="Loss"/>
    <n v="7.4499999999999886"/>
    <n v="70.468999999999966"/>
  </r>
  <r>
    <s v="2024-02-13"/>
    <n v="183.99"/>
    <x v="3618"/>
    <n v="182.10900000000001"/>
    <n v="184.02"/>
    <n v="86759478"/>
    <x v="7"/>
    <s v="Tesla"/>
    <x v="4"/>
    <n v="-2.1850000000000001"/>
    <x v="13"/>
    <x v="1"/>
    <s v="February"/>
    <s v="Loss"/>
    <n v="5.150999999999982"/>
    <n v="68.283999999999963"/>
  </r>
  <r>
    <s v="2024-02-14"/>
    <n v="185.3"/>
    <x v="3619"/>
    <n v="183.35"/>
    <n v="188.71"/>
    <n v="81202987"/>
    <x v="7"/>
    <s v="Tesla"/>
    <x v="4"/>
    <n v="2.5489999999999999"/>
    <x v="13"/>
    <x v="1"/>
    <s v="February"/>
    <s v="Profit"/>
    <n v="5.539999999999992"/>
    <n v="70.83299999999997"/>
  </r>
  <r>
    <s v="2024-02-15"/>
    <n v="189.16"/>
    <x v="3620"/>
    <n v="188.85900000000001"/>
    <n v="200.45"/>
    <n v="120831762"/>
    <x v="7"/>
    <s v="Tesla"/>
    <x v="4"/>
    <n v="6.2210000000000001"/>
    <x v="13"/>
    <x v="1"/>
    <s v="February"/>
    <s v="Profit"/>
    <n v="12.020999999999987"/>
    <n v="77.053999999999974"/>
  </r>
  <r>
    <s v="2024-02-16"/>
    <n v="202.06"/>
    <x v="3621"/>
    <n v="197.4"/>
    <n v="199.95"/>
    <n v="111346705"/>
    <x v="7"/>
    <s v="Tesla"/>
    <x v="4"/>
    <n v="-0.249"/>
    <x v="13"/>
    <x v="1"/>
    <s v="February"/>
    <s v="Loss"/>
    <n v="5.7699999999999818"/>
    <n v="76.804999999999978"/>
  </r>
  <r>
    <s v="2024-02-20"/>
    <n v="196.13"/>
    <x v="3398"/>
    <n v="189.13"/>
    <n v="193.76"/>
    <n v="104545762"/>
    <x v="7"/>
    <s v="Tesla"/>
    <x v="4"/>
    <n v="-3.0960000000000001"/>
    <x v="13"/>
    <x v="1"/>
    <s v="February"/>
    <s v="Loss"/>
    <n v="9.4699999999999989"/>
    <n v="73.708999999999975"/>
  </r>
  <r>
    <s v="2024-02-21"/>
    <n v="193.36"/>
    <x v="3622"/>
    <n v="191.95"/>
    <n v="194.77"/>
    <n v="103844008"/>
    <x v="7"/>
    <s v="Tesla"/>
    <x v="4"/>
    <n v="0.52100000000000002"/>
    <x v="13"/>
    <x v="1"/>
    <s v="February"/>
    <s v="Profit"/>
    <n v="7.4900000000000091"/>
    <n v="74.229999999999976"/>
  </r>
  <r>
    <s v="2024-02-22"/>
    <n v="194"/>
    <x v="3623"/>
    <n v="191.36"/>
    <n v="197.41"/>
    <n v="92739461"/>
    <x v="7"/>
    <s v="Tesla"/>
    <x v="4"/>
    <n v="1.355"/>
    <x v="13"/>
    <x v="1"/>
    <s v="February"/>
    <s v="Profit"/>
    <n v="6.9599999999999795"/>
    <n v="75.58499999999998"/>
  </r>
  <r>
    <s v="2024-02-23"/>
    <n v="195.31"/>
    <x v="3624"/>
    <n v="191.5"/>
    <n v="191.97"/>
    <n v="78841917"/>
    <x v="7"/>
    <s v="Tesla"/>
    <x v="4"/>
    <n v="-2.7559999999999998"/>
    <x v="13"/>
    <x v="1"/>
    <s v="February"/>
    <s v="Loss"/>
    <n v="6.0699999999999932"/>
    <n v="72.828999999999979"/>
  </r>
  <r>
    <s v="2024-02-26"/>
    <n v="192.29"/>
    <x v="3625"/>
    <n v="192"/>
    <n v="199.4"/>
    <n v="111747116"/>
    <x v="7"/>
    <s v="Tesla"/>
    <x v="4"/>
    <n v="3.87"/>
    <x v="13"/>
    <x v="1"/>
    <s v="February"/>
    <s v="Profit"/>
    <n v="9.7800000000000011"/>
    <n v="76.698999999999984"/>
  </r>
  <r>
    <s v="2024-02-27"/>
    <n v="204.04"/>
    <x v="3626"/>
    <n v="198.26"/>
    <n v="199.73"/>
    <n v="108645412"/>
    <x v="7"/>
    <s v="Tesla"/>
    <x v="4"/>
    <n v="0.16500000000000001"/>
    <x v="13"/>
    <x v="1"/>
    <s v="February"/>
    <s v="Profit"/>
    <n v="7.3400000000000034"/>
    <n v="76.86399999999999"/>
  </r>
  <r>
    <s v="2024-02-28"/>
    <n v="200.42"/>
    <x v="959"/>
    <n v="198.44"/>
    <n v="202.04"/>
    <n v="99806173"/>
    <x v="7"/>
    <s v="Tesla"/>
    <x v="4"/>
    <n v="1.157"/>
    <x v="13"/>
    <x v="1"/>
    <s v="February"/>
    <s v="Profit"/>
    <n v="6.8600000000000136"/>
    <n v="78.020999999999987"/>
  </r>
  <r>
    <s v="2024-02-29"/>
    <n v="204.18"/>
    <x v="3627"/>
    <n v="198.446"/>
    <n v="201.88"/>
    <n v="85906974"/>
    <x v="7"/>
    <s v="Tesla"/>
    <x v="4"/>
    <n v="-7.9000000000000001E-2"/>
    <x v="13"/>
    <x v="1"/>
    <s v="February"/>
    <s v="Loss"/>
    <n v="6.8340000000000032"/>
    <n v="77.941999999999993"/>
  </r>
  <r>
    <s v="2024-03-01"/>
    <n v="200.52"/>
    <x v="3628"/>
    <n v="198.5"/>
    <n v="202.64"/>
    <n v="82243119"/>
    <x v="7"/>
    <s v="Tesla"/>
    <x v="4"/>
    <n v="0.376"/>
    <x v="14"/>
    <x v="1"/>
    <s v="March"/>
    <s v="Profit"/>
    <n v="6.0200000000000102"/>
    <n v="78.317999999999998"/>
  </r>
  <r>
    <s v="2024-03-04"/>
    <n v="198.73"/>
    <x v="3629"/>
    <n v="186.72"/>
    <n v="188.14"/>
    <n v="134334869"/>
    <x v="7"/>
    <s v="Tesla"/>
    <x v="4"/>
    <n v="-7.1559999999999997"/>
    <x v="14"/>
    <x v="1"/>
    <s v="March"/>
    <s v="Loss"/>
    <n v="13.030000000000001"/>
    <n v="71.161999999999992"/>
  </r>
  <r>
    <s v="2024-03-05"/>
    <n v="183.05"/>
    <x v="3630"/>
    <n v="177.57"/>
    <n v="180.74"/>
    <n v="119660758"/>
    <x v="7"/>
    <s v="Tesla"/>
    <x v="4"/>
    <n v="-3.9329999999999998"/>
    <x v="14"/>
    <x v="1"/>
    <s v="March"/>
    <s v="Loss"/>
    <n v="7.0200000000000102"/>
    <n v="67.228999999999985"/>
  </r>
  <r>
    <s v="2024-03-06"/>
    <n v="179.99"/>
    <x v="3631"/>
    <n v="173.7"/>
    <n v="176.54"/>
    <n v="107920944"/>
    <x v="7"/>
    <s v="Tesla"/>
    <x v="4"/>
    <n v="-2.3239999999999998"/>
    <x v="14"/>
    <x v="1"/>
    <s v="March"/>
    <s v="Loss"/>
    <n v="7.8760000000000048"/>
    <n v="64.904999999999987"/>
  </r>
  <r>
    <s v="2024-03-07"/>
    <n v="174.35"/>
    <x v="3632"/>
    <n v="173.7"/>
    <n v="178.65"/>
    <n v="102129004"/>
    <x v="7"/>
    <s v="Tesla"/>
    <x v="4"/>
    <n v="1.1950000000000001"/>
    <x v="14"/>
    <x v="1"/>
    <s v="March"/>
    <s v="Profit"/>
    <n v="6.3400000000000034"/>
    <n v="66.09999999999998"/>
  </r>
  <r>
    <s v="2024-03-08"/>
    <n v="181.5"/>
    <x v="3633"/>
    <n v="174.7"/>
    <n v="175.34"/>
    <n v="85544644"/>
    <x v="7"/>
    <s v="Tesla"/>
    <x v="4"/>
    <n v="-1.853"/>
    <x v="14"/>
    <x v="1"/>
    <s v="March"/>
    <s v="Loss"/>
    <n v="8.0300000000000011"/>
    <n v="64.246999999999986"/>
  </r>
  <r>
    <s v="2024-03-11"/>
    <n v="175.44499999999999"/>
    <x v="804"/>
    <n v="174.8"/>
    <n v="177.77"/>
    <n v="85391528"/>
    <x v="7"/>
    <s v="Tesla"/>
    <x v="4"/>
    <n v="1.3859999999999999"/>
    <x v="14"/>
    <x v="1"/>
    <s v="March"/>
    <s v="Profit"/>
    <n v="8.0699999999999932"/>
    <n v="65.632999999999981"/>
  </r>
  <r>
    <s v="2024-03-12"/>
    <n v="177.77"/>
    <x v="3634"/>
    <n v="172.41"/>
    <n v="177.54"/>
    <n v="87391684"/>
    <x v="7"/>
    <s v="Tesla"/>
    <x v="4"/>
    <n v="-0.129"/>
    <x v="14"/>
    <x v="1"/>
    <s v="March"/>
    <s v="Loss"/>
    <n v="7.0200000000000102"/>
    <n v="65.503999999999976"/>
  </r>
  <r>
    <s v="2024-03-13"/>
    <n v="173.05"/>
    <x v="3635"/>
    <n v="169.15"/>
    <n v="169.48"/>
    <n v="106524518"/>
    <x v="7"/>
    <s v="Tesla"/>
    <x v="4"/>
    <n v="-4.54"/>
    <x v="14"/>
    <x v="1"/>
    <s v="March"/>
    <s v="Loss"/>
    <n v="6.9000000000000057"/>
    <n v="60.963999999999977"/>
  </r>
  <r>
    <s v="2024-03-14"/>
    <n v="167.77"/>
    <x v="772"/>
    <n v="160.51"/>
    <n v="162.5"/>
    <n v="126325696"/>
    <x v="7"/>
    <s v="Tesla"/>
    <x v="4"/>
    <n v="-4.1180000000000003"/>
    <x v="14"/>
    <x v="1"/>
    <s v="March"/>
    <s v="Loss"/>
    <n v="10.659999999999997"/>
    <n v="56.845999999999975"/>
  </r>
  <r>
    <s v="2024-03-15"/>
    <n v="163.16"/>
    <x v="3636"/>
    <n v="160.76"/>
    <n v="163.57"/>
    <n v="97146832"/>
    <x v="7"/>
    <s v="Tesla"/>
    <x v="4"/>
    <n v="0.65800000000000003"/>
    <x v="14"/>
    <x v="1"/>
    <s v="March"/>
    <s v="Profit"/>
    <n v="4.4250000000000114"/>
    <n v="57.503999999999976"/>
  </r>
  <r>
    <s v="2024-03-18"/>
    <n v="170.02"/>
    <x v="3637"/>
    <n v="165.9"/>
    <n v="173.8"/>
    <n v="108214358"/>
    <x v="7"/>
    <s v="Tesla"/>
    <x v="4"/>
    <n v="6.2539999999999996"/>
    <x v="14"/>
    <x v="1"/>
    <s v="March"/>
    <s v="Profit"/>
    <n v="8.8199999999999932"/>
    <n v="63.757999999999974"/>
  </r>
  <r>
    <s v="2024-03-19"/>
    <n v="172.36"/>
    <x v="3638"/>
    <n v="167.42"/>
    <n v="171.32"/>
    <n v="77271428"/>
    <x v="7"/>
    <s v="Tesla"/>
    <x v="4"/>
    <n v="-1.427"/>
    <x v="14"/>
    <x v="1"/>
    <s v="March"/>
    <s v="Loss"/>
    <n v="5.4000000000000057"/>
    <n v="62.330999999999975"/>
  </r>
  <r>
    <s v="2024-03-20"/>
    <n v="173"/>
    <x v="3639"/>
    <n v="170.82"/>
    <n v="175.66"/>
    <n v="83846726"/>
    <x v="7"/>
    <s v="Tesla"/>
    <x v="4"/>
    <n v="2.5329999999999999"/>
    <x v="14"/>
    <x v="1"/>
    <s v="March"/>
    <s v="Profit"/>
    <n v="5.4300000000000068"/>
    <n v="64.863999999999976"/>
  </r>
  <r>
    <s v="2024-03-21"/>
    <n v="176.39"/>
    <x v="3640"/>
    <n v="171.8"/>
    <n v="172.82"/>
    <n v="73178014"/>
    <x v="7"/>
    <s v="Tesla"/>
    <x v="4"/>
    <n v="-1.617"/>
    <x v="14"/>
    <x v="1"/>
    <s v="March"/>
    <s v="Loss"/>
    <n v="6.3799999999999955"/>
    <n v="63.246999999999979"/>
  </r>
  <r>
    <s v="2024-03-22"/>
    <n v="166.69"/>
    <x v="3641"/>
    <n v="166.3"/>
    <n v="170.83"/>
    <n v="75580637"/>
    <x v="7"/>
    <s v="Tesla"/>
    <x v="4"/>
    <n v="-1.151"/>
    <x v="14"/>
    <x v="1"/>
    <s v="March"/>
    <s v="Loss"/>
    <n v="4.8999999999999773"/>
    <n v="62.095999999999975"/>
  </r>
  <r>
    <s v="2024-03-25"/>
    <n v="168.76"/>
    <x v="3642"/>
    <n v="168.73"/>
    <n v="172.63"/>
    <n v="74228615"/>
    <x v="7"/>
    <s v="Tesla"/>
    <x v="4"/>
    <n v="1.054"/>
    <x v="14"/>
    <x v="1"/>
    <s v="March"/>
    <s v="Profit"/>
    <n v="6.5100000000000193"/>
    <n v="63.149999999999977"/>
  </r>
  <r>
    <s v="2024-03-26"/>
    <n v="178.58"/>
    <x v="3643"/>
    <n v="177.38"/>
    <n v="177.67"/>
    <n v="113186227"/>
    <x v="7"/>
    <s v="Tesla"/>
    <x v="4"/>
    <n v="2.92"/>
    <x v="14"/>
    <x v="1"/>
    <s v="March"/>
    <s v="Profit"/>
    <n v="6.8700000000000045"/>
    <n v="66.069999999999979"/>
  </r>
  <r>
    <s v="2024-03-27"/>
    <n v="181.41"/>
    <x v="3644"/>
    <n v="176"/>
    <n v="179.83"/>
    <n v="81804043"/>
    <x v="7"/>
    <s v="Tesla"/>
    <x v="4"/>
    <n v="1.216"/>
    <x v="14"/>
    <x v="1"/>
    <s v="March"/>
    <s v="Profit"/>
    <n v="5.9099999999999966"/>
    <n v="67.285999999999973"/>
  </r>
  <r>
    <s v="2024-03-28"/>
    <n v="177.45"/>
    <x v="3645"/>
    <n v="175.3"/>
    <n v="175.79"/>
    <n v="77654838"/>
    <x v="7"/>
    <s v="Tesla"/>
    <x v="4"/>
    <n v="-2.2469999999999999"/>
    <x v="14"/>
    <x v="1"/>
    <s v="March"/>
    <s v="Loss"/>
    <n v="4.2699999999999818"/>
    <n v="65.038999999999973"/>
  </r>
  <r>
    <s v="2024-04-01"/>
    <n v="176.17"/>
    <x v="3646"/>
    <n v="170.21"/>
    <n v="175.22"/>
    <n v="81562127"/>
    <x v="7"/>
    <s v="Tesla"/>
    <x v="4"/>
    <n v="-0.32400000000000001"/>
    <x v="15"/>
    <x v="1"/>
    <s v="April"/>
    <s v="Loss"/>
    <n v="6.539999999999992"/>
    <n v="64.714999999999975"/>
  </r>
  <r>
    <s v="2024-04-02"/>
    <n v="164.75"/>
    <x v="3647"/>
    <n v="163.43"/>
    <n v="166.63"/>
    <n v="116650594"/>
    <x v="7"/>
    <s v="Tesla"/>
    <x v="4"/>
    <n v="-4.9020000000000001"/>
    <x v="15"/>
    <x v="1"/>
    <s v="April"/>
    <s v="Loss"/>
    <n v="4.2599999999999909"/>
    <n v="59.812999999999974"/>
  </r>
  <r>
    <s v="2024-04-03"/>
    <n v="164.02"/>
    <x v="3648"/>
    <n v="163.28"/>
    <n v="168.38"/>
    <n v="82950141"/>
    <x v="7"/>
    <s v="Tesla"/>
    <x v="4"/>
    <n v="1.05"/>
    <x v="15"/>
    <x v="1"/>
    <s v="April"/>
    <s v="Profit"/>
    <n v="5.539999999999992"/>
    <n v="60.862999999999971"/>
  </r>
  <r>
    <s v="2024-04-04"/>
    <n v="170.07"/>
    <x v="3649"/>
    <n v="168.01"/>
    <n v="171.11"/>
    <n v="123161960"/>
    <x v="7"/>
    <s v="Tesla"/>
    <x v="4"/>
    <n v="1.621"/>
    <x v="15"/>
    <x v="1"/>
    <s v="April"/>
    <s v="Profit"/>
    <n v="9.1800000000000068"/>
    <n v="62.483999999999973"/>
  </r>
  <r>
    <s v="2024-04-05"/>
    <n v="169.08"/>
    <x v="3650"/>
    <n v="160.51"/>
    <n v="164.9"/>
    <n v="143157603"/>
    <x v="7"/>
    <s v="Tesla"/>
    <x v="4"/>
    <n v="-3.629"/>
    <x v="15"/>
    <x v="1"/>
    <s v="April"/>
    <s v="Loss"/>
    <n v="10.350000000000023"/>
    <n v="58.854999999999976"/>
  </r>
  <r>
    <s v="2024-04-08"/>
    <n v="169.34"/>
    <x v="3439"/>
    <n v="167.79"/>
    <n v="172.98"/>
    <n v="104423320"/>
    <x v="7"/>
    <s v="Tesla"/>
    <x v="4"/>
    <n v="4.9000000000000004"/>
    <x v="15"/>
    <x v="1"/>
    <s v="April"/>
    <s v="Profit"/>
    <n v="6.710000000000008"/>
    <n v="63.754999999999974"/>
  </r>
  <r>
    <s v="2024-04-09"/>
    <n v="172.91"/>
    <x v="3651"/>
    <n v="171.92"/>
    <n v="176.88"/>
    <n v="103232675"/>
    <x v="7"/>
    <s v="Tesla"/>
    <x v="4"/>
    <n v="2.2549999999999999"/>
    <x v="15"/>
    <x v="1"/>
    <s v="April"/>
    <s v="Profit"/>
    <n v="7.3000000000000114"/>
    <n v="66.009999999999977"/>
  </r>
  <r>
    <s v="2024-04-10"/>
    <n v="173.04"/>
    <x v="3652"/>
    <n v="170.01"/>
    <n v="171.76"/>
    <n v="84532407"/>
    <x v="7"/>
    <s v="Tesla"/>
    <x v="4"/>
    <n v="-2.895"/>
    <x v="15"/>
    <x v="1"/>
    <s v="April"/>
    <s v="Loss"/>
    <n v="4.9200000000000159"/>
    <n v="63.114999999999974"/>
  </r>
  <r>
    <s v="2024-04-11"/>
    <n v="172.55"/>
    <x v="3653"/>
    <n v="168.51"/>
    <n v="174.6"/>
    <n v="94515987"/>
    <x v="7"/>
    <s v="Tesla"/>
    <x v="4"/>
    <n v="1.653"/>
    <x v="15"/>
    <x v="1"/>
    <s v="April"/>
    <s v="Profit"/>
    <n v="7.3700000000000045"/>
    <n v="64.767999999999972"/>
  </r>
  <r>
    <s v="2024-04-12"/>
    <n v="172.34"/>
    <x v="3654"/>
    <n v="170.364"/>
    <n v="171.05"/>
    <n v="64722669"/>
    <x v="7"/>
    <s v="Tesla"/>
    <x v="4"/>
    <n v="-2.0329999999999999"/>
    <x v="15"/>
    <x v="1"/>
    <s v="April"/>
    <s v="Loss"/>
    <n v="3.445999999999998"/>
    <n v="62.734999999999971"/>
  </r>
  <r>
    <s v="2024-04-15"/>
    <n v="170.24"/>
    <x v="2134"/>
    <n v="161.38"/>
    <n v="161.47999999999999"/>
    <n v="100245310"/>
    <x v="7"/>
    <s v="Tesla"/>
    <x v="4"/>
    <n v="-5.5949999999999998"/>
    <x v="15"/>
    <x v="1"/>
    <s v="April"/>
    <s v="Loss"/>
    <n v="9.3100000000000023"/>
    <n v="57.139999999999972"/>
  </r>
  <r>
    <s v="2024-04-16"/>
    <n v="156.74199999999999"/>
    <x v="3655"/>
    <n v="153.75"/>
    <n v="157.11000000000001"/>
    <n v="96999956"/>
    <x v="7"/>
    <s v="Tesla"/>
    <x v="4"/>
    <n v="-2.706"/>
    <x v="15"/>
    <x v="1"/>
    <s v="April"/>
    <s v="Loss"/>
    <n v="4.4399999999999977"/>
    <n v="54.433999999999969"/>
  </r>
  <r>
    <s v="2024-04-17"/>
    <n v="157.63999999999999"/>
    <x v="3656"/>
    <n v="153.78"/>
    <n v="155.44999999999999"/>
    <n v="82439718"/>
    <x v="7"/>
    <s v="Tesla"/>
    <x v="4"/>
    <n v="-1.0569999999999999"/>
    <x v="15"/>
    <x v="1"/>
    <s v="April"/>
    <s v="Loss"/>
    <n v="4.5500000000000114"/>
    <n v="53.376999999999967"/>
  </r>
  <r>
    <s v="2024-04-18"/>
    <n v="151.25"/>
    <x v="1685"/>
    <n v="148.69999999999999"/>
    <n v="149.93"/>
    <n v="96098830"/>
    <x v="7"/>
    <s v="Tesla"/>
    <x v="4"/>
    <n v="-3.5510000000000002"/>
    <x v="15"/>
    <x v="1"/>
    <s v="April"/>
    <s v="Loss"/>
    <n v="3.5"/>
    <n v="49.825999999999965"/>
  </r>
  <r>
    <s v="2024-04-19"/>
    <n v="148.97"/>
    <x v="3657"/>
    <n v="146.22"/>
    <n v="147.01"/>
    <n v="86868117"/>
    <x v="7"/>
    <s v="Tesla"/>
    <x v="4"/>
    <n v="-1.948"/>
    <x v="15"/>
    <x v="1"/>
    <s v="April"/>
    <s v="Loss"/>
    <n v="4.7199999999999989"/>
    <n v="47.877999999999965"/>
  </r>
  <r>
    <s v="2024-04-22"/>
    <n v="140.56"/>
    <x v="3658"/>
    <n v="138.803"/>
    <n v="142.05000000000001"/>
    <n v="107097564"/>
    <x v="7"/>
    <s v="Tesla"/>
    <x v="4"/>
    <n v="-3.3740000000000001"/>
    <x v="15"/>
    <x v="1"/>
    <s v="April"/>
    <s v="Loss"/>
    <n v="5.6370000000000005"/>
    <n v="44.503999999999962"/>
  </r>
  <r>
    <s v="2024-04-23"/>
    <n v="143.33000000000001"/>
    <x v="709"/>
    <n v="141.11000000000001"/>
    <n v="144.68"/>
    <n v="124545104"/>
    <x v="7"/>
    <s v="Tesla"/>
    <x v="4"/>
    <n v="1.851"/>
    <x v="15"/>
    <x v="1"/>
    <s v="April"/>
    <s v="Profit"/>
    <n v="6.1499999999999773"/>
    <n v="46.354999999999961"/>
  </r>
  <r>
    <s v="2024-04-24"/>
    <n v="162.84"/>
    <x v="3659"/>
    <n v="157.51"/>
    <n v="162.13"/>
    <n v="181178020"/>
    <x v="7"/>
    <s v="Tesla"/>
    <x v="4"/>
    <n v="12.061"/>
    <x v="15"/>
    <x v="1"/>
    <s v="April"/>
    <s v="Profit"/>
    <n v="10.460000000000008"/>
    <n v="58.415999999999961"/>
  </r>
  <r>
    <s v="2024-04-25"/>
    <n v="158.96"/>
    <x v="766"/>
    <n v="158.36000000000001"/>
    <n v="170.18"/>
    <n v="126427521"/>
    <x v="7"/>
    <s v="Tesla"/>
    <x v="4"/>
    <n v="4.9649999999999999"/>
    <x v="15"/>
    <x v="1"/>
    <s v="April"/>
    <s v="Profit"/>
    <n v="12.519999999999982"/>
    <n v="63.380999999999958"/>
  </r>
  <r>
    <s v="2024-04-26"/>
    <n v="168.85"/>
    <x v="3660"/>
    <n v="166.37"/>
    <n v="168.29"/>
    <n v="109815725"/>
    <x v="7"/>
    <s v="Tesla"/>
    <x v="4"/>
    <n v="-1.111"/>
    <x v="15"/>
    <x v="1"/>
    <s v="April"/>
    <s v="Loss"/>
    <n v="5.75"/>
    <n v="62.26999999999996"/>
  </r>
  <r>
    <s v="2024-04-29"/>
    <n v="188.42"/>
    <x v="3661"/>
    <n v="184.54"/>
    <n v="194.05"/>
    <n v="243869678"/>
    <x v="7"/>
    <s v="Tesla"/>
    <x v="4"/>
    <n v="15.307"/>
    <x v="15"/>
    <x v="1"/>
    <s v="April"/>
    <s v="Profit"/>
    <n v="14.330000000000013"/>
    <n v="77.576999999999956"/>
  </r>
  <r>
    <s v="2024-04-30"/>
    <n v="186.98"/>
    <x v="3662"/>
    <n v="182.84"/>
    <n v="183.28"/>
    <n v="127031787"/>
    <x v="7"/>
    <s v="Tesla"/>
    <x v="4"/>
    <n v="-5.55"/>
    <x v="15"/>
    <x v="1"/>
    <s v="April"/>
    <s v="Loss"/>
    <n v="8.1099999999999852"/>
    <n v="72.026999999999958"/>
  </r>
  <r>
    <s v="2024-05-01"/>
    <n v="182"/>
    <x v="882"/>
    <n v="179.01"/>
    <n v="179.99"/>
    <n v="92829719"/>
    <x v="7"/>
    <s v="Tesla"/>
    <x v="4"/>
    <n v="-1.7949999999999999"/>
    <x v="16"/>
    <x v="1"/>
    <s v="May"/>
    <s v="Loss"/>
    <n v="6.8500000000000227"/>
    <n v="70.231999999999957"/>
  </r>
  <r>
    <s v="2024-05-02"/>
    <n v="182.86"/>
    <x v="3663"/>
    <n v="176.02"/>
    <n v="180.01"/>
    <n v="89148041"/>
    <x v="7"/>
    <s v="Tesla"/>
    <x v="4"/>
    <n v="1.0999999999999999E-2"/>
    <x v="16"/>
    <x v="1"/>
    <s v="May"/>
    <s v="Profit"/>
    <n v="8.5799999999999841"/>
    <n v="70.242999999999952"/>
  </r>
  <r>
    <s v="2024-05-03"/>
    <n v="182.1"/>
    <x v="3664"/>
    <n v="178.42"/>
    <n v="181.19"/>
    <n v="75491539"/>
    <x v="7"/>
    <s v="Tesla"/>
    <x v="4"/>
    <n v="0.65600000000000003"/>
    <x v="16"/>
    <x v="1"/>
    <s v="May"/>
    <s v="Profit"/>
    <n v="6.3600000000000136"/>
    <n v="70.898999999999958"/>
  </r>
  <r>
    <s v="2024-05-06"/>
    <n v="183.8"/>
    <x v="3665"/>
    <n v="182.2"/>
    <n v="184.76"/>
    <n v="84390253"/>
    <x v="7"/>
    <s v="Tesla"/>
    <x v="4"/>
    <n v="1.97"/>
    <x v="16"/>
    <x v="1"/>
    <s v="May"/>
    <s v="Profit"/>
    <n v="5.3600000000000136"/>
    <n v="72.868999999999957"/>
  </r>
  <r>
    <s v="2024-05-07"/>
    <n v="182.4"/>
    <x v="836"/>
    <n v="177.4"/>
    <n v="177.81"/>
    <n v="75045854"/>
    <x v="7"/>
    <s v="Tesla"/>
    <x v="4"/>
    <n v="-3.762"/>
    <x v="16"/>
    <x v="1"/>
    <s v="May"/>
    <s v="Loss"/>
    <n v="5.8599999999999852"/>
    <n v="69.106999999999957"/>
  </r>
  <r>
    <s v="2024-05-08"/>
    <n v="171.59"/>
    <x v="3666"/>
    <n v="170.15"/>
    <n v="174.72"/>
    <n v="79969488"/>
    <x v="7"/>
    <s v="Tesla"/>
    <x v="4"/>
    <n v="-1.738"/>
    <x v="16"/>
    <x v="1"/>
    <s v="May"/>
    <s v="Loss"/>
    <n v="5.9099999999999966"/>
    <n v="67.368999999999957"/>
  </r>
  <r>
    <s v="2024-05-09"/>
    <n v="175.01"/>
    <x v="3667"/>
    <n v="171.37"/>
    <n v="171.97"/>
    <n v="65950292"/>
    <x v="7"/>
    <s v="Tesla"/>
    <x v="4"/>
    <n v="-1.5740000000000001"/>
    <x v="16"/>
    <x v="1"/>
    <s v="May"/>
    <s v="Loss"/>
    <n v="4.25"/>
    <n v="65.794999999999959"/>
  </r>
  <r>
    <s v="2024-05-10"/>
    <n v="173.05"/>
    <x v="2151"/>
    <n v="167.75"/>
    <n v="168.47"/>
    <n v="72627178"/>
    <x v="7"/>
    <s v="Tesla"/>
    <x v="4"/>
    <n v="-2.0350000000000001"/>
    <x v="16"/>
    <x v="1"/>
    <s v="May"/>
    <s v="Loss"/>
    <n v="5.3100000000000023"/>
    <n v="63.759999999999962"/>
  </r>
  <r>
    <s v="2024-05-13"/>
    <n v="170"/>
    <x v="3668"/>
    <n v="169"/>
    <n v="171.89"/>
    <n v="67018903"/>
    <x v="7"/>
    <s v="Tesla"/>
    <x v="4"/>
    <n v="2.0299999999999998"/>
    <x v="16"/>
    <x v="1"/>
    <s v="May"/>
    <s v="Profit"/>
    <n v="6.4000000000000057"/>
    <n v="65.789999999999964"/>
  </r>
  <r>
    <s v="2024-05-14"/>
    <n v="174.49600000000001"/>
    <x v="3669"/>
    <n v="174.07"/>
    <n v="177.55"/>
    <n v="86407422"/>
    <x v="7"/>
    <s v="Tesla"/>
    <x v="4"/>
    <n v="3.2930000000000001"/>
    <x v="16"/>
    <x v="1"/>
    <s v="May"/>
    <s v="Profit"/>
    <n v="5.4200000000000159"/>
    <n v="69.08299999999997"/>
  </r>
  <r>
    <s v="2024-05-15"/>
    <n v="179.9"/>
    <x v="800"/>
    <n v="173.11"/>
    <n v="173.99"/>
    <n v="79662993"/>
    <x v="7"/>
    <s v="Tesla"/>
    <x v="4"/>
    <n v="-2.0049999999999999"/>
    <x v="16"/>
    <x v="1"/>
    <s v="May"/>
    <s v="Loss"/>
    <n v="6.8899999999999864"/>
    <n v="67.077999999999975"/>
  </r>
  <r>
    <s v="2024-05-16"/>
    <n v="174.1"/>
    <x v="3670"/>
    <n v="171.43"/>
    <n v="174.84"/>
    <n v="59812220"/>
    <x v="7"/>
    <s v="Tesla"/>
    <x v="4"/>
    <n v="0.48899999999999999"/>
    <x v="16"/>
    <x v="1"/>
    <s v="May"/>
    <s v="Profit"/>
    <n v="4.3599999999999852"/>
    <n v="67.566999999999979"/>
  </r>
  <r>
    <s v="2024-05-17"/>
    <n v="173.55"/>
    <x v="3671"/>
    <n v="172.75"/>
    <n v="177.46"/>
    <n v="77445845"/>
    <x v="7"/>
    <s v="Tesla"/>
    <x v="4"/>
    <n v="1.4990000000000001"/>
    <x v="16"/>
    <x v="1"/>
    <s v="May"/>
    <s v="Profit"/>
    <n v="6.8799999999999955"/>
    <n v="69.065999999999974"/>
  </r>
  <r>
    <s v="2024-05-20"/>
    <n v="177.56"/>
    <x v="3672"/>
    <n v="173.52"/>
    <n v="174.95"/>
    <n v="61727425"/>
    <x v="7"/>
    <s v="Tesla"/>
    <x v="4"/>
    <n v="-1.4139999999999999"/>
    <x v="16"/>
    <x v="1"/>
    <s v="May"/>
    <s v="Loss"/>
    <n v="4.2339999999999804"/>
    <n v="67.651999999999973"/>
  </r>
  <r>
    <s v="2024-05-21"/>
    <n v="175.51"/>
    <x v="3673"/>
    <n v="174.71"/>
    <n v="186.6"/>
    <n v="115266512"/>
    <x v="7"/>
    <s v="Tesla"/>
    <x v="4"/>
    <n v="6.6589999999999998"/>
    <x v="16"/>
    <x v="1"/>
    <s v="May"/>
    <s v="Profit"/>
    <n v="12.164999999999992"/>
    <n v="74.310999999999979"/>
  </r>
  <r>
    <s v="2024-05-22"/>
    <n v="182.85"/>
    <x v="3404"/>
    <n v="178.12"/>
    <n v="180.11"/>
    <n v="88313477"/>
    <x v="7"/>
    <s v="Tesla"/>
    <x v="4"/>
    <n v="-3.4780000000000002"/>
    <x v="16"/>
    <x v="1"/>
    <s v="May"/>
    <s v="Loss"/>
    <n v="5.6800000000000068"/>
    <n v="70.832999999999984"/>
  </r>
  <r>
    <s v="2024-05-23"/>
    <n v="181.8"/>
    <x v="3674"/>
    <n v="173.26"/>
    <n v="173.74"/>
    <n v="71975496"/>
    <x v="7"/>
    <s v="Tesla"/>
    <x v="4"/>
    <n v="-3.5369999999999999"/>
    <x v="16"/>
    <x v="1"/>
    <s v="May"/>
    <s v="Loss"/>
    <n v="8.6400000000000148"/>
    <n v="67.295999999999978"/>
  </r>
  <r>
    <s v="2024-05-24"/>
    <n v="174.83500000000001"/>
    <x v="3675"/>
    <n v="173.73"/>
    <n v="179.24"/>
    <n v="65584478"/>
    <x v="7"/>
    <s v="Tesla"/>
    <x v="4"/>
    <n v="3.1659999999999999"/>
    <x v="16"/>
    <x v="1"/>
    <s v="May"/>
    <s v="Profit"/>
    <n v="6.3500000000000227"/>
    <n v="70.461999999999975"/>
  </r>
  <r>
    <s v="2024-05-28"/>
    <n v="176.4"/>
    <x v="3676"/>
    <n v="173.16"/>
    <n v="176.75"/>
    <n v="59736620"/>
    <x v="7"/>
    <s v="Tesla"/>
    <x v="4"/>
    <n v="-1.389"/>
    <x v="16"/>
    <x v="1"/>
    <s v="May"/>
    <s v="Loss"/>
    <n v="5.0900000000000034"/>
    <n v="69.072999999999979"/>
  </r>
  <r>
    <s v="2024-05-29"/>
    <n v="174.19"/>
    <x v="170"/>
    <n v="173.93"/>
    <n v="176.19"/>
    <n v="54782649"/>
    <x v="7"/>
    <s v="Tesla"/>
    <x v="4"/>
    <n v="-0.317"/>
    <x v="16"/>
    <x v="1"/>
    <s v="May"/>
    <s v="Loss"/>
    <n v="4.2199999999999989"/>
    <n v="68.755999999999986"/>
  </r>
  <r>
    <s v="2024-05-30"/>
    <n v="178.57499999999999"/>
    <x v="3677"/>
    <n v="175.38"/>
    <n v="178.79"/>
    <n v="77784755"/>
    <x v="7"/>
    <s v="Tesla"/>
    <x v="4"/>
    <n v="1.476"/>
    <x v="16"/>
    <x v="1"/>
    <s v="May"/>
    <s v="Profit"/>
    <n v="7.289999999999992"/>
    <n v="70.231999999999985"/>
  </r>
  <r>
    <s v="2024-05-31"/>
    <n v="178.5"/>
    <x v="3678"/>
    <n v="173.82"/>
    <n v="178.08"/>
    <n v="67314602"/>
    <x v="7"/>
    <s v="Tesla"/>
    <x v="4"/>
    <n v="-0.39700000000000002"/>
    <x v="16"/>
    <x v="1"/>
    <s v="May"/>
    <s v="Loss"/>
    <n v="6.5"/>
    <n v="69.83499999999998"/>
  </r>
  <r>
    <s v="2024-06-03"/>
    <n v="178.13"/>
    <x v="3679"/>
    <n v="174.49"/>
    <n v="176.29"/>
    <n v="68568920"/>
    <x v="7"/>
    <s v="Tesla"/>
    <x v="4"/>
    <n v="-1.0049999999999999"/>
    <x v="17"/>
    <x v="1"/>
    <s v="June"/>
    <s v="Loss"/>
    <n v="8.1490000000000009"/>
    <n v="68.829999999999984"/>
  </r>
  <r>
    <s v="2024-06-04"/>
    <n v="174.77500000000001"/>
    <x v="3680"/>
    <n v="174"/>
    <n v="174.77"/>
    <n v="60056340"/>
    <x v="7"/>
    <s v="Tesla"/>
    <x v="4"/>
    <n v="-0.86199999999999999"/>
    <x v="17"/>
    <x v="1"/>
    <s v="June"/>
    <s v="Loss"/>
    <n v="3.7549999999999955"/>
    <n v="67.967999999999989"/>
  </r>
  <r>
    <s v="2024-06-05"/>
    <n v="175.35"/>
    <x v="3681"/>
    <n v="172.13"/>
    <n v="175"/>
    <n v="57953756"/>
    <x v="7"/>
    <s v="Tesla"/>
    <x v="4"/>
    <n v="0.13200000000000001"/>
    <x v="17"/>
    <x v="1"/>
    <s v="June"/>
    <s v="Profit"/>
    <n v="4.0200000000000102"/>
    <n v="68.099999999999994"/>
  </r>
  <r>
    <s v="2024-06-06"/>
    <n v="174.6"/>
    <x v="3682"/>
    <n v="172.73"/>
    <n v="177.94"/>
    <n v="69887024"/>
    <x v="7"/>
    <s v="Tesla"/>
    <x v="4"/>
    <n v="1.68"/>
    <x v="17"/>
    <x v="1"/>
    <s v="June"/>
    <s v="Profit"/>
    <n v="7"/>
    <n v="69.78"/>
  </r>
  <r>
    <s v="2024-06-07"/>
    <n v="176.13"/>
    <x v="3683"/>
    <n v="175.58"/>
    <n v="177.48"/>
    <n v="56244932"/>
    <x v="7"/>
    <s v="Tesla"/>
    <x v="4"/>
    <n v="-0.25900000000000001"/>
    <x v="17"/>
    <x v="1"/>
    <s v="June"/>
    <s v="Loss"/>
    <n v="3.7699999999999818"/>
    <n v="69.521000000000001"/>
  </r>
  <r>
    <s v="2024-06-10"/>
    <n v="176.06"/>
    <x v="3684"/>
    <n v="173.17"/>
    <n v="173.79"/>
    <n v="50869682"/>
    <x v="7"/>
    <s v="Tesla"/>
    <x v="4"/>
    <n v="-2.0790000000000002"/>
    <x v="17"/>
    <x v="1"/>
    <s v="June"/>
    <s v="Loss"/>
    <n v="5.4000000000000057"/>
    <n v="67.442000000000007"/>
  </r>
  <r>
    <s v="2024-06-11"/>
    <n v="173.92"/>
    <x v="3685"/>
    <n v="167.41"/>
    <n v="170.66"/>
    <n v="64761928"/>
    <x v="7"/>
    <s v="Tesla"/>
    <x v="4"/>
    <n v="-1.8009999999999999"/>
    <x v="17"/>
    <x v="1"/>
    <s v="June"/>
    <s v="Loss"/>
    <n v="7.3400000000000034"/>
    <n v="65.641000000000005"/>
  </r>
  <r>
    <s v="2024-06-12"/>
    <n v="171.12"/>
    <x v="3686"/>
    <n v="169.8"/>
    <n v="177.29"/>
    <n v="90389446"/>
    <x v="7"/>
    <s v="Tesla"/>
    <x v="4"/>
    <n v="3.8849999999999998"/>
    <x v="17"/>
    <x v="1"/>
    <s v="June"/>
    <s v="Profit"/>
    <n v="10.75"/>
    <n v="69.52600000000001"/>
  </r>
  <r>
    <s v="2024-06-13"/>
    <n v="188.39"/>
    <x v="3687"/>
    <n v="181.23"/>
    <n v="182.47"/>
    <n v="118984122"/>
    <x v="7"/>
    <s v="Tesla"/>
    <x v="4"/>
    <n v="2.9220000000000002"/>
    <x v="17"/>
    <x v="1"/>
    <s v="June"/>
    <s v="Profit"/>
    <n v="9.8500000000000227"/>
    <n v="72.448000000000008"/>
  </r>
  <r>
    <s v="2024-06-14"/>
    <n v="185.8"/>
    <x v="3688"/>
    <n v="176.92"/>
    <n v="178.01"/>
    <n v="82038194"/>
    <x v="7"/>
    <s v="Tesla"/>
    <x v="4"/>
    <n v="-2.444"/>
    <x v="17"/>
    <x v="1"/>
    <s v="June"/>
    <s v="Loss"/>
    <n v="9.0800000000000125"/>
    <n v="70.004000000000005"/>
  </r>
  <r>
    <s v="2024-06-17"/>
    <n v="177.92"/>
    <x v="3689"/>
    <n v="177"/>
    <n v="187.44"/>
    <n v="109786083"/>
    <x v="7"/>
    <s v="Tesla"/>
    <x v="4"/>
    <n v="5.2969999999999997"/>
    <x v="17"/>
    <x v="1"/>
    <s v="June"/>
    <s v="Profit"/>
    <n v="11.810000000000002"/>
    <n v="75.301000000000002"/>
  </r>
  <r>
    <s v="2024-06-18"/>
    <n v="186.56"/>
    <x v="3690"/>
    <n v="182.37"/>
    <n v="184.86"/>
    <n v="68982265"/>
    <x v="7"/>
    <s v="Tesla"/>
    <x v="4"/>
    <n v="-1.3759999999999999"/>
    <x v="17"/>
    <x v="1"/>
    <s v="June"/>
    <s v="Loss"/>
    <n v="4.8299999999999841"/>
    <n v="73.924999999999997"/>
  </r>
  <r>
    <s v="2024-06-20"/>
    <n v="184.68"/>
    <x v="3691"/>
    <n v="179.66"/>
    <n v="181.57"/>
    <n v="55893139"/>
    <x v="7"/>
    <s v="Tesla"/>
    <x v="4"/>
    <n v="-1.78"/>
    <x v="17"/>
    <x v="1"/>
    <s v="June"/>
    <s v="Loss"/>
    <n v="5.5500000000000114"/>
    <n v="72.144999999999996"/>
  </r>
  <r>
    <s v="2024-06-21"/>
    <n v="182.3"/>
    <x v="3692"/>
    <n v="180.69"/>
    <n v="183.01"/>
    <n v="63029482"/>
    <x v="7"/>
    <s v="Tesla"/>
    <x v="4"/>
    <n v="0.79300000000000004"/>
    <x v="17"/>
    <x v="1"/>
    <s v="June"/>
    <s v="Profit"/>
    <n v="3.2599999999999909"/>
    <n v="72.938000000000002"/>
  </r>
  <r>
    <s v="2024-06-24"/>
    <n v="184.97"/>
    <x v="916"/>
    <n v="182.55"/>
    <n v="182.58"/>
    <n v="61992070"/>
    <x v="7"/>
    <s v="Tesla"/>
    <x v="4"/>
    <n v="-0.23499999999999999"/>
    <x v="17"/>
    <x v="1"/>
    <s v="June"/>
    <s v="Loss"/>
    <n v="6.25"/>
    <n v="72.703000000000003"/>
  </r>
  <r>
    <s v="2024-06-25"/>
    <n v="184.4"/>
    <x v="3693"/>
    <n v="182.01"/>
    <n v="187.35"/>
    <n v="63678265"/>
    <x v="7"/>
    <s v="Tesla"/>
    <x v="4"/>
    <n v="2.613"/>
    <x v="17"/>
    <x v="1"/>
    <s v="June"/>
    <s v="Profit"/>
    <n v="5.960000000000008"/>
    <n v="75.316000000000003"/>
  </r>
  <r>
    <s v="2024-06-26"/>
    <n v="186.54"/>
    <x v="3694"/>
    <n v="186.36"/>
    <n v="196.37"/>
    <n v="95737066"/>
    <x v="7"/>
    <s v="Tesla"/>
    <x v="4"/>
    <n v="4.8150000000000004"/>
    <x v="17"/>
    <x v="1"/>
    <s v="June"/>
    <s v="Profit"/>
    <n v="11.394999999999982"/>
    <n v="80.131"/>
  </r>
  <r>
    <s v="2024-06-27"/>
    <n v="195.17"/>
    <x v="3695"/>
    <n v="194.05"/>
    <n v="197.42"/>
    <n v="72746521"/>
    <x v="7"/>
    <s v="Tesla"/>
    <x v="4"/>
    <n v="0.53500000000000003"/>
    <x v="17"/>
    <x v="1"/>
    <s v="June"/>
    <s v="Profit"/>
    <n v="4.6699999999999875"/>
    <n v="80.665999999999997"/>
  </r>
  <r>
    <s v="2024-06-28"/>
    <n v="199.55"/>
    <x v="3696"/>
    <n v="195.26"/>
    <n v="197.88"/>
    <n v="95438068"/>
    <x v="7"/>
    <s v="Tesla"/>
    <x v="4"/>
    <n v="0.23300000000000001"/>
    <x v="17"/>
    <x v="1"/>
    <s v="June"/>
    <s v="Profit"/>
    <n v="7.9399999999999977"/>
    <n v="80.899000000000001"/>
  </r>
  <r>
    <s v="2024-07-01"/>
    <n v="201.02"/>
    <x v="3697"/>
    <n v="200.85"/>
    <n v="209.86"/>
    <n v="135691395"/>
    <x v="7"/>
    <s v="Tesla"/>
    <x v="4"/>
    <n v="6.0540000000000003"/>
    <x v="18"/>
    <x v="1"/>
    <s v="July"/>
    <s v="Profit"/>
    <n v="12.379999999999995"/>
    <n v="86.953000000000003"/>
  </r>
  <r>
    <s v="2024-07-02"/>
    <n v="218.89"/>
    <x v="3698"/>
    <n v="218.06"/>
    <n v="231.26"/>
    <n v="205047920"/>
    <x v="7"/>
    <s v="Tesla"/>
    <x v="4"/>
    <n v="10.196999999999999"/>
    <x v="18"/>
    <x v="1"/>
    <s v="July"/>
    <s v="Profit"/>
    <n v="13.240000000000009"/>
    <n v="97.15"/>
  </r>
  <r>
    <s v="2024-07-03"/>
    <n v="234.56"/>
    <x v="3699"/>
    <n v="234.25"/>
    <n v="246.39"/>
    <n v="166561471"/>
    <x v="7"/>
    <s v="Tesla"/>
    <x v="4"/>
    <n v="6.5419999999999998"/>
    <x v="18"/>
    <x v="1"/>
    <s v="July"/>
    <s v="Profit"/>
    <n v="14.099999999999994"/>
    <n v="103.69200000000001"/>
  </r>
  <r>
    <s v="2024-07-05"/>
    <n v="249.81"/>
    <x v="3700"/>
    <n v="242.46"/>
    <n v="251.52"/>
    <n v="154501152"/>
    <x v="7"/>
    <s v="Tesla"/>
    <x v="4"/>
    <n v="2.0819999999999999"/>
    <x v="18"/>
    <x v="1"/>
    <s v="July"/>
    <s v="Profit"/>
    <n v="9.9099999999999966"/>
    <n v="105.774"/>
  </r>
  <r>
    <s v="2024-07-08"/>
    <n v="247.71"/>
    <x v="3701"/>
    <n v="244.57"/>
    <n v="252.94"/>
    <n v="157219580"/>
    <x v="7"/>
    <s v="Tesla"/>
    <x v="4"/>
    <n v="0.56499999999999995"/>
    <x v="18"/>
    <x v="1"/>
    <s v="July"/>
    <s v="Profit"/>
    <n v="14.869000000000028"/>
    <n v="106.339"/>
  </r>
  <r>
    <s v="2024-07-09"/>
    <n v="251"/>
    <x v="3702"/>
    <n v="250.3"/>
    <n v="262.33"/>
    <n v="160742516"/>
    <x v="7"/>
    <s v="Tesla"/>
    <x v="4"/>
    <n v="3.7120000000000002"/>
    <x v="18"/>
    <x v="1"/>
    <s v="July"/>
    <s v="Profit"/>
    <n v="15.310000000000002"/>
    <n v="110.051"/>
  </r>
  <r>
    <s v="2024-07-10"/>
    <n v="262.8"/>
    <x v="3703"/>
    <n v="257.86"/>
    <n v="263.26"/>
    <n v="128519430"/>
    <x v="7"/>
    <s v="Tesla"/>
    <x v="4"/>
    <n v="0.35499999999999998"/>
    <x v="18"/>
    <x v="1"/>
    <s v="July"/>
    <s v="Profit"/>
    <n v="9.7299999999999613"/>
    <n v="110.40600000000001"/>
  </r>
  <r>
    <s v="2024-07-11"/>
    <n v="263.3"/>
    <x v="3704"/>
    <n v="239.65"/>
    <n v="241.03"/>
    <n v="221707273"/>
    <x v="7"/>
    <s v="Tesla"/>
    <x v="4"/>
    <n v="-8.4440000000000008"/>
    <x v="18"/>
    <x v="1"/>
    <s v="July"/>
    <s v="Loss"/>
    <n v="31.349999999999994"/>
    <n v="101.962"/>
  </r>
  <r>
    <s v="2024-07-12"/>
    <n v="235.8"/>
    <x v="3705"/>
    <n v="233.09100000000001"/>
    <n v="248.23"/>
    <n v="155955773"/>
    <x v="7"/>
    <s v="Tesla"/>
    <x v="4"/>
    <n v="2.9870000000000001"/>
    <x v="18"/>
    <x v="1"/>
    <s v="July"/>
    <s v="Profit"/>
    <n v="18.748999999999995"/>
    <n v="104.949"/>
  </r>
  <r>
    <s v="2024-07-15"/>
    <n v="255.97"/>
    <x v="3706"/>
    <n v="251.73"/>
    <n v="252.64"/>
    <n v="146912920"/>
    <x v="7"/>
    <s v="Tesla"/>
    <x v="4"/>
    <n v="1.7769999999999999"/>
    <x v="18"/>
    <x v="1"/>
    <s v="July"/>
    <s v="Profit"/>
    <n v="13.870000000000033"/>
    <n v="106.726"/>
  </r>
  <r>
    <s v="2024-07-16"/>
    <n v="255.31"/>
    <x v="3707"/>
    <n v="245.8"/>
    <n v="256.56"/>
    <n v="126332470"/>
    <x v="7"/>
    <s v="Tesla"/>
    <x v="4"/>
    <n v="1.552"/>
    <x v="18"/>
    <x v="1"/>
    <s v="July"/>
    <s v="Profit"/>
    <n v="12.819999999999993"/>
    <n v="108.27800000000001"/>
  </r>
  <r>
    <s v="2024-07-17"/>
    <n v="252.73"/>
    <x v="3708"/>
    <n v="246.18199999999999"/>
    <n v="248.5"/>
    <n v="115584810"/>
    <x v="7"/>
    <s v="Tesla"/>
    <x v="4"/>
    <n v="-3.1419999999999999"/>
    <x v="18"/>
    <x v="1"/>
    <s v="July"/>
    <s v="Loss"/>
    <n v="12.288000000000039"/>
    <n v="105.13600000000001"/>
  </r>
  <r>
    <s v="2024-07-18"/>
    <n v="251.09"/>
    <x v="3709"/>
    <n v="247.2"/>
    <n v="249.23"/>
    <n v="110869037"/>
    <x v="7"/>
    <s v="Tesla"/>
    <x v="4"/>
    <n v="0.29399999999999998"/>
    <x v="18"/>
    <x v="1"/>
    <s v="July"/>
    <s v="Profit"/>
    <n v="9.9399999999999977"/>
    <n v="105.43"/>
  </r>
  <r>
    <s v="2024-07-19"/>
    <n v="247.79"/>
    <x v="3710"/>
    <n v="236.83"/>
    <n v="239.2"/>
    <n v="87403903"/>
    <x v="7"/>
    <s v="Tesla"/>
    <x v="4"/>
    <n v="-4.024"/>
    <x v="18"/>
    <x v="1"/>
    <s v="July"/>
    <s v="Loss"/>
    <n v="12.609999999999985"/>
    <n v="101.40600000000001"/>
  </r>
  <r>
    <s v="2024-07-22"/>
    <n v="244.21"/>
    <x v="3711"/>
    <n v="243.75"/>
    <n v="251.51"/>
    <n v="101225430"/>
    <x v="7"/>
    <s v="Tesla"/>
    <x v="4"/>
    <n v="5.1459999999999999"/>
    <x v="18"/>
    <x v="1"/>
    <s v="July"/>
    <s v="Profit"/>
    <n v="9.460000000000008"/>
    <n v="106.55200000000001"/>
  </r>
  <r>
    <s v="2024-07-23"/>
    <n v="253.6"/>
    <x v="3712"/>
    <n v="245.63"/>
    <n v="246.38"/>
    <n v="111928192"/>
    <x v="7"/>
    <s v="Tesla"/>
    <x v="4"/>
    <n v="-2.04"/>
    <x v="18"/>
    <x v="1"/>
    <s v="July"/>
    <s v="Loss"/>
    <n v="10.128999999999991"/>
    <n v="104.512"/>
  </r>
  <r>
    <s v="2024-07-24"/>
    <n v="225.42"/>
    <x v="3713"/>
    <n v="214.71"/>
    <n v="215.99"/>
    <n v="167942939"/>
    <x v="7"/>
    <s v="Tesla"/>
    <x v="4"/>
    <n v="-12.335000000000001"/>
    <x v="18"/>
    <x v="1"/>
    <s v="July"/>
    <s v="Loss"/>
    <n v="11.280000000000001"/>
    <n v="92.176999999999992"/>
  </r>
  <r>
    <s v="2024-07-25"/>
    <n v="216.8"/>
    <x v="3714"/>
    <n v="216.23099999999999"/>
    <n v="220.25"/>
    <n v="100636466"/>
    <x v="7"/>
    <s v="Tesla"/>
    <x v="4"/>
    <n v="1.972"/>
    <x v="18"/>
    <x v="1"/>
    <s v="July"/>
    <s v="Profit"/>
    <n v="9.7690000000000055"/>
    <n v="94.148999999999987"/>
  </r>
  <r>
    <s v="2024-07-26"/>
    <n v="221.19"/>
    <x v="3715"/>
    <n v="215.33"/>
    <n v="219.8"/>
    <n v="94604145"/>
    <x v="7"/>
    <s v="Tesla"/>
    <x v="4"/>
    <n v="-0.20399999999999999"/>
    <x v="18"/>
    <x v="1"/>
    <s v="July"/>
    <s v="Loss"/>
    <n v="6.9499999999999886"/>
    <n v="93.944999999999993"/>
  </r>
  <r>
    <s v="2024-07-29"/>
    <n v="224.9"/>
    <x v="3716"/>
    <n v="224.7"/>
    <n v="232.1"/>
    <n v="129201789"/>
    <x v="7"/>
    <s v="Tesla"/>
    <x v="4"/>
    <n v="5.5960000000000001"/>
    <x v="18"/>
    <x v="1"/>
    <s v="July"/>
    <s v="Profit"/>
    <n v="9.5700000000000216"/>
    <n v="99.540999999999997"/>
  </r>
  <r>
    <s v="2024-07-30"/>
    <n v="232.25"/>
    <x v="3717"/>
    <n v="220"/>
    <n v="222.62"/>
    <n v="100560334"/>
    <x v="7"/>
    <s v="Tesla"/>
    <x v="4"/>
    <n v="-4.0839999999999996"/>
    <x v="18"/>
    <x v="1"/>
    <s v="July"/>
    <s v="Loss"/>
    <n v="12.409999999999997"/>
    <n v="95.456999999999994"/>
  </r>
  <r>
    <s v="2024-07-31"/>
    <n v="227.9"/>
    <x v="3718"/>
    <n v="226.78700000000001"/>
    <n v="232.07"/>
    <n v="67497011"/>
    <x v="7"/>
    <s v="Tesla"/>
    <x v="4"/>
    <n v="4.2450000000000001"/>
    <x v="18"/>
    <x v="1"/>
    <s v="July"/>
    <s v="Profit"/>
    <n v="7.8930000000000007"/>
    <n v="99.701999999999998"/>
  </r>
  <r>
    <s v="2024-08-01"/>
    <n v="227.69"/>
    <x v="3719"/>
    <n v="214.333"/>
    <n v="216.86"/>
    <n v="83861898"/>
    <x v="7"/>
    <s v="Tesla"/>
    <x v="4"/>
    <n v="-6.5540000000000003"/>
    <x v="19"/>
    <x v="1"/>
    <s v="August"/>
    <s v="Loss"/>
    <n v="17.533999999999992"/>
    <n v="93.147999999999996"/>
  </r>
  <r>
    <s v="2024-08-02"/>
    <n v="214.88"/>
    <x v="3720"/>
    <n v="205.78"/>
    <n v="207.67"/>
    <n v="82880120"/>
    <x v="7"/>
    <s v="Tesla"/>
    <x v="4"/>
    <n v="-4.2380000000000004"/>
    <x v="19"/>
    <x v="1"/>
    <s v="August"/>
    <s v="Loss"/>
    <n v="10.349999999999994"/>
    <n v="88.91"/>
  </r>
  <r>
    <s v="2024-08-05"/>
    <n v="185.22"/>
    <x v="3721"/>
    <n v="182"/>
    <n v="198.88"/>
    <n v="100308836"/>
    <x v="7"/>
    <s v="Tesla"/>
    <x v="4"/>
    <n v="-4.2329999999999997"/>
    <x v="19"/>
    <x v="1"/>
    <s v="August"/>
    <s v="Loss"/>
    <n v="21.879999999999995"/>
    <n v="84.676999999999992"/>
  </r>
  <r>
    <s v="2024-08-06"/>
    <n v="200.75"/>
    <x v="3722"/>
    <n v="192.67"/>
    <n v="200.64"/>
    <n v="73783942"/>
    <x v="7"/>
    <s v="Tesla"/>
    <x v="4"/>
    <n v="0.88500000000000001"/>
    <x v="19"/>
    <x v="1"/>
    <s v="August"/>
    <s v="Profit"/>
    <n v="10.230000000000018"/>
    <n v="85.561999999999998"/>
  </r>
  <r>
    <s v="2024-08-07"/>
    <n v="200.77"/>
    <x v="961"/>
    <n v="191.48"/>
    <n v="191.76"/>
    <n v="71159778"/>
    <x v="7"/>
    <s v="Tesla"/>
    <x v="4"/>
    <n v="-4.4260000000000002"/>
    <x v="19"/>
    <x v="1"/>
    <s v="August"/>
    <s v="Loss"/>
    <n v="12.010000000000019"/>
    <n v="81.135999999999996"/>
  </r>
  <r>
    <s v="2024-08-08"/>
    <n v="195.7"/>
    <x v="3723"/>
    <n v="192.04"/>
    <n v="198.84"/>
    <n v="65033874"/>
    <x v="7"/>
    <s v="Tesla"/>
    <x v="4"/>
    <n v="3.6920000000000002"/>
    <x v="19"/>
    <x v="1"/>
    <s v="August"/>
    <s v="Profit"/>
    <n v="8.6599999999999966"/>
    <n v="84.828000000000003"/>
  </r>
  <r>
    <s v="2024-08-09"/>
    <n v="197.05"/>
    <x v="3620"/>
    <n v="195.11"/>
    <n v="200"/>
    <n v="58648274"/>
    <x v="7"/>
    <s v="Tesla"/>
    <x v="4"/>
    <n v="0.58299999999999996"/>
    <x v="19"/>
    <x v="1"/>
    <s v="August"/>
    <s v="Profit"/>
    <n v="5.7699999999999818"/>
    <n v="85.411000000000001"/>
  </r>
  <r>
    <s v="2024-08-12"/>
    <n v="199.02"/>
    <x v="962"/>
    <n v="194.67"/>
    <n v="197.49"/>
    <n v="64044903"/>
    <x v="7"/>
    <s v="Tesla"/>
    <x v="4"/>
    <n v="-1.2549999999999999"/>
    <x v="19"/>
    <x v="1"/>
    <s v="August"/>
    <s v="Loss"/>
    <n v="4.5900000000000034"/>
    <n v="84.156000000000006"/>
  </r>
  <r>
    <s v="2024-08-13"/>
    <n v="198.47"/>
    <x v="3724"/>
    <n v="197.06"/>
    <n v="207.83"/>
    <n v="76247387"/>
    <x v="7"/>
    <s v="Tesla"/>
    <x v="4"/>
    <n v="5.2359999999999998"/>
    <x v="19"/>
    <x v="1"/>
    <s v="August"/>
    <s v="Profit"/>
    <n v="11.430000000000007"/>
    <n v="89.39200000000001"/>
  </r>
  <r>
    <s v="2024-08-14"/>
    <n v="207.39"/>
    <x v="3389"/>
    <n v="198.75"/>
    <n v="201.38"/>
    <n v="70250014"/>
    <x v="7"/>
    <s v="Tesla"/>
    <x v="4"/>
    <n v="-3.1030000000000002"/>
    <x v="19"/>
    <x v="1"/>
    <s v="August"/>
    <s v="Loss"/>
    <n v="9.6899999999999977"/>
    <n v="86.289000000000016"/>
  </r>
  <r>
    <s v="2024-08-15"/>
    <n v="205.02"/>
    <x v="3725"/>
    <n v="204.82"/>
    <n v="214.14"/>
    <n v="89848530"/>
    <x v="7"/>
    <s v="Tesla"/>
    <x v="4"/>
    <n v="6.3360000000000003"/>
    <x v="19"/>
    <x v="1"/>
    <s v="August"/>
    <s v="Profit"/>
    <n v="11.060000000000002"/>
    <n v="92.625000000000014"/>
  </r>
  <r>
    <s v="2024-08-16"/>
    <n v="211.15"/>
    <x v="3726"/>
    <n v="210.8"/>
    <n v="216.12"/>
    <n v="88765122"/>
    <x v="7"/>
    <s v="Tesla"/>
    <x v="4"/>
    <n v="0.92500000000000004"/>
    <x v="19"/>
    <x v="1"/>
    <s v="August"/>
    <s v="Profit"/>
    <n v="9"/>
    <n v="93.550000000000011"/>
  </r>
  <r>
    <s v="2024-08-19"/>
    <n v="217.07"/>
    <x v="2290"/>
    <n v="214.09"/>
    <n v="222.72"/>
    <n v="76435222"/>
    <x v="7"/>
    <s v="Tesla"/>
    <x v="4"/>
    <n v="3.0539999999999998"/>
    <x v="19"/>
    <x v="1"/>
    <s v="August"/>
    <s v="Profit"/>
    <n v="8.8899999999999864"/>
    <n v="96.604000000000013"/>
  </r>
  <r>
    <s v="2024-08-20"/>
    <n v="224.88"/>
    <x v="3727"/>
    <n v="219.56"/>
    <n v="221.1"/>
    <n v="74001182"/>
    <x v="7"/>
    <s v="Tesla"/>
    <x v="4"/>
    <n v="-0.72699999999999998"/>
    <x v="19"/>
    <x v="1"/>
    <s v="August"/>
    <s v="Loss"/>
    <n v="8.6599999999999966"/>
    <n v="95.87700000000001"/>
  </r>
  <r>
    <s v="2024-08-21"/>
    <n v="222.67"/>
    <x v="3728"/>
    <n v="218.86"/>
    <n v="223.27"/>
    <n v="70145964"/>
    <x v="7"/>
    <s v="Tesla"/>
    <x v="4"/>
    <n v="0.98099999999999998"/>
    <x v="19"/>
    <x v="1"/>
    <s v="August"/>
    <s v="Profit"/>
    <n v="5.7989999999999782"/>
    <n v="96.858000000000004"/>
  </r>
  <r>
    <s v="2024-08-22"/>
    <n v="223.82"/>
    <x v="2328"/>
    <n v="210.32"/>
    <n v="210.66"/>
    <n v="79514482"/>
    <x v="7"/>
    <s v="Tesla"/>
    <x v="4"/>
    <n v="-5.6479999999999997"/>
    <x v="19"/>
    <x v="1"/>
    <s v="August"/>
    <s v="Loss"/>
    <n v="14.480000000000018"/>
    <n v="91.210000000000008"/>
  </r>
  <r>
    <s v="2024-08-23"/>
    <n v="214.45500000000001"/>
    <x v="3729"/>
    <n v="214.21"/>
    <n v="220.32"/>
    <n v="81525207"/>
    <x v="7"/>
    <s v="Tesla"/>
    <x v="4"/>
    <n v="4.5860000000000003"/>
    <x v="19"/>
    <x v="1"/>
    <s v="August"/>
    <s v="Profit"/>
    <n v="7.2699999999999818"/>
    <n v="95.796000000000006"/>
  </r>
  <r>
    <s v="2024-08-26"/>
    <n v="218.75"/>
    <x v="3730"/>
    <n v="211.01"/>
    <n v="213.21"/>
    <n v="59301187"/>
    <x v="7"/>
    <s v="Tesla"/>
    <x v="4"/>
    <n v="-3.2269999999999999"/>
    <x v="19"/>
    <x v="1"/>
    <s v="August"/>
    <s v="Loss"/>
    <n v="8.0800000000000125"/>
    <n v="92.569000000000003"/>
  </r>
  <r>
    <s v="2024-08-27"/>
    <n v="213.25"/>
    <x v="3731"/>
    <n v="206.94"/>
    <n v="209.21"/>
    <n v="62821390"/>
    <x v="7"/>
    <s v="Tesla"/>
    <x v="4"/>
    <n v="-1.8759999999999999"/>
    <x v="19"/>
    <x v="1"/>
    <s v="August"/>
    <s v="Loss"/>
    <n v="8.7199999999999989"/>
    <n v="90.692999999999998"/>
  </r>
  <r>
    <s v="2024-08-28"/>
    <n v="209.72"/>
    <x v="3732"/>
    <n v="202.59"/>
    <n v="205.75"/>
    <n v="64116350"/>
    <x v="7"/>
    <s v="Tesla"/>
    <x v="4"/>
    <n v="-1.6539999999999999"/>
    <x v="19"/>
    <x v="1"/>
    <s v="August"/>
    <s v="Loss"/>
    <n v="9.25"/>
    <n v="89.039000000000001"/>
  </r>
  <r>
    <s v="2024-08-29"/>
    <n v="209.8"/>
    <x v="3733"/>
    <n v="205.97"/>
    <n v="206.28"/>
    <n v="62308818"/>
    <x v="7"/>
    <s v="Tesla"/>
    <x v="4"/>
    <n v="0.25800000000000001"/>
    <x v="19"/>
    <x v="1"/>
    <s v="August"/>
    <s v="Profit"/>
    <n v="8.9199999999999875"/>
    <n v="89.296999999999997"/>
  </r>
  <r>
    <s v="2024-08-30"/>
    <n v="208.63"/>
    <x v="3734"/>
    <n v="207.03"/>
    <n v="214.11"/>
    <n v="63370608"/>
    <x v="7"/>
    <s v="Tesla"/>
    <x v="4"/>
    <n v="3.7959999999999998"/>
    <x v="19"/>
    <x v="1"/>
    <s v="August"/>
    <s v="Profit"/>
    <n v="7.539999999999992"/>
    <n v="93.093000000000004"/>
  </r>
  <r>
    <s v="2024-09-03"/>
    <n v="215.26"/>
    <x v="3735"/>
    <n v="209.64"/>
    <n v="210.6"/>
    <n v="76714222"/>
    <x v="7"/>
    <s v="Tesla"/>
    <x v="4"/>
    <n v="-1.639"/>
    <x v="20"/>
    <x v="1"/>
    <s v="September"/>
    <s v="Loss"/>
    <n v="10.26400000000001"/>
    <n v="91.454000000000008"/>
  </r>
  <r>
    <s v="2024-09-04"/>
    <n v="210.59"/>
    <x v="3736"/>
    <n v="210.57"/>
    <n v="219.41"/>
    <n v="80651767"/>
    <x v="7"/>
    <s v="Tesla"/>
    <x v="4"/>
    <n v="4.1829999999999998"/>
    <x v="20"/>
    <x v="1"/>
    <s v="September"/>
    <s v="Profit"/>
    <n v="11.650000000000006"/>
    <n v="95.637"/>
  </r>
  <r>
    <s v="2024-09-05"/>
    <n v="223.49"/>
    <x v="3737"/>
    <n v="222.25"/>
    <n v="230.17"/>
    <n v="119355013"/>
    <x v="7"/>
    <s v="Tesla"/>
    <x v="4"/>
    <n v="4.9039999999999999"/>
    <x v="20"/>
    <x v="1"/>
    <s v="September"/>
    <s v="Profit"/>
    <n v="12.75"/>
    <n v="100.541"/>
  </r>
  <r>
    <s v="2024-09-06"/>
    <n v="232.6"/>
    <x v="3738"/>
    <n v="210.51"/>
    <n v="210.73"/>
    <n v="112177004"/>
    <x v="7"/>
    <s v="Tesla"/>
    <x v="4"/>
    <n v="-8.4459999999999997"/>
    <x v="20"/>
    <x v="1"/>
    <s v="September"/>
    <s v="Loss"/>
    <n v="23.090000000000003"/>
    <n v="92.094999999999999"/>
  </r>
  <r>
    <s v="2024-09-09"/>
    <n v="216.2"/>
    <x v="3739"/>
    <n v="213.67"/>
    <n v="216.27"/>
    <n v="67443518"/>
    <x v="7"/>
    <s v="Tesla"/>
    <x v="4"/>
    <n v="2.629"/>
    <x v="20"/>
    <x v="1"/>
    <s v="September"/>
    <s v="Profit"/>
    <n v="6.2000000000000171"/>
    <n v="94.724000000000004"/>
  </r>
  <r>
    <s v="2024-09-10"/>
    <n v="220.07"/>
    <x v="3740"/>
    <n v="218.63800000000001"/>
    <n v="226.17"/>
    <n v="78891136"/>
    <x v="7"/>
    <s v="Tesla"/>
    <x v="4"/>
    <n v="4.5780000000000003"/>
    <x v="20"/>
    <x v="1"/>
    <s v="September"/>
    <s v="Profit"/>
    <n v="7.7620000000000005"/>
    <n v="99.302000000000007"/>
  </r>
  <r>
    <s v="2024-09-11"/>
    <n v="224.55"/>
    <x v="3741"/>
    <n v="216.8"/>
    <n v="228.13"/>
    <n v="83548633"/>
    <x v="7"/>
    <s v="Tesla"/>
    <x v="4"/>
    <n v="0.86699999999999999"/>
    <x v="20"/>
    <x v="1"/>
    <s v="September"/>
    <s v="Profit"/>
    <n v="11.669999999999987"/>
    <n v="100.16900000000001"/>
  </r>
  <r>
    <s v="2024-09-12"/>
    <n v="224.66"/>
    <x v="3742"/>
    <n v="223.83"/>
    <n v="229.81"/>
    <n v="72020042"/>
    <x v="7"/>
    <s v="Tesla"/>
    <x v="4"/>
    <n v="0.73599999999999999"/>
    <x v="20"/>
    <x v="1"/>
    <s v="September"/>
    <s v="Profit"/>
    <n v="7.6199999999999761"/>
    <n v="100.90500000000002"/>
  </r>
  <r>
    <s v="2024-09-13"/>
    <n v="228"/>
    <x v="3743"/>
    <n v="226.32"/>
    <n v="230.29"/>
    <n v="59515114"/>
    <x v="7"/>
    <s v="Tesla"/>
    <x v="4"/>
    <n v="0.20899999999999999"/>
    <x v="20"/>
    <x v="1"/>
    <s v="September"/>
    <s v="Profit"/>
    <n v="6.3499999999999943"/>
    <n v="101.11400000000002"/>
  </r>
  <r>
    <s v="2024-09-16"/>
    <n v="229.3"/>
    <x v="3744"/>
    <n v="223.53"/>
    <n v="226.78"/>
    <n v="54322995"/>
    <x v="7"/>
    <s v="Tesla"/>
    <x v="4"/>
    <n v="-1.524"/>
    <x v="20"/>
    <x v="1"/>
    <s v="September"/>
    <s v="Loss"/>
    <n v="6.4300000000000068"/>
    <n v="99.590000000000018"/>
  </r>
  <r>
    <s v="2024-09-17"/>
    <n v="229.45"/>
    <x v="3745"/>
    <n v="226.553"/>
    <n v="227.87"/>
    <n v="66761636"/>
    <x v="7"/>
    <s v="Tesla"/>
    <x v="4"/>
    <n v="0.48099999999999998"/>
    <x v="20"/>
    <x v="1"/>
    <s v="September"/>
    <s v="Profit"/>
    <n v="8.0169999999999959"/>
    <n v="100.07100000000001"/>
  </r>
  <r>
    <s v="2024-09-18"/>
    <n v="230.09"/>
    <x v="3746"/>
    <n v="226.88"/>
    <n v="227.2"/>
    <n v="78010204"/>
    <x v="7"/>
    <s v="Tesla"/>
    <x v="4"/>
    <n v="-0.29399999999999998"/>
    <x v="20"/>
    <x v="1"/>
    <s v="September"/>
    <s v="Loss"/>
    <n v="8.8000000000000114"/>
    <n v="99.777000000000015"/>
  </r>
  <r>
    <s v="2024-09-19"/>
    <n v="234"/>
    <x v="3747"/>
    <n v="232.13"/>
    <n v="243.92"/>
    <n v="102694576"/>
    <x v="7"/>
    <s v="Tesla"/>
    <x v="4"/>
    <n v="7.359"/>
    <x v="20"/>
    <x v="1"/>
    <s v="September"/>
    <s v="Profit"/>
    <n v="12.110000000000014"/>
    <n v="107.13600000000001"/>
  </r>
  <r>
    <s v="2024-09-20"/>
    <n v="241.52"/>
    <x v="3748"/>
    <n v="235.92"/>
    <n v="238.25"/>
    <n v="99879070"/>
    <x v="7"/>
    <s v="Tesla"/>
    <x v="4"/>
    <n v="-2.3250000000000002"/>
    <x v="20"/>
    <x v="1"/>
    <s v="September"/>
    <s v="Loss"/>
    <n v="8.0700000000000216"/>
    <n v="104.81100000000001"/>
  </r>
  <r>
    <s v="2024-09-23"/>
    <n v="242.61"/>
    <x v="3749"/>
    <n v="241.92"/>
    <n v="250"/>
    <n v="86927194"/>
    <x v="7"/>
    <s v="Tesla"/>
    <x v="4"/>
    <n v="4.9320000000000004"/>
    <x v="20"/>
    <x v="1"/>
    <s v="September"/>
    <s v="Profit"/>
    <n v="8.0800000000000125"/>
    <n v="109.74300000000001"/>
  </r>
  <r>
    <s v="2024-09-24"/>
    <n v="254.08"/>
    <x v="3750"/>
    <n v="249.05"/>
    <n v="254.27"/>
    <n v="88490999"/>
    <x v="7"/>
    <s v="Tesla"/>
    <x v="4"/>
    <n v="1.708"/>
    <x v="20"/>
    <x v="1"/>
    <s v="September"/>
    <s v="Profit"/>
    <n v="8.1399999999999864"/>
    <n v="111.45100000000001"/>
  </r>
  <r>
    <s v="2024-09-25"/>
    <n v="252.54"/>
    <x v="3751"/>
    <n v="252.28"/>
    <n v="257.02"/>
    <n v="65034318"/>
    <x v="7"/>
    <s v="Tesla"/>
    <x v="4"/>
    <n v="1.0820000000000001"/>
    <x v="20"/>
    <x v="1"/>
    <s v="September"/>
    <s v="Profit"/>
    <n v="4.7700000000000102"/>
    <n v="112.533"/>
  </r>
  <r>
    <s v="2024-09-26"/>
    <n v="260.60000000000002"/>
    <x v="3752"/>
    <n v="251.53"/>
    <n v="254.22"/>
    <n v="67142193"/>
    <x v="7"/>
    <s v="Tesla"/>
    <x v="4"/>
    <n v="-1.089"/>
    <x v="20"/>
    <x v="1"/>
    <s v="September"/>
    <s v="Loss"/>
    <n v="10.219999999999999"/>
    <n v="111.444"/>
  </r>
  <r>
    <s v="2024-09-27"/>
    <n v="257.375"/>
    <x v="3753"/>
    <n v="254.12"/>
    <n v="260.45999999999998"/>
    <n v="70988067"/>
    <x v="7"/>
    <s v="Tesla"/>
    <x v="4"/>
    <n v="2.4550000000000001"/>
    <x v="20"/>
    <x v="1"/>
    <s v="September"/>
    <s v="Profit"/>
    <n v="6.5799999999999841"/>
    <n v="113.899"/>
  </r>
  <r>
    <s v="2024-09-30"/>
    <n v="259.04000000000002"/>
    <x v="3754"/>
    <n v="255.77"/>
    <n v="261.63"/>
    <n v="80873381"/>
    <x v="7"/>
    <s v="Tesla"/>
    <x v="4"/>
    <n v="0.44900000000000001"/>
    <x v="20"/>
    <x v="1"/>
    <s v="September"/>
    <s v="Profit"/>
    <n v="9.0900000000000034"/>
    <n v="114.348"/>
  </r>
  <r>
    <s v="2024-10-01"/>
    <n v="262.67"/>
    <x v="3755"/>
    <n v="248.53"/>
    <n v="258.02"/>
    <n v="87397613"/>
    <x v="7"/>
    <s v="Tesla"/>
    <x v="4"/>
    <n v="-1.38"/>
    <x v="21"/>
    <x v="1"/>
    <s v="October"/>
    <s v="Loss"/>
    <n v="15.450000000000017"/>
    <n v="112.968"/>
  </r>
  <r>
    <s v="2024-10-02"/>
    <n v="247.55"/>
    <x v="3756"/>
    <n v="241.5"/>
    <n v="249.02"/>
    <n v="93983930"/>
    <x v="7"/>
    <s v="Tesla"/>
    <x v="4"/>
    <n v="-3.488"/>
    <x v="21"/>
    <x v="1"/>
    <s v="October"/>
    <s v="Loss"/>
    <n v="9.6589999999999918"/>
    <n v="109.48"/>
  </r>
  <r>
    <s v="2024-10-03"/>
    <n v="244.48"/>
    <x v="3757"/>
    <n v="237.81"/>
    <n v="240.66"/>
    <n v="80729240"/>
    <x v="7"/>
    <s v="Tesla"/>
    <x v="4"/>
    <n v="-3.3570000000000002"/>
    <x v="21"/>
    <x v="1"/>
    <s v="October"/>
    <s v="Loss"/>
    <n v="11.97999999999999"/>
    <n v="106.123"/>
  </r>
  <r>
    <s v="2024-10-04"/>
    <n v="246.69"/>
    <x v="3758"/>
    <n v="244.58"/>
    <n v="250.08"/>
    <n v="86726285"/>
    <x v="7"/>
    <s v="Tesla"/>
    <x v="4"/>
    <n v="3.9140000000000001"/>
    <x v="21"/>
    <x v="1"/>
    <s v="October"/>
    <s v="Profit"/>
    <n v="6.3799999999999955"/>
    <n v="110.03700000000001"/>
  </r>
  <r>
    <s v="2024-10-07"/>
    <n v="249"/>
    <x v="3759"/>
    <n v="240.7"/>
    <n v="240.83"/>
    <n v="68113270"/>
    <x v="7"/>
    <s v="Tesla"/>
    <x v="4"/>
    <n v="-3.6989999999999998"/>
    <x v="21"/>
    <x v="1"/>
    <s v="October"/>
    <s v="Loss"/>
    <n v="9.1300000000000239"/>
    <n v="106.33800000000001"/>
  </r>
  <r>
    <s v="2024-10-08"/>
    <n v="243.56"/>
    <x v="3760"/>
    <n v="240.56"/>
    <n v="244.5"/>
    <n v="56303160"/>
    <x v="7"/>
    <s v="Tesla"/>
    <x v="4"/>
    <n v="1.524"/>
    <x v="21"/>
    <x v="1"/>
    <s v="October"/>
    <s v="Profit"/>
    <n v="5.6500000000000057"/>
    <n v="107.86200000000001"/>
  </r>
  <r>
    <s v="2024-10-09"/>
    <n v="243.82"/>
    <x v="3761"/>
    <n v="239.51"/>
    <n v="241.05"/>
    <n v="66289529"/>
    <x v="7"/>
    <s v="Tesla"/>
    <x v="4"/>
    <n v="-1.411"/>
    <x v="21"/>
    <x v="1"/>
    <s v="October"/>
    <s v="Loss"/>
    <n v="7.9200000000000159"/>
    <n v="106.45100000000001"/>
  </r>
  <r>
    <s v="2024-10-10"/>
    <n v="241.81"/>
    <x v="3762"/>
    <n v="232.34"/>
    <n v="238.77"/>
    <n v="83087063"/>
    <x v="7"/>
    <s v="Tesla"/>
    <x v="4"/>
    <n v="-0.94599999999999995"/>
    <x v="21"/>
    <x v="1"/>
    <s v="October"/>
    <s v="Loss"/>
    <n v="10.449999999999989"/>
    <n v="105.50500000000001"/>
  </r>
  <r>
    <s v="2024-10-11"/>
    <n v="220.13"/>
    <x v="3763"/>
    <n v="214.38"/>
    <n v="217.8"/>
    <n v="142628874"/>
    <x v="7"/>
    <s v="Tesla"/>
    <x v="4"/>
    <n v="-8.7829999999999995"/>
    <x v="21"/>
    <x v="1"/>
    <s v="October"/>
    <s v="Loss"/>
    <n v="8.960000000000008"/>
    <n v="96.722000000000008"/>
  </r>
  <r>
    <s v="2024-10-14"/>
    <n v="220.13"/>
    <x v="3450"/>
    <n v="213.74"/>
    <n v="219.16"/>
    <n v="86291923"/>
    <x v="7"/>
    <s v="Tesla"/>
    <x v="4"/>
    <n v="0.624"/>
    <x v="21"/>
    <x v="1"/>
    <s v="October"/>
    <s v="Profit"/>
    <n v="8.1699999999999875"/>
    <n v="97.346000000000004"/>
  </r>
  <r>
    <s v="2024-10-15"/>
    <n v="220.01"/>
    <x v="3764"/>
    <n v="217.12"/>
    <n v="219.57"/>
    <n v="62988787"/>
    <x v="7"/>
    <s v="Tesla"/>
    <x v="4"/>
    <n v="0.187"/>
    <x v="21"/>
    <x v="1"/>
    <s v="October"/>
    <s v="Profit"/>
    <n v="7.1399999999999864"/>
    <n v="97.533000000000001"/>
  </r>
  <r>
    <s v="2024-10-16"/>
    <n v="221.4"/>
    <x v="3765"/>
    <n v="218.93"/>
    <n v="221.33"/>
    <n v="49632824"/>
    <x v="7"/>
    <s v="Tesla"/>
    <x v="4"/>
    <n v="0.80200000000000005"/>
    <x v="21"/>
    <x v="1"/>
    <s v="October"/>
    <s v="Profit"/>
    <n v="3.8899999999999864"/>
    <n v="98.335000000000008"/>
  </r>
  <r>
    <s v="2024-10-17"/>
    <n v="221.59"/>
    <x v="3766"/>
    <n v="217.9"/>
    <n v="220.89"/>
    <n v="50791784"/>
    <x v="7"/>
    <s v="Tesla"/>
    <x v="4"/>
    <n v="-0.19900000000000001"/>
    <x v="21"/>
    <x v="1"/>
    <s v="October"/>
    <s v="Loss"/>
    <n v="4.1800000000000068"/>
    <n v="98.13600000000001"/>
  </r>
  <r>
    <s v="2024-10-18"/>
    <n v="220.71"/>
    <x v="3715"/>
    <n v="219.23"/>
    <n v="220.7"/>
    <n v="49611867"/>
    <x v="7"/>
    <s v="Tesla"/>
    <x v="4"/>
    <n v="-8.5999999999999993E-2"/>
    <x v="21"/>
    <x v="1"/>
    <s v="October"/>
    <s v="Loss"/>
    <n v="3.0500000000000114"/>
    <n v="98.050000000000011"/>
  </r>
  <r>
    <s v="2024-10-21"/>
    <n v="218.9"/>
    <x v="3767"/>
    <n v="215.726"/>
    <n v="218.85"/>
    <n v="47328988"/>
    <x v="7"/>
    <s v="Tesla"/>
    <x v="4"/>
    <n v="-0.83799999999999997"/>
    <x v="21"/>
    <x v="1"/>
    <s v="October"/>
    <s v="Loss"/>
    <n v="4.7539999999999907"/>
    <n v="97.212000000000018"/>
  </r>
  <r>
    <s v="2024-10-22"/>
    <n v="217.31"/>
    <x v="3768"/>
    <n v="215.26"/>
    <n v="217.97"/>
    <n v="43268741"/>
    <x v="7"/>
    <s v="Tesla"/>
    <x v="4"/>
    <n v="-0.40200000000000002"/>
    <x v="21"/>
    <x v="1"/>
    <s v="October"/>
    <s v="Loss"/>
    <n v="2.960000000000008"/>
    <n v="96.810000000000016"/>
  </r>
  <r>
    <s v="2024-10-23"/>
    <n v="217.125"/>
    <x v="3769"/>
    <n v="212.11"/>
    <n v="213.65"/>
    <n v="80938892"/>
    <x v="7"/>
    <s v="Tesla"/>
    <x v="4"/>
    <n v="-1.982"/>
    <x v="21"/>
    <x v="1"/>
    <s v="October"/>
    <s v="Loss"/>
    <n v="6.6099999999999852"/>
    <n v="94.828000000000017"/>
  </r>
  <r>
    <s v="2024-10-24"/>
    <n v="244.68"/>
    <x v="3770"/>
    <n v="242.65"/>
    <n v="260.48"/>
    <n v="204491903"/>
    <x v="7"/>
    <s v="Tesla"/>
    <x v="4"/>
    <n v="21.919"/>
    <x v="21"/>
    <x v="1"/>
    <s v="October"/>
    <s v="Profit"/>
    <n v="19.47"/>
    <n v="116.74700000000001"/>
  </r>
  <r>
    <s v="2024-10-25"/>
    <n v="256.01"/>
    <x v="3771"/>
    <n v="255.32"/>
    <n v="269.19"/>
    <n v="161611931"/>
    <x v="7"/>
    <s v="Tesla"/>
    <x v="4"/>
    <n v="3.3439999999999999"/>
    <x v="21"/>
    <x v="1"/>
    <s v="October"/>
    <s v="Profit"/>
    <n v="14.170000000000016"/>
    <n v="120.09100000000001"/>
  </r>
  <r>
    <s v="2024-10-28"/>
    <n v="270"/>
    <x v="3772"/>
    <n v="262.24"/>
    <n v="262.51"/>
    <n v="107653603"/>
    <x v="7"/>
    <s v="Tesla"/>
    <x v="4"/>
    <n v="-2.4820000000000002"/>
    <x v="21"/>
    <x v="1"/>
    <s v="October"/>
    <s v="Loss"/>
    <n v="11.295999999999992"/>
    <n v="117.60900000000001"/>
  </r>
  <r>
    <s v="2024-10-29"/>
    <n v="264.51"/>
    <x v="3773"/>
    <n v="255.51"/>
    <n v="259.52"/>
    <n v="80521751"/>
    <x v="7"/>
    <s v="Tesla"/>
    <x v="4"/>
    <n v="-1.139"/>
    <x v="21"/>
    <x v="1"/>
    <s v="October"/>
    <s v="Loss"/>
    <n v="9.4700000000000273"/>
    <n v="116.47000000000001"/>
  </r>
  <r>
    <s v="2024-10-30"/>
    <n v="258.03500000000003"/>
    <x v="3774"/>
    <n v="255.82"/>
    <n v="257.55"/>
    <n v="53993576"/>
    <x v="7"/>
    <s v="Tesla"/>
    <x v="4"/>
    <n v="-0.75900000000000001"/>
    <x v="21"/>
    <x v="1"/>
    <s v="October"/>
    <s v="Loss"/>
    <n v="7.5300000000000296"/>
    <n v="115.71100000000001"/>
  </r>
  <r>
    <s v="2024-10-31"/>
    <n v="257.99"/>
    <x v="3775"/>
    <n v="249.25"/>
    <n v="249.85"/>
    <n v="66575292"/>
    <x v="7"/>
    <s v="Tesla"/>
    <x v="4"/>
    <n v="-2.99"/>
    <x v="21"/>
    <x v="1"/>
    <s v="October"/>
    <s v="Loss"/>
    <n v="10.5"/>
    <n v="112.72100000000002"/>
  </r>
  <r>
    <s v="2024-11-01"/>
    <n v="252.04300000000001"/>
    <x v="3776"/>
    <n v="246.63"/>
    <n v="248.98"/>
    <n v="57544757"/>
    <x v="7"/>
    <s v="Tesla"/>
    <x v="4"/>
    <n v="-0.34799999999999998"/>
    <x v="22"/>
    <x v="1"/>
    <s v="November"/>
    <s v="Loss"/>
    <n v="7.3700000000000045"/>
    <n v="112.37300000000002"/>
  </r>
  <r>
    <s v="2024-11-04"/>
    <n v="244.56"/>
    <x v="3777"/>
    <n v="238.88"/>
    <n v="242.84"/>
    <n v="68802354"/>
    <x v="7"/>
    <s v="Tesla"/>
    <x v="4"/>
    <n v="-2.4660000000000002"/>
    <x v="22"/>
    <x v="1"/>
    <s v="November"/>
    <s v="Loss"/>
    <n v="10.02000000000001"/>
    <n v="109.90700000000002"/>
  </r>
  <r>
    <s v="2024-11-05"/>
    <n v="247.34"/>
    <x v="3778"/>
    <n v="246.21"/>
    <n v="251.44"/>
    <n v="69282505"/>
    <x v="7"/>
    <s v="Tesla"/>
    <x v="4"/>
    <n v="3.5409999999999999"/>
    <x v="22"/>
    <x v="1"/>
    <s v="November"/>
    <s v="Profit"/>
    <n v="9.0699999999999932"/>
    <n v="113.44800000000002"/>
  </r>
  <r>
    <s v="2024-11-06"/>
    <n v="284.67"/>
    <x v="3779"/>
    <n v="275.62"/>
    <n v="288.52999999999997"/>
    <n v="165228710"/>
    <x v="7"/>
    <s v="Tesla"/>
    <x v="4"/>
    <n v="14.750999999999999"/>
    <x v="22"/>
    <x v="1"/>
    <s v="November"/>
    <s v="Profit"/>
    <n v="13.96999999999997"/>
    <n v="128.19900000000001"/>
  </r>
  <r>
    <s v="2024-11-07"/>
    <n v="288.89"/>
    <x v="3780"/>
    <n v="285.52"/>
    <n v="296.91000000000003"/>
    <n v="117309232"/>
    <x v="7"/>
    <s v="Tesla"/>
    <x v="4"/>
    <n v="2.9039999999999999"/>
    <x v="22"/>
    <x v="1"/>
    <s v="November"/>
    <s v="Profit"/>
    <n v="14.230000000000018"/>
    <n v="131.10300000000001"/>
  </r>
  <r>
    <s v="2024-11-08"/>
    <n v="299.14"/>
    <x v="2577"/>
    <n v="297.66000000000003"/>
    <n v="321.22000000000003"/>
    <n v="204782763"/>
    <x v="7"/>
    <s v="Tesla"/>
    <x v="4"/>
    <n v="8.1880000000000006"/>
    <x v="22"/>
    <x v="1"/>
    <s v="November"/>
    <s v="Profit"/>
    <n v="31.049999999999955"/>
    <n v="139.291"/>
  </r>
  <r>
    <s v="2024-11-11"/>
    <n v="346.3"/>
    <x v="3781"/>
    <n v="336"/>
    <n v="350"/>
    <n v="210521625"/>
    <x v="7"/>
    <s v="Tesla"/>
    <x v="4"/>
    <n v="8.9600000000000009"/>
    <x v="22"/>
    <x v="1"/>
    <s v="November"/>
    <s v="Profit"/>
    <n v="22.639999999999986"/>
    <n v="148.251"/>
  </r>
  <r>
    <s v="2024-11-12"/>
    <n v="342.74"/>
    <x v="3782"/>
    <n v="323.31"/>
    <n v="328.49"/>
    <n v="155726016"/>
    <x v="7"/>
    <s v="Tesla"/>
    <x v="4"/>
    <n v="-6.1459999999999999"/>
    <x v="22"/>
    <x v="1"/>
    <s v="November"/>
    <s v="Loss"/>
    <n v="22.529999999999973"/>
    <n v="142.10500000000002"/>
  </r>
  <r>
    <s v="2024-11-13"/>
    <n v="335.85"/>
    <x v="3783"/>
    <n v="322.5"/>
    <n v="330.24"/>
    <n v="125405599"/>
    <x v="7"/>
    <s v="Tesla"/>
    <x v="4"/>
    <n v="0.53300000000000003"/>
    <x v="22"/>
    <x v="1"/>
    <s v="November"/>
    <s v="Profit"/>
    <n v="22.100000000000023"/>
    <n v="142.63800000000001"/>
  </r>
  <r>
    <s v="2024-11-14"/>
    <n v="327.69"/>
    <x v="3784"/>
    <n v="310.37"/>
    <n v="311.18"/>
    <n v="120726109"/>
    <x v="7"/>
    <s v="Tesla"/>
    <x v="4"/>
    <n v="-5.7720000000000002"/>
    <x v="22"/>
    <x v="1"/>
    <s v="November"/>
    <s v="Loss"/>
    <n v="19.610000000000014"/>
    <n v="136.86600000000001"/>
  </r>
  <r>
    <s v="2024-11-15"/>
    <n v="310.57"/>
    <x v="3785"/>
    <n v="309.22000000000003"/>
    <n v="320.72000000000003"/>
    <n v="114440286"/>
    <x v="7"/>
    <s v="Tesla"/>
    <x v="4"/>
    <n v="3.0659999999999998"/>
    <x v="22"/>
    <x v="1"/>
    <s v="November"/>
    <s v="Profit"/>
    <n v="15.45999999999998"/>
    <n v="139.93200000000002"/>
  </r>
  <r>
    <s v="2024-11-18"/>
    <n v="340.73"/>
    <x v="3786"/>
    <n v="330.01"/>
    <n v="338.74"/>
    <n v="126547455"/>
    <x v="7"/>
    <s v="Tesla"/>
    <x v="4"/>
    <n v="5.6189999999999998"/>
    <x v="22"/>
    <x v="1"/>
    <s v="November"/>
    <s v="Profit"/>
    <n v="18.54000000000002"/>
    <n v="145.55100000000002"/>
  </r>
  <r>
    <s v="2024-11-19"/>
    <n v="335.76"/>
    <x v="3787"/>
    <n v="332.75"/>
    <n v="346"/>
    <n v="88852452"/>
    <x v="7"/>
    <s v="Tesla"/>
    <x v="4"/>
    <n v="2.1429999999999998"/>
    <x v="22"/>
    <x v="1"/>
    <s v="November"/>
    <s v="Profit"/>
    <n v="14.629999999999995"/>
    <n v="147.69400000000002"/>
  </r>
  <r>
    <s v="2024-11-20"/>
    <n v="345"/>
    <x v="3788"/>
    <n v="334.3"/>
    <n v="342.03"/>
    <n v="66340650"/>
    <x v="7"/>
    <s v="Tesla"/>
    <x v="4"/>
    <n v="-1.147"/>
    <x v="22"/>
    <x v="1"/>
    <s v="November"/>
    <s v="Loss"/>
    <n v="12.300000000000011"/>
    <n v="146.54700000000003"/>
  </r>
  <r>
    <s v="2024-11-21"/>
    <n v="343.81"/>
    <x v="3789"/>
    <n v="335.28"/>
    <n v="339.64"/>
    <n v="58011719"/>
    <x v="7"/>
    <s v="Tesla"/>
    <x v="4"/>
    <n v="-0.69899999999999995"/>
    <x v="22"/>
    <x v="1"/>
    <s v="November"/>
    <s v="Loss"/>
    <n v="12.710000000000036"/>
    <n v="145.84800000000001"/>
  </r>
  <r>
    <s v="2024-11-22"/>
    <n v="341.08499999999998"/>
    <x v="3790"/>
    <n v="337.7"/>
    <n v="352.56"/>
    <n v="89140722"/>
    <x v="7"/>
    <s v="Tesla"/>
    <x v="4"/>
    <n v="3.8039999999999998"/>
    <x v="22"/>
    <x v="1"/>
    <s v="November"/>
    <s v="Profit"/>
    <n v="23.829999999999984"/>
    <n v="149.65200000000002"/>
  </r>
  <r>
    <s v="2024-11-25"/>
    <n v="360.14"/>
    <x v="3791"/>
    <n v="338.2"/>
    <n v="338.59"/>
    <n v="95890899"/>
    <x v="7"/>
    <s v="Tesla"/>
    <x v="4"/>
    <n v="-3.9620000000000002"/>
    <x v="22"/>
    <x v="1"/>
    <s v="November"/>
    <s v="Loss"/>
    <n v="23.730000000000018"/>
    <n v="145.69000000000003"/>
  </r>
  <r>
    <s v="2024-11-26"/>
    <n v="341"/>
    <x v="3792"/>
    <n v="335.66"/>
    <n v="338.23"/>
    <n v="62295857"/>
    <x v="7"/>
    <s v="Tesla"/>
    <x v="4"/>
    <n v="-0.106"/>
    <x v="22"/>
    <x v="1"/>
    <s v="November"/>
    <s v="Loss"/>
    <n v="11.299999999999955"/>
    <n v="145.58400000000003"/>
  </r>
  <r>
    <s v="2024-11-27"/>
    <n v="341.8"/>
    <x v="3793"/>
    <n v="326.58999999999997"/>
    <n v="332.89"/>
    <n v="57896439"/>
    <x v="7"/>
    <s v="Tesla"/>
    <x v="4"/>
    <n v="-1.579"/>
    <x v="22"/>
    <x v="1"/>
    <s v="November"/>
    <s v="Loss"/>
    <n v="15.960000000000036"/>
    <n v="144.00500000000002"/>
  </r>
  <r>
    <s v="2024-11-29"/>
    <n v="336.08"/>
    <x v="3794"/>
    <n v="334.65"/>
    <n v="345.16"/>
    <n v="37167621"/>
    <x v="7"/>
    <s v="Tesla"/>
    <x v="4"/>
    <n v="3.6859999999999999"/>
    <x v="22"/>
    <x v="1"/>
    <s v="November"/>
    <s v="Profit"/>
    <n v="10.800000000000011"/>
    <n v="147.69100000000003"/>
  </r>
  <r>
    <s v="2024-12-02"/>
    <n v="352.38"/>
    <x v="3795"/>
    <n v="351.15"/>
    <n v="357.09"/>
    <n v="77986478"/>
    <x v="7"/>
    <s v="Tesla"/>
    <x v="4"/>
    <n v="3.456"/>
    <x v="23"/>
    <x v="1"/>
    <s v="December"/>
    <s v="Profit"/>
    <n v="8.8500000000000227"/>
    <n v="151.14700000000002"/>
  </r>
  <r>
    <s v="2024-12-03"/>
    <n v="351.8"/>
    <x v="3796"/>
    <n v="348.2"/>
    <n v="351.42"/>
    <n v="58267196"/>
    <x v="7"/>
    <s v="Tesla"/>
    <x v="4"/>
    <n v="-1.5880000000000001"/>
    <x v="23"/>
    <x v="1"/>
    <s v="December"/>
    <s v="Loss"/>
    <n v="7.4900000000000091"/>
    <n v="149.55900000000003"/>
  </r>
  <r>
    <s v="2024-12-04"/>
    <n v="353"/>
    <x v="3797"/>
    <n v="348.6"/>
    <n v="357.93"/>
    <n v="50810874"/>
    <x v="7"/>
    <s v="Tesla"/>
    <x v="4"/>
    <n v="1.8520000000000001"/>
    <x v="23"/>
    <x v="1"/>
    <s v="December"/>
    <s v="Profit"/>
    <n v="9.5"/>
    <n v="151.41100000000003"/>
  </r>
  <r>
    <s v="2024-12-05"/>
    <n v="359.87"/>
    <x v="3798"/>
    <n v="359.5"/>
    <n v="369.49"/>
    <n v="81403569"/>
    <x v="7"/>
    <s v="Tesla"/>
    <x v="4"/>
    <n v="3.23"/>
    <x v="23"/>
    <x v="1"/>
    <s v="December"/>
    <s v="Profit"/>
    <n v="15.930000000000007"/>
    <n v="154.64100000000002"/>
  </r>
  <r>
    <s v="2024-12-06"/>
    <n v="377.42"/>
    <x v="3799"/>
    <n v="370.8"/>
    <n v="389.22"/>
    <n v="81455834"/>
    <x v="7"/>
    <s v="Tesla"/>
    <x v="4"/>
    <n v="5.34"/>
    <x v="23"/>
    <x v="1"/>
    <s v="December"/>
    <s v="Profit"/>
    <n v="18.689999999999998"/>
    <n v="159.98100000000002"/>
  </r>
  <r>
    <s v="2024-12-09"/>
    <n v="397.61"/>
    <x v="3800"/>
    <n v="378.01"/>
    <n v="389.79"/>
    <n v="96359173"/>
    <x v="7"/>
    <s v="Tesla"/>
    <x v="4"/>
    <n v="0.14599999999999999"/>
    <x v="23"/>
    <x v="1"/>
    <s v="December"/>
    <s v="Profit"/>
    <n v="26.79000000000002"/>
    <n v="160.12700000000001"/>
  </r>
  <r>
    <s v="2024-12-10"/>
    <n v="392.68"/>
    <x v="3801"/>
    <n v="390.85"/>
    <n v="400.99"/>
    <n v="97563578"/>
    <x v="7"/>
    <s v="Tesla"/>
    <x v="4"/>
    <n v="2.8730000000000002"/>
    <x v="23"/>
    <x v="1"/>
    <s v="December"/>
    <s v="Profit"/>
    <n v="18.879999999999995"/>
    <n v="163"/>
  </r>
  <r>
    <s v="2024-12-11"/>
    <n v="409.7"/>
    <x v="3802"/>
    <n v="402.38"/>
    <n v="424.77"/>
    <n v="104287559"/>
    <x v="7"/>
    <s v="Tesla"/>
    <x v="4"/>
    <n v="5.93"/>
    <x v="23"/>
    <x v="1"/>
    <s v="December"/>
    <s v="Profit"/>
    <n v="22.5"/>
    <n v="168.93"/>
  </r>
  <r>
    <s v="2024-12-12"/>
    <n v="424.84"/>
    <x v="3803"/>
    <n v="415"/>
    <n v="418.1"/>
    <n v="87752225"/>
    <x v="7"/>
    <s v="Tesla"/>
    <x v="4"/>
    <n v="-1.57"/>
    <x v="23"/>
    <x v="1"/>
    <s v="December"/>
    <s v="Loss"/>
    <n v="14.300000000000011"/>
    <n v="167.36"/>
  </r>
  <r>
    <s v="2024-12-13"/>
    <n v="420"/>
    <x v="3804"/>
    <n v="415.71"/>
    <n v="436.23"/>
    <n v="89000158"/>
    <x v="7"/>
    <s v="Tesla"/>
    <x v="4"/>
    <n v="4.3360000000000003"/>
    <x v="23"/>
    <x v="1"/>
    <s v="December"/>
    <s v="Profit"/>
    <n v="20.590000000000032"/>
    <n v="171.69600000000003"/>
  </r>
  <r>
    <s v="2024-12-16"/>
    <n v="441.09"/>
    <x v="3805"/>
    <n v="436.15"/>
    <n v="463.02"/>
    <n v="114083811"/>
    <x v="7"/>
    <s v="Tesla"/>
    <x v="4"/>
    <n v="6.141"/>
    <x v="23"/>
    <x v="1"/>
    <s v="December"/>
    <s v="Profit"/>
    <n v="27.04000000000002"/>
    <n v="177.83700000000002"/>
  </r>
  <r>
    <s v="2024-12-17"/>
    <n v="475.9"/>
    <x v="3806"/>
    <n v="457.51"/>
    <n v="479.86"/>
    <n v="131222978"/>
    <x v="7"/>
    <s v="Tesla"/>
    <x v="4"/>
    <n v="3.637"/>
    <x v="23"/>
    <x v="1"/>
    <s v="December"/>
    <s v="Profit"/>
    <n v="26.480000000000018"/>
    <n v="181.47400000000002"/>
  </r>
  <r>
    <s v="2024-12-18"/>
    <n v="466.495"/>
    <x v="3807"/>
    <n v="427.01"/>
    <n v="440.13"/>
    <n v="149340788"/>
    <x v="7"/>
    <s v="Tesla"/>
    <x v="4"/>
    <n v="-8.2789999999999999"/>
    <x v="23"/>
    <x v="1"/>
    <s v="December"/>
    <s v="Loss"/>
    <n v="61.53000000000003"/>
    <n v="173.19500000000002"/>
  </r>
  <r>
    <s v="2024-12-19"/>
    <n v="451.88"/>
    <x v="3808"/>
    <n v="420.02"/>
    <n v="436.17"/>
    <n v="118566146"/>
    <x v="7"/>
    <s v="Tesla"/>
    <x v="4"/>
    <n v="-0.9"/>
    <x v="23"/>
    <x v="1"/>
    <s v="December"/>
    <s v="Loss"/>
    <n v="36.340000000000032"/>
    <n v="172.29500000000002"/>
  </r>
  <r>
    <s v="2024-12-20"/>
    <n v="425.505"/>
    <x v="3809"/>
    <n v="417.64"/>
    <n v="421.06"/>
    <n v="132216176"/>
    <x v="7"/>
    <s v="Tesla"/>
    <x v="4"/>
    <n v="-3.464"/>
    <x v="23"/>
    <x v="1"/>
    <s v="December"/>
    <s v="Loss"/>
    <n v="29.439999999999998"/>
    <n v="168.83100000000002"/>
  </r>
  <r>
    <s v="2024-12-23"/>
    <n v="431"/>
    <x v="3810"/>
    <n v="415.411"/>
    <n v="430.6"/>
    <n v="72698055"/>
    <x v="7"/>
    <s v="Tesla"/>
    <x v="4"/>
    <n v="2.266"/>
    <x v="23"/>
    <x v="1"/>
    <s v="December"/>
    <s v="Profit"/>
    <n v="19.09899999999999"/>
    <n v="171.09700000000001"/>
  </r>
  <r>
    <s v="2024-12-24"/>
    <n v="435.9"/>
    <x v="3811"/>
    <n v="435.14"/>
    <n v="462.28"/>
    <n v="59551750"/>
    <x v="7"/>
    <s v="Tesla"/>
    <x v="4"/>
    <n v="7.3570000000000002"/>
    <x v="23"/>
    <x v="1"/>
    <s v="December"/>
    <s v="Profit"/>
    <n v="27.639999999999986"/>
    <n v="178.45400000000001"/>
  </r>
  <r>
    <s v="2024-12-26"/>
    <n v="465.16"/>
    <x v="3812"/>
    <n v="451.02"/>
    <n v="454.13"/>
    <n v="76651210"/>
    <x v="7"/>
    <s v="Tesla"/>
    <x v="4"/>
    <n v="-1.7629999999999999"/>
    <x v="23"/>
    <x v="1"/>
    <s v="December"/>
    <s v="Loss"/>
    <n v="14.310000000000002"/>
    <n v="176.691"/>
  </r>
  <r>
    <s v="2024-12-27"/>
    <n v="449.52"/>
    <x v="3813"/>
    <n v="426.5"/>
    <n v="431.66"/>
    <n v="82666821"/>
    <x v="7"/>
    <s v="Tesla"/>
    <x v="4"/>
    <n v="-4.9480000000000004"/>
    <x v="23"/>
    <x v="1"/>
    <s v="December"/>
    <s v="Loss"/>
    <n v="23.5"/>
    <n v="171.74299999999999"/>
  </r>
  <r>
    <s v="2024-12-30"/>
    <n v="419.4"/>
    <x v="3814"/>
    <n v="415.75"/>
    <n v="417.41"/>
    <n v="64941012"/>
    <x v="7"/>
    <s v="Tesla"/>
    <x v="4"/>
    <n v="-3.3010000000000002"/>
    <x v="23"/>
    <x v="1"/>
    <s v="December"/>
    <s v="Loss"/>
    <n v="11.25"/>
    <n v="168.44200000000001"/>
  </r>
  <r>
    <s v="2024-12-31"/>
    <n v="423.79"/>
    <x v="3815"/>
    <n v="402.54"/>
    <n v="403.84"/>
    <n v="76825121"/>
    <x v="7"/>
    <s v="Tesla"/>
    <x v="4"/>
    <n v="-3.2509999999999999"/>
    <x v="23"/>
    <x v="1"/>
    <s v="December"/>
    <s v="Loss"/>
    <n v="25.389999999999986"/>
    <n v="165.191"/>
  </r>
  <r>
    <s v="2023-01-03"/>
    <n v="46.802999999999997"/>
    <x v="3816"/>
    <n v="46.652000000000001"/>
    <n v="47.148000000000003"/>
    <n v="17512791"/>
    <x v="8"/>
    <s v="Walmart"/>
    <x v="5"/>
    <m/>
    <x v="0"/>
    <x v="0"/>
    <s v="January"/>
    <m/>
    <n v="0.53099999999999881"/>
    <n v="0"/>
  </r>
  <r>
    <s v="2023-01-04"/>
    <n v="47.088000000000001"/>
    <x v="3817"/>
    <n v="46.645000000000003"/>
    <n v="47.2"/>
    <n v="13542364"/>
    <x v="8"/>
    <s v="Walmart"/>
    <x v="5"/>
    <n v="0.111"/>
    <x v="0"/>
    <x v="0"/>
    <s v="January"/>
    <s v="Profit"/>
    <n v="0.64999999999999858"/>
    <n v="0.111"/>
  </r>
  <r>
    <s v="2023-01-05"/>
    <n v="47.100999999999999"/>
    <x v="3818"/>
    <n v="46.835999999999999"/>
    <n v="47.039000000000001"/>
    <n v="13476893"/>
    <x v="8"/>
    <s v="Walmart"/>
    <x v="5"/>
    <n v="-0.34100000000000003"/>
    <x v="0"/>
    <x v="0"/>
    <s v="January"/>
    <s v="Loss"/>
    <n v="0.48600000000000421"/>
    <n v="-0.23000000000000004"/>
  </r>
  <r>
    <s v="2023-01-06"/>
    <n v="47.475999999999999"/>
    <x v="3819"/>
    <n v="47.356999999999999"/>
    <n v="48.192"/>
    <n v="21555651"/>
    <x v="8"/>
    <s v="Walmart"/>
    <x v="5"/>
    <n v="2.4510000000000001"/>
    <x v="0"/>
    <x v="0"/>
    <s v="January"/>
    <s v="Profit"/>
    <n v="1.0870000000000033"/>
    <n v="2.2210000000000001"/>
  </r>
  <r>
    <s v="2023-01-09"/>
    <n v="48.040999999999997"/>
    <x v="3820"/>
    <n v="47.540999999999997"/>
    <n v="47.591000000000001"/>
    <n v="18027457"/>
    <x v="8"/>
    <s v="Walmart"/>
    <x v="5"/>
    <n v="-1.246"/>
    <x v="0"/>
    <x v="0"/>
    <s v="January"/>
    <s v="Loss"/>
    <n v="1.0050000000000026"/>
    <n v="0.97500000000000009"/>
  </r>
  <r>
    <s v="2023-01-10"/>
    <n v="47.588000000000001"/>
    <x v="3821"/>
    <n v="47.19"/>
    <n v="47.561"/>
    <n v="12153243"/>
    <x v="8"/>
    <s v="Walmart"/>
    <x v="5"/>
    <n v="-6.2E-2"/>
    <x v="0"/>
    <x v="0"/>
    <s v="January"/>
    <s v="Loss"/>
    <n v="0.56500000000000483"/>
    <n v="0.91300000000000003"/>
  </r>
  <r>
    <s v="2023-01-11"/>
    <n v="47.85"/>
    <x v="3822"/>
    <n v="47.518999999999998"/>
    <n v="47.978000000000002"/>
    <n v="15060867"/>
    <x v="8"/>
    <s v="Walmart"/>
    <x v="5"/>
    <n v="0.876"/>
    <x v="0"/>
    <x v="0"/>
    <s v="January"/>
    <s v="Profit"/>
    <n v="0.47500000000000142"/>
    <n v="1.7890000000000001"/>
  </r>
  <r>
    <s v="2023-01-12"/>
    <n v="48.07"/>
    <x v="3823"/>
    <n v="47.406999999999996"/>
    <n v="47.545000000000002"/>
    <n v="12663023"/>
    <x v="8"/>
    <s v="Walmart"/>
    <x v="5"/>
    <n v="-0.90300000000000002"/>
    <x v="0"/>
    <x v="0"/>
    <s v="January"/>
    <s v="Loss"/>
    <n v="0.66600000000000392"/>
    <n v="0.88600000000000012"/>
  </r>
  <r>
    <s v="2023-01-13"/>
    <n v="47.781999999999996"/>
    <x v="3824"/>
    <n v="47.232999999999997"/>
    <n v="47.701999999999998"/>
    <n v="13909153"/>
    <x v="8"/>
    <s v="Walmart"/>
    <x v="5"/>
    <n v="0.33100000000000002"/>
    <x v="0"/>
    <x v="0"/>
    <s v="January"/>
    <s v="Profit"/>
    <n v="0.64400000000000546"/>
    <n v="1.2170000000000001"/>
  </r>
  <r>
    <s v="2023-01-17"/>
    <n v="47.701999999999998"/>
    <x v="3825"/>
    <n v="47.343000000000004"/>
    <n v="47.414000000000001"/>
    <n v="15353092"/>
    <x v="8"/>
    <s v="Walmart"/>
    <x v="5"/>
    <n v="-0.60399999999999998"/>
    <x v="0"/>
    <x v="0"/>
    <s v="January"/>
    <s v="Loss"/>
    <n v="0.49699999999999989"/>
    <n v="0.6130000000000001"/>
  </r>
  <r>
    <s v="2023-01-18"/>
    <n v="47.344000000000001"/>
    <x v="3826"/>
    <n v="46.122"/>
    <n v="46.241"/>
    <n v="23020271"/>
    <x v="8"/>
    <s v="Walmart"/>
    <x v="5"/>
    <n v="-2.4729999999999999"/>
    <x v="0"/>
    <x v="0"/>
    <s v="January"/>
    <s v="Loss"/>
    <n v="1.2389999999999972"/>
    <n v="-1.8599999999999999"/>
  </r>
  <r>
    <s v="2023-01-19"/>
    <n v="46.421999999999997"/>
    <x v="3827"/>
    <n v="45.567999999999998"/>
    <n v="45.581000000000003"/>
    <n v="17606615"/>
    <x v="8"/>
    <s v="Walmart"/>
    <x v="5"/>
    <n v="-1.427"/>
    <x v="0"/>
    <x v="0"/>
    <s v="January"/>
    <s v="Loss"/>
    <n v="0.89800000000000324"/>
    <n v="-3.2869999999999999"/>
  </r>
  <r>
    <s v="2023-01-20"/>
    <n v="45.768999999999998"/>
    <x v="3828"/>
    <n v="45.365000000000002"/>
    <n v="46.143000000000001"/>
    <n v="29993596"/>
    <x v="8"/>
    <s v="Walmart"/>
    <x v="5"/>
    <n v="1.232"/>
    <x v="0"/>
    <x v="0"/>
    <s v="January"/>
    <s v="Profit"/>
    <n v="0.85599999999999454"/>
    <n v="-2.0549999999999997"/>
  </r>
  <r>
    <s v="2023-01-23"/>
    <n v="46.116999999999997"/>
    <x v="3829"/>
    <n v="46.030999999999999"/>
    <n v="46.832000000000001"/>
    <n v="13350384"/>
    <x v="8"/>
    <s v="Walmart"/>
    <x v="5"/>
    <n v="1.494"/>
    <x v="0"/>
    <x v="0"/>
    <s v="January"/>
    <s v="Profit"/>
    <n v="0.92300000000000182"/>
    <n v="-0.56099999999999972"/>
  </r>
  <r>
    <s v="2023-01-24"/>
    <n v="52.491999999999997"/>
    <x v="3830"/>
    <n v="46.293999999999997"/>
    <n v="46.957000000000001"/>
    <n v="13877846"/>
    <x v="8"/>
    <s v="Walmart"/>
    <x v="5"/>
    <n v="0.26600000000000001"/>
    <x v="0"/>
    <x v="0"/>
    <s v="January"/>
    <s v="Profit"/>
    <n v="6.1980000000000004"/>
    <n v="-0.29499999999999971"/>
  </r>
  <r>
    <s v="2023-01-25"/>
    <n v="46.701000000000001"/>
    <x v="3831"/>
    <n v="46.094000000000001"/>
    <n v="46.734000000000002"/>
    <n v="12682270"/>
    <x v="8"/>
    <s v="Walmart"/>
    <x v="5"/>
    <n v="-0.47499999999999998"/>
    <x v="0"/>
    <x v="0"/>
    <s v="January"/>
    <s v="Loss"/>
    <n v="0.8019999999999996"/>
    <n v="-0.76999999999999968"/>
  </r>
  <r>
    <s v="2023-01-26"/>
    <n v="46.96"/>
    <x v="3832"/>
    <n v="46.542999999999999"/>
    <n v="46.691000000000003"/>
    <n v="16060381"/>
    <x v="8"/>
    <s v="Walmart"/>
    <x v="5"/>
    <n v="-9.0999999999999998E-2"/>
    <x v="0"/>
    <x v="0"/>
    <s v="January"/>
    <s v="Loss"/>
    <n v="0.65400000000000347"/>
    <n v="-0.86099999999999965"/>
  </r>
  <r>
    <s v="2023-01-27"/>
    <n v="46.819000000000003"/>
    <x v="3833"/>
    <n v="46.54"/>
    <n v="47.048999999999999"/>
    <n v="18693592"/>
    <x v="8"/>
    <s v="Walmart"/>
    <x v="5"/>
    <n v="0.76600000000000001"/>
    <x v="0"/>
    <x v="0"/>
    <s v="January"/>
    <s v="Profit"/>
    <n v="0.89300000000000068"/>
    <n v="-9.499999999999964E-2"/>
  </r>
  <r>
    <s v="2023-01-30"/>
    <n v="46.661999999999999"/>
    <x v="3834"/>
    <n v="46.383000000000003"/>
    <n v="46.670999999999999"/>
    <n v="16139949"/>
    <x v="8"/>
    <s v="Walmart"/>
    <x v="5"/>
    <n v="-0.80300000000000005"/>
    <x v="0"/>
    <x v="0"/>
    <s v="January"/>
    <s v="Loss"/>
    <n v="0.38700000000000045"/>
    <n v="-0.89799999999999969"/>
  </r>
  <r>
    <s v="2023-01-31"/>
    <n v="46.726999999999997"/>
    <x v="3835"/>
    <n v="46.511000000000003"/>
    <n v="47.235999999999997"/>
    <n v="14318588"/>
    <x v="8"/>
    <s v="Walmart"/>
    <x v="5"/>
    <n v="1.2110000000000001"/>
    <x v="0"/>
    <x v="0"/>
    <s v="January"/>
    <s v="Profit"/>
    <n v="0.7289999999999992"/>
    <n v="0.31300000000000039"/>
  </r>
  <r>
    <s v="2023-02-01"/>
    <n v="47.167000000000002"/>
    <x v="3836"/>
    <n v="46.851999999999997"/>
    <n v="47.499000000000002"/>
    <n v="13045163"/>
    <x v="8"/>
    <s v="Walmart"/>
    <x v="5"/>
    <n v="0.55600000000000005"/>
    <x v="1"/>
    <x v="0"/>
    <s v="February"/>
    <s v="Profit"/>
    <n v="0.9550000000000054"/>
    <n v="0.86900000000000044"/>
  </r>
  <r>
    <s v="2023-02-02"/>
    <n v="47.414000000000001"/>
    <x v="3837"/>
    <n v="46.929000000000002"/>
    <n v="47.154000000000003"/>
    <n v="18078376"/>
    <x v="8"/>
    <s v="Walmart"/>
    <x v="5"/>
    <n v="-0.72599999999999998"/>
    <x v="1"/>
    <x v="0"/>
    <s v="February"/>
    <s v="Loss"/>
    <n v="0.6319999999999979"/>
    <n v="0.14300000000000046"/>
  </r>
  <r>
    <s v="2023-02-03"/>
    <n v="47.069000000000003"/>
    <x v="3838"/>
    <n v="46.247999999999998"/>
    <n v="46.527000000000001"/>
    <n v="17417172"/>
    <x v="8"/>
    <s v="Walmart"/>
    <x v="5"/>
    <n v="-1.33"/>
    <x v="1"/>
    <x v="0"/>
    <s v="February"/>
    <s v="Loss"/>
    <n v="1.017000000000003"/>
    <n v="-1.1869999999999996"/>
  </r>
  <r>
    <s v="2023-02-06"/>
    <n v="46.563000000000002"/>
    <x v="3839"/>
    <n v="45.975000000000001"/>
    <n v="46.189"/>
    <n v="17720134"/>
    <x v="8"/>
    <s v="Walmart"/>
    <x v="5"/>
    <n v="-0.72699999999999998"/>
    <x v="1"/>
    <x v="0"/>
    <s v="February"/>
    <s v="Loss"/>
    <n v="0.67999999999999972"/>
    <n v="-1.9139999999999997"/>
  </r>
  <r>
    <s v="2023-02-07"/>
    <n v="45.89"/>
    <x v="3840"/>
    <n v="45.536000000000001"/>
    <n v="46.287999999999997"/>
    <n v="16590599"/>
    <x v="8"/>
    <s v="Walmart"/>
    <x v="5"/>
    <n v="0.214"/>
    <x v="1"/>
    <x v="0"/>
    <s v="February"/>
    <s v="Profit"/>
    <n v="0.85600000000000165"/>
    <n v="-1.6999999999999997"/>
  </r>
  <r>
    <s v="2023-02-08"/>
    <n v="46.073999999999998"/>
    <x v="3043"/>
    <n v="45.960999999999999"/>
    <n v="46.037999999999997"/>
    <n v="11869497"/>
    <x v="8"/>
    <s v="Walmart"/>
    <x v="5"/>
    <n v="-0.53900000000000003"/>
    <x v="1"/>
    <x v="0"/>
    <s v="February"/>
    <s v="Loss"/>
    <n v="0.36599999999999966"/>
    <n v="-2.2389999999999999"/>
  </r>
  <r>
    <s v="2023-02-09"/>
    <n v="46.250999999999998"/>
    <x v="3841"/>
    <n v="46.152000000000001"/>
    <n v="46.465000000000003"/>
    <n v="13264214"/>
    <x v="8"/>
    <s v="Walmart"/>
    <x v="5"/>
    <n v="0.92700000000000005"/>
    <x v="1"/>
    <x v="0"/>
    <s v="February"/>
    <s v="Profit"/>
    <n v="0.45100000000000051"/>
    <n v="-1.3119999999999998"/>
  </r>
  <r>
    <s v="2023-02-10"/>
    <n v="46.98"/>
    <x v="3842"/>
    <n v="46.677999999999997"/>
    <n v="47.186999999999998"/>
    <n v="15231676"/>
    <x v="8"/>
    <s v="Walmart"/>
    <x v="5"/>
    <n v="1.554"/>
    <x v="1"/>
    <x v="0"/>
    <s v="February"/>
    <s v="Profit"/>
    <n v="0.58100000000000307"/>
    <n v="0.24200000000000021"/>
  </r>
  <r>
    <s v="2023-02-13"/>
    <n v="47.512"/>
    <x v="3843"/>
    <n v="47.445999999999998"/>
    <n v="47.905999999999999"/>
    <n v="16260192"/>
    <x v="8"/>
    <s v="Walmart"/>
    <x v="5"/>
    <n v="1.524"/>
    <x v="1"/>
    <x v="0"/>
    <s v="February"/>
    <s v="Profit"/>
    <n v="0.52900000000000347"/>
    <n v="1.7660000000000002"/>
  </r>
  <r>
    <s v="2023-02-14"/>
    <n v="47.847000000000001"/>
    <x v="3844"/>
    <n v="47.463000000000001"/>
    <n v="47.768000000000001"/>
    <n v="14042865"/>
    <x v="8"/>
    <s v="Walmart"/>
    <x v="5"/>
    <n v="-0.28699999999999998"/>
    <x v="1"/>
    <x v="0"/>
    <s v="February"/>
    <s v="Loss"/>
    <n v="0.84400000000000119"/>
    <n v="1.4790000000000003"/>
  </r>
  <r>
    <s v="2023-02-15"/>
    <n v="47.594000000000001"/>
    <x v="3845"/>
    <n v="47.463000000000001"/>
    <n v="48.122999999999998"/>
    <n v="14901933"/>
    <x v="8"/>
    <s v="Walmart"/>
    <x v="5"/>
    <n v="0.74299999999999999"/>
    <x v="1"/>
    <x v="0"/>
    <s v="February"/>
    <s v="Profit"/>
    <n v="0.67000000000000171"/>
    <n v="2.2220000000000004"/>
  </r>
  <r>
    <s v="2023-02-16"/>
    <n v="47.765000000000001"/>
    <x v="3846"/>
    <n v="47.338000000000001"/>
    <n v="47.366999999999997"/>
    <n v="16560964"/>
    <x v="8"/>
    <s v="Walmart"/>
    <x v="5"/>
    <n v="-1.57"/>
    <x v="1"/>
    <x v="0"/>
    <s v="February"/>
    <s v="Loss"/>
    <n v="0.59400000000000119"/>
    <n v="0.65200000000000036"/>
  </r>
  <r>
    <s v="2023-02-17"/>
    <n v="47.643000000000001"/>
    <x v="3847"/>
    <n v="47.466000000000001"/>
    <n v="48.08"/>
    <n v="25148644"/>
    <x v="8"/>
    <s v="Walmart"/>
    <x v="5"/>
    <n v="1.504"/>
    <x v="1"/>
    <x v="0"/>
    <s v="February"/>
    <s v="Profit"/>
    <n v="0.69599999999999795"/>
    <n v="2.1560000000000006"/>
  </r>
  <r>
    <s v="2023-02-21"/>
    <n v="46.911000000000001"/>
    <x v="3848"/>
    <n v="46.670999999999999"/>
    <n v="48.372"/>
    <n v="55223496"/>
    <x v="8"/>
    <s v="Walmart"/>
    <x v="5"/>
    <n v="0.60899999999999999"/>
    <x v="1"/>
    <x v="0"/>
    <s v="February"/>
    <s v="Profit"/>
    <n v="2.0330000000000013"/>
    <n v="2.7650000000000006"/>
  </r>
  <r>
    <s v="2023-02-22"/>
    <n v="48.188000000000002"/>
    <x v="3849"/>
    <n v="46.872"/>
    <n v="47.356999999999999"/>
    <n v="30299159"/>
    <x v="8"/>
    <s v="Walmart"/>
    <x v="5"/>
    <n v="-2.0979999999999999"/>
    <x v="1"/>
    <x v="0"/>
    <s v="February"/>
    <s v="Loss"/>
    <n v="1.5790000000000006"/>
    <n v="0.6670000000000007"/>
  </r>
  <r>
    <s v="2023-02-23"/>
    <n v="47.401000000000003"/>
    <x v="3850"/>
    <n v="46.198999999999998"/>
    <n v="46.652000000000001"/>
    <n v="22357143"/>
    <x v="8"/>
    <s v="Walmart"/>
    <x v="5"/>
    <n v="-1.49"/>
    <x v="1"/>
    <x v="0"/>
    <s v="February"/>
    <s v="Loss"/>
    <n v="1.2020000000000053"/>
    <n v="-0.82299999999999929"/>
  </r>
  <r>
    <s v="2023-02-24"/>
    <n v="46.241"/>
    <x v="3851"/>
    <n v="45.811"/>
    <n v="46.776000000000003"/>
    <n v="20938160"/>
    <x v="8"/>
    <s v="Walmart"/>
    <x v="5"/>
    <n v="0.26700000000000002"/>
    <x v="1"/>
    <x v="0"/>
    <s v="February"/>
    <s v="Profit"/>
    <n v="1.054000000000002"/>
    <n v="-0.55599999999999927"/>
  </r>
  <r>
    <s v="2023-02-27"/>
    <n v="46.854999999999997"/>
    <x v="3852"/>
    <n v="46.182000000000002"/>
    <n v="46.439"/>
    <n v="16901215"/>
    <x v="8"/>
    <s v="Walmart"/>
    <x v="5"/>
    <n v="-0.72199999999999998"/>
    <x v="1"/>
    <x v="0"/>
    <s v="February"/>
    <s v="Loss"/>
    <n v="0.79799999999999471"/>
    <n v="-1.2779999999999991"/>
  </r>
  <r>
    <s v="2023-02-28"/>
    <n v="46.293999999999997"/>
    <x v="3853"/>
    <n v="46.277999999999999"/>
    <n v="46.664999999999999"/>
    <n v="18329483"/>
    <x v="8"/>
    <s v="Walmart"/>
    <x v="5"/>
    <n v="0.48699999999999999"/>
    <x v="1"/>
    <x v="0"/>
    <s v="February"/>
    <s v="Profit"/>
    <n v="0.55799999999999983"/>
    <n v="-0.79099999999999915"/>
  </r>
  <r>
    <s v="2023-03-01"/>
    <n v="46.313000000000002"/>
    <x v="3854"/>
    <n v="45.759"/>
    <n v="46.015000000000001"/>
    <n v="14396483"/>
    <x v="8"/>
    <s v="Walmart"/>
    <x v="5"/>
    <n v="-1.393"/>
    <x v="2"/>
    <x v="0"/>
    <s v="March"/>
    <s v="Loss"/>
    <n v="0.62700000000000244"/>
    <n v="-2.1839999999999993"/>
  </r>
  <r>
    <s v="2023-03-02"/>
    <n v="45.912999999999997"/>
    <x v="3855"/>
    <n v="45.802"/>
    <n v="46.128999999999998"/>
    <n v="15014111"/>
    <x v="8"/>
    <s v="Walmart"/>
    <x v="5"/>
    <n v="0.249"/>
    <x v="2"/>
    <x v="0"/>
    <s v="March"/>
    <s v="Profit"/>
    <n v="0.40700000000000358"/>
    <n v="-1.9349999999999992"/>
  </r>
  <r>
    <s v="2023-03-03"/>
    <n v="46.307000000000002"/>
    <x v="3856"/>
    <n v="45.89"/>
    <n v="46.186"/>
    <n v="17146276"/>
    <x v="8"/>
    <s v="Walmart"/>
    <x v="5"/>
    <n v="0.122"/>
    <x v="2"/>
    <x v="0"/>
    <s v="March"/>
    <s v="Profit"/>
    <n v="0.46600000000000108"/>
    <n v="-1.8129999999999993"/>
  </r>
  <r>
    <s v="2023-03-06"/>
    <n v="46.128999999999998"/>
    <x v="3857"/>
    <n v="45.972000000000001"/>
    <n v="46.179000000000002"/>
    <n v="16975875"/>
    <x v="8"/>
    <s v="Walmart"/>
    <x v="5"/>
    <n v="-1.4999999999999999E-2"/>
    <x v="2"/>
    <x v="0"/>
    <s v="March"/>
    <s v="Loss"/>
    <n v="0.3159999999999954"/>
    <n v="-1.8279999999999992"/>
  </r>
  <r>
    <s v="2023-03-07"/>
    <n v="46.353000000000002"/>
    <x v="3858"/>
    <n v="45.567999999999998"/>
    <n v="45.72"/>
    <n v="17652722"/>
    <x v="8"/>
    <s v="Walmart"/>
    <x v="5"/>
    <n v="-0.995"/>
    <x v="2"/>
    <x v="0"/>
    <s v="March"/>
    <s v="Loss"/>
    <n v="0.94900000000000517"/>
    <n v="-2.8229999999999991"/>
  </r>
  <r>
    <s v="2023-03-08"/>
    <n v="45.493000000000002"/>
    <x v="3859"/>
    <n v="45.073"/>
    <n v="45.341999999999999"/>
    <n v="19381909"/>
    <x v="8"/>
    <s v="Walmart"/>
    <x v="5"/>
    <n v="-0.82599999999999996"/>
    <x v="2"/>
    <x v="0"/>
    <s v="March"/>
    <s v="Loss"/>
    <n v="0.5379999999999967"/>
    <n v="-3.6489999999999991"/>
  </r>
  <r>
    <s v="2023-03-09"/>
    <n v="45.581000000000003"/>
    <x v="3860"/>
    <n v="44.954000000000001"/>
    <n v="45.036000000000001"/>
    <n v="15650821"/>
    <x v="8"/>
    <s v="Walmart"/>
    <x v="5"/>
    <n v="-0.67400000000000004"/>
    <x v="2"/>
    <x v="0"/>
    <s v="March"/>
    <s v="Loss"/>
    <n v="0.6769999999999996"/>
    <n v="-4.3229999999999995"/>
  </r>
  <r>
    <s v="2023-03-10"/>
    <n v="44.987000000000002"/>
    <x v="3861"/>
    <n v="44.682000000000002"/>
    <n v="44.970999999999997"/>
    <n v="20371131"/>
    <x v="8"/>
    <s v="Walmart"/>
    <x v="5"/>
    <n v="-0.14499999999999999"/>
    <x v="2"/>
    <x v="0"/>
    <s v="March"/>
    <s v="Loss"/>
    <n v="0.71900000000000119"/>
    <n v="-4.4679999999999991"/>
  </r>
  <r>
    <s v="2023-03-13"/>
    <n v="44.875999999999998"/>
    <x v="3862"/>
    <n v="44.841999999999999"/>
    <n v="45.101999999999997"/>
    <n v="28571315"/>
    <x v="8"/>
    <s v="Walmart"/>
    <x v="5"/>
    <n v="0.29099999999999998"/>
    <x v="2"/>
    <x v="0"/>
    <s v="March"/>
    <s v="Profit"/>
    <n v="0.63100000000000023"/>
    <n v="-4.1769999999999987"/>
  </r>
  <r>
    <s v="2023-03-14"/>
    <n v="45.207000000000001"/>
    <x v="3863"/>
    <n v="44.981000000000002"/>
    <n v="45.341999999999999"/>
    <n v="25932257"/>
    <x v="8"/>
    <s v="Walmart"/>
    <x v="5"/>
    <n v="0.53300000000000003"/>
    <x v="2"/>
    <x v="0"/>
    <s v="March"/>
    <s v="Profit"/>
    <n v="0.41700000000000159"/>
    <n v="-3.6439999999999988"/>
  </r>
  <r>
    <s v="2023-03-15"/>
    <n v="44.944000000000003"/>
    <x v="3864"/>
    <n v="44.886000000000003"/>
    <n v="45.847000000000001"/>
    <n v="33638997"/>
    <x v="8"/>
    <s v="Walmart"/>
    <x v="5"/>
    <n v="1.1140000000000001"/>
    <x v="2"/>
    <x v="0"/>
    <s v="March"/>
    <s v="Profit"/>
    <n v="1.0169999999999959"/>
    <n v="-2.5299999999999985"/>
  </r>
  <r>
    <s v="2023-03-16"/>
    <n v="45.966000000000001"/>
    <x v="3865"/>
    <n v="45.454999999999998"/>
    <n v="45.587000000000003"/>
    <n v="29233587"/>
    <x v="8"/>
    <s v="Walmart"/>
    <x v="5"/>
    <n v="-0.56799999999999995"/>
    <x v="2"/>
    <x v="0"/>
    <s v="March"/>
    <s v="Loss"/>
    <n v="0.58400000000000318"/>
    <n v="-3.0979999999999985"/>
  </r>
  <r>
    <s v="2023-03-17"/>
    <n v="45.557000000000002"/>
    <x v="3866"/>
    <n v="45.359000000000002"/>
    <n v="45.956000000000003"/>
    <n v="43559779"/>
    <x v="8"/>
    <s v="Walmart"/>
    <x v="5"/>
    <n v="0.80900000000000005"/>
    <x v="2"/>
    <x v="0"/>
    <s v="March"/>
    <s v="Profit"/>
    <n v="0.62699999999999534"/>
    <n v="-2.2889999999999984"/>
  </r>
  <r>
    <s v="2023-03-20"/>
    <n v="46.186999999999998"/>
    <x v="3867"/>
    <n v="46.091000000000001"/>
    <n v="46.451000000000001"/>
    <n v="34305487"/>
    <x v="8"/>
    <s v="Walmart"/>
    <x v="5"/>
    <n v="1.0760000000000001"/>
    <x v="2"/>
    <x v="0"/>
    <s v="March"/>
    <s v="Profit"/>
    <n v="0.69599999999999795"/>
    <n v="-1.2129999999999983"/>
  </r>
  <r>
    <s v="2023-03-21"/>
    <n v="46.612000000000002"/>
    <x v="3868"/>
    <n v="45.999000000000002"/>
    <n v="46.292000000000002"/>
    <n v="19224555"/>
    <x v="8"/>
    <s v="Walmart"/>
    <x v="5"/>
    <n v="-0.34100000000000003"/>
    <x v="2"/>
    <x v="0"/>
    <s v="March"/>
    <s v="Loss"/>
    <n v="0.61299999999999955"/>
    <n v="-1.5539999999999983"/>
  </r>
  <r>
    <s v="2023-03-22"/>
    <n v="46.365000000000002"/>
    <x v="3869"/>
    <n v="45.975999999999999"/>
    <n v="45.996000000000002"/>
    <n v="18754468"/>
    <x v="8"/>
    <s v="Walmart"/>
    <x v="5"/>
    <n v="-0.64"/>
    <x v="2"/>
    <x v="0"/>
    <s v="March"/>
    <s v="Loss"/>
    <n v="0.57999999999999829"/>
    <n v="-2.1939999999999982"/>
  </r>
  <r>
    <s v="2023-03-23"/>
    <n v="46.22"/>
    <x v="3870"/>
    <n v="45.985999999999997"/>
    <n v="46.368000000000002"/>
    <n v="22289081"/>
    <x v="8"/>
    <s v="Walmart"/>
    <x v="5"/>
    <n v="0.80900000000000005"/>
    <x v="2"/>
    <x v="0"/>
    <s v="March"/>
    <s v="Profit"/>
    <n v="0.69900000000000517"/>
    <n v="-1.384999999999998"/>
  </r>
  <r>
    <s v="2023-03-24"/>
    <n v="46.487000000000002"/>
    <x v="3871"/>
    <n v="46.351999999999997"/>
    <n v="46.747"/>
    <n v="23005568"/>
    <x v="8"/>
    <s v="Walmart"/>
    <x v="5"/>
    <n v="0.81699999999999995"/>
    <x v="2"/>
    <x v="0"/>
    <s v="March"/>
    <s v="Profit"/>
    <n v="0.61600000000000676"/>
    <n v="-0.56799999999999806"/>
  </r>
  <r>
    <s v="2023-03-27"/>
    <n v="47.073999999999998"/>
    <x v="3872"/>
    <n v="47.070999999999998"/>
    <n v="47.527999999999999"/>
    <n v="27072955"/>
    <x v="8"/>
    <s v="Walmart"/>
    <x v="5"/>
    <n v="1.671"/>
    <x v="2"/>
    <x v="0"/>
    <s v="March"/>
    <s v="Profit"/>
    <n v="0.72299999999999898"/>
    <n v="1.103000000000002"/>
  </r>
  <r>
    <s v="2023-03-28"/>
    <n v="47.356999999999999"/>
    <x v="3873"/>
    <n v="47.16"/>
    <n v="47.344000000000001"/>
    <n v="21519269"/>
    <x v="8"/>
    <s v="Walmart"/>
    <x v="5"/>
    <n v="-0.38800000000000001"/>
    <x v="2"/>
    <x v="0"/>
    <s v="March"/>
    <s v="Loss"/>
    <n v="0.4480000000000004"/>
    <n v="0.71500000000000197"/>
  </r>
  <r>
    <s v="2023-03-29"/>
    <n v="47.594999999999999"/>
    <x v="3874"/>
    <n v="47.290999999999997"/>
    <n v="47.548000000000002"/>
    <n v="24486420"/>
    <x v="8"/>
    <s v="Walmart"/>
    <x v="5"/>
    <n v="0.432"/>
    <x v="2"/>
    <x v="0"/>
    <s v="March"/>
    <s v="Profit"/>
    <n v="0.49800000000000466"/>
    <n v="1.147000000000002"/>
  </r>
  <r>
    <s v="2023-03-30"/>
    <n v="47.966999999999999"/>
    <x v="3875"/>
    <n v="47.808999999999997"/>
    <n v="48.023000000000003"/>
    <n v="22122042"/>
    <x v="8"/>
    <s v="Walmart"/>
    <x v="5"/>
    <n v="0.999"/>
    <x v="2"/>
    <x v="0"/>
    <s v="March"/>
    <s v="Profit"/>
    <n v="0.5210000000000008"/>
    <n v="2.1460000000000021"/>
  </r>
  <r>
    <s v="2023-03-31"/>
    <n v="48.323"/>
    <x v="3876"/>
    <n v="48.286999999999999"/>
    <n v="48.61"/>
    <n v="21099802"/>
    <x v="8"/>
    <s v="Walmart"/>
    <x v="5"/>
    <n v="1.222"/>
    <x v="2"/>
    <x v="0"/>
    <s v="March"/>
    <s v="Profit"/>
    <n v="0.64900000000000091"/>
    <n v="3.3680000000000021"/>
  </r>
  <r>
    <s v="2023-04-03"/>
    <n v="48.701999999999998"/>
    <x v="3877"/>
    <n v="48.625999999999998"/>
    <n v="49.018999999999998"/>
    <n v="19986226"/>
    <x v="8"/>
    <s v="Walmart"/>
    <x v="5"/>
    <n v="0.84099999999999997"/>
    <x v="3"/>
    <x v="0"/>
    <s v="April"/>
    <s v="Profit"/>
    <n v="0.47800000000000153"/>
    <n v="4.2090000000000023"/>
  </r>
  <r>
    <s v="2023-04-04"/>
    <n v="48.966000000000001"/>
    <x v="3878"/>
    <n v="48.468000000000004"/>
    <n v="48.536999999999999"/>
    <n v="18314878"/>
    <x v="8"/>
    <s v="Walmart"/>
    <x v="5"/>
    <n v="-0.98199999999999998"/>
    <x v="3"/>
    <x v="0"/>
    <s v="April"/>
    <s v="Loss"/>
    <n v="0.58399999999999608"/>
    <n v="3.2270000000000021"/>
  </r>
  <r>
    <s v="2023-04-05"/>
    <n v="48.518000000000001"/>
    <x v="3879"/>
    <n v="48.508000000000003"/>
    <n v="49.341999999999999"/>
    <n v="26835521"/>
    <x v="8"/>
    <s v="Walmart"/>
    <x v="5"/>
    <n v="1.6579999999999999"/>
    <x v="3"/>
    <x v="0"/>
    <s v="April"/>
    <s v="Profit"/>
    <n v="0.90299999999999869"/>
    <n v="4.8850000000000016"/>
  </r>
  <r>
    <s v="2023-04-06"/>
    <n v="49.055"/>
    <x v="3880"/>
    <n v="48.963000000000001"/>
    <n v="49.713999999999999"/>
    <n v="18090364"/>
    <x v="8"/>
    <s v="Walmart"/>
    <x v="5"/>
    <n v="0.755"/>
    <x v="3"/>
    <x v="0"/>
    <s v="April"/>
    <s v="Profit"/>
    <n v="0.82999999999999829"/>
    <n v="5.6400000000000015"/>
  </r>
  <r>
    <s v="2023-04-10"/>
    <n v="49.569000000000003"/>
    <x v="3881"/>
    <n v="49.375"/>
    <n v="49.619"/>
    <n v="14680384"/>
    <x v="8"/>
    <s v="Walmart"/>
    <x v="5"/>
    <n v="-0.192"/>
    <x v="3"/>
    <x v="0"/>
    <s v="April"/>
    <s v="Loss"/>
    <n v="0.44500000000000028"/>
    <n v="5.4480000000000013"/>
  </r>
  <r>
    <s v="2023-04-11"/>
    <n v="49.78"/>
    <x v="3882"/>
    <n v="49.325000000000003"/>
    <n v="49.473999999999997"/>
    <n v="18574498"/>
    <x v="8"/>
    <s v="Walmart"/>
    <x v="5"/>
    <n v="-0.29199999999999998"/>
    <x v="3"/>
    <x v="0"/>
    <s v="April"/>
    <s v="Loss"/>
    <n v="0.45499999999999829"/>
    <n v="5.1560000000000015"/>
  </r>
  <r>
    <s v="2023-04-12"/>
    <n v="49.381"/>
    <x v="3883"/>
    <n v="49.177"/>
    <n v="49.232999999999997"/>
    <n v="11334222"/>
    <x v="8"/>
    <s v="Walmart"/>
    <x v="5"/>
    <n v="-0.48699999999999999"/>
    <x v="3"/>
    <x v="0"/>
    <s v="April"/>
    <s v="Loss"/>
    <n v="0.59300000000000352"/>
    <n v="4.6690000000000014"/>
  </r>
  <r>
    <s v="2023-04-13"/>
    <n v="49.335000000000001"/>
    <x v="3884"/>
    <n v="48.856999999999999"/>
    <n v="49.281999999999996"/>
    <n v="13420131"/>
    <x v="8"/>
    <s v="Walmart"/>
    <x v="5"/>
    <n v="0.1"/>
    <x v="3"/>
    <x v="0"/>
    <s v="April"/>
    <s v="Profit"/>
    <n v="0.59400000000000119"/>
    <n v="4.769000000000001"/>
  </r>
  <r>
    <s v="2023-04-14"/>
    <n v="49.131"/>
    <x v="3885"/>
    <n v="48.838999999999999"/>
    <n v="48.95"/>
    <n v="10581778"/>
    <x v="8"/>
    <s v="Walmart"/>
    <x v="5"/>
    <n v="-0.67500000000000004"/>
    <x v="3"/>
    <x v="0"/>
    <s v="April"/>
    <s v="Loss"/>
    <n v="0.57500000000000284"/>
    <n v="4.0940000000000012"/>
  </r>
  <r>
    <s v="2023-04-17"/>
    <n v="49.002000000000002"/>
    <x v="3886"/>
    <n v="48.956000000000003"/>
    <n v="49.292000000000002"/>
    <n v="16346405"/>
    <x v="8"/>
    <s v="Walmart"/>
    <x v="5"/>
    <n v="0.7"/>
    <x v="3"/>
    <x v="0"/>
    <s v="April"/>
    <s v="Profit"/>
    <n v="0.38599999999999568"/>
    <n v="4.7940000000000014"/>
  </r>
  <r>
    <s v="2023-04-18"/>
    <n v="49.378"/>
    <x v="3887"/>
    <n v="49.265999999999998"/>
    <n v="49.401000000000003"/>
    <n v="13632728"/>
    <x v="8"/>
    <s v="Walmart"/>
    <x v="5"/>
    <n v="0.221"/>
    <x v="3"/>
    <x v="0"/>
    <s v="April"/>
    <s v="Profit"/>
    <n v="0.29700000000000415"/>
    <n v="5.0150000000000015"/>
  </r>
  <r>
    <s v="2023-04-19"/>
    <n v="49.728000000000002"/>
    <x v="3888"/>
    <n v="49.375"/>
    <n v="49.454000000000001"/>
    <n v="12571664"/>
    <x v="8"/>
    <s v="Walmart"/>
    <x v="5"/>
    <n v="0.107"/>
    <x v="3"/>
    <x v="0"/>
    <s v="April"/>
    <s v="Profit"/>
    <n v="0.54099999999999682"/>
    <n v="5.1220000000000017"/>
  </r>
  <r>
    <s v="2023-04-20"/>
    <n v="49.52"/>
    <x v="3889"/>
    <n v="49.319000000000003"/>
    <n v="49.77"/>
    <n v="13793518"/>
    <x v="8"/>
    <s v="Walmart"/>
    <x v="5"/>
    <n v="0.64"/>
    <x v="3"/>
    <x v="0"/>
    <s v="April"/>
    <s v="Profit"/>
    <n v="0.58999999999999631"/>
    <n v="5.7620000000000013"/>
  </r>
  <r>
    <s v="2023-04-21"/>
    <n v="50.097000000000001"/>
    <x v="3890"/>
    <n v="49.838000000000001"/>
    <n v="50.021000000000001"/>
    <n v="25617177"/>
    <x v="8"/>
    <s v="Walmart"/>
    <x v="5"/>
    <n v="0.504"/>
    <x v="3"/>
    <x v="0"/>
    <s v="April"/>
    <s v="Profit"/>
    <n v="0.37100000000000222"/>
    <n v="6.2660000000000018"/>
  </r>
  <r>
    <s v="2023-04-24"/>
    <n v="50.015000000000001"/>
    <x v="3891"/>
    <n v="50.015000000000001"/>
    <n v="50.360999999999997"/>
    <n v="13730355"/>
    <x v="8"/>
    <s v="Walmart"/>
    <x v="5"/>
    <n v="0.67900000000000005"/>
    <x v="3"/>
    <x v="0"/>
    <s v="April"/>
    <s v="Profit"/>
    <n v="0.40800000000000125"/>
    <n v="6.9450000000000021"/>
  </r>
  <r>
    <s v="2023-04-25"/>
    <n v="50.534999999999997"/>
    <x v="3892"/>
    <n v="49.889000000000003"/>
    <n v="49.968000000000004"/>
    <n v="17438184"/>
    <x v="8"/>
    <s v="Walmart"/>
    <x v="5"/>
    <n v="-0.78"/>
    <x v="3"/>
    <x v="0"/>
    <s v="April"/>
    <s v="Loss"/>
    <n v="0.79799999999999471"/>
    <n v="6.1650000000000018"/>
  </r>
  <r>
    <s v="2023-04-26"/>
    <n v="49.774000000000001"/>
    <x v="3888"/>
    <n v="49.523000000000003"/>
    <n v="49.750999999999998"/>
    <n v="13053644"/>
    <x v="8"/>
    <s v="Walmart"/>
    <x v="5"/>
    <n v="-0.435"/>
    <x v="3"/>
    <x v="0"/>
    <s v="April"/>
    <s v="Loss"/>
    <n v="0.39299999999999358"/>
    <n v="5.7300000000000022"/>
  </r>
  <r>
    <s v="2023-04-27"/>
    <n v="49.707999999999998"/>
    <x v="3893"/>
    <n v="49.707999999999998"/>
    <n v="49.905999999999999"/>
    <n v="13003837"/>
    <x v="8"/>
    <s v="Walmart"/>
    <x v="5"/>
    <n v="0.312"/>
    <x v="3"/>
    <x v="0"/>
    <s v="April"/>
    <s v="Profit"/>
    <n v="0.382000000000005"/>
    <n v="6.0420000000000025"/>
  </r>
  <r>
    <s v="2023-04-28"/>
    <n v="49.875999999999998"/>
    <x v="3894"/>
    <n v="49.51"/>
    <n v="49.77"/>
    <n v="14245083"/>
    <x v="8"/>
    <s v="Walmart"/>
    <x v="5"/>
    <n v="-0.27100000000000002"/>
    <x v="3"/>
    <x v="0"/>
    <s v="April"/>
    <s v="Loss"/>
    <n v="0.65599999999999881"/>
    <n v="5.7710000000000026"/>
  </r>
  <r>
    <s v="2023-05-01"/>
    <n v="49.792999999999999"/>
    <x v="3895"/>
    <n v="49.756999999999998"/>
    <n v="49.975000000000001"/>
    <n v="11536900"/>
    <x v="8"/>
    <s v="Walmart"/>
    <x v="5"/>
    <n v="0.41099999999999998"/>
    <x v="4"/>
    <x v="0"/>
    <s v="May"/>
    <s v="Profit"/>
    <n v="0.53099999999999881"/>
    <n v="6.1820000000000022"/>
  </r>
  <r>
    <s v="2023-05-02"/>
    <n v="49.935000000000002"/>
    <x v="3896"/>
    <n v="49.273000000000003"/>
    <n v="49.84"/>
    <n v="11456016"/>
    <x v="8"/>
    <s v="Walmart"/>
    <x v="5"/>
    <n v="-0.27"/>
    <x v="4"/>
    <x v="0"/>
    <s v="May"/>
    <s v="Loss"/>
    <n v="0.66899999999999693"/>
    <n v="5.9120000000000026"/>
  </r>
  <r>
    <s v="2023-05-03"/>
    <n v="49.965000000000003"/>
    <x v="3897"/>
    <n v="49.54"/>
    <n v="49.655000000000001"/>
    <n v="12471370"/>
    <x v="8"/>
    <s v="Walmart"/>
    <x v="5"/>
    <n v="-0.371"/>
    <x v="4"/>
    <x v="0"/>
    <s v="May"/>
    <s v="Loss"/>
    <n v="0.60300000000000153"/>
    <n v="5.5410000000000021"/>
  </r>
  <r>
    <s v="2023-05-04"/>
    <n v="49.820999999999998"/>
    <x v="3898"/>
    <n v="49.47"/>
    <n v="49.793999999999997"/>
    <n v="14113371"/>
    <x v="8"/>
    <s v="Walmart"/>
    <x v="5"/>
    <n v="0.28000000000000003"/>
    <x v="4"/>
    <x v="0"/>
    <s v="May"/>
    <s v="Profit"/>
    <n v="0.49600000000000222"/>
    <n v="5.8210000000000024"/>
  </r>
  <r>
    <s v="2023-05-05"/>
    <n v="49.738"/>
    <x v="3899"/>
    <n v="49.582000000000001"/>
    <n v="50.223999999999997"/>
    <n v="14661909"/>
    <x v="8"/>
    <s v="Walmart"/>
    <x v="5"/>
    <n v="0.86399999999999999"/>
    <x v="4"/>
    <x v="0"/>
    <s v="May"/>
    <s v="Profit"/>
    <n v="0.72200000000000131"/>
    <n v="6.6850000000000023"/>
  </r>
  <r>
    <s v="2023-05-08"/>
    <n v="50.058999999999997"/>
    <x v="3900"/>
    <n v="49.988999999999997"/>
    <n v="50.539000000000001"/>
    <n v="15035397"/>
    <x v="8"/>
    <s v="Walmart"/>
    <x v="5"/>
    <n v="0.627"/>
    <x v="4"/>
    <x v="0"/>
    <s v="May"/>
    <s v="Profit"/>
    <n v="0.62600000000000477"/>
    <n v="7.3120000000000021"/>
  </r>
  <r>
    <s v="2023-05-09"/>
    <n v="50.539000000000001"/>
    <x v="3901"/>
    <n v="50.412999999999997"/>
    <n v="50.625"/>
    <n v="15320502"/>
    <x v="8"/>
    <s v="Walmart"/>
    <x v="5"/>
    <n v="0.17"/>
    <x v="4"/>
    <x v="0"/>
    <s v="May"/>
    <s v="Profit"/>
    <n v="0.2780000000000058"/>
    <n v="7.482000000000002"/>
  </r>
  <r>
    <s v="2023-05-10"/>
    <n v="50.86"/>
    <x v="3902"/>
    <n v="50.045000000000002"/>
    <n v="50.482999999999997"/>
    <n v="15942864"/>
    <x v="8"/>
    <s v="Walmart"/>
    <x v="5"/>
    <n v="-0.28000000000000003"/>
    <x v="4"/>
    <x v="0"/>
    <s v="May"/>
    <s v="Loss"/>
    <n v="1.0330000000000013"/>
    <n v="7.2020000000000017"/>
  </r>
  <r>
    <s v="2023-05-11"/>
    <n v="50.482999999999997"/>
    <x v="3903"/>
    <n v="50.301000000000002"/>
    <n v="50.670999999999999"/>
    <n v="12013714"/>
    <x v="8"/>
    <s v="Walmart"/>
    <x v="5"/>
    <n v="0.373"/>
    <x v="4"/>
    <x v="0"/>
    <s v="May"/>
    <s v="Profit"/>
    <n v="0.4199999999999946"/>
    <n v="7.575000000000002"/>
  </r>
  <r>
    <s v="2023-05-12"/>
    <n v="50.83"/>
    <x v="3904"/>
    <n v="50.534999999999997"/>
    <n v="50.655000000000001"/>
    <n v="16236642"/>
    <x v="8"/>
    <s v="Walmart"/>
    <x v="5"/>
    <n v="-3.2000000000000001E-2"/>
    <x v="4"/>
    <x v="0"/>
    <s v="May"/>
    <s v="Loss"/>
    <n v="0.45000000000000284"/>
    <n v="7.5430000000000019"/>
  </r>
  <r>
    <s v="2023-05-15"/>
    <n v="50.796999999999997"/>
    <x v="3905"/>
    <n v="50.094999999999999"/>
    <n v="50.261000000000003"/>
    <n v="16231375"/>
    <x v="8"/>
    <s v="Walmart"/>
    <x v="5"/>
    <n v="-0.77800000000000002"/>
    <x v="4"/>
    <x v="0"/>
    <s v="May"/>
    <s v="Loss"/>
    <n v="0.81799999999999784"/>
    <n v="6.7650000000000023"/>
  </r>
  <r>
    <s v="2023-05-16"/>
    <n v="49.92"/>
    <x v="3906"/>
    <n v="49.497"/>
    <n v="49.566000000000003"/>
    <n v="15653174"/>
    <x v="8"/>
    <s v="Walmart"/>
    <x v="5"/>
    <n v="-1.383"/>
    <x v="4"/>
    <x v="0"/>
    <s v="May"/>
    <s v="Loss"/>
    <n v="0.64800000000000324"/>
    <n v="5.3820000000000023"/>
  </r>
  <r>
    <s v="2023-05-17"/>
    <n v="50.015999999999998"/>
    <x v="3907"/>
    <n v="49.212000000000003"/>
    <n v="49.482999999999997"/>
    <n v="27182453"/>
    <x v="8"/>
    <s v="Walmart"/>
    <x v="5"/>
    <n v="-0.16700000000000001"/>
    <x v="4"/>
    <x v="0"/>
    <s v="May"/>
    <s v="Loss"/>
    <n v="0.80699999999999505"/>
    <n v="5.2150000000000025"/>
  </r>
  <r>
    <s v="2023-05-18"/>
    <n v="50.234000000000002"/>
    <x v="3908"/>
    <n v="49.622"/>
    <n v="50.125"/>
    <n v="47109148"/>
    <x v="8"/>
    <s v="Walmart"/>
    <x v="5"/>
    <n v="1.2969999999999999"/>
    <x v="4"/>
    <x v="0"/>
    <s v="May"/>
    <s v="Profit"/>
    <n v="1.4359999999999999"/>
    <n v="6.5120000000000022"/>
  </r>
  <r>
    <s v="2023-05-19"/>
    <n v="50.101999999999997"/>
    <x v="3909"/>
    <n v="49.344999999999999"/>
    <n v="49.609000000000002"/>
    <n v="27795057"/>
    <x v="8"/>
    <s v="Walmart"/>
    <x v="5"/>
    <n v="-1.0289999999999999"/>
    <x v="4"/>
    <x v="0"/>
    <s v="May"/>
    <s v="Loss"/>
    <n v="0.77700000000000102"/>
    <n v="5.4830000000000023"/>
  </r>
  <r>
    <s v="2023-05-22"/>
    <n v="49.539000000000001"/>
    <x v="3910"/>
    <n v="49.070999999999998"/>
    <n v="49.171999999999997"/>
    <n v="16235167"/>
    <x v="8"/>
    <s v="Walmart"/>
    <x v="5"/>
    <n v="-0.88"/>
    <x v="4"/>
    <x v="0"/>
    <s v="May"/>
    <s v="Loss"/>
    <n v="0.59400000000000119"/>
    <n v="4.6030000000000024"/>
  </r>
  <r>
    <s v="2023-05-23"/>
    <n v="48.98"/>
    <x v="3911"/>
    <n v="48.671999999999997"/>
    <n v="49.079000000000001"/>
    <n v="16420950"/>
    <x v="8"/>
    <s v="Walmart"/>
    <x v="5"/>
    <n v="-0.189"/>
    <x v="4"/>
    <x v="0"/>
    <s v="May"/>
    <s v="Loss"/>
    <n v="0.58900000000000574"/>
    <n v="4.4140000000000024"/>
  </r>
  <r>
    <s v="2023-05-24"/>
    <n v="49.145000000000003"/>
    <x v="3912"/>
    <n v="48.414000000000001"/>
    <n v="48.853999999999999"/>
    <n v="20664545"/>
    <x v="8"/>
    <s v="Walmart"/>
    <x v="5"/>
    <n v="-0.45800000000000002"/>
    <x v="4"/>
    <x v="0"/>
    <s v="May"/>
    <s v="Loss"/>
    <n v="0.74099999999999966"/>
    <n v="3.9560000000000022"/>
  </r>
  <r>
    <s v="2023-05-25"/>
    <n v="48.606000000000002"/>
    <x v="3913"/>
    <n v="48.014000000000003"/>
    <n v="48.368000000000002"/>
    <n v="21454851"/>
    <x v="8"/>
    <s v="Walmart"/>
    <x v="5"/>
    <n v="-0.996"/>
    <x v="4"/>
    <x v="0"/>
    <s v="May"/>
    <s v="Loss"/>
    <n v="0.77699999999999392"/>
    <n v="2.9600000000000022"/>
  </r>
  <r>
    <s v="2023-05-26"/>
    <n v="48.216000000000001"/>
    <x v="3914"/>
    <n v="48.14"/>
    <n v="48.454000000000001"/>
    <n v="15835337"/>
    <x v="8"/>
    <s v="Walmart"/>
    <x v="5"/>
    <n v="0.17799999999999999"/>
    <x v="4"/>
    <x v="0"/>
    <s v="May"/>
    <s v="Profit"/>
    <n v="0.44500000000000028"/>
    <n v="3.1380000000000021"/>
  </r>
  <r>
    <s v="2023-05-30"/>
    <n v="48.414000000000001"/>
    <x v="3915"/>
    <n v="48.182000000000002"/>
    <n v="48.335000000000001"/>
    <n v="15857237"/>
    <x v="8"/>
    <s v="Walmart"/>
    <x v="5"/>
    <n v="-0.246"/>
    <x v="4"/>
    <x v="0"/>
    <s v="May"/>
    <s v="Loss"/>
    <n v="0.55999999999999517"/>
    <n v="2.8920000000000021"/>
  </r>
  <r>
    <s v="2023-05-31"/>
    <n v="48.122999999999998"/>
    <x v="3916"/>
    <n v="47.987000000000002"/>
    <n v="48.603000000000002"/>
    <n v="30350219"/>
    <x v="8"/>
    <s v="Walmart"/>
    <x v="5"/>
    <n v="0.55400000000000005"/>
    <x v="4"/>
    <x v="0"/>
    <s v="May"/>
    <s v="Profit"/>
    <n v="0.76099999999999568"/>
    <n v="3.4460000000000024"/>
  </r>
  <r>
    <s v="2023-06-01"/>
    <n v="48.384"/>
    <x v="3917"/>
    <n v="48.295000000000002"/>
    <n v="48.780999999999999"/>
    <n v="20386565"/>
    <x v="8"/>
    <s v="Walmart"/>
    <x v="5"/>
    <n v="0.36699999999999999"/>
    <x v="5"/>
    <x v="0"/>
    <s v="June"/>
    <s v="Profit"/>
    <n v="0.64900000000000091"/>
    <n v="3.8130000000000024"/>
  </r>
  <r>
    <s v="2023-06-02"/>
    <n v="48.718000000000004"/>
    <x v="3918"/>
    <n v="48.679000000000002"/>
    <n v="49.247999999999998"/>
    <n v="19317904"/>
    <x v="8"/>
    <s v="Walmart"/>
    <x v="5"/>
    <n v="0.95699999999999996"/>
    <x v="5"/>
    <x v="0"/>
    <s v="June"/>
    <s v="Profit"/>
    <n v="0.63400000000000034"/>
    <n v="4.7700000000000022"/>
  </r>
  <r>
    <s v="2023-06-05"/>
    <n v="49.43"/>
    <x v="3919"/>
    <n v="49.43"/>
    <n v="49.572000000000003"/>
    <n v="15666434"/>
    <x v="8"/>
    <s v="Walmart"/>
    <x v="5"/>
    <n v="0.65900000000000003"/>
    <x v="5"/>
    <x v="0"/>
    <s v="June"/>
    <s v="Profit"/>
    <n v="0.62199999999999989"/>
    <n v="5.429000000000002"/>
  </r>
  <r>
    <s v="2023-06-06"/>
    <n v="49.539000000000001"/>
    <x v="3920"/>
    <n v="49.145000000000003"/>
    <n v="49.566000000000003"/>
    <n v="15125025"/>
    <x v="8"/>
    <s v="Walmart"/>
    <x v="5"/>
    <n v="-1.2999999999999999E-2"/>
    <x v="5"/>
    <x v="0"/>
    <s v="June"/>
    <s v="Loss"/>
    <n v="0.55599999999999739"/>
    <n v="5.4160000000000021"/>
  </r>
  <r>
    <s v="2023-06-07"/>
    <n v="49.39"/>
    <x v="3921"/>
    <n v="49.320999999999998"/>
    <n v="49.639000000000003"/>
    <n v="24433280"/>
    <x v="8"/>
    <s v="Walmart"/>
    <x v="5"/>
    <n v="0.14699999999999999"/>
    <x v="5"/>
    <x v="0"/>
    <s v="June"/>
    <s v="Profit"/>
    <n v="0.43700000000000472"/>
    <n v="5.5630000000000024"/>
  </r>
  <r>
    <s v="2023-06-08"/>
    <n v="49.767000000000003"/>
    <x v="3922"/>
    <n v="49.569000000000003"/>
    <n v="50.356999999999999"/>
    <n v="19012770"/>
    <x v="8"/>
    <s v="Walmart"/>
    <x v="5"/>
    <n v="1.446"/>
    <x v="5"/>
    <x v="0"/>
    <s v="June"/>
    <s v="Profit"/>
    <n v="0.87399999999999523"/>
    <n v="7.0090000000000021"/>
  </r>
  <r>
    <s v="2023-06-09"/>
    <n v="50.353000000000002"/>
    <x v="3923"/>
    <n v="50.167999999999999"/>
    <n v="50.661000000000001"/>
    <n v="15719244"/>
    <x v="8"/>
    <s v="Walmart"/>
    <x v="5"/>
    <n v="0.60499999999999998"/>
    <x v="5"/>
    <x v="0"/>
    <s v="June"/>
    <s v="Profit"/>
    <n v="0.70100000000000051"/>
    <n v="7.6140000000000025"/>
  </r>
  <r>
    <s v="2023-06-12"/>
    <n v="50.773000000000003"/>
    <x v="3924"/>
    <n v="50.686"/>
    <n v="50.994999999999997"/>
    <n v="14822828"/>
    <x v="8"/>
    <s v="Walmart"/>
    <x v="5"/>
    <n v="0.65900000000000003"/>
    <x v="5"/>
    <x v="0"/>
    <s v="June"/>
    <s v="Profit"/>
    <n v="0.375"/>
    <n v="8.2730000000000032"/>
  </r>
  <r>
    <s v="2023-06-13"/>
    <n v="51.134"/>
    <x v="3925"/>
    <n v="50.984999999999999"/>
    <n v="51.392000000000003"/>
    <n v="15853499"/>
    <x v="8"/>
    <s v="Walmart"/>
    <x v="5"/>
    <n v="0.77900000000000003"/>
    <x v="5"/>
    <x v="0"/>
    <s v="June"/>
    <s v="Profit"/>
    <n v="0.47700000000000387"/>
    <n v="9.0520000000000032"/>
  </r>
  <r>
    <s v="2023-06-14"/>
    <n v="51.594000000000001"/>
    <x v="3926"/>
    <n v="51.494999999999997"/>
    <n v="51.911999999999999"/>
    <n v="21256793"/>
    <x v="8"/>
    <s v="Walmart"/>
    <x v="5"/>
    <n v="1.0109999999999999"/>
    <x v="5"/>
    <x v="0"/>
    <s v="June"/>
    <s v="Profit"/>
    <n v="0.56900000000000261"/>
    <n v="10.063000000000002"/>
  </r>
  <r>
    <s v="2023-06-15"/>
    <n v="51.954999999999998"/>
    <x v="3927"/>
    <n v="51.948"/>
    <n v="52.195999999999998"/>
    <n v="18292600"/>
    <x v="8"/>
    <s v="Walmart"/>
    <x v="5"/>
    <n v="0.54800000000000004"/>
    <x v="5"/>
    <x v="0"/>
    <s v="June"/>
    <s v="Profit"/>
    <n v="0.41400000000000148"/>
    <n v="10.611000000000002"/>
  </r>
  <r>
    <s v="2023-06-16"/>
    <n v="52.311999999999998"/>
    <x v="3928"/>
    <n v="51.386000000000003"/>
    <n v="51.469000000000001"/>
    <n v="34928268"/>
    <x v="8"/>
    <s v="Walmart"/>
    <x v="5"/>
    <n v="-1.3939999999999999"/>
    <x v="5"/>
    <x v="0"/>
    <s v="June"/>
    <s v="Loss"/>
    <n v="0.94999999999999574"/>
    <n v="9.2170000000000023"/>
  </r>
  <r>
    <s v="2023-06-20"/>
    <n v="51.194000000000003"/>
    <x v="3929"/>
    <n v="50.923000000000002"/>
    <n v="51.015000000000001"/>
    <n v="20153469"/>
    <x v="8"/>
    <s v="Walmart"/>
    <x v="5"/>
    <n v="-0.88100000000000001"/>
    <x v="5"/>
    <x v="0"/>
    <s v="June"/>
    <s v="Loss"/>
    <n v="0.51899999999999835"/>
    <n v="8.3360000000000021"/>
  </r>
  <r>
    <s v="2023-06-21"/>
    <n v="51.031999999999996"/>
    <x v="3930"/>
    <n v="50.750999999999998"/>
    <n v="51.113999999999997"/>
    <n v="19391619"/>
    <x v="8"/>
    <s v="Walmart"/>
    <x v="5"/>
    <n v="0.19400000000000001"/>
    <x v="5"/>
    <x v="0"/>
    <s v="June"/>
    <s v="Profit"/>
    <n v="0.6530000000000058"/>
    <n v="8.5300000000000029"/>
  </r>
  <r>
    <s v="2023-06-22"/>
    <n v="51.286999999999999"/>
    <x v="3931"/>
    <n v="51.121000000000002"/>
    <n v="51.540999999999997"/>
    <n v="13404612"/>
    <x v="8"/>
    <s v="Walmart"/>
    <x v="5"/>
    <n v="0.83499999999999996"/>
    <x v="5"/>
    <x v="0"/>
    <s v="June"/>
    <s v="Profit"/>
    <n v="0.52899999999999636"/>
    <n v="9.365000000000002"/>
  </r>
  <r>
    <s v="2023-06-23"/>
    <n v="51.584000000000003"/>
    <x v="3932"/>
    <n v="51.3"/>
    <n v="51.445"/>
    <n v="19113177"/>
    <x v="8"/>
    <s v="Walmart"/>
    <x v="5"/>
    <n v="-0.186"/>
    <x v="5"/>
    <x v="0"/>
    <s v="June"/>
    <s v="Loss"/>
    <n v="0.42000000000000171"/>
    <n v="9.179000000000002"/>
  </r>
  <r>
    <s v="2023-06-26"/>
    <n v="51.508000000000003"/>
    <x v="3933"/>
    <n v="51.067999999999998"/>
    <n v="51.31"/>
    <n v="14209143"/>
    <x v="8"/>
    <s v="Walmart"/>
    <x v="5"/>
    <n v="-0.26400000000000001"/>
    <x v="5"/>
    <x v="0"/>
    <s v="June"/>
    <s v="Loss"/>
    <n v="0.48300000000000409"/>
    <n v="8.9150000000000027"/>
  </r>
  <r>
    <s v="2023-06-27"/>
    <n v="51.012"/>
    <x v="3934"/>
    <n v="50.981999999999999"/>
    <n v="51.124000000000002"/>
    <n v="12181641"/>
    <x v="8"/>
    <s v="Walmart"/>
    <x v="5"/>
    <n v="-0.36099999999999999"/>
    <x v="5"/>
    <x v="0"/>
    <s v="June"/>
    <s v="Loss"/>
    <n v="0.59199999999999875"/>
    <n v="8.554000000000002"/>
  </r>
  <r>
    <s v="2023-06-28"/>
    <n v="51.204000000000001"/>
    <x v="3935"/>
    <n v="51.171999999999997"/>
    <n v="51.402000000000001"/>
    <n v="19027453"/>
    <x v="8"/>
    <s v="Walmart"/>
    <x v="5"/>
    <n v="0.54400000000000004"/>
    <x v="5"/>
    <x v="0"/>
    <s v="June"/>
    <s v="Profit"/>
    <n v="0.34600000000000364"/>
    <n v="9.0980000000000025"/>
  </r>
  <r>
    <s v="2023-06-29"/>
    <n v="51.131"/>
    <x v="3936"/>
    <n v="50.677999999999997"/>
    <n v="51.055"/>
    <n v="21687065"/>
    <x v="8"/>
    <s v="Walmart"/>
    <x v="5"/>
    <n v="-0.67600000000000005"/>
    <x v="5"/>
    <x v="0"/>
    <s v="June"/>
    <s v="Loss"/>
    <n v="0.53200000000000358"/>
    <n v="8.4220000000000024"/>
  </r>
  <r>
    <s v="2023-06-30"/>
    <n v="51.283000000000001"/>
    <x v="3937"/>
    <n v="51.22"/>
    <n v="52.014000000000003"/>
    <n v="19211952"/>
    <x v="8"/>
    <s v="Walmart"/>
    <x v="5"/>
    <n v="1.88"/>
    <x v="5"/>
    <x v="0"/>
    <s v="June"/>
    <s v="Profit"/>
    <n v="0.91000000000000369"/>
    <n v="10.302000000000003"/>
  </r>
  <r>
    <s v="2023-07-03"/>
    <n v="51.892000000000003"/>
    <x v="3938"/>
    <n v="51.732999999999997"/>
    <n v="52.351999999999997"/>
    <n v="8710421"/>
    <x v="8"/>
    <s v="Walmart"/>
    <x v="5"/>
    <n v="0.65"/>
    <x v="6"/>
    <x v="0"/>
    <s v="July"/>
    <s v="Profit"/>
    <n v="0.69900000000000517"/>
    <n v="10.952000000000004"/>
  </r>
  <r>
    <s v="2023-07-05"/>
    <n v="52.338999999999999"/>
    <x v="3939"/>
    <n v="52.067999999999998"/>
    <n v="52.322000000000003"/>
    <n v="17713859"/>
    <x v="8"/>
    <s v="Walmart"/>
    <x v="5"/>
    <n v="-5.7000000000000002E-2"/>
    <x v="6"/>
    <x v="0"/>
    <s v="July"/>
    <s v="Loss"/>
    <n v="0.58800000000000097"/>
    <n v="10.895000000000003"/>
  </r>
  <r>
    <s v="2023-07-06"/>
    <n v="52.262999999999998"/>
    <x v="3940"/>
    <n v="51.911999999999999"/>
    <n v="51.991"/>
    <n v="14532749"/>
    <x v="8"/>
    <s v="Walmart"/>
    <x v="5"/>
    <n v="-0.63300000000000001"/>
    <x v="6"/>
    <x v="0"/>
    <s v="July"/>
    <s v="Loss"/>
    <n v="0.4339999999999975"/>
    <n v="10.262000000000004"/>
  </r>
  <r>
    <s v="2023-07-07"/>
    <n v="51.561"/>
    <x v="3932"/>
    <n v="50.78"/>
    <n v="50.792999999999999"/>
    <n v="19918713"/>
    <x v="8"/>
    <s v="Walmart"/>
    <x v="5"/>
    <n v="-2.3039999999999998"/>
    <x v="6"/>
    <x v="0"/>
    <s v="July"/>
    <s v="Loss"/>
    <n v="0.93999999999999773"/>
    <n v="7.9580000000000037"/>
  </r>
  <r>
    <s v="2023-07-10"/>
    <n v="51.146999999999998"/>
    <x v="3941"/>
    <n v="51.067999999999998"/>
    <n v="51.253"/>
    <n v="13062155"/>
    <x v="8"/>
    <s v="Walmart"/>
    <x v="5"/>
    <n v="0.90600000000000003"/>
    <x v="6"/>
    <x v="0"/>
    <s v="July"/>
    <s v="Profit"/>
    <n v="0.39100000000000534"/>
    <n v="8.8640000000000043"/>
  </r>
  <r>
    <s v="2023-07-11"/>
    <n v="51.216999999999999"/>
    <x v="3925"/>
    <n v="50.915999999999997"/>
    <n v="51.177"/>
    <n v="11546660"/>
    <x v="8"/>
    <s v="Walmart"/>
    <x v="5"/>
    <n v="-0.14799999999999999"/>
    <x v="6"/>
    <x v="0"/>
    <s v="July"/>
    <s v="Loss"/>
    <n v="0.54600000000000648"/>
    <n v="8.7160000000000046"/>
  </r>
  <r>
    <s v="2023-07-12"/>
    <n v="51.396000000000001"/>
    <x v="3942"/>
    <n v="51.234000000000002"/>
    <n v="51.305999999999997"/>
    <n v="16630192"/>
    <x v="8"/>
    <s v="Walmart"/>
    <x v="5"/>
    <n v="0.252"/>
    <x v="6"/>
    <x v="0"/>
    <s v="July"/>
    <s v="Profit"/>
    <n v="0.3539999999999992"/>
    <n v="8.9680000000000053"/>
  </r>
  <r>
    <s v="2023-07-13"/>
    <n v="51.435000000000002"/>
    <x v="3943"/>
    <n v="50.86"/>
    <n v="51.005000000000003"/>
    <n v="11946012"/>
    <x v="8"/>
    <s v="Walmart"/>
    <x v="5"/>
    <n v="-0.58699999999999997"/>
    <x v="6"/>
    <x v="0"/>
    <s v="July"/>
    <s v="Loss"/>
    <n v="0.6319999999999979"/>
    <n v="8.3810000000000056"/>
  </r>
  <r>
    <s v="2023-07-14"/>
    <n v="51.002000000000002"/>
    <x v="3944"/>
    <n v="50.823"/>
    <n v="51.180999999999997"/>
    <n v="10503401"/>
    <x v="8"/>
    <s v="Walmart"/>
    <x v="5"/>
    <n v="0.34399999999999997"/>
    <x v="6"/>
    <x v="0"/>
    <s v="July"/>
    <s v="Profit"/>
    <n v="0.3609999999999971"/>
    <n v="8.725000000000005"/>
  </r>
  <r>
    <s v="2023-07-17"/>
    <n v="51.094999999999999"/>
    <x v="3945"/>
    <n v="50.902999999999999"/>
    <n v="51.243000000000002"/>
    <n v="10209653"/>
    <x v="8"/>
    <s v="Walmart"/>
    <x v="5"/>
    <n v="0.122"/>
    <x v="6"/>
    <x v="0"/>
    <s v="July"/>
    <s v="Profit"/>
    <n v="0.38400000000000034"/>
    <n v="8.8470000000000049"/>
  </r>
  <r>
    <s v="2023-07-18"/>
    <n v="51.183999999999997"/>
    <x v="3946"/>
    <n v="50.915999999999997"/>
    <n v="51.151000000000003"/>
    <n v="13538075"/>
    <x v="8"/>
    <s v="Walmart"/>
    <x v="5"/>
    <n v="-0.18099999999999999"/>
    <x v="6"/>
    <x v="0"/>
    <s v="July"/>
    <s v="Loss"/>
    <n v="0.59600000000000364"/>
    <n v="8.6660000000000057"/>
  </r>
  <r>
    <s v="2023-07-19"/>
    <n v="51.226999999999997"/>
    <x v="3947"/>
    <n v="50.878999999999998"/>
    <n v="51.167000000000002"/>
    <n v="12462911"/>
    <x v="8"/>
    <s v="Walmart"/>
    <x v="5"/>
    <n v="3.2000000000000001E-2"/>
    <x v="6"/>
    <x v="0"/>
    <s v="July"/>
    <s v="Profit"/>
    <n v="0.48000000000000398"/>
    <n v="8.6980000000000057"/>
  </r>
  <r>
    <s v="2023-07-20"/>
    <n v="51.27"/>
    <x v="3948"/>
    <n v="51.26"/>
    <n v="52.113999999999997"/>
    <n v="15096952"/>
    <x v="8"/>
    <s v="Walmart"/>
    <x v="5"/>
    <n v="1.85"/>
    <x v="6"/>
    <x v="0"/>
    <s v="July"/>
    <s v="Profit"/>
    <n v="0.87700000000000244"/>
    <n v="10.548000000000005"/>
  </r>
  <r>
    <s v="2023-07-21"/>
    <n v="52.253"/>
    <x v="3949"/>
    <n v="52.1"/>
    <n v="52.408000000000001"/>
    <n v="17083901"/>
    <x v="8"/>
    <s v="Walmart"/>
    <x v="5"/>
    <n v="0.56499999999999995"/>
    <x v="6"/>
    <x v="0"/>
    <s v="July"/>
    <s v="Profit"/>
    <n v="0.44399999999999551"/>
    <n v="11.113000000000005"/>
  </r>
  <r>
    <s v="2023-07-24"/>
    <n v="52.435000000000002"/>
    <x v="3950"/>
    <n v="52.14"/>
    <n v="52.716000000000001"/>
    <n v="12621114"/>
    <x v="8"/>
    <s v="Walmart"/>
    <x v="5"/>
    <n v="0.58799999999999997"/>
    <x v="6"/>
    <x v="0"/>
    <s v="July"/>
    <s v="Profit"/>
    <n v="0.63600000000000279"/>
    <n v="11.701000000000004"/>
  </r>
  <r>
    <s v="2023-07-25"/>
    <n v="53.1"/>
    <x v="3951"/>
    <n v="52.378"/>
    <n v="52.673000000000002"/>
    <n v="15667190"/>
    <x v="8"/>
    <s v="Walmart"/>
    <x v="5"/>
    <n v="-8.2000000000000003E-2"/>
    <x v="6"/>
    <x v="0"/>
    <s v="July"/>
    <s v="Loss"/>
    <n v="0.74000000000000199"/>
    <n v="11.619000000000003"/>
  </r>
  <r>
    <s v="2023-07-26"/>
    <n v="52.695999999999998"/>
    <x v="3952"/>
    <n v="52.595999999999997"/>
    <n v="52.862000000000002"/>
    <n v="15203998"/>
    <x v="8"/>
    <s v="Walmart"/>
    <x v="5"/>
    <n v="0.35799999999999998"/>
    <x v="6"/>
    <x v="0"/>
    <s v="July"/>
    <s v="Profit"/>
    <n v="0.5800000000000054"/>
    <n v="11.977000000000004"/>
  </r>
  <r>
    <s v="2023-07-27"/>
    <n v="52.973999999999997"/>
    <x v="3953"/>
    <n v="52.66"/>
    <n v="52.67"/>
    <n v="13497891"/>
    <x v="8"/>
    <s v="Walmart"/>
    <x v="5"/>
    <n v="-0.36299999999999999"/>
    <x v="6"/>
    <x v="0"/>
    <s v="July"/>
    <s v="Loss"/>
    <n v="0.5"/>
    <n v="11.614000000000004"/>
  </r>
  <r>
    <s v="2023-07-28"/>
    <n v="52.713000000000001"/>
    <x v="3954"/>
    <n v="52.713000000000001"/>
    <n v="52.917999999999999"/>
    <n v="11102128"/>
    <x v="8"/>
    <s v="Walmart"/>
    <x v="5"/>
    <n v="0.47099999999999997"/>
    <x v="6"/>
    <x v="0"/>
    <s v="July"/>
    <s v="Profit"/>
    <n v="0.54599999999999937"/>
    <n v="12.085000000000004"/>
  </r>
  <r>
    <s v="2023-07-31"/>
    <n v="52.933999999999997"/>
    <x v="3953"/>
    <n v="52.587000000000003"/>
    <n v="52.902000000000001"/>
    <n v="13128950"/>
    <x v="8"/>
    <s v="Walmart"/>
    <x v="5"/>
    <n v="-3.1E-2"/>
    <x v="6"/>
    <x v="0"/>
    <s v="July"/>
    <s v="Loss"/>
    <n v="0.57299999999999329"/>
    <n v="12.054000000000004"/>
  </r>
  <r>
    <s v="2023-08-01"/>
    <n v="52.930999999999997"/>
    <x v="3955"/>
    <n v="52.603999999999999"/>
    <n v="52.652999999999999"/>
    <n v="11869345"/>
    <x v="8"/>
    <s v="Walmart"/>
    <x v="5"/>
    <n v="-0.47"/>
    <x v="7"/>
    <x v="0"/>
    <s v="August"/>
    <s v="Loss"/>
    <n v="0.4930000000000021"/>
    <n v="11.584000000000003"/>
  </r>
  <r>
    <s v="2023-08-02"/>
    <n v="52.460999999999999"/>
    <x v="3956"/>
    <n v="52.460999999999999"/>
    <n v="52.69"/>
    <n v="12754187"/>
    <x v="8"/>
    <s v="Walmart"/>
    <x v="5"/>
    <n v="7.0000000000000007E-2"/>
    <x v="7"/>
    <x v="0"/>
    <s v="August"/>
    <s v="Profit"/>
    <n v="0.62900000000000489"/>
    <n v="11.654000000000003"/>
  </r>
  <r>
    <s v="2023-08-03"/>
    <n v="52.624000000000002"/>
    <x v="3957"/>
    <n v="52.456000000000003"/>
    <n v="52.703000000000003"/>
    <n v="13300189"/>
    <x v="8"/>
    <s v="Walmart"/>
    <x v="5"/>
    <n v="2.5000000000000001E-2"/>
    <x v="7"/>
    <x v="0"/>
    <s v="August"/>
    <s v="Profit"/>
    <n v="0.32599999999999341"/>
    <n v="11.679000000000004"/>
  </r>
  <r>
    <s v="2023-08-04"/>
    <n v="52.868000000000002"/>
    <x v="3958"/>
    <n v="52.273000000000003"/>
    <n v="52.398000000000003"/>
    <n v="14366965"/>
    <x v="8"/>
    <s v="Walmart"/>
    <x v="5"/>
    <n v="-0.57799999999999996"/>
    <x v="7"/>
    <x v="0"/>
    <s v="August"/>
    <s v="Loss"/>
    <n v="0.7569999999999979"/>
    <n v="11.101000000000004"/>
  </r>
  <r>
    <s v="2023-08-07"/>
    <n v="52.781999999999996"/>
    <x v="3959"/>
    <n v="52.652999999999999"/>
    <n v="53.11"/>
    <n v="14373528"/>
    <x v="8"/>
    <s v="Walmart"/>
    <x v="5"/>
    <n v="1.3580000000000001"/>
    <x v="7"/>
    <x v="0"/>
    <s v="August"/>
    <s v="Profit"/>
    <n v="0.69500000000000028"/>
    <n v="12.459000000000005"/>
  </r>
  <r>
    <s v="2023-08-08"/>
    <n v="53.274999999999999"/>
    <x v="3960"/>
    <n v="52.786000000000001"/>
    <n v="53.162999999999997"/>
    <n v="11098351"/>
    <x v="8"/>
    <s v="Walmart"/>
    <x v="5"/>
    <n v="0.1"/>
    <x v="7"/>
    <x v="0"/>
    <s v="August"/>
    <s v="Profit"/>
    <n v="0.6980000000000004"/>
    <n v="12.559000000000005"/>
  </r>
  <r>
    <s v="2023-08-09"/>
    <n v="53.249000000000002"/>
    <x v="3961"/>
    <n v="53.183"/>
    <n v="53.249000000000002"/>
    <n v="13305810"/>
    <x v="8"/>
    <s v="Walmart"/>
    <x v="5"/>
    <n v="0.16200000000000001"/>
    <x v="7"/>
    <x v="0"/>
    <s v="August"/>
    <s v="Profit"/>
    <n v="0.46000000000000085"/>
    <n v="12.721000000000005"/>
  </r>
  <r>
    <s v="2023-08-10"/>
    <n v="53.398000000000003"/>
    <x v="3962"/>
    <n v="53.146000000000001"/>
    <n v="53.222000000000001"/>
    <n v="15225828"/>
    <x v="8"/>
    <s v="Walmart"/>
    <x v="5"/>
    <n v="-0.05"/>
    <x v="7"/>
    <x v="0"/>
    <s v="August"/>
    <s v="Loss"/>
    <n v="0.57099999999999795"/>
    <n v="12.671000000000005"/>
  </r>
  <r>
    <s v="2023-08-11"/>
    <n v="53.319000000000003"/>
    <x v="3963"/>
    <n v="53.168999999999997"/>
    <n v="53.534999999999997"/>
    <n v="14247924"/>
    <x v="8"/>
    <s v="Walmart"/>
    <x v="5"/>
    <n v="0.58699999999999997"/>
    <x v="7"/>
    <x v="0"/>
    <s v="August"/>
    <s v="Profit"/>
    <n v="0.57500000000000284"/>
    <n v="13.258000000000004"/>
  </r>
  <r>
    <s v="2023-08-14"/>
    <n v="53.8"/>
    <x v="3964"/>
    <n v="52.863999999999997"/>
    <n v="53.136000000000003"/>
    <n v="20890973"/>
    <x v="8"/>
    <s v="Walmart"/>
    <x v="5"/>
    <n v="-0.745"/>
    <x v="7"/>
    <x v="0"/>
    <s v="August"/>
    <s v="Loss"/>
    <n v="1.1950000000000003"/>
    <n v="12.513000000000005"/>
  </r>
  <r>
    <s v="2023-08-15"/>
    <n v="52.982999999999997"/>
    <x v="3965"/>
    <n v="52.777000000000001"/>
    <n v="52.863999999999997"/>
    <n v="14613521"/>
    <x v="8"/>
    <s v="Walmart"/>
    <x v="5"/>
    <n v="-0.51200000000000001"/>
    <x v="7"/>
    <x v="0"/>
    <s v="August"/>
    <s v="Loss"/>
    <n v="0.62100000000000222"/>
    <n v="12.001000000000005"/>
  </r>
  <r>
    <s v="2023-08-16"/>
    <n v="53.095999999999997"/>
    <x v="3966"/>
    <n v="52.594999999999999"/>
    <n v="52.89"/>
    <n v="27081150"/>
    <x v="8"/>
    <s v="Walmart"/>
    <x v="5"/>
    <n v="0.05"/>
    <x v="7"/>
    <x v="0"/>
    <s v="August"/>
    <s v="Profit"/>
    <n v="0.86299999999999955"/>
    <n v="12.051000000000005"/>
  </r>
  <r>
    <s v="2023-08-17"/>
    <n v="53.435000000000002"/>
    <x v="3967"/>
    <n v="51.481999999999999"/>
    <n v="51.704999999999998"/>
    <n v="53813429"/>
    <x v="8"/>
    <s v="Walmart"/>
    <x v="5"/>
    <n v="-2.242"/>
    <x v="7"/>
    <x v="0"/>
    <s v="August"/>
    <s v="Loss"/>
    <n v="2.0330000000000013"/>
    <n v="9.8090000000000046"/>
  </r>
  <r>
    <s v="2023-08-18"/>
    <n v="51.578000000000003"/>
    <x v="3968"/>
    <n v="51.578000000000003"/>
    <n v="52.448999999999998"/>
    <n v="28058606"/>
    <x v="8"/>
    <s v="Walmart"/>
    <x v="5"/>
    <n v="1.4390000000000001"/>
    <x v="7"/>
    <x v="0"/>
    <s v="August"/>
    <s v="Profit"/>
    <n v="1.4480000000000004"/>
    <n v="11.248000000000005"/>
  </r>
  <r>
    <s v="2023-08-21"/>
    <n v="52.348999999999997"/>
    <x v="3969"/>
    <n v="52.152999999999999"/>
    <n v="52.308999999999997"/>
    <n v="15737500"/>
    <x v="8"/>
    <s v="Walmart"/>
    <x v="5"/>
    <n v="-0.26600000000000001"/>
    <x v="7"/>
    <x v="0"/>
    <s v="August"/>
    <s v="Loss"/>
    <n v="0.59799999999999898"/>
    <n v="10.982000000000005"/>
  </r>
  <r>
    <s v="2023-08-22"/>
    <n v="52.13"/>
    <x v="3970"/>
    <n v="51.887"/>
    <n v="52.143000000000001"/>
    <n v="16734432"/>
    <x v="8"/>
    <s v="Walmart"/>
    <x v="5"/>
    <n v="-0.317"/>
    <x v="7"/>
    <x v="0"/>
    <s v="August"/>
    <s v="Loss"/>
    <n v="0.35600000000000165"/>
    <n v="10.665000000000004"/>
  </r>
  <r>
    <s v="2023-08-23"/>
    <n v="52.01"/>
    <x v="3971"/>
    <n v="51.976999999999997"/>
    <n v="52.505000000000003"/>
    <n v="14263130"/>
    <x v="8"/>
    <s v="Walmart"/>
    <x v="5"/>
    <n v="0.69399999999999995"/>
    <x v="7"/>
    <x v="0"/>
    <s v="August"/>
    <s v="Profit"/>
    <n v="0.62800000000000011"/>
    <n v="11.359000000000005"/>
  </r>
  <r>
    <s v="2023-08-24"/>
    <n v="52.515000000000001"/>
    <x v="3972"/>
    <n v="52.08"/>
    <n v="52.103000000000002"/>
    <n v="14085214"/>
    <x v="8"/>
    <s v="Walmart"/>
    <x v="5"/>
    <n v="-0.76600000000000001"/>
    <x v="7"/>
    <x v="0"/>
    <s v="August"/>
    <s v="Loss"/>
    <n v="0.80000000000000426"/>
    <n v="10.593000000000005"/>
  </r>
  <r>
    <s v="2023-08-25"/>
    <n v="52.198999999999998"/>
    <x v="3973"/>
    <n v="51.987000000000002"/>
    <n v="52.411999999999999"/>
    <n v="12312967"/>
    <x v="8"/>
    <s v="Walmart"/>
    <x v="5"/>
    <n v="0.59299999999999997"/>
    <x v="7"/>
    <x v="0"/>
    <s v="August"/>
    <s v="Profit"/>
    <n v="0.49799999999999756"/>
    <n v="11.186000000000005"/>
  </r>
  <r>
    <s v="2023-08-28"/>
    <n v="52.424999999999997"/>
    <x v="3974"/>
    <n v="52.424999999999997"/>
    <n v="52.710999999999999"/>
    <n v="11915213"/>
    <x v="8"/>
    <s v="Walmart"/>
    <x v="5"/>
    <n v="0.56999999999999995"/>
    <x v="7"/>
    <x v="0"/>
    <s v="August"/>
    <s v="Profit"/>
    <n v="0.32200000000000273"/>
    <n v="11.756000000000006"/>
  </r>
  <r>
    <s v="2023-08-29"/>
    <n v="52.804000000000002"/>
    <x v="3975"/>
    <n v="52.756999999999998"/>
    <n v="53.152999999999999"/>
    <n v="12749381"/>
    <x v="8"/>
    <s v="Walmart"/>
    <x v="5"/>
    <n v="0.83799999999999997"/>
    <x v="7"/>
    <x v="0"/>
    <s v="August"/>
    <s v="Profit"/>
    <n v="0.45400000000000063"/>
    <n v="12.594000000000005"/>
  </r>
  <r>
    <s v="2023-08-30"/>
    <n v="53.268999999999998"/>
    <x v="3976"/>
    <n v="53.109000000000002"/>
    <n v="53.534999999999997"/>
    <n v="11008495"/>
    <x v="8"/>
    <s v="Walmart"/>
    <x v="5"/>
    <n v="0.71899999999999997"/>
    <x v="7"/>
    <x v="0"/>
    <s v="August"/>
    <s v="Profit"/>
    <n v="0.45499999999999829"/>
    <n v="13.313000000000004"/>
  </r>
  <r>
    <s v="2023-08-31"/>
    <n v="53.508000000000003"/>
    <x v="3977"/>
    <n v="53.454999999999998"/>
    <n v="54.003"/>
    <n v="19655628"/>
    <x v="8"/>
    <s v="Walmart"/>
    <x v="5"/>
    <n v="0.874"/>
    <x v="7"/>
    <x v="0"/>
    <s v="August"/>
    <s v="Profit"/>
    <n v="0.67399999999999949"/>
    <n v="14.187000000000005"/>
  </r>
  <r>
    <s v="2023-09-01"/>
    <n v="54.088999999999999"/>
    <x v="3978"/>
    <n v="53.186"/>
    <n v="53.656999999999996"/>
    <n v="12599992"/>
    <x v="8"/>
    <s v="Walmart"/>
    <x v="5"/>
    <n v="-0.64"/>
    <x v="8"/>
    <x v="0"/>
    <s v="September"/>
    <s v="Loss"/>
    <n v="0.93299999999999983"/>
    <n v="13.547000000000004"/>
  </r>
  <r>
    <s v="2023-09-05"/>
    <n v="53.75"/>
    <x v="3979"/>
    <n v="53.195999999999998"/>
    <n v="53.225999999999999"/>
    <n v="15265846"/>
    <x v="8"/>
    <s v="Walmart"/>
    <x v="5"/>
    <n v="-0.80400000000000005"/>
    <x v="8"/>
    <x v="0"/>
    <s v="September"/>
    <s v="Loss"/>
    <n v="0.87000000000000455"/>
    <n v="12.743000000000004"/>
  </r>
  <r>
    <s v="2023-09-06"/>
    <n v="53.268999999999998"/>
    <x v="3980"/>
    <n v="53.106000000000002"/>
    <n v="53.624000000000002"/>
    <n v="14648767"/>
    <x v="8"/>
    <s v="Walmart"/>
    <x v="5"/>
    <n v="0.749"/>
    <x v="8"/>
    <x v="0"/>
    <s v="September"/>
    <s v="Profit"/>
    <n v="0.75099999999999767"/>
    <n v="13.492000000000004"/>
  </r>
  <r>
    <s v="2023-09-07"/>
    <n v="53.8"/>
    <x v="3981"/>
    <n v="53.631"/>
    <n v="54.287999999999997"/>
    <n v="19191903"/>
    <x v="8"/>
    <s v="Walmart"/>
    <x v="5"/>
    <n v="1.238"/>
    <x v="8"/>
    <x v="0"/>
    <s v="September"/>
    <s v="Profit"/>
    <n v="0.66100000000000136"/>
    <n v="14.730000000000004"/>
  </r>
  <r>
    <s v="2023-09-08"/>
    <n v="54.292000000000002"/>
    <x v="3982"/>
    <n v="54.155999999999999"/>
    <n v="54.387999999999998"/>
    <n v="12716017"/>
    <x v="8"/>
    <s v="Walmart"/>
    <x v="5"/>
    <n v="0.184"/>
    <x v="8"/>
    <x v="0"/>
    <s v="September"/>
    <s v="Profit"/>
    <n v="0.26200000000000045"/>
    <n v="14.914000000000003"/>
  </r>
  <r>
    <s v="2023-09-11"/>
    <n v="54.463999999999999"/>
    <x v="3983"/>
    <n v="54.350999999999999"/>
    <n v="54.576999999999998"/>
    <n v="11956360"/>
    <x v="8"/>
    <s v="Walmart"/>
    <x v="5"/>
    <n v="0.34799999999999998"/>
    <x v="8"/>
    <x v="0"/>
    <s v="September"/>
    <s v="Profit"/>
    <n v="0.27300000000000324"/>
    <n v="15.262000000000004"/>
  </r>
  <r>
    <s v="2023-09-12"/>
    <n v="54.63"/>
    <x v="3984"/>
    <n v="54.478000000000002"/>
    <n v="54.637"/>
    <n v="11801024"/>
    <x v="8"/>
    <s v="Walmart"/>
    <x v="5"/>
    <n v="0.109"/>
    <x v="8"/>
    <x v="0"/>
    <s v="September"/>
    <s v="Profit"/>
    <n v="0.29599999999999937"/>
    <n v="15.371000000000004"/>
  </r>
  <r>
    <s v="2023-09-13"/>
    <n v="54.773000000000003"/>
    <x v="3985"/>
    <n v="54.587000000000003"/>
    <n v="54.65"/>
    <n v="14417620"/>
    <x v="8"/>
    <s v="Walmart"/>
    <x v="5"/>
    <n v="2.4E-2"/>
    <x v="8"/>
    <x v="0"/>
    <s v="September"/>
    <s v="Profit"/>
    <n v="0.49199999999999733"/>
    <n v="15.395000000000003"/>
  </r>
  <r>
    <s v="2023-09-14"/>
    <n v="54.795999999999999"/>
    <x v="3986"/>
    <n v="54.600999999999999"/>
    <n v="54.88"/>
    <n v="14979134"/>
    <x v="8"/>
    <s v="Walmart"/>
    <x v="5"/>
    <n v="0.42"/>
    <x v="8"/>
    <x v="0"/>
    <s v="September"/>
    <s v="Profit"/>
    <n v="0.4410000000000025"/>
    <n v="15.815000000000003"/>
  </r>
  <r>
    <s v="2023-09-15"/>
    <n v="54.866"/>
    <x v="3987"/>
    <n v="54.387999999999998"/>
    <n v="54.677"/>
    <n v="64162502"/>
    <x v="8"/>
    <s v="Walmart"/>
    <x v="5"/>
    <n v="-0.36899999999999999"/>
    <x v="8"/>
    <x v="0"/>
    <s v="September"/>
    <s v="Loss"/>
    <n v="0.62800000000000011"/>
    <n v="15.446000000000003"/>
  </r>
  <r>
    <s v="2023-09-18"/>
    <n v="54.69"/>
    <x v="3988"/>
    <n v="54.215000000000003"/>
    <n v="54.271999999999998"/>
    <n v="13045966"/>
    <x v="8"/>
    <s v="Walmart"/>
    <x v="5"/>
    <n v="-0.74099999999999999"/>
    <x v="8"/>
    <x v="0"/>
    <s v="September"/>
    <s v="Loss"/>
    <n v="0.64799999999999613"/>
    <n v="14.705000000000004"/>
  </r>
  <r>
    <s v="2023-09-19"/>
    <n v="54.258000000000003"/>
    <x v="3989"/>
    <n v="53.917999999999999"/>
    <n v="54.258000000000003"/>
    <n v="14072558"/>
    <x v="8"/>
    <s v="Walmart"/>
    <x v="5"/>
    <n v="-2.5000000000000001E-2"/>
    <x v="8"/>
    <x v="0"/>
    <s v="September"/>
    <s v="Loss"/>
    <n v="0.47299999999999898"/>
    <n v="14.680000000000003"/>
  </r>
  <r>
    <s v="2023-09-20"/>
    <n v="54.332000000000001"/>
    <x v="3990"/>
    <n v="54.119"/>
    <n v="54.433999999999997"/>
    <n v="10162252"/>
    <x v="8"/>
    <s v="Walmart"/>
    <x v="5"/>
    <n v="0.32400000000000001"/>
    <x v="8"/>
    <x v="0"/>
    <s v="September"/>
    <s v="Profit"/>
    <n v="0.58100000000000307"/>
    <n v="15.004000000000003"/>
  </r>
  <r>
    <s v="2023-09-21"/>
    <n v="54.551000000000002"/>
    <x v="3991"/>
    <n v="53.73"/>
    <n v="53.774000000000001"/>
    <n v="18857266"/>
    <x v="8"/>
    <s v="Walmart"/>
    <x v="5"/>
    <n v="-1.214"/>
    <x v="8"/>
    <x v="0"/>
    <s v="September"/>
    <s v="Loss"/>
    <n v="0.90000000000000568"/>
    <n v="13.790000000000003"/>
  </r>
  <r>
    <s v="2023-09-22"/>
    <n v="53.877000000000002"/>
    <x v="3992"/>
    <n v="53.774000000000001"/>
    <n v="53.915999999999997"/>
    <n v="13266005"/>
    <x v="8"/>
    <s v="Walmart"/>
    <x v="5"/>
    <n v="0.26500000000000001"/>
    <x v="8"/>
    <x v="0"/>
    <s v="September"/>
    <s v="Profit"/>
    <n v="0.43500000000000227"/>
    <n v="14.055000000000003"/>
  </r>
  <r>
    <s v="2023-09-25"/>
    <n v="53.923000000000002"/>
    <x v="3993"/>
    <n v="53.756"/>
    <n v="54.155999999999999"/>
    <n v="10498269"/>
    <x v="8"/>
    <s v="Walmart"/>
    <x v="5"/>
    <n v="0.44400000000000001"/>
    <x v="8"/>
    <x v="0"/>
    <s v="September"/>
    <s v="Profit"/>
    <n v="0.4129999999999967"/>
    <n v="14.499000000000004"/>
  </r>
  <r>
    <s v="2023-09-26"/>
    <n v="54.112000000000002"/>
    <x v="3994"/>
    <n v="53.915999999999997"/>
    <n v="53.966000000000001"/>
    <n v="14489429"/>
    <x v="8"/>
    <s v="Walmart"/>
    <x v="5"/>
    <n v="-0.35"/>
    <x v="8"/>
    <x v="0"/>
    <s v="September"/>
    <s v="Loss"/>
    <n v="0.39700000000000557"/>
    <n v="14.149000000000004"/>
  </r>
  <r>
    <s v="2023-09-27"/>
    <n v="53.8"/>
    <x v="3995"/>
    <n v="53.231999999999999"/>
    <n v="53.707000000000001"/>
    <n v="15769454"/>
    <x v="8"/>
    <s v="Walmart"/>
    <x v="5"/>
    <n v="-0.48"/>
    <x v="8"/>
    <x v="0"/>
    <s v="September"/>
    <s v="Loss"/>
    <n v="0.64500000000000313"/>
    <n v="13.669000000000004"/>
  </r>
  <r>
    <s v="2023-09-28"/>
    <n v="53.8"/>
    <x v="3996"/>
    <n v="53.664000000000001"/>
    <n v="53.98"/>
    <n v="11660262"/>
    <x v="8"/>
    <s v="Walmart"/>
    <x v="5"/>
    <n v="0.50700000000000001"/>
    <x v="8"/>
    <x v="0"/>
    <s v="September"/>
    <s v="Profit"/>
    <n v="0.41199999999999903"/>
    <n v="14.176000000000004"/>
  </r>
  <r>
    <s v="2023-09-29"/>
    <n v="54.142000000000003"/>
    <x v="3997"/>
    <n v="52.865000000000002"/>
    <n v="53.113"/>
    <n v="18912421"/>
    <x v="8"/>
    <s v="Walmart"/>
    <x v="5"/>
    <n v="-1.6060000000000001"/>
    <x v="8"/>
    <x v="0"/>
    <s v="September"/>
    <s v="Loss"/>
    <n v="1.3099999999999952"/>
    <n v="12.570000000000004"/>
  </r>
  <r>
    <s v="2023-10-02"/>
    <n v="52.966999999999999"/>
    <x v="3998"/>
    <n v="52.575000000000003"/>
    <n v="53.168999999999997"/>
    <n v="13041097"/>
    <x v="8"/>
    <s v="Walmart"/>
    <x v="5"/>
    <n v="0.107"/>
    <x v="9"/>
    <x v="0"/>
    <s v="October"/>
    <s v="Profit"/>
    <n v="0.65099999999999625"/>
    <n v="12.677000000000003"/>
  </r>
  <r>
    <s v="2023-10-03"/>
    <n v="53.033000000000001"/>
    <x v="3999"/>
    <n v="52.698"/>
    <n v="52.834000000000003"/>
    <n v="11294969"/>
    <x v="8"/>
    <s v="Walmart"/>
    <x v="5"/>
    <n v="-0.63100000000000001"/>
    <x v="9"/>
    <x v="0"/>
    <s v="October"/>
    <s v="Loss"/>
    <n v="0.68599999999999994"/>
    <n v="12.046000000000003"/>
  </r>
  <r>
    <s v="2023-10-04"/>
    <n v="53.02"/>
    <x v="4000"/>
    <n v="52.807000000000002"/>
    <n v="53.468000000000004"/>
    <n v="15814356"/>
    <x v="8"/>
    <s v="Walmart"/>
    <x v="5"/>
    <n v="1.2010000000000001"/>
    <x v="9"/>
    <x v="0"/>
    <s v="October"/>
    <s v="Profit"/>
    <n v="0.67799999999999727"/>
    <n v="13.247000000000003"/>
  </r>
  <r>
    <s v="2023-10-05"/>
    <n v="53.284999999999997"/>
    <x v="4001"/>
    <n v="52.804000000000002"/>
    <n v="52.83"/>
    <n v="14322603"/>
    <x v="8"/>
    <s v="Walmart"/>
    <x v="5"/>
    <n v="-1.1930000000000001"/>
    <x v="9"/>
    <x v="0"/>
    <s v="October"/>
    <s v="Loss"/>
    <n v="0.65099999999999625"/>
    <n v="12.054000000000004"/>
  </r>
  <r>
    <s v="2023-10-06"/>
    <n v="52.688000000000002"/>
    <x v="4002"/>
    <n v="50.363"/>
    <n v="51.944000000000003"/>
    <n v="42774446"/>
    <x v="8"/>
    <s v="Walmart"/>
    <x v="5"/>
    <n v="-1.6779999999999999"/>
    <x v="9"/>
    <x v="0"/>
    <s v="October"/>
    <s v="Loss"/>
    <n v="2.4380000000000024"/>
    <n v="10.376000000000005"/>
  </r>
  <r>
    <s v="2023-10-09"/>
    <n v="51.502000000000002"/>
    <x v="4003"/>
    <n v="50.898000000000003"/>
    <n v="51.753999999999998"/>
    <n v="21100621"/>
    <x v="8"/>
    <s v="Walmart"/>
    <x v="5"/>
    <n v="-0.36499999999999999"/>
    <x v="9"/>
    <x v="0"/>
    <s v="October"/>
    <s v="Loss"/>
    <n v="0.8609999999999971"/>
    <n v="10.011000000000005"/>
  </r>
  <r>
    <s v="2023-10-10"/>
    <n v="51.884"/>
    <x v="4004"/>
    <n v="51.695"/>
    <n v="52.338999999999999"/>
    <n v="16073922"/>
    <x v="8"/>
    <s v="Walmart"/>
    <x v="5"/>
    <n v="1.1299999999999999"/>
    <x v="9"/>
    <x v="0"/>
    <s v="October"/>
    <s v="Profit"/>
    <n v="0.80299999999999727"/>
    <n v="11.141000000000005"/>
  </r>
  <r>
    <s v="2023-10-11"/>
    <n v="52.558"/>
    <x v="4005"/>
    <n v="52.152999999999999"/>
    <n v="52.548000000000002"/>
    <n v="12071443"/>
    <x v="8"/>
    <s v="Walmart"/>
    <x v="5"/>
    <n v="0.39900000000000002"/>
    <x v="9"/>
    <x v="0"/>
    <s v="October"/>
    <s v="Profit"/>
    <n v="0.81400000000000006"/>
    <n v="11.540000000000006"/>
  </r>
  <r>
    <s v="2023-10-12"/>
    <n v="52.648000000000003"/>
    <x v="4006"/>
    <n v="52.395000000000003"/>
    <n v="52.786999999999999"/>
    <n v="13564870"/>
    <x v="8"/>
    <s v="Walmart"/>
    <x v="5"/>
    <n v="0.45500000000000002"/>
    <x v="9"/>
    <x v="0"/>
    <s v="October"/>
    <s v="Profit"/>
    <n v="0.51199999999999335"/>
    <n v="11.995000000000006"/>
  </r>
  <r>
    <s v="2023-10-13"/>
    <n v="52.89"/>
    <x v="4007"/>
    <n v="52.771000000000001"/>
    <n v="53.08"/>
    <n v="13862178"/>
    <x v="8"/>
    <s v="Walmart"/>
    <x v="5"/>
    <n v="0.55400000000000005"/>
    <x v="9"/>
    <x v="0"/>
    <s v="October"/>
    <s v="Profit"/>
    <n v="0.51800000000000068"/>
    <n v="12.549000000000007"/>
  </r>
  <r>
    <s v="2023-10-16"/>
    <n v="53.314999999999998"/>
    <x v="4008"/>
    <n v="53.241999999999997"/>
    <n v="53.537999999999997"/>
    <n v="14401299"/>
    <x v="8"/>
    <s v="Walmart"/>
    <x v="5"/>
    <n v="0.86299999999999999"/>
    <x v="9"/>
    <x v="0"/>
    <s v="October"/>
    <s v="Profit"/>
    <n v="0.58500000000000085"/>
    <n v="13.412000000000006"/>
  </r>
  <r>
    <s v="2023-10-17"/>
    <n v="53.381999999999998"/>
    <x v="4009"/>
    <n v="53.265999999999998"/>
    <n v="53.607999999999997"/>
    <n v="10933830"/>
    <x v="8"/>
    <s v="Walmart"/>
    <x v="5"/>
    <n v="0.13100000000000001"/>
    <x v="9"/>
    <x v="0"/>
    <s v="October"/>
    <s v="Profit"/>
    <n v="0.43800000000000239"/>
    <n v="13.543000000000006"/>
  </r>
  <r>
    <s v="2023-10-18"/>
    <n v="53.76"/>
    <x v="4010"/>
    <n v="53.375"/>
    <n v="53.646999999999998"/>
    <n v="10598943"/>
    <x v="8"/>
    <s v="Walmart"/>
    <x v="5"/>
    <n v="7.3999999999999996E-2"/>
    <x v="9"/>
    <x v="0"/>
    <s v="October"/>
    <s v="Profit"/>
    <n v="0.54500000000000171"/>
    <n v="13.617000000000006"/>
  </r>
  <r>
    <s v="2023-10-19"/>
    <n v="53.610999999999997"/>
    <x v="4011"/>
    <n v="53.209000000000003"/>
    <n v="53.392000000000003"/>
    <n v="11789522"/>
    <x v="8"/>
    <s v="Walmart"/>
    <x v="5"/>
    <n v="-0.47599999999999998"/>
    <x v="9"/>
    <x v="0"/>
    <s v="October"/>
    <s v="Loss"/>
    <n v="0.53199999999999648"/>
    <n v="13.141000000000005"/>
  </r>
  <r>
    <s v="2023-10-20"/>
    <n v="53.411999999999999"/>
    <x v="4012"/>
    <n v="52.707999999999998"/>
    <n v="52.723999999999997"/>
    <n v="15113166"/>
    <x v="8"/>
    <s v="Walmart"/>
    <x v="5"/>
    <n v="-1.25"/>
    <x v="9"/>
    <x v="0"/>
    <s v="October"/>
    <s v="Loss"/>
    <n v="0.79500000000000171"/>
    <n v="11.891000000000005"/>
  </r>
  <r>
    <s v="2023-10-23"/>
    <n v="52.713999999999999"/>
    <x v="4013"/>
    <n v="52.478000000000002"/>
    <n v="53.470999999999997"/>
    <n v="17160608"/>
    <x v="8"/>
    <s v="Walmart"/>
    <x v="5"/>
    <n v="1.417"/>
    <x v="9"/>
    <x v="0"/>
    <s v="October"/>
    <s v="Profit"/>
    <n v="1.1060000000000016"/>
    <n v="13.308000000000005"/>
  </r>
  <r>
    <s v="2023-10-24"/>
    <n v="53.600999999999999"/>
    <x v="3981"/>
    <n v="53.597999999999999"/>
    <n v="54.215000000000003"/>
    <n v="17600192"/>
    <x v="8"/>
    <s v="Walmart"/>
    <x v="5"/>
    <n v="1.391"/>
    <x v="9"/>
    <x v="0"/>
    <s v="October"/>
    <s v="Profit"/>
    <n v="0.69400000000000261"/>
    <n v="14.699000000000005"/>
  </r>
  <r>
    <s v="2023-10-25"/>
    <n v="54.185000000000002"/>
    <x v="4014"/>
    <n v="53.956000000000003"/>
    <n v="54.052999999999997"/>
    <n v="16683513"/>
    <x v="8"/>
    <s v="Walmart"/>
    <x v="5"/>
    <n v="-0.3"/>
    <x v="9"/>
    <x v="0"/>
    <s v="October"/>
    <s v="Loss"/>
    <n v="0.617999999999995"/>
    <n v="14.399000000000004"/>
  </r>
  <r>
    <s v="2023-10-26"/>
    <n v="54.036000000000001"/>
    <x v="4015"/>
    <n v="53.670999999999999"/>
    <n v="53.723999999999997"/>
    <n v="16280315"/>
    <x v="8"/>
    <s v="Walmart"/>
    <x v="5"/>
    <n v="-0.60899999999999999"/>
    <x v="9"/>
    <x v="0"/>
    <s v="October"/>
    <s v="Loss"/>
    <n v="0.74399999999999977"/>
    <n v="13.790000000000004"/>
  </r>
  <r>
    <s v="2023-10-27"/>
    <n v="53.627000000000002"/>
    <x v="4016"/>
    <n v="53.319000000000003"/>
    <n v="53.524999999999999"/>
    <n v="13881579"/>
    <x v="8"/>
    <s v="Walmart"/>
    <x v="5"/>
    <n v="-0.37"/>
    <x v="9"/>
    <x v="0"/>
    <s v="October"/>
    <s v="Loss"/>
    <n v="0.47099999999999653"/>
    <n v="13.420000000000005"/>
  </r>
  <r>
    <s v="2023-10-30"/>
    <n v="53.621000000000002"/>
    <x v="4017"/>
    <n v="53.396999999999998"/>
    <n v="54.139000000000003"/>
    <n v="12700648"/>
    <x v="8"/>
    <s v="Walmart"/>
    <x v="5"/>
    <n v="1.1479999999999999"/>
    <x v="9"/>
    <x v="0"/>
    <s v="October"/>
    <s v="Profit"/>
    <n v="0.82200000000000273"/>
    <n v="14.568000000000005"/>
  </r>
  <r>
    <s v="2023-10-31"/>
    <n v="54.131999999999998"/>
    <x v="4018"/>
    <n v="53.783999999999999"/>
    <n v="54.268000000000001"/>
    <n v="14220968"/>
    <x v="8"/>
    <s v="Walmart"/>
    <x v="5"/>
    <n v="0.23899999999999999"/>
    <x v="9"/>
    <x v="0"/>
    <s v="October"/>
    <s v="Profit"/>
    <n v="0.55400000000000205"/>
    <n v="14.807000000000006"/>
  </r>
  <r>
    <s v="2023-11-01"/>
    <n v="54.533999999999999"/>
    <x v="4019"/>
    <n v="54.125999999999998"/>
    <n v="54.753"/>
    <n v="14954726"/>
    <x v="8"/>
    <s v="Walmart"/>
    <x v="5"/>
    <n v="0.89400000000000002"/>
    <x v="10"/>
    <x v="0"/>
    <s v="November"/>
    <s v="Profit"/>
    <n v="0.79700000000000415"/>
    <n v="15.701000000000006"/>
  </r>
  <r>
    <s v="2023-11-02"/>
    <n v="54.591000000000001"/>
    <x v="4020"/>
    <n v="54.34"/>
    <n v="54.969000000000001"/>
    <n v="15549740"/>
    <x v="8"/>
    <s v="Walmart"/>
    <x v="5"/>
    <n v="0.39400000000000002"/>
    <x v="10"/>
    <x v="0"/>
    <s v="November"/>
    <s v="Profit"/>
    <n v="0.85199999999999676"/>
    <n v="16.095000000000006"/>
  </r>
  <r>
    <s v="2023-11-03"/>
    <n v="55.088999999999999"/>
    <x v="4021"/>
    <n v="54.63"/>
    <n v="54.683999999999997"/>
    <n v="17304254"/>
    <x v="8"/>
    <s v="Walmart"/>
    <x v="5"/>
    <n v="-0.52"/>
    <x v="10"/>
    <x v="0"/>
    <s v="November"/>
    <s v="Loss"/>
    <n v="0.5969999999999942"/>
    <n v="15.575000000000006"/>
  </r>
  <r>
    <s v="2023-11-06"/>
    <n v="54.63"/>
    <x v="4022"/>
    <n v="54.488"/>
    <n v="54.756999999999998"/>
    <n v="14583199"/>
    <x v="8"/>
    <s v="Walmart"/>
    <x v="5"/>
    <n v="0.13300000000000001"/>
    <x v="10"/>
    <x v="0"/>
    <s v="November"/>
    <s v="Profit"/>
    <n v="0.51800000000000068"/>
    <n v="15.708000000000006"/>
  </r>
  <r>
    <s v="2023-11-07"/>
    <n v="55.052"/>
    <x v="4023"/>
    <n v="54.905999999999999"/>
    <n v="55.012"/>
    <n v="15079300"/>
    <x v="8"/>
    <s v="Walmart"/>
    <x v="5"/>
    <n v="0.46700000000000003"/>
    <x v="10"/>
    <x v="0"/>
    <s v="November"/>
    <s v="Profit"/>
    <n v="0.42500000000000426"/>
    <n v="16.175000000000004"/>
  </r>
  <r>
    <s v="2023-11-08"/>
    <n v="55.075000000000003"/>
    <x v="4024"/>
    <n v="54.325000000000003"/>
    <n v="54.564"/>
    <n v="15649740"/>
    <x v="8"/>
    <s v="Walmart"/>
    <x v="5"/>
    <n v="-0.81499999999999995"/>
    <x v="10"/>
    <x v="0"/>
    <s v="November"/>
    <s v="Loss"/>
    <n v="0.89699999999999847"/>
    <n v="15.360000000000005"/>
  </r>
  <r>
    <s v="2023-11-09"/>
    <n v="54.587000000000003"/>
    <x v="4025"/>
    <n v="54.213999999999999"/>
    <n v="54.438000000000002"/>
    <n v="15136707"/>
    <x v="8"/>
    <s v="Walmart"/>
    <x v="5"/>
    <n v="-0.23100000000000001"/>
    <x v="10"/>
    <x v="0"/>
    <s v="November"/>
    <s v="Loss"/>
    <n v="0.42300000000000182"/>
    <n v="15.129000000000005"/>
  </r>
  <r>
    <s v="2023-11-10"/>
    <n v="54.646999999999998"/>
    <x v="4026"/>
    <n v="54.430999999999997"/>
    <n v="55.192"/>
    <n v="14374346"/>
    <x v="8"/>
    <s v="Walmart"/>
    <x v="5"/>
    <n v="1.385"/>
    <x v="10"/>
    <x v="0"/>
    <s v="November"/>
    <s v="Profit"/>
    <n v="0.84400000000000119"/>
    <n v="16.514000000000006"/>
  </r>
  <r>
    <s v="2023-11-13"/>
    <n v="55.255000000000003"/>
    <x v="4027"/>
    <n v="55.143999999999998"/>
    <n v="55.686999999999998"/>
    <n v="15466072"/>
    <x v="8"/>
    <s v="Walmart"/>
    <x v="5"/>
    <n v="0.89700000000000002"/>
    <x v="10"/>
    <x v="0"/>
    <s v="November"/>
    <s v="Profit"/>
    <n v="0.60500000000000398"/>
    <n v="17.411000000000005"/>
  </r>
  <r>
    <s v="2023-11-14"/>
    <n v="55.848999999999997"/>
    <x v="4028"/>
    <n v="55.543999999999997"/>
    <n v="55.677"/>
    <n v="19866029"/>
    <x v="8"/>
    <s v="Walmart"/>
    <x v="5"/>
    <n v="-1.7999999999999999E-2"/>
    <x v="10"/>
    <x v="0"/>
    <s v="November"/>
    <s v="Loss"/>
    <n v="0.62900000000000489"/>
    <n v="17.393000000000004"/>
  </r>
  <r>
    <s v="2023-11-15"/>
    <n v="55.918999999999997"/>
    <x v="4029"/>
    <n v="55.63"/>
    <n v="56.384"/>
    <n v="35902797"/>
    <x v="8"/>
    <s v="Walmart"/>
    <x v="5"/>
    <n v="1.27"/>
    <x v="10"/>
    <x v="0"/>
    <s v="November"/>
    <s v="Profit"/>
    <n v="0.80699999999999505"/>
    <n v="18.663000000000004"/>
  </r>
  <r>
    <s v="2023-11-16"/>
    <n v="52.720999999999997"/>
    <x v="4030"/>
    <n v="51.642000000000003"/>
    <n v="51.820999999999998"/>
    <n v="98021303"/>
    <x v="8"/>
    <s v="Walmart"/>
    <x v="5"/>
    <n v="-8.093"/>
    <x v="10"/>
    <x v="0"/>
    <s v="November"/>
    <s v="Loss"/>
    <n v="1.3109999999999999"/>
    <n v="10.570000000000004"/>
  </r>
  <r>
    <s v="2023-11-17"/>
    <n v="51.790999999999997"/>
    <x v="4031"/>
    <n v="51.478999999999999"/>
    <n v="51.591999999999999"/>
    <n v="42691375"/>
    <x v="8"/>
    <s v="Walmart"/>
    <x v="5"/>
    <n v="-0.442"/>
    <x v="10"/>
    <x v="0"/>
    <s v="November"/>
    <s v="Loss"/>
    <n v="0.84000000000000341"/>
    <n v="10.128000000000004"/>
  </r>
  <r>
    <s v="2023-11-20"/>
    <n v="51.655000000000001"/>
    <x v="4032"/>
    <n v="51.478999999999999"/>
    <n v="51.575000000000003"/>
    <n v="26803023"/>
    <x v="8"/>
    <s v="Walmart"/>
    <x v="5"/>
    <n v="-3.2000000000000001E-2"/>
    <x v="10"/>
    <x v="0"/>
    <s v="November"/>
    <s v="Loss"/>
    <n v="0.33200000000000074"/>
    <n v="10.096000000000004"/>
  </r>
  <r>
    <s v="2023-11-21"/>
    <n v="51.628"/>
    <x v="4033"/>
    <n v="51.186999999999998"/>
    <n v="51.761000000000003"/>
    <n v="29491322"/>
    <x v="8"/>
    <s v="Walmart"/>
    <x v="5"/>
    <n v="0.36099999999999999"/>
    <x v="10"/>
    <x v="0"/>
    <s v="November"/>
    <s v="Profit"/>
    <n v="0.9030000000000058"/>
    <n v="10.457000000000004"/>
  </r>
  <r>
    <s v="2023-11-22"/>
    <n v="51.715000000000003"/>
    <x v="4034"/>
    <n v="51.27"/>
    <n v="51.366"/>
    <n v="26531698"/>
    <x v="8"/>
    <s v="Walmart"/>
    <x v="5"/>
    <n v="-0.76300000000000001"/>
    <x v="10"/>
    <x v="0"/>
    <s v="November"/>
    <s v="Loss"/>
    <n v="0.55399999999999494"/>
    <n v="9.6940000000000044"/>
  </r>
  <r>
    <s v="2023-11-24"/>
    <n v="51.524999999999999"/>
    <x v="4035"/>
    <n v="51.375999999999998"/>
    <n v="51.828000000000003"/>
    <n v="14027074"/>
    <x v="8"/>
    <s v="Walmart"/>
    <x v="5"/>
    <n v="0.89900000000000002"/>
    <x v="10"/>
    <x v="0"/>
    <s v="November"/>
    <s v="Profit"/>
    <n v="0.47500000000000142"/>
    <n v="10.593000000000004"/>
  </r>
  <r>
    <s v="2023-11-27"/>
    <n v="51.790999999999997"/>
    <x v="4036"/>
    <n v="51.790999999999997"/>
    <n v="52.063000000000002"/>
    <n v="23480531"/>
    <x v="8"/>
    <s v="Walmart"/>
    <x v="5"/>
    <n v="0.45500000000000002"/>
    <x v="10"/>
    <x v="0"/>
    <s v="November"/>
    <s v="Profit"/>
    <n v="0.46800000000000352"/>
    <n v="11.048000000000004"/>
  </r>
  <r>
    <s v="2023-11-28"/>
    <n v="52.027000000000001"/>
    <x v="4037"/>
    <n v="52.027000000000001"/>
    <n v="52.683999999999997"/>
    <n v="23622437"/>
    <x v="8"/>
    <s v="Walmart"/>
    <x v="5"/>
    <n v="1.1930000000000001"/>
    <x v="10"/>
    <x v="0"/>
    <s v="November"/>
    <s v="Profit"/>
    <n v="0.75200000000000244"/>
    <n v="12.241000000000003"/>
  </r>
  <r>
    <s v="2023-11-29"/>
    <n v="52.726999999999997"/>
    <x v="4038"/>
    <n v="51.677999999999997"/>
    <n v="51.834000000000003"/>
    <n v="30007522"/>
    <x v="8"/>
    <s v="Walmart"/>
    <x v="5"/>
    <n v="-1.6140000000000001"/>
    <x v="10"/>
    <x v="0"/>
    <s v="November"/>
    <s v="Loss"/>
    <n v="1.0489999999999995"/>
    <n v="10.627000000000002"/>
  </r>
  <r>
    <s v="2023-11-30"/>
    <n v="51.814"/>
    <x v="4039"/>
    <n v="51.313000000000002"/>
    <n v="51.704999999999998"/>
    <n v="30036932"/>
    <x v="8"/>
    <s v="Walmart"/>
    <x v="5"/>
    <n v="-0.249"/>
    <x v="10"/>
    <x v="0"/>
    <s v="November"/>
    <s v="Loss"/>
    <n v="0.6109999999999971"/>
    <n v="10.378000000000002"/>
  </r>
  <r>
    <s v="2023-12-01"/>
    <n v="51.601999999999997"/>
    <x v="4040"/>
    <n v="50.688000000000002"/>
    <n v="51.256"/>
    <n v="39419534"/>
    <x v="8"/>
    <s v="Walmart"/>
    <x v="5"/>
    <n v="-0.86699999999999999"/>
    <x v="11"/>
    <x v="0"/>
    <s v="December"/>
    <s v="Loss"/>
    <n v="0.98999999999999488"/>
    <n v="9.5110000000000028"/>
  </r>
  <r>
    <s v="2023-12-04"/>
    <n v="50.917999999999999"/>
    <x v="4041"/>
    <n v="50.914000000000001"/>
    <n v="51.243000000000002"/>
    <n v="24975606"/>
    <x v="8"/>
    <s v="Walmart"/>
    <x v="5"/>
    <n v="-2.5999999999999999E-2"/>
    <x v="11"/>
    <x v="0"/>
    <s v="December"/>
    <s v="Loss"/>
    <n v="0.5379999999999967"/>
    <n v="9.485000000000003"/>
  </r>
  <r>
    <s v="2023-12-05"/>
    <n v="51.292999999999999"/>
    <x v="4042"/>
    <n v="51.057000000000002"/>
    <n v="51.718000000000004"/>
    <n v="21965108"/>
    <x v="8"/>
    <s v="Walmart"/>
    <x v="5"/>
    <n v="0.92700000000000005"/>
    <x v="11"/>
    <x v="0"/>
    <s v="December"/>
    <s v="Profit"/>
    <n v="0.70100000000000051"/>
    <n v="10.412000000000003"/>
  </r>
  <r>
    <s v="2023-12-06"/>
    <n v="51.658000000000001"/>
    <x v="4043"/>
    <n v="51.027000000000001"/>
    <n v="51.156999999999996"/>
    <n v="26545624"/>
    <x v="8"/>
    <s v="Walmart"/>
    <x v="5"/>
    <n v="-1.085"/>
    <x v="11"/>
    <x v="0"/>
    <s v="December"/>
    <s v="Loss"/>
    <n v="0.72399999999999665"/>
    <n v="9.3270000000000017"/>
  </r>
  <r>
    <s v="2023-12-07"/>
    <n v="51.45"/>
    <x v="4044"/>
    <n v="50.741999999999997"/>
    <n v="50.82"/>
    <n v="25362579"/>
    <x v="8"/>
    <s v="Walmart"/>
    <x v="5"/>
    <n v="-0.65800000000000003"/>
    <x v="11"/>
    <x v="0"/>
    <s v="December"/>
    <s v="Loss"/>
    <n v="0.7710000000000008"/>
    <n v="8.6690000000000023"/>
  </r>
  <r>
    <s v="2023-12-08"/>
    <n v="50.667000000000002"/>
    <x v="4045"/>
    <n v="50.08"/>
    <n v="50.286999999999999"/>
    <n v="34069461"/>
    <x v="8"/>
    <s v="Walmart"/>
    <x v="5"/>
    <n v="-1.0489999999999999"/>
    <x v="11"/>
    <x v="0"/>
    <s v="December"/>
    <s v="Loss"/>
    <n v="0.65700000000000358"/>
    <n v="7.6200000000000028"/>
  </r>
  <r>
    <s v="2023-12-11"/>
    <n v="50.38"/>
    <x v="4046"/>
    <n v="49.847000000000001"/>
    <n v="50.412999999999997"/>
    <n v="31883262"/>
    <x v="8"/>
    <s v="Walmart"/>
    <x v="5"/>
    <n v="0.252"/>
    <x v="11"/>
    <x v="0"/>
    <s v="December"/>
    <s v="Profit"/>
    <n v="0.63599999999999568"/>
    <n v="7.8720000000000026"/>
  </r>
  <r>
    <s v="2023-12-12"/>
    <n v="50.406999999999996"/>
    <x v="4047"/>
    <n v="50.076999999999998"/>
    <n v="50.453000000000003"/>
    <n v="21382020"/>
    <x v="8"/>
    <s v="Walmart"/>
    <x v="5"/>
    <n v="7.9000000000000001E-2"/>
    <x v="11"/>
    <x v="0"/>
    <s v="December"/>
    <s v="Profit"/>
    <n v="0.49000000000000199"/>
    <n v="7.9510000000000023"/>
  </r>
  <r>
    <s v="2023-12-13"/>
    <n v="50.517000000000003"/>
    <x v="4048"/>
    <n v="50.213000000000001"/>
    <n v="51.35"/>
    <n v="35348679"/>
    <x v="8"/>
    <s v="Walmart"/>
    <x v="5"/>
    <n v="1.7769999999999999"/>
    <x v="11"/>
    <x v="0"/>
    <s v="December"/>
    <s v="Profit"/>
    <n v="1.1370000000000005"/>
    <n v="9.7280000000000015"/>
  </r>
  <r>
    <s v="2023-12-14"/>
    <n v="51.173000000000002"/>
    <x v="4049"/>
    <n v="50.643000000000001"/>
    <n v="50.722999999999999"/>
    <n v="30891255"/>
    <x v="8"/>
    <s v="Walmart"/>
    <x v="5"/>
    <n v="-1.22"/>
    <x v="11"/>
    <x v="0"/>
    <s v="December"/>
    <s v="Loss"/>
    <n v="0.67000000000000171"/>
    <n v="8.5080000000000009"/>
  </r>
  <r>
    <s v="2023-12-15"/>
    <n v="50.593000000000004"/>
    <x v="4050"/>
    <n v="50.512999999999998"/>
    <n v="50.912999999999997"/>
    <n v="70003587"/>
    <x v="8"/>
    <s v="Walmart"/>
    <x v="5"/>
    <n v="0.375"/>
    <x v="11"/>
    <x v="0"/>
    <s v="December"/>
    <s v="Profit"/>
    <n v="0.64000000000000057"/>
    <n v="8.8830000000000009"/>
  </r>
  <r>
    <s v="2023-12-18"/>
    <n v="51.116999999999997"/>
    <x v="4051"/>
    <n v="51.042999999999999"/>
    <n v="51.656999999999996"/>
    <n v="26316012"/>
    <x v="8"/>
    <s v="Walmart"/>
    <x v="5"/>
    <n v="1.46"/>
    <x v="11"/>
    <x v="0"/>
    <s v="December"/>
    <s v="Profit"/>
    <n v="0.64699999999999847"/>
    <n v="10.343"/>
  </r>
  <r>
    <s v="2023-12-19"/>
    <n v="51.613"/>
    <x v="4052"/>
    <n v="51.363"/>
    <n v="51.843000000000004"/>
    <n v="24417093"/>
    <x v="8"/>
    <s v="Walmart"/>
    <x v="5"/>
    <n v="0.36099999999999999"/>
    <x v="11"/>
    <x v="0"/>
    <s v="December"/>
    <s v="Profit"/>
    <n v="0.53399999999999892"/>
    <n v="10.704000000000001"/>
  </r>
  <r>
    <s v="2023-12-20"/>
    <n v="51.807000000000002"/>
    <x v="4053"/>
    <n v="51.207000000000001"/>
    <n v="51.237000000000002"/>
    <n v="21967701"/>
    <x v="8"/>
    <s v="Walmart"/>
    <x v="5"/>
    <n v="-1.17"/>
    <x v="11"/>
    <x v="0"/>
    <s v="December"/>
    <s v="Loss"/>
    <n v="0.83999999999999631"/>
    <n v="9.5340000000000007"/>
  </r>
  <r>
    <s v="2023-12-21"/>
    <n v="51.332999999999998"/>
    <x v="4054"/>
    <n v="51.302"/>
    <n v="51.6"/>
    <n v="20087784"/>
    <x v="8"/>
    <s v="Walmart"/>
    <x v="5"/>
    <n v="0.70899999999999996"/>
    <x v="11"/>
    <x v="0"/>
    <s v="December"/>
    <s v="Profit"/>
    <n v="0.38499999999999801"/>
    <n v="10.243"/>
  </r>
  <r>
    <s v="2023-12-22"/>
    <n v="51.817"/>
    <x v="4055"/>
    <n v="51.718000000000004"/>
    <n v="52.216999999999999"/>
    <n v="19405641"/>
    <x v="8"/>
    <s v="Walmart"/>
    <x v="5"/>
    <n v="1.1950000000000001"/>
    <x v="11"/>
    <x v="0"/>
    <s v="December"/>
    <s v="Profit"/>
    <n v="0.66499999999999915"/>
    <n v="11.438000000000001"/>
  </r>
  <r>
    <s v="2023-12-26"/>
    <n v="52.216999999999999"/>
    <x v="4056"/>
    <n v="52.036999999999999"/>
    <n v="52.137"/>
    <n v="11679963"/>
    <x v="8"/>
    <s v="Walmart"/>
    <x v="5"/>
    <n v="-0.153"/>
    <x v="11"/>
    <x v="0"/>
    <s v="December"/>
    <s v="Loss"/>
    <n v="0.29299999999999926"/>
    <n v="11.285"/>
  </r>
  <r>
    <s v="2023-12-27"/>
    <n v="52.103000000000002"/>
    <x v="4057"/>
    <n v="52.052999999999997"/>
    <n v="52.627000000000002"/>
    <n v="19895964"/>
    <x v="8"/>
    <s v="Walmart"/>
    <x v="5"/>
    <n v="0.94"/>
    <x v="11"/>
    <x v="0"/>
    <s v="December"/>
    <s v="Profit"/>
    <n v="0.59500000000000597"/>
    <n v="12.225"/>
  </r>
  <r>
    <s v="2023-12-28"/>
    <n v="52.59"/>
    <x v="4058"/>
    <n v="52.5"/>
    <n v="52.523000000000003"/>
    <n v="16776066"/>
    <x v="8"/>
    <s v="Walmart"/>
    <x v="5"/>
    <n v="-0.19600000000000001"/>
    <x v="11"/>
    <x v="0"/>
    <s v="December"/>
    <s v="Loss"/>
    <n v="0.27700000000000102"/>
    <n v="12.029"/>
  </r>
  <r>
    <s v="2023-12-29"/>
    <n v="52.51"/>
    <x v="4059"/>
    <n v="52.387"/>
    <n v="52.55"/>
    <n v="21948198"/>
    <x v="8"/>
    <s v="Walmart"/>
    <x v="5"/>
    <n v="5.0999999999999997E-2"/>
    <x v="11"/>
    <x v="0"/>
    <s v="December"/>
    <s v="Profit"/>
    <n v="0.30599999999999739"/>
    <n v="12.08"/>
  </r>
  <r>
    <s v="2024-01-02"/>
    <n v="52.417000000000002"/>
    <x v="4060"/>
    <n v="52.396999999999998"/>
    <n v="53.097000000000001"/>
    <n v="23539677"/>
    <x v="8"/>
    <s v="Walmart"/>
    <x v="5"/>
    <n v="1.04"/>
    <x v="12"/>
    <x v="1"/>
    <s v="January"/>
    <s v="Profit"/>
    <n v="0.78099999999999881"/>
    <n v="13.120000000000001"/>
  </r>
  <r>
    <s v="2024-01-03"/>
    <n v="53.256999999999998"/>
    <x v="4061"/>
    <n v="52.976999999999997"/>
    <n v="53.1"/>
    <n v="18756060"/>
    <x v="8"/>
    <s v="Walmart"/>
    <x v="5"/>
    <n v="6.0000000000000001E-3"/>
    <x v="12"/>
    <x v="1"/>
    <s v="January"/>
    <s v="Profit"/>
    <n v="0.45600000000000307"/>
    <n v="13.126000000000001"/>
  </r>
  <r>
    <s v="2024-01-04"/>
    <n v="53.07"/>
    <x v="4062"/>
    <n v="52.497"/>
    <n v="52.587000000000003"/>
    <n v="19282470"/>
    <x v="8"/>
    <s v="Walmart"/>
    <x v="5"/>
    <n v="-0.96699999999999997"/>
    <x v="12"/>
    <x v="1"/>
    <s v="January"/>
    <s v="Loss"/>
    <n v="0.68299999999999983"/>
    <n v="12.159000000000001"/>
  </r>
  <r>
    <s v="2024-01-05"/>
    <n v="52.64"/>
    <x v="4063"/>
    <n v="51.866999999999997"/>
    <n v="52.237000000000002"/>
    <n v="21709503"/>
    <x v="8"/>
    <s v="Walmart"/>
    <x v="5"/>
    <n v="-0.66600000000000004"/>
    <x v="12"/>
    <x v="1"/>
    <s v="January"/>
    <s v="Loss"/>
    <n v="0.83300000000000551"/>
    <n v="11.493"/>
  </r>
  <r>
    <s v="2024-01-08"/>
    <n v="52.232999999999997"/>
    <x v="4064"/>
    <n v="52.225000000000001"/>
    <n v="52.75"/>
    <n v="20680878"/>
    <x v="8"/>
    <s v="Walmart"/>
    <x v="5"/>
    <n v="0.98299999999999998"/>
    <x v="12"/>
    <x v="1"/>
    <s v="January"/>
    <s v="Profit"/>
    <n v="0.53999999999999915"/>
    <n v="12.476000000000001"/>
  </r>
  <r>
    <s v="2024-01-09"/>
    <n v="52.643000000000001"/>
    <x v="4065"/>
    <n v="52.576999999999998"/>
    <n v="53.103000000000002"/>
    <n v="23322378"/>
    <x v="8"/>
    <s v="Walmart"/>
    <x v="5"/>
    <n v="0.67"/>
    <x v="12"/>
    <x v="1"/>
    <s v="January"/>
    <s v="Profit"/>
    <n v="0.53600000000000136"/>
    <n v="13.146000000000001"/>
  </r>
  <r>
    <s v="2024-01-10"/>
    <n v="53.186999999999998"/>
    <x v="4066"/>
    <n v="53.186999999999998"/>
    <n v="53.762999999999998"/>
    <n v="20122038"/>
    <x v="8"/>
    <s v="Walmart"/>
    <x v="5"/>
    <n v="1.2430000000000001"/>
    <x v="12"/>
    <x v="1"/>
    <s v="January"/>
    <s v="Profit"/>
    <n v="0.6460000000000008"/>
    <n v="14.389000000000001"/>
  </r>
  <r>
    <s v="2024-01-11"/>
    <n v="53.783000000000001"/>
    <x v="4067"/>
    <n v="53.39"/>
    <n v="53.703000000000003"/>
    <n v="14355207"/>
    <x v="8"/>
    <s v="Walmart"/>
    <x v="5"/>
    <n v="-0.112"/>
    <x v="12"/>
    <x v="1"/>
    <s v="January"/>
    <s v="Loss"/>
    <n v="0.5730000000000004"/>
    <n v="14.277000000000001"/>
  </r>
  <r>
    <s v="2024-01-12"/>
    <n v="53.79"/>
    <x v="4068"/>
    <n v="53.46"/>
    <n v="53.773000000000003"/>
    <n v="13628967"/>
    <x v="8"/>
    <s v="Walmart"/>
    <x v="5"/>
    <n v="0.13"/>
    <x v="12"/>
    <x v="1"/>
    <s v="January"/>
    <s v="Profit"/>
    <n v="0.38799999999999812"/>
    <n v="14.407000000000002"/>
  </r>
  <r>
    <s v="2024-01-16"/>
    <n v="53.813000000000002"/>
    <x v="4069"/>
    <n v="53.743000000000002"/>
    <n v="53.942999999999998"/>
    <n v="17032590"/>
    <x v="8"/>
    <s v="Walmart"/>
    <x v="5"/>
    <n v="0.316"/>
    <x v="12"/>
    <x v="1"/>
    <s v="January"/>
    <s v="Profit"/>
    <n v="0.39000000000000057"/>
    <n v="14.723000000000003"/>
  </r>
  <r>
    <s v="2024-01-17"/>
    <n v="53.792999999999999"/>
    <x v="4070"/>
    <n v="53.542999999999999"/>
    <n v="53.69"/>
    <n v="14827662"/>
    <x v="8"/>
    <s v="Walmart"/>
    <x v="5"/>
    <n v="-0.47"/>
    <x v="12"/>
    <x v="1"/>
    <s v="January"/>
    <s v="Loss"/>
    <n v="0.45199999999999818"/>
    <n v="14.253000000000002"/>
  </r>
  <r>
    <s v="2024-01-18"/>
    <n v="53.72"/>
    <x v="4071"/>
    <n v="53.56"/>
    <n v="54.412999999999997"/>
    <n v="18190611"/>
    <x v="8"/>
    <s v="Walmart"/>
    <x v="5"/>
    <n v="1.347"/>
    <x v="12"/>
    <x v="1"/>
    <s v="January"/>
    <s v="Profit"/>
    <n v="0.90299999999999869"/>
    <n v="15.600000000000001"/>
  </r>
  <r>
    <s v="2024-01-19"/>
    <n v="54.476999999999997"/>
    <x v="4072"/>
    <n v="53.813000000000002"/>
    <n v="54.127000000000002"/>
    <n v="19175295"/>
    <x v="8"/>
    <s v="Walmart"/>
    <x v="5"/>
    <n v="-0.52700000000000002"/>
    <x v="12"/>
    <x v="1"/>
    <s v="January"/>
    <s v="Loss"/>
    <n v="0.71000000000000085"/>
    <n v="15.073000000000002"/>
  </r>
  <r>
    <s v="2024-01-22"/>
    <n v="54.262999999999998"/>
    <x v="4073"/>
    <n v="53.832999999999998"/>
    <n v="54.13"/>
    <n v="13938381"/>
    <x v="8"/>
    <s v="Walmart"/>
    <x v="5"/>
    <n v="6.0000000000000001E-3"/>
    <x v="12"/>
    <x v="1"/>
    <s v="January"/>
    <s v="Profit"/>
    <n v="0.48400000000000176"/>
    <n v="15.079000000000002"/>
  </r>
  <r>
    <s v="2024-01-23"/>
    <n v="54.04"/>
    <x v="4074"/>
    <n v="53.923000000000002"/>
    <n v="54.267000000000003"/>
    <n v="12066516"/>
    <x v="8"/>
    <s v="Walmart"/>
    <x v="5"/>
    <n v="0.253"/>
    <x v="12"/>
    <x v="1"/>
    <s v="January"/>
    <s v="Profit"/>
    <n v="0.35999999999999943"/>
    <n v="15.332000000000003"/>
  </r>
  <r>
    <s v="2024-01-24"/>
    <n v="54.3"/>
    <x v="4075"/>
    <n v="53.44"/>
    <n v="53.5"/>
    <n v="22932861"/>
    <x v="8"/>
    <s v="Walmart"/>
    <x v="5"/>
    <n v="-1.413"/>
    <x v="12"/>
    <x v="1"/>
    <s v="January"/>
    <s v="Loss"/>
    <n v="0.91499999999999915"/>
    <n v="13.919000000000002"/>
  </r>
  <r>
    <s v="2024-01-25"/>
    <n v="53.8"/>
    <x v="4076"/>
    <n v="53.472999999999999"/>
    <n v="54.28"/>
    <n v="16369602"/>
    <x v="8"/>
    <s v="Walmart"/>
    <x v="5"/>
    <n v="1.458"/>
    <x v="12"/>
    <x v="1"/>
    <s v="January"/>
    <s v="Profit"/>
    <n v="0.81700000000000017"/>
    <n v="15.377000000000002"/>
  </r>
  <r>
    <s v="2024-01-26"/>
    <n v="54.35"/>
    <x v="4077"/>
    <n v="54.22"/>
    <n v="54.756999999999998"/>
    <n v="15746310"/>
    <x v="8"/>
    <s v="Walmart"/>
    <x v="5"/>
    <n v="0.878"/>
    <x v="12"/>
    <x v="1"/>
    <s v="January"/>
    <s v="Profit"/>
    <n v="0.5730000000000004"/>
    <n v="16.255000000000003"/>
  </r>
  <r>
    <s v="2024-01-29"/>
    <n v="54.783000000000001"/>
    <x v="4078"/>
    <n v="54.506999999999998"/>
    <n v="55.012999999999998"/>
    <n v="18240312"/>
    <x v="8"/>
    <s v="Walmart"/>
    <x v="5"/>
    <n v="0.46899999999999997"/>
    <x v="12"/>
    <x v="1"/>
    <s v="January"/>
    <s v="Profit"/>
    <n v="0.62800000000000011"/>
    <n v="16.724000000000004"/>
  </r>
  <r>
    <s v="2024-01-30"/>
    <n v="54.9"/>
    <x v="4079"/>
    <n v="54.54"/>
    <n v="55.197000000000003"/>
    <n v="15270012"/>
    <x v="8"/>
    <s v="Walmart"/>
    <x v="5"/>
    <n v="0.33300000000000002"/>
    <x v="12"/>
    <x v="1"/>
    <s v="January"/>
    <s v="Profit"/>
    <n v="0.72800000000000153"/>
    <n v="17.057000000000002"/>
  </r>
  <r>
    <s v="2024-01-31"/>
    <n v="55.933"/>
    <x v="4080"/>
    <n v="55.036999999999999"/>
    <n v="55.082999999999998"/>
    <n v="26134875"/>
    <x v="8"/>
    <s v="Walmart"/>
    <x v="5"/>
    <n v="-0.20499999999999999"/>
    <x v="12"/>
    <x v="1"/>
    <s v="January"/>
    <s v="Loss"/>
    <n v="0.8960000000000008"/>
    <n v="16.852000000000004"/>
  </r>
  <r>
    <s v="2024-02-01"/>
    <n v="55.232999999999997"/>
    <x v="4081"/>
    <n v="55.06"/>
    <n v="56.103000000000002"/>
    <n v="20792553"/>
    <x v="8"/>
    <s v="Walmart"/>
    <x v="5"/>
    <n v="1.8520000000000001"/>
    <x v="13"/>
    <x v="1"/>
    <s v="February"/>
    <s v="Profit"/>
    <n v="1.0579999999999998"/>
    <n v="18.704000000000004"/>
  </r>
  <r>
    <s v="2024-02-02"/>
    <n v="56.05"/>
    <x v="4082"/>
    <n v="55.972999999999999"/>
    <n v="56.523000000000003"/>
    <n v="21670686"/>
    <x v="8"/>
    <s v="Walmart"/>
    <x v="5"/>
    <n v="0.749"/>
    <x v="13"/>
    <x v="1"/>
    <s v="February"/>
    <s v="Profit"/>
    <n v="0.88499999999999801"/>
    <n v="19.453000000000003"/>
  </r>
  <r>
    <s v="2024-02-05"/>
    <n v="56.67"/>
    <x v="4083"/>
    <n v="56.023000000000003"/>
    <n v="56.22"/>
    <n v="19145070"/>
    <x v="8"/>
    <s v="Walmart"/>
    <x v="5"/>
    <n v="-0.53700000000000003"/>
    <x v="13"/>
    <x v="1"/>
    <s v="February"/>
    <s v="Loss"/>
    <n v="0.64699999999999847"/>
    <n v="18.916000000000004"/>
  </r>
  <r>
    <s v="2024-02-06"/>
    <n v="56.262999999999998"/>
    <x v="4084"/>
    <n v="56.113"/>
    <n v="56.603000000000002"/>
    <n v="14189784"/>
    <x v="8"/>
    <s v="Walmart"/>
    <x v="5"/>
    <n v="0.68200000000000005"/>
    <x v="13"/>
    <x v="1"/>
    <s v="February"/>
    <s v="Profit"/>
    <n v="0.53699999999999903"/>
    <n v="19.598000000000003"/>
  </r>
  <r>
    <s v="2024-02-07"/>
    <n v="56.756999999999998"/>
    <x v="4085"/>
    <n v="56.4"/>
    <n v="56.46"/>
    <n v="17082465"/>
    <x v="8"/>
    <s v="Walmart"/>
    <x v="5"/>
    <n v="-0.253"/>
    <x v="13"/>
    <x v="1"/>
    <s v="February"/>
    <s v="Loss"/>
    <n v="0.48700000000000188"/>
    <n v="19.345000000000002"/>
  </r>
  <r>
    <s v="2024-02-08"/>
    <n v="56.46"/>
    <x v="4086"/>
    <n v="56.38"/>
    <n v="56.457000000000001"/>
    <n v="14427927"/>
    <x v="8"/>
    <s v="Walmart"/>
    <x v="5"/>
    <n v="-6.0000000000000001E-3"/>
    <x v="13"/>
    <x v="1"/>
    <s v="February"/>
    <s v="Loss"/>
    <n v="0.46999999999999886"/>
    <n v="19.339000000000002"/>
  </r>
  <r>
    <s v="2024-02-09"/>
    <n v="56.463000000000001"/>
    <x v="4087"/>
    <n v="56.307000000000002"/>
    <n v="56.427"/>
    <n v="14329866"/>
    <x v="8"/>
    <s v="Walmart"/>
    <x v="5"/>
    <n v="-5.2999999999999999E-2"/>
    <x v="13"/>
    <x v="1"/>
    <s v="February"/>
    <s v="Loss"/>
    <n v="0.26999999999999602"/>
    <n v="19.286000000000001"/>
  </r>
  <r>
    <s v="2024-02-12"/>
    <n v="56.41"/>
    <x v="4088"/>
    <n v="56.35"/>
    <n v="56.767000000000003"/>
    <n v="14795040"/>
    <x v="8"/>
    <s v="Walmart"/>
    <x v="5"/>
    <n v="0.60299999999999998"/>
    <x v="13"/>
    <x v="1"/>
    <s v="February"/>
    <s v="Profit"/>
    <n v="0.43699999999999761"/>
    <n v="19.889000000000003"/>
  </r>
  <r>
    <s v="2024-02-13"/>
    <n v="56.872999999999998"/>
    <x v="4089"/>
    <n v="56.09"/>
    <n v="56.38"/>
    <n v="18574215"/>
    <x v="8"/>
    <s v="Walmart"/>
    <x v="5"/>
    <n v="-0.68100000000000005"/>
    <x v="13"/>
    <x v="1"/>
    <s v="February"/>
    <s v="Loss"/>
    <n v="0.93299999999999983"/>
    <n v="19.208000000000002"/>
  </r>
  <r>
    <s v="2024-02-14"/>
    <n v="56.25"/>
    <x v="4090"/>
    <n v="55.847000000000001"/>
    <n v="56.2"/>
    <n v="18484602"/>
    <x v="8"/>
    <s v="Walmart"/>
    <x v="5"/>
    <n v="-0.31900000000000001"/>
    <x v="13"/>
    <x v="1"/>
    <s v="February"/>
    <s v="Loss"/>
    <n v="0.44500000000000028"/>
    <n v="18.889000000000003"/>
  </r>
  <r>
    <s v="2024-02-15"/>
    <n v="56.6"/>
    <x v="4091"/>
    <n v="55.99"/>
    <n v="56.43"/>
    <n v="16948857"/>
    <x v="8"/>
    <s v="Walmart"/>
    <x v="5"/>
    <n v="0.40899999999999997"/>
    <x v="13"/>
    <x v="1"/>
    <s v="February"/>
    <s v="Profit"/>
    <n v="0.62699999999999534"/>
    <n v="19.298000000000002"/>
  </r>
  <r>
    <s v="2024-02-16"/>
    <n v="56.762999999999998"/>
    <x v="4092"/>
    <n v="56.43"/>
    <n v="56.786999999999999"/>
    <n v="22373541"/>
    <x v="8"/>
    <s v="Walmart"/>
    <x v="5"/>
    <n v="0.63200000000000001"/>
    <x v="13"/>
    <x v="1"/>
    <s v="February"/>
    <s v="Profit"/>
    <n v="0.88000000000000256"/>
    <n v="19.930000000000003"/>
  </r>
  <r>
    <s v="2024-02-20"/>
    <n v="59.493000000000002"/>
    <x v="4093"/>
    <n v="58.41"/>
    <n v="58.62"/>
    <n v="71788614"/>
    <x v="8"/>
    <s v="Walmart"/>
    <x v="5"/>
    <n v="3.2280000000000002"/>
    <x v="13"/>
    <x v="1"/>
    <s v="February"/>
    <s v="Profit"/>
    <n v="2.0400000000000063"/>
    <n v="23.158000000000005"/>
  </r>
  <r>
    <s v="2024-02-21"/>
    <n v="58.332999999999998"/>
    <x v="4094"/>
    <n v="57.6"/>
    <n v="57.9"/>
    <n v="40551531"/>
    <x v="8"/>
    <s v="Walmart"/>
    <x v="5"/>
    <n v="-1.228"/>
    <x v="13"/>
    <x v="1"/>
    <s v="February"/>
    <s v="Loss"/>
    <n v="0.9269999999999996"/>
    <n v="21.930000000000003"/>
  </r>
  <r>
    <s v="2024-02-22"/>
    <n v="57.96"/>
    <x v="4095"/>
    <n v="57.77"/>
    <n v="58.47"/>
    <n v="29512935"/>
    <x v="8"/>
    <s v="Walmart"/>
    <x v="5"/>
    <n v="0.98399999999999999"/>
    <x v="13"/>
    <x v="1"/>
    <s v="February"/>
    <s v="Profit"/>
    <n v="0.71999999999999886"/>
    <n v="22.914000000000001"/>
  </r>
  <r>
    <s v="2024-02-23"/>
    <n v="58.697000000000003"/>
    <x v="4096"/>
    <n v="58.436999999999998"/>
    <n v="58.52"/>
    <n v="74365767"/>
    <x v="8"/>
    <s v="Walmart"/>
    <x v="5"/>
    <n v="8.5999999999999993E-2"/>
    <x v="13"/>
    <x v="1"/>
    <s v="February"/>
    <s v="Profit"/>
    <n v="0.78000000000000114"/>
    <n v="23"/>
  </r>
  <r>
    <s v="2024-02-26"/>
    <n v="59.12"/>
    <x v="4097"/>
    <n v="58.18"/>
    <n v="59.6"/>
    <n v="32154765"/>
    <x v="8"/>
    <s v="Walmart"/>
    <x v="5"/>
    <n v="1.8460000000000001"/>
    <x v="13"/>
    <x v="1"/>
    <s v="February"/>
    <s v="Profit"/>
    <n v="1.6600000000000037"/>
    <n v="24.846"/>
  </r>
  <r>
    <s v="2024-02-27"/>
    <n v="59.64"/>
    <x v="4098"/>
    <n v="59.22"/>
    <n v="59.59"/>
    <n v="18012749"/>
    <x v="8"/>
    <s v="Walmart"/>
    <x v="5"/>
    <n v="-1.7000000000000001E-2"/>
    <x v="13"/>
    <x v="1"/>
    <s v="February"/>
    <s v="Loss"/>
    <n v="0.57999999999999829"/>
    <n v="24.829000000000001"/>
  </r>
  <r>
    <s v="2024-02-28"/>
    <n v="59.55"/>
    <x v="4099"/>
    <n v="59.31"/>
    <n v="59.62"/>
    <n v="14803289"/>
    <x v="8"/>
    <s v="Walmart"/>
    <x v="5"/>
    <n v="0.05"/>
    <x v="13"/>
    <x v="1"/>
    <s v="February"/>
    <s v="Profit"/>
    <n v="0.44999999999999574"/>
    <n v="24.879000000000001"/>
  </r>
  <r>
    <s v="2024-02-29"/>
    <n v="59.45"/>
    <x v="4100"/>
    <n v="58.59"/>
    <n v="58.61"/>
    <n v="29245142"/>
    <x v="8"/>
    <s v="Walmart"/>
    <x v="5"/>
    <n v="-1.694"/>
    <x v="13"/>
    <x v="1"/>
    <s v="February"/>
    <s v="Loss"/>
    <n v="0.89999999999999858"/>
    <n v="23.185000000000002"/>
  </r>
  <r>
    <s v="2024-03-01"/>
    <n v="58.8"/>
    <x v="4101"/>
    <n v="58.2"/>
    <n v="58.76"/>
    <n v="19030919"/>
    <x v="8"/>
    <s v="Walmart"/>
    <x v="5"/>
    <n v="0.25600000000000001"/>
    <x v="14"/>
    <x v="1"/>
    <s v="March"/>
    <s v="Profit"/>
    <n v="0.64999999999999858"/>
    <n v="23.441000000000003"/>
  </r>
  <r>
    <s v="2024-03-04"/>
    <n v="58.5"/>
    <x v="4102"/>
    <n v="58.4"/>
    <n v="59.3"/>
    <n v="16033298"/>
    <x v="8"/>
    <s v="Walmart"/>
    <x v="5"/>
    <n v="0.91900000000000004"/>
    <x v="14"/>
    <x v="1"/>
    <s v="March"/>
    <s v="Profit"/>
    <n v="0.99000000000000199"/>
    <n v="24.360000000000003"/>
  </r>
  <r>
    <s v="2024-03-05"/>
    <n v="59.87"/>
    <x v="4103"/>
    <n v="59.575000000000003"/>
    <n v="60.04"/>
    <n v="19676884"/>
    <x v="8"/>
    <s v="Walmart"/>
    <x v="5"/>
    <n v="1.248"/>
    <x v="14"/>
    <x v="1"/>
    <s v="March"/>
    <s v="Profit"/>
    <n v="0.76500000000000057"/>
    <n v="25.608000000000004"/>
  </r>
  <r>
    <s v="2024-03-06"/>
    <n v="60.12"/>
    <x v="4104"/>
    <n v="60.04"/>
    <n v="60.57"/>
    <n v="12698714"/>
    <x v="8"/>
    <s v="Walmart"/>
    <x v="5"/>
    <n v="0.88300000000000001"/>
    <x v="14"/>
    <x v="1"/>
    <s v="March"/>
    <s v="Profit"/>
    <n v="0.57999999999999829"/>
    <n v="26.491000000000003"/>
  </r>
  <r>
    <s v="2024-03-07"/>
    <n v="61"/>
    <x v="4105"/>
    <n v="60.344999999999999"/>
    <n v="60.36"/>
    <n v="16195303"/>
    <x v="8"/>
    <s v="Walmart"/>
    <x v="5"/>
    <n v="-0.34699999999999998"/>
    <x v="14"/>
    <x v="1"/>
    <s v="March"/>
    <s v="Loss"/>
    <n v="0.72500000000000142"/>
    <n v="26.144000000000002"/>
  </r>
  <r>
    <s v="2024-03-08"/>
    <n v="60"/>
    <x v="4106"/>
    <n v="59.73"/>
    <n v="60.12"/>
    <n v="12143645"/>
    <x v="8"/>
    <s v="Walmart"/>
    <x v="5"/>
    <n v="-0.39800000000000002"/>
    <x v="14"/>
    <x v="1"/>
    <s v="March"/>
    <s v="Loss"/>
    <n v="0.55000000000000426"/>
    <n v="25.746000000000002"/>
  </r>
  <r>
    <s v="2024-03-11"/>
    <n v="60.1"/>
    <x v="4107"/>
    <n v="59.87"/>
    <n v="60.66"/>
    <n v="14153969"/>
    <x v="8"/>
    <s v="Walmart"/>
    <x v="5"/>
    <n v="0.89800000000000002"/>
    <x v="14"/>
    <x v="1"/>
    <s v="March"/>
    <s v="Profit"/>
    <n v="0.84000000000000341"/>
    <n v="26.644000000000002"/>
  </r>
  <r>
    <s v="2024-03-12"/>
    <n v="60.95"/>
    <x v="4108"/>
    <n v="60.645000000000003"/>
    <n v="61.41"/>
    <n v="16613062"/>
    <x v="8"/>
    <s v="Walmart"/>
    <x v="5"/>
    <n v="1.236"/>
    <x v="14"/>
    <x v="1"/>
    <s v="March"/>
    <s v="Profit"/>
    <n v="0.9199999999999946"/>
    <n v="27.880000000000003"/>
  </r>
  <r>
    <s v="2024-03-13"/>
    <n v="61.26"/>
    <x v="4109"/>
    <n v="60.88"/>
    <n v="61.28"/>
    <n v="15935187"/>
    <x v="8"/>
    <s v="Walmart"/>
    <x v="5"/>
    <n v="-0.21199999999999999"/>
    <x v="14"/>
    <x v="1"/>
    <s v="March"/>
    <s v="Loss"/>
    <n v="0.57499999999999574"/>
    <n v="27.668000000000003"/>
  </r>
  <r>
    <s v="2024-03-14"/>
    <n v="61.28"/>
    <x v="4110"/>
    <n v="60.594999999999999"/>
    <n v="61.02"/>
    <n v="16584660"/>
    <x v="8"/>
    <s v="Walmart"/>
    <x v="5"/>
    <n v="-0.42399999999999999"/>
    <x v="14"/>
    <x v="1"/>
    <s v="March"/>
    <s v="Loss"/>
    <n v="0.84499999999999886"/>
    <n v="27.244000000000003"/>
  </r>
  <r>
    <s v="2024-03-15"/>
    <n v="60.68"/>
    <x v="4111"/>
    <n v="60.46"/>
    <n v="60.68"/>
    <n v="50946329"/>
    <x v="8"/>
    <s v="Walmart"/>
    <x v="5"/>
    <n v="-0.55700000000000005"/>
    <x v="14"/>
    <x v="1"/>
    <s v="March"/>
    <s v="Loss"/>
    <n v="0.68999999999999773"/>
    <n v="26.687000000000005"/>
  </r>
  <r>
    <s v="2024-03-18"/>
    <n v="60.69"/>
    <x v="4112"/>
    <n v="60.39"/>
    <n v="60.86"/>
    <n v="16801658"/>
    <x v="8"/>
    <s v="Walmart"/>
    <x v="5"/>
    <n v="0.29699999999999999"/>
    <x v="14"/>
    <x v="1"/>
    <s v="March"/>
    <s v="Profit"/>
    <n v="0.50999999999999801"/>
    <n v="26.984000000000005"/>
  </r>
  <r>
    <s v="2024-03-19"/>
    <n v="60.97"/>
    <x v="4105"/>
    <n v="60.6"/>
    <n v="60.87"/>
    <n v="12353624"/>
    <x v="8"/>
    <s v="Walmart"/>
    <x v="5"/>
    <n v="1.6E-2"/>
    <x v="14"/>
    <x v="1"/>
    <s v="March"/>
    <s v="Profit"/>
    <n v="0.46999999999999886"/>
    <n v="27.000000000000004"/>
  </r>
  <r>
    <s v="2024-03-20"/>
    <n v="60.84"/>
    <x v="4113"/>
    <n v="60.74"/>
    <n v="61.25"/>
    <n v="12007593"/>
    <x v="8"/>
    <s v="Walmart"/>
    <x v="5"/>
    <n v="0.624"/>
    <x v="14"/>
    <x v="1"/>
    <s v="March"/>
    <s v="Profit"/>
    <n v="0.53999999999999915"/>
    <n v="27.624000000000002"/>
  </r>
  <r>
    <s v="2024-03-21"/>
    <n v="61.28"/>
    <x v="4114"/>
    <n v="61.05"/>
    <n v="61.45"/>
    <n v="14265872"/>
    <x v="8"/>
    <s v="Walmart"/>
    <x v="5"/>
    <n v="0.32700000000000001"/>
    <x v="14"/>
    <x v="1"/>
    <s v="March"/>
    <s v="Profit"/>
    <n v="0.60500000000000398"/>
    <n v="27.951000000000004"/>
  </r>
  <r>
    <s v="2024-03-22"/>
    <n v="61.32"/>
    <x v="4115"/>
    <n v="60.85"/>
    <n v="60.87"/>
    <n v="14029440"/>
    <x v="8"/>
    <s v="Walmart"/>
    <x v="5"/>
    <n v="-0.94399999999999995"/>
    <x v="14"/>
    <x v="1"/>
    <s v="March"/>
    <s v="Loss"/>
    <n v="0.67600000000000193"/>
    <n v="27.007000000000005"/>
  </r>
  <r>
    <s v="2024-03-25"/>
    <n v="60.87"/>
    <x v="4116"/>
    <n v="60.36"/>
    <n v="60.57"/>
    <n v="14186627"/>
    <x v="8"/>
    <s v="Walmart"/>
    <x v="5"/>
    <n v="-0.49299999999999999"/>
    <x v="14"/>
    <x v="1"/>
    <s v="March"/>
    <s v="Loss"/>
    <n v="0.625"/>
    <n v="26.514000000000006"/>
  </r>
  <r>
    <s v="2024-03-26"/>
    <n v="60.46"/>
    <x v="4117"/>
    <n v="60.23"/>
    <n v="60.51"/>
    <n v="13738342"/>
    <x v="8"/>
    <s v="Walmart"/>
    <x v="5"/>
    <n v="-9.9000000000000005E-2"/>
    <x v="14"/>
    <x v="1"/>
    <s v="March"/>
    <s v="Loss"/>
    <n v="0.60000000000000142"/>
    <n v="26.415000000000006"/>
  </r>
  <r>
    <s v="2024-03-27"/>
    <n v="60.87"/>
    <x v="4118"/>
    <n v="60.38"/>
    <n v="60.72"/>
    <n v="14363410"/>
    <x v="8"/>
    <s v="Walmart"/>
    <x v="5"/>
    <n v="0.34699999999999998"/>
    <x v="14"/>
    <x v="1"/>
    <s v="March"/>
    <s v="Profit"/>
    <n v="0.6699999999999946"/>
    <n v="26.762000000000008"/>
  </r>
  <r>
    <s v="2024-03-28"/>
    <n v="60.66"/>
    <x v="4119"/>
    <n v="60.16"/>
    <n v="60.17"/>
    <n v="17535100"/>
    <x v="8"/>
    <s v="Walmart"/>
    <x v="5"/>
    <n v="-0.90600000000000003"/>
    <x v="14"/>
    <x v="1"/>
    <s v="March"/>
    <s v="Loss"/>
    <n v="0.61000000000000654"/>
    <n v="25.856000000000009"/>
  </r>
  <r>
    <s v="2024-04-01"/>
    <n v="60.31"/>
    <x v="4120"/>
    <n v="59.93"/>
    <n v="60"/>
    <n v="13837599"/>
    <x v="8"/>
    <s v="Walmart"/>
    <x v="5"/>
    <n v="-0.28299999999999997"/>
    <x v="15"/>
    <x v="1"/>
    <s v="April"/>
    <s v="Loss"/>
    <n v="0.82999999999999829"/>
    <n v="25.573000000000008"/>
  </r>
  <r>
    <s v="2024-04-02"/>
    <n v="59.9"/>
    <x v="4121"/>
    <n v="58.88"/>
    <n v="59.16"/>
    <n v="19510121"/>
    <x v="8"/>
    <s v="Walmart"/>
    <x v="5"/>
    <n v="-1.4"/>
    <x v="15"/>
    <x v="1"/>
    <s v="April"/>
    <s v="Loss"/>
    <n v="1.2199999999999989"/>
    <n v="24.173000000000009"/>
  </r>
  <r>
    <s v="2024-04-03"/>
    <n v="59.38"/>
    <x v="4122"/>
    <n v="58.94"/>
    <n v="59.43"/>
    <n v="14615103"/>
    <x v="8"/>
    <s v="Walmart"/>
    <x v="5"/>
    <n v="0.45600000000000002"/>
    <x v="15"/>
    <x v="1"/>
    <s v="April"/>
    <s v="Profit"/>
    <n v="0.56000000000000227"/>
    <n v="24.629000000000008"/>
  </r>
  <r>
    <s v="2024-04-04"/>
    <n v="59.54"/>
    <x v="4123"/>
    <n v="59.29"/>
    <n v="59.5"/>
    <n v="14436126"/>
    <x v="8"/>
    <s v="Walmart"/>
    <x v="5"/>
    <n v="0.11799999999999999"/>
    <x v="15"/>
    <x v="1"/>
    <s v="April"/>
    <s v="Profit"/>
    <n v="0.52000000000000313"/>
    <n v="24.747000000000007"/>
  </r>
  <r>
    <s v="2024-04-05"/>
    <n v="59.55"/>
    <x v="4124"/>
    <n v="59.49"/>
    <n v="59.85"/>
    <n v="10335909"/>
    <x v="8"/>
    <s v="Walmart"/>
    <x v="5"/>
    <n v="0.58799999999999997"/>
    <x v="15"/>
    <x v="1"/>
    <s v="April"/>
    <s v="Profit"/>
    <n v="0.54999999999999716"/>
    <n v="25.335000000000008"/>
  </r>
  <r>
    <s v="2024-04-08"/>
    <n v="59.6"/>
    <x v="4124"/>
    <n v="59.42"/>
    <n v="59.78"/>
    <n v="11070120"/>
    <x v="8"/>
    <s v="Walmart"/>
    <x v="5"/>
    <n v="-0.11700000000000001"/>
    <x v="15"/>
    <x v="1"/>
    <s v="April"/>
    <s v="Loss"/>
    <n v="0.61999999999999744"/>
    <n v="25.218000000000007"/>
  </r>
  <r>
    <s v="2024-04-09"/>
    <n v="59.87"/>
    <x v="4125"/>
    <n v="59.3"/>
    <n v="59.79"/>
    <n v="10015922"/>
    <x v="8"/>
    <s v="Walmart"/>
    <x v="5"/>
    <n v="1.7000000000000001E-2"/>
    <x v="15"/>
    <x v="1"/>
    <s v="April"/>
    <s v="Profit"/>
    <n v="0.67000000000000171"/>
    <n v="25.235000000000007"/>
  </r>
  <r>
    <s v="2024-04-10"/>
    <n v="59.62"/>
    <x v="4120"/>
    <n v="59.39"/>
    <n v="60.62"/>
    <n v="15097558"/>
    <x v="8"/>
    <s v="Walmart"/>
    <x v="5"/>
    <n v="1.3879999999999999"/>
    <x v="15"/>
    <x v="1"/>
    <s v="April"/>
    <s v="Profit"/>
    <n v="1.3699999999999974"/>
    <n v="26.623000000000005"/>
  </r>
  <r>
    <s v="2024-04-11"/>
    <n v="60.75"/>
    <x v="4126"/>
    <n v="60.07"/>
    <n v="60.09"/>
    <n v="10987600"/>
    <x v="8"/>
    <s v="Walmart"/>
    <x v="5"/>
    <n v="-0.874"/>
    <x v="15"/>
    <x v="1"/>
    <s v="April"/>
    <s v="Loss"/>
    <n v="0.82000000000000028"/>
    <n v="25.749000000000006"/>
  </r>
  <r>
    <s v="2024-04-12"/>
    <n v="60"/>
    <x v="4127"/>
    <n v="59.95"/>
    <n v="60.14"/>
    <n v="12280569"/>
    <x v="8"/>
    <s v="Walmart"/>
    <x v="5"/>
    <n v="8.3000000000000004E-2"/>
    <x v="15"/>
    <x v="1"/>
    <s v="April"/>
    <s v="Profit"/>
    <n v="0.76999999999999602"/>
    <n v="25.832000000000004"/>
  </r>
  <r>
    <s v="2024-04-15"/>
    <n v="60.51"/>
    <x v="4128"/>
    <n v="59.91"/>
    <n v="59.93"/>
    <n v="10557182"/>
    <x v="8"/>
    <s v="Walmart"/>
    <x v="5"/>
    <n v="-0.34899999999999998"/>
    <x v="15"/>
    <x v="1"/>
    <s v="April"/>
    <s v="Loss"/>
    <n v="0.79000000000000625"/>
    <n v="25.483000000000004"/>
  </r>
  <r>
    <s v="2024-04-16"/>
    <n v="60.03"/>
    <x v="4129"/>
    <n v="59.78"/>
    <n v="59.84"/>
    <n v="14726259"/>
    <x v="8"/>
    <s v="Walmart"/>
    <x v="5"/>
    <n v="-0.15"/>
    <x v="15"/>
    <x v="1"/>
    <s v="April"/>
    <s v="Loss"/>
    <n v="0.50999999999999801"/>
    <n v="25.333000000000006"/>
  </r>
  <r>
    <s v="2024-04-17"/>
    <n v="60.15"/>
    <x v="4130"/>
    <n v="59.57"/>
    <n v="59.65"/>
    <n v="15329693"/>
    <x v="8"/>
    <s v="Walmart"/>
    <x v="5"/>
    <n v="-0.318"/>
    <x v="15"/>
    <x v="1"/>
    <s v="April"/>
    <s v="Loss"/>
    <n v="0.85999999999999943"/>
    <n v="25.015000000000004"/>
  </r>
  <r>
    <s v="2024-04-18"/>
    <n v="59.83"/>
    <x v="4131"/>
    <n v="59.22"/>
    <n v="59.26"/>
    <n v="12061538"/>
    <x v="8"/>
    <s v="Walmart"/>
    <x v="5"/>
    <n v="-0.65400000000000003"/>
    <x v="15"/>
    <x v="1"/>
    <s v="April"/>
    <s v="Loss"/>
    <n v="0.71500000000000341"/>
    <n v="24.361000000000004"/>
  </r>
  <r>
    <s v="2024-04-19"/>
    <n v="59.45"/>
    <x v="4132"/>
    <n v="58.97"/>
    <n v="59.515000000000001"/>
    <n v="14159473"/>
    <x v="8"/>
    <s v="Walmart"/>
    <x v="5"/>
    <n v="0.43"/>
    <x v="15"/>
    <x v="1"/>
    <s v="April"/>
    <s v="Profit"/>
    <n v="0.70000000000000284"/>
    <n v="24.791000000000004"/>
  </r>
  <r>
    <s v="2024-04-22"/>
    <n v="59.56"/>
    <x v="4133"/>
    <n v="59.04"/>
    <n v="60.14"/>
    <n v="14909983"/>
    <x v="8"/>
    <s v="Walmart"/>
    <x v="5"/>
    <n v="1.05"/>
    <x v="15"/>
    <x v="1"/>
    <s v="April"/>
    <s v="Profit"/>
    <n v="1.355000000000004"/>
    <n v="25.841000000000005"/>
  </r>
  <r>
    <s v="2024-04-23"/>
    <n v="60.25"/>
    <x v="4134"/>
    <n v="58.555"/>
    <n v="59.09"/>
    <n v="17963945"/>
    <x v="8"/>
    <s v="Walmart"/>
    <x v="5"/>
    <n v="-1.746"/>
    <x v="15"/>
    <x v="1"/>
    <s v="April"/>
    <s v="Loss"/>
    <n v="1.7950000000000017"/>
    <n v="24.095000000000006"/>
  </r>
  <r>
    <s v="2024-04-24"/>
    <n v="58.975000000000001"/>
    <x v="4124"/>
    <n v="58.81"/>
    <n v="59.87"/>
    <n v="18529138"/>
    <x v="8"/>
    <s v="Walmart"/>
    <x v="5"/>
    <n v="1.32"/>
    <x v="15"/>
    <x v="1"/>
    <s v="April"/>
    <s v="Profit"/>
    <n v="1.2299999999999969"/>
    <n v="25.415000000000006"/>
  </r>
  <r>
    <s v="2024-04-25"/>
    <n v="60.05"/>
    <x v="4135"/>
    <n v="59.832999999999998"/>
    <n v="60.21"/>
    <n v="19262954"/>
    <x v="8"/>
    <s v="Walmart"/>
    <x v="5"/>
    <n v="0.56799999999999995"/>
    <x v="15"/>
    <x v="1"/>
    <s v="April"/>
    <s v="Profit"/>
    <n v="0.69700000000000273"/>
    <n v="25.983000000000008"/>
  </r>
  <r>
    <s v="2024-04-26"/>
    <n v="60.11"/>
    <x v="4136"/>
    <n v="60"/>
    <n v="60.16"/>
    <n v="11045224"/>
    <x v="8"/>
    <s v="Walmart"/>
    <x v="5"/>
    <n v="-8.3000000000000004E-2"/>
    <x v="15"/>
    <x v="1"/>
    <s v="April"/>
    <s v="Loss"/>
    <n v="0.39000000000000057"/>
    <n v="25.900000000000009"/>
  </r>
  <r>
    <s v="2024-04-29"/>
    <n v="60.18"/>
    <x v="4136"/>
    <n v="59.94"/>
    <n v="60.24"/>
    <n v="9788575"/>
    <x v="8"/>
    <s v="Walmart"/>
    <x v="5"/>
    <n v="0.13300000000000001"/>
    <x v="15"/>
    <x v="1"/>
    <s v="April"/>
    <s v="Profit"/>
    <n v="0.45000000000000284"/>
    <n v="26.033000000000008"/>
  </r>
  <r>
    <s v="2024-04-30"/>
    <n v="60.2"/>
    <x v="4137"/>
    <n v="59.16"/>
    <n v="59.35"/>
    <n v="14209155"/>
    <x v="8"/>
    <s v="Walmart"/>
    <x v="5"/>
    <n v="-1.4770000000000001"/>
    <x v="15"/>
    <x v="1"/>
    <s v="April"/>
    <s v="Loss"/>
    <n v="1.1400000000000006"/>
    <n v="24.556000000000008"/>
  </r>
  <r>
    <s v="2024-05-01"/>
    <n v="59.31"/>
    <x v="4138"/>
    <n v="58.72"/>
    <n v="58.85"/>
    <n v="15470975"/>
    <x v="8"/>
    <s v="Walmart"/>
    <x v="5"/>
    <n v="-0.84199999999999997"/>
    <x v="16"/>
    <x v="1"/>
    <s v="May"/>
    <s v="Loss"/>
    <n v="0.68999999999999773"/>
    <n v="23.714000000000009"/>
  </r>
  <r>
    <s v="2024-05-02"/>
    <n v="58.94"/>
    <x v="4139"/>
    <n v="58.58"/>
    <n v="59.71"/>
    <n v="17574115"/>
    <x v="8"/>
    <s v="Walmart"/>
    <x v="5"/>
    <n v="1.4610000000000001"/>
    <x v="16"/>
    <x v="1"/>
    <s v="May"/>
    <s v="Profit"/>
    <n v="1.3049999999999997"/>
    <n v="25.175000000000008"/>
  </r>
  <r>
    <s v="2024-05-03"/>
    <n v="59.62"/>
    <x v="4140"/>
    <n v="59.14"/>
    <n v="59.82"/>
    <n v="14207397"/>
    <x v="8"/>
    <s v="Walmart"/>
    <x v="5"/>
    <n v="0.184"/>
    <x v="16"/>
    <x v="1"/>
    <s v="May"/>
    <s v="Profit"/>
    <n v="0.83999999999999631"/>
    <n v="25.359000000000009"/>
  </r>
  <r>
    <s v="2024-05-06"/>
    <n v="60"/>
    <x v="4141"/>
    <n v="59.39"/>
    <n v="59.87"/>
    <n v="11119402"/>
    <x v="8"/>
    <s v="Walmart"/>
    <x v="5"/>
    <n v="8.4000000000000005E-2"/>
    <x v="16"/>
    <x v="1"/>
    <s v="May"/>
    <s v="Profit"/>
    <n v="0.60999999999999943"/>
    <n v="25.443000000000008"/>
  </r>
  <r>
    <s v="2024-05-07"/>
    <n v="60.17"/>
    <x v="4142"/>
    <n v="60.05"/>
    <n v="60.62"/>
    <n v="14520240"/>
    <x v="8"/>
    <s v="Walmart"/>
    <x v="5"/>
    <n v="1.2529999999999999"/>
    <x v="16"/>
    <x v="1"/>
    <s v="May"/>
    <s v="Profit"/>
    <n v="0.75"/>
    <n v="26.696000000000009"/>
  </r>
  <r>
    <s v="2024-05-08"/>
    <n v="60.63"/>
    <x v="4143"/>
    <n v="60.22"/>
    <n v="60.3"/>
    <n v="11015695"/>
    <x v="8"/>
    <s v="Walmart"/>
    <x v="5"/>
    <n v="-0.52800000000000002"/>
    <x v="16"/>
    <x v="1"/>
    <s v="May"/>
    <s v="Loss"/>
    <n v="0.625"/>
    <n v="26.16800000000001"/>
  </r>
  <r>
    <s v="2024-05-09"/>
    <n v="60.2"/>
    <x v="4144"/>
    <n v="59.95"/>
    <n v="60.44"/>
    <n v="14550463"/>
    <x v="8"/>
    <s v="Walmart"/>
    <x v="5"/>
    <n v="0.23200000000000001"/>
    <x v="16"/>
    <x v="1"/>
    <s v="May"/>
    <s v="Profit"/>
    <n v="0.62999999999999545"/>
    <n v="26.400000000000009"/>
  </r>
  <r>
    <s v="2024-05-10"/>
    <n v="60.41"/>
    <x v="4144"/>
    <n v="60.16"/>
    <n v="60.48"/>
    <n v="12356612"/>
    <x v="8"/>
    <s v="Walmart"/>
    <x v="5"/>
    <n v="6.6000000000000003E-2"/>
    <x v="16"/>
    <x v="1"/>
    <s v="May"/>
    <s v="Profit"/>
    <n v="0.42000000000000171"/>
    <n v="26.466000000000008"/>
  </r>
  <r>
    <s v="2024-05-13"/>
    <n v="60.62"/>
    <x v="4145"/>
    <n v="60.29"/>
    <n v="60.41"/>
    <n v="19260522"/>
    <x v="8"/>
    <s v="Walmart"/>
    <x v="5"/>
    <n v="-0.11600000000000001"/>
    <x v="16"/>
    <x v="1"/>
    <s v="May"/>
    <s v="Loss"/>
    <n v="1.0549999999999997"/>
    <n v="26.350000000000009"/>
  </r>
  <r>
    <s v="2024-05-14"/>
    <n v="60.52"/>
    <x v="4146"/>
    <n v="59.435000000000002"/>
    <n v="59.86"/>
    <n v="18780139"/>
    <x v="8"/>
    <s v="Walmart"/>
    <x v="5"/>
    <n v="-0.91"/>
    <x v="16"/>
    <x v="1"/>
    <s v="May"/>
    <s v="Loss"/>
    <n v="1.1149999999999949"/>
    <n v="25.440000000000008"/>
  </r>
  <r>
    <s v="2024-05-15"/>
    <n v="59.83"/>
    <x v="4147"/>
    <n v="59.47"/>
    <n v="59.83"/>
    <n v="22240558"/>
    <x v="8"/>
    <s v="Walmart"/>
    <x v="5"/>
    <n v="-0.05"/>
    <x v="16"/>
    <x v="1"/>
    <s v="May"/>
    <s v="Loss"/>
    <n v="0.46999999999999886"/>
    <n v="25.390000000000008"/>
  </r>
  <r>
    <s v="2024-05-16"/>
    <n v="64.22"/>
    <x v="4148"/>
    <n v="62.94"/>
    <n v="64.010000000000005"/>
    <n v="60545613"/>
    <x v="8"/>
    <s v="Walmart"/>
    <x v="5"/>
    <n v="6.9859999999999998"/>
    <x v="16"/>
    <x v="1"/>
    <s v="May"/>
    <s v="Profit"/>
    <n v="1.4750000000000085"/>
    <n v="32.376000000000005"/>
  </r>
  <r>
    <s v="2024-05-17"/>
    <n v="64.239999999999995"/>
    <x v="4149"/>
    <n v="63.63"/>
    <n v="64.650000000000006"/>
    <n v="29330381"/>
    <x v="8"/>
    <s v="Walmart"/>
    <x v="5"/>
    <n v="1"/>
    <x v="16"/>
    <x v="1"/>
    <s v="May"/>
    <s v="Profit"/>
    <n v="1.2499999999999929"/>
    <n v="33.376000000000005"/>
  </r>
  <r>
    <s v="2024-05-20"/>
    <n v="64.42"/>
    <x v="4150"/>
    <n v="63.87"/>
    <n v="64.180000000000007"/>
    <n v="15001391"/>
    <x v="8"/>
    <s v="Walmart"/>
    <x v="5"/>
    <n v="-0.72699999999999998"/>
    <x v="16"/>
    <x v="1"/>
    <s v="May"/>
    <s v="Loss"/>
    <n v="0.89000000000000767"/>
    <n v="32.649000000000008"/>
  </r>
  <r>
    <s v="2024-05-21"/>
    <n v="64.53"/>
    <x v="4151"/>
    <n v="64.45"/>
    <n v="65.150000000000006"/>
    <n v="17131691"/>
    <x v="8"/>
    <s v="Walmart"/>
    <x v="5"/>
    <n v="1.5109999999999999"/>
    <x v="16"/>
    <x v="1"/>
    <s v="May"/>
    <s v="Profit"/>
    <n v="0.73999999999999488"/>
    <n v="34.160000000000011"/>
  </r>
  <r>
    <s v="2024-05-22"/>
    <n v="64.98"/>
    <x v="4152"/>
    <n v="64.73"/>
    <n v="65.25"/>
    <n v="14879434"/>
    <x v="8"/>
    <s v="Walmart"/>
    <x v="5"/>
    <n v="0.153"/>
    <x v="16"/>
    <x v="1"/>
    <s v="May"/>
    <s v="Profit"/>
    <n v="0.95999999999999375"/>
    <n v="34.313000000000009"/>
  </r>
  <r>
    <s v="2024-05-23"/>
    <n v="65.17"/>
    <x v="4153"/>
    <n v="64.56"/>
    <n v="64.84"/>
    <n v="16222946"/>
    <x v="8"/>
    <s v="Walmart"/>
    <x v="5"/>
    <n v="-0.628"/>
    <x v="16"/>
    <x v="1"/>
    <s v="May"/>
    <s v="Loss"/>
    <n v="0.95499999999999829"/>
    <n v="33.685000000000009"/>
  </r>
  <r>
    <s v="2024-05-24"/>
    <n v="65.13"/>
    <x v="4152"/>
    <n v="65.010000000000005"/>
    <n v="65.38"/>
    <n v="11795024"/>
    <x v="8"/>
    <s v="Walmart"/>
    <x v="5"/>
    <n v="0.83299999999999996"/>
    <x v="16"/>
    <x v="1"/>
    <s v="May"/>
    <s v="Profit"/>
    <n v="0.67999999999999261"/>
    <n v="34.518000000000008"/>
  </r>
  <r>
    <s v="2024-05-28"/>
    <n v="65.22"/>
    <x v="4154"/>
    <n v="64.739999999999995"/>
    <n v="65.040000000000006"/>
    <n v="13349619"/>
    <x v="8"/>
    <s v="Walmart"/>
    <x v="5"/>
    <n v="-0.52"/>
    <x v="16"/>
    <x v="1"/>
    <s v="May"/>
    <s v="Loss"/>
    <n v="0.73000000000000398"/>
    <n v="33.998000000000005"/>
  </r>
  <r>
    <s v="2024-05-29"/>
    <n v="64.75"/>
    <x v="4155"/>
    <n v="64.650000000000006"/>
    <n v="64.92"/>
    <n v="11538552"/>
    <x v="8"/>
    <s v="Walmart"/>
    <x v="5"/>
    <n v="-0.185"/>
    <x v="16"/>
    <x v="1"/>
    <s v="May"/>
    <s v="Loss"/>
    <n v="0.55999999999998806"/>
    <n v="33.813000000000002"/>
  </r>
  <r>
    <s v="2024-05-30"/>
    <n v="64.930000000000007"/>
    <x v="4156"/>
    <n v="64.77"/>
    <n v="64.89"/>
    <n v="13053481"/>
    <x v="8"/>
    <s v="Walmart"/>
    <x v="5"/>
    <n v="-4.5999999999999999E-2"/>
    <x v="16"/>
    <x v="1"/>
    <s v="May"/>
    <s v="Loss"/>
    <n v="0.40100000000001046"/>
    <n v="33.767000000000003"/>
  </r>
  <r>
    <s v="2024-05-31"/>
    <n v="64.67"/>
    <x v="4157"/>
    <n v="64.16"/>
    <n v="65.760000000000005"/>
    <n v="27632223"/>
    <x v="8"/>
    <s v="Walmart"/>
    <x v="5"/>
    <n v="1.341"/>
    <x v="16"/>
    <x v="1"/>
    <s v="May"/>
    <s v="Profit"/>
    <n v="1.7400000000000091"/>
    <n v="35.108000000000004"/>
  </r>
  <r>
    <s v="2024-06-03"/>
    <n v="65.510000000000005"/>
    <x v="4158"/>
    <n v="65.16"/>
    <n v="65.819999999999993"/>
    <n v="11578709"/>
    <x v="8"/>
    <s v="Walmart"/>
    <x v="5"/>
    <n v="9.0999999999999998E-2"/>
    <x v="17"/>
    <x v="1"/>
    <s v="June"/>
    <s v="Profit"/>
    <n v="0.68000000000000682"/>
    <n v="35.199000000000005"/>
  </r>
  <r>
    <s v="2024-06-04"/>
    <n v="65.989999999999995"/>
    <x v="4159"/>
    <n v="65.834999999999994"/>
    <n v="66.599999999999994"/>
    <n v="14780755"/>
    <x v="8"/>
    <s v="Walmart"/>
    <x v="5"/>
    <n v="1.1850000000000001"/>
    <x v="17"/>
    <x v="1"/>
    <s v="June"/>
    <s v="Profit"/>
    <n v="0.80000000000001137"/>
    <n v="36.384000000000007"/>
  </r>
  <r>
    <s v="2024-06-05"/>
    <n v="66.569999999999993"/>
    <x v="4160"/>
    <n v="66.28"/>
    <n v="67.09"/>
    <n v="14982667"/>
    <x v="8"/>
    <s v="Walmart"/>
    <x v="5"/>
    <n v="0.73599999999999999"/>
    <x v="17"/>
    <x v="1"/>
    <s v="June"/>
    <s v="Profit"/>
    <n v="0.87000000000000455"/>
    <n v="37.120000000000005"/>
  </r>
  <r>
    <s v="2024-06-06"/>
    <n v="67.06"/>
    <x v="4161"/>
    <n v="66.77"/>
    <n v="67.150000000000006"/>
    <n v="13256005"/>
    <x v="8"/>
    <s v="Walmart"/>
    <x v="5"/>
    <n v="8.8999999999999996E-2"/>
    <x v="17"/>
    <x v="1"/>
    <s v="June"/>
    <s v="Profit"/>
    <n v="0.67000000000000171"/>
    <n v="37.209000000000003"/>
  </r>
  <r>
    <s v="2024-06-07"/>
    <n v="67.400000000000006"/>
    <x v="4162"/>
    <n v="65.635000000000005"/>
    <n v="65.88"/>
    <n v="20213211"/>
    <x v="8"/>
    <s v="Walmart"/>
    <x v="5"/>
    <n v="-1.891"/>
    <x v="17"/>
    <x v="1"/>
    <s v="June"/>
    <s v="Loss"/>
    <n v="1.9299999999999926"/>
    <n v="35.318000000000005"/>
  </r>
  <r>
    <s v="2024-06-10"/>
    <n v="67.19"/>
    <x v="4163"/>
    <n v="66.27"/>
    <n v="66.959999999999994"/>
    <n v="21667416"/>
    <x v="8"/>
    <s v="Walmart"/>
    <x v="5"/>
    <n v="1.639"/>
    <x v="17"/>
    <x v="1"/>
    <s v="June"/>
    <s v="Profit"/>
    <n v="1.0600000000000023"/>
    <n v="36.957000000000008"/>
  </r>
  <r>
    <s v="2024-06-11"/>
    <n v="66.95"/>
    <x v="4164"/>
    <n v="66.349999999999994"/>
    <n v="66.73"/>
    <n v="13367514"/>
    <x v="8"/>
    <s v="Walmart"/>
    <x v="5"/>
    <n v="-0.34300000000000003"/>
    <x v="17"/>
    <x v="1"/>
    <s v="June"/>
    <s v="Loss"/>
    <n v="0.60999999999999943"/>
    <n v="36.614000000000004"/>
  </r>
  <r>
    <s v="2024-06-12"/>
    <n v="66.849999999999994"/>
    <x v="4165"/>
    <n v="65.897999999999996"/>
    <n v="66.31"/>
    <n v="11704704"/>
    <x v="8"/>
    <s v="Walmart"/>
    <x v="5"/>
    <n v="-0.629"/>
    <x v="17"/>
    <x v="1"/>
    <s v="June"/>
    <s v="Loss"/>
    <n v="1.0420000000000016"/>
    <n v="35.985000000000007"/>
  </r>
  <r>
    <s v="2024-06-13"/>
    <n v="66.3"/>
    <x v="4166"/>
    <n v="65.948999999999998"/>
    <n v="66.7"/>
    <n v="11196603"/>
    <x v="8"/>
    <s v="Walmart"/>
    <x v="5"/>
    <n v="0.58799999999999997"/>
    <x v="17"/>
    <x v="1"/>
    <s v="June"/>
    <s v="Profit"/>
    <n v="0.81100000000000705"/>
    <n v="36.573000000000008"/>
  </r>
  <r>
    <s v="2024-06-14"/>
    <n v="66.540000000000006"/>
    <x v="4167"/>
    <n v="66.3"/>
    <n v="67.02"/>
    <n v="12590146"/>
    <x v="8"/>
    <s v="Walmart"/>
    <x v="5"/>
    <n v="0.48"/>
    <x v="17"/>
    <x v="1"/>
    <s v="June"/>
    <s v="Profit"/>
    <n v="0.81000000000000227"/>
    <n v="37.053000000000004"/>
  </r>
  <r>
    <s v="2024-06-17"/>
    <n v="66.92"/>
    <x v="4161"/>
    <n v="66.412000000000006"/>
    <n v="67.42"/>
    <n v="12103044"/>
    <x v="8"/>
    <s v="Walmart"/>
    <x v="5"/>
    <n v="0.59699999999999998"/>
    <x v="17"/>
    <x v="1"/>
    <s v="June"/>
    <s v="Profit"/>
    <n v="1.0279999999999916"/>
    <n v="37.650000000000006"/>
  </r>
  <r>
    <s v="2024-06-18"/>
    <n v="67.63"/>
    <x v="4168"/>
    <n v="67.295000000000002"/>
    <n v="67.599999999999994"/>
    <n v="12093549"/>
    <x v="8"/>
    <s v="Walmart"/>
    <x v="5"/>
    <n v="0.26700000000000002"/>
    <x v="17"/>
    <x v="1"/>
    <s v="June"/>
    <s v="Profit"/>
    <n v="0.57500000000000284"/>
    <n v="37.917000000000009"/>
  </r>
  <r>
    <s v="2024-06-20"/>
    <n v="67.349999999999994"/>
    <x v="4169"/>
    <n v="67.3"/>
    <n v="68.010000000000005"/>
    <n v="13860763"/>
    <x v="8"/>
    <s v="Walmart"/>
    <x v="5"/>
    <n v="0.60699999999999998"/>
    <x v="17"/>
    <x v="1"/>
    <s v="June"/>
    <s v="Profit"/>
    <n v="0.82999999999999829"/>
    <n v="38.524000000000008"/>
  </r>
  <r>
    <s v="2024-06-21"/>
    <n v="68.260000000000005"/>
    <x v="4170"/>
    <n v="67.83"/>
    <n v="67.91"/>
    <n v="25891526"/>
    <x v="8"/>
    <s v="Walmart"/>
    <x v="5"/>
    <n v="-0.14699999999999999"/>
    <x v="17"/>
    <x v="1"/>
    <s v="June"/>
    <s v="Loss"/>
    <n v="0.71999999999999886"/>
    <n v="38.37700000000001"/>
  </r>
  <r>
    <s v="2024-06-24"/>
    <n v="68.05"/>
    <x v="4171"/>
    <n v="67.900000000000006"/>
    <n v="68.900000000000006"/>
    <n v="12470448"/>
    <x v="8"/>
    <s v="Walmart"/>
    <x v="5"/>
    <n v="1.458"/>
    <x v="17"/>
    <x v="1"/>
    <s v="June"/>
    <s v="Profit"/>
    <n v="1.1400000000000006"/>
    <n v="39.835000000000008"/>
  </r>
  <r>
    <s v="2024-06-25"/>
    <n v="67.17"/>
    <x v="4172"/>
    <n v="66.55"/>
    <n v="67.42"/>
    <n v="20904039"/>
    <x v="8"/>
    <s v="Walmart"/>
    <x v="5"/>
    <n v="-2.1480000000000001"/>
    <x v="17"/>
    <x v="1"/>
    <s v="June"/>
    <s v="Loss"/>
    <n v="1.0400000000000063"/>
    <n v="37.687000000000005"/>
  </r>
  <r>
    <s v="2024-06-26"/>
    <n v="67.400000000000006"/>
    <x v="4173"/>
    <n v="67.209999999999994"/>
    <n v="68.290000000000006"/>
    <n v="14177522"/>
    <x v="8"/>
    <s v="Walmart"/>
    <x v="5"/>
    <n v="1.29"/>
    <x v="17"/>
    <x v="1"/>
    <s v="June"/>
    <s v="Profit"/>
    <n v="1.3900000000000006"/>
    <n v="38.977000000000004"/>
  </r>
  <r>
    <s v="2024-06-27"/>
    <n v="68.290000000000006"/>
    <x v="4174"/>
    <n v="67.665000000000006"/>
    <n v="67.88"/>
    <n v="12899186"/>
    <x v="8"/>
    <s v="Walmart"/>
    <x v="5"/>
    <n v="-0.6"/>
    <x v="17"/>
    <x v="1"/>
    <s v="June"/>
    <s v="Loss"/>
    <n v="0.91499999999999204"/>
    <n v="38.377000000000002"/>
  </r>
  <r>
    <s v="2024-06-28"/>
    <n v="67.87"/>
    <x v="4175"/>
    <n v="67.319999999999993"/>
    <n v="67.709999999999994"/>
    <n v="18816720"/>
    <x v="8"/>
    <s v="Walmart"/>
    <x v="5"/>
    <n v="-0.25"/>
    <x v="17"/>
    <x v="1"/>
    <s v="June"/>
    <s v="Loss"/>
    <n v="0.7780000000000058"/>
    <n v="38.127000000000002"/>
  </r>
  <r>
    <s v="2024-07-01"/>
    <n v="67.89"/>
    <x v="4176"/>
    <n v="67.25"/>
    <n v="67.48"/>
    <n v="8666021"/>
    <x v="8"/>
    <s v="Walmart"/>
    <x v="5"/>
    <n v="-0.34"/>
    <x v="18"/>
    <x v="1"/>
    <s v="July"/>
    <s v="Loss"/>
    <n v="0.98999999999999488"/>
    <n v="37.786999999999999"/>
  </r>
  <r>
    <s v="2024-07-02"/>
    <n v="67.44"/>
    <x v="4177"/>
    <n v="67.260000000000005"/>
    <n v="68.069999999999993"/>
    <n v="9436487"/>
    <x v="8"/>
    <s v="Walmart"/>
    <x v="5"/>
    <n v="0.874"/>
    <x v="18"/>
    <x v="1"/>
    <s v="July"/>
    <s v="Profit"/>
    <n v="0.82499999999998863"/>
    <n v="38.661000000000001"/>
  </r>
  <r>
    <s v="2024-07-03"/>
    <n v="67.81"/>
    <x v="4178"/>
    <n v="67.62"/>
    <n v="68.239999999999995"/>
    <n v="6287545"/>
    <x v="8"/>
    <s v="Walmart"/>
    <x v="5"/>
    <n v="0.25"/>
    <x v="18"/>
    <x v="1"/>
    <s v="July"/>
    <s v="Profit"/>
    <n v="0.62999999999999545"/>
    <n v="38.911000000000001"/>
  </r>
  <r>
    <s v="2024-07-05"/>
    <n v="68.16"/>
    <x v="4179"/>
    <n v="68.099999999999994"/>
    <n v="70.040000000000006"/>
    <n v="21586100"/>
    <x v="8"/>
    <s v="Walmart"/>
    <x v="5"/>
    <n v="2.6379999999999999"/>
    <x v="18"/>
    <x v="1"/>
    <s v="July"/>
    <s v="Profit"/>
    <n v="2.0500000000000114"/>
    <n v="41.548999999999999"/>
  </r>
  <r>
    <s v="2024-07-08"/>
    <n v="69.900000000000006"/>
    <x v="4180"/>
    <n v="69.349999999999994"/>
    <n v="69.680000000000007"/>
    <n v="12077679"/>
    <x v="8"/>
    <s v="Walmart"/>
    <x v="5"/>
    <n v="-0.51400000000000001"/>
    <x v="18"/>
    <x v="1"/>
    <s v="July"/>
    <s v="Loss"/>
    <n v="0.79000000000000625"/>
    <n v="41.034999999999997"/>
  </r>
  <r>
    <s v="2024-07-09"/>
    <n v="69.900000000000006"/>
    <x v="4181"/>
    <n v="69.67"/>
    <n v="69.900000000000006"/>
    <n v="9781831"/>
    <x v="8"/>
    <s v="Walmart"/>
    <x v="5"/>
    <n v="0.316"/>
    <x v="18"/>
    <x v="1"/>
    <s v="July"/>
    <s v="Profit"/>
    <n v="0.57999999999999829"/>
    <n v="41.350999999999999"/>
  </r>
  <r>
    <s v="2024-07-10"/>
    <n v="70.099999999999994"/>
    <x v="4182"/>
    <n v="69.72"/>
    <n v="70.41"/>
    <n v="10803405"/>
    <x v="8"/>
    <s v="Walmart"/>
    <x v="5"/>
    <n v="0.73"/>
    <x v="18"/>
    <x v="1"/>
    <s v="July"/>
    <s v="Profit"/>
    <n v="0.71999999999999886"/>
    <n v="42.080999999999996"/>
  </r>
  <r>
    <s v="2024-07-11"/>
    <n v="70.180000000000007"/>
    <x v="4183"/>
    <n v="69.260000000000005"/>
    <n v="69.8"/>
    <n v="15624796"/>
    <x v="8"/>
    <s v="Walmart"/>
    <x v="5"/>
    <n v="-0.86599999999999999"/>
    <x v="18"/>
    <x v="1"/>
    <s v="July"/>
    <s v="Loss"/>
    <n v="1.1899999999999977"/>
    <n v="41.214999999999996"/>
  </r>
  <r>
    <s v="2024-07-12"/>
    <n v="69.900000000000006"/>
    <x v="4184"/>
    <n v="69.17"/>
    <n v="69.239999999999995"/>
    <n v="12145317"/>
    <x v="8"/>
    <s v="Walmart"/>
    <x v="5"/>
    <n v="-0.80200000000000005"/>
    <x v="18"/>
    <x v="1"/>
    <s v="July"/>
    <s v="Loss"/>
    <n v="0.85999999999999943"/>
    <n v="40.412999999999997"/>
  </r>
  <r>
    <s v="2024-07-15"/>
    <n v="69.3"/>
    <x v="4185"/>
    <n v="69.3"/>
    <n v="69.61"/>
    <n v="10171137"/>
    <x v="8"/>
    <s v="Walmart"/>
    <x v="5"/>
    <n v="0.53400000000000003"/>
    <x v="18"/>
    <x v="1"/>
    <s v="July"/>
    <s v="Profit"/>
    <n v="0.67499999999999716"/>
    <n v="40.946999999999996"/>
  </r>
  <r>
    <s v="2024-07-16"/>
    <n v="69.819999999999993"/>
    <x v="4186"/>
    <n v="69.58"/>
    <n v="69.989999999999995"/>
    <n v="9836824"/>
    <x v="8"/>
    <s v="Walmart"/>
    <x v="5"/>
    <n v="0.54600000000000004"/>
    <x v="18"/>
    <x v="1"/>
    <s v="July"/>
    <s v="Profit"/>
    <n v="0.65999999999999659"/>
    <n v="41.492999999999995"/>
  </r>
  <r>
    <s v="2024-07-17"/>
    <n v="70.180000000000007"/>
    <x v="4187"/>
    <n v="69.95"/>
    <n v="71.03"/>
    <n v="13533791"/>
    <x v="8"/>
    <s v="Walmart"/>
    <x v="5"/>
    <n v="1.486"/>
    <x v="18"/>
    <x v="1"/>
    <s v="July"/>
    <s v="Profit"/>
    <n v="1.1499999999999915"/>
    <n v="42.978999999999992"/>
  </r>
  <r>
    <s v="2024-07-18"/>
    <n v="70.680000000000007"/>
    <x v="4188"/>
    <n v="70.430000000000007"/>
    <n v="70.819999999999993"/>
    <n v="10682742"/>
    <x v="8"/>
    <s v="Walmart"/>
    <x v="5"/>
    <n v="-0.29599999999999999"/>
    <x v="18"/>
    <x v="1"/>
    <s v="July"/>
    <s v="Loss"/>
    <n v="0.75999999999999091"/>
    <n v="42.682999999999993"/>
  </r>
  <r>
    <s v="2024-07-19"/>
    <n v="71.2"/>
    <x v="4189"/>
    <n v="70.650000000000006"/>
    <n v="70.75"/>
    <n v="11665526"/>
    <x v="8"/>
    <s v="Walmart"/>
    <x v="5"/>
    <n v="-9.9000000000000005E-2"/>
    <x v="18"/>
    <x v="1"/>
    <s v="July"/>
    <s v="Loss"/>
    <n v="0.67999999999999261"/>
    <n v="42.583999999999996"/>
  </r>
  <r>
    <s v="2024-07-22"/>
    <n v="70.86"/>
    <x v="4190"/>
    <n v="70.23"/>
    <n v="70.38"/>
    <n v="12666130"/>
    <x v="8"/>
    <s v="Walmart"/>
    <x v="5"/>
    <n v="-0.52300000000000002"/>
    <x v="18"/>
    <x v="1"/>
    <s v="July"/>
    <s v="Loss"/>
    <n v="1.0300000000000011"/>
    <n v="42.060999999999993"/>
  </r>
  <r>
    <s v="2024-07-23"/>
    <n v="70.47"/>
    <x v="4191"/>
    <n v="70.11"/>
    <n v="70.650000000000006"/>
    <n v="9263561"/>
    <x v="8"/>
    <s v="Walmart"/>
    <x v="5"/>
    <n v="0.38400000000000001"/>
    <x v="18"/>
    <x v="1"/>
    <s v="July"/>
    <s v="Profit"/>
    <n v="0.59000000000000341"/>
    <n v="42.444999999999993"/>
  </r>
  <r>
    <s v="2024-07-24"/>
    <n v="70.52"/>
    <x v="4192"/>
    <n v="70.34"/>
    <n v="70.599999999999994"/>
    <n v="22490783"/>
    <x v="8"/>
    <s v="Walmart"/>
    <x v="5"/>
    <n v="-7.0999999999999994E-2"/>
    <x v="18"/>
    <x v="1"/>
    <s v="July"/>
    <s v="Loss"/>
    <n v="0.5"/>
    <n v="42.373999999999995"/>
  </r>
  <r>
    <s v="2024-07-25"/>
    <n v="70.599999999999994"/>
    <x v="4193"/>
    <n v="69.95"/>
    <n v="70.02"/>
    <n v="18821199"/>
    <x v="8"/>
    <s v="Walmart"/>
    <x v="5"/>
    <n v="-0.82199999999999995"/>
    <x v="18"/>
    <x v="1"/>
    <s v="July"/>
    <s v="Loss"/>
    <n v="0.81999999999999318"/>
    <n v="41.551999999999992"/>
  </r>
  <r>
    <s v="2024-07-26"/>
    <n v="70.23"/>
    <x v="4194"/>
    <n v="68.83"/>
    <n v="69.78"/>
    <n v="16789306"/>
    <x v="8"/>
    <s v="Walmart"/>
    <x v="5"/>
    <n v="-0.34300000000000003"/>
    <x v="18"/>
    <x v="1"/>
    <s v="July"/>
    <s v="Loss"/>
    <n v="1.4050000000000011"/>
    <n v="41.208999999999989"/>
  </r>
  <r>
    <s v="2024-07-29"/>
    <n v="69.849999999999994"/>
    <x v="4195"/>
    <n v="69.13"/>
    <n v="69.62"/>
    <n v="10315305"/>
    <x v="8"/>
    <s v="Walmart"/>
    <x v="5"/>
    <n v="-0.22900000000000001"/>
    <x v="18"/>
    <x v="1"/>
    <s v="July"/>
    <s v="Loss"/>
    <n v="0.77000000000001023"/>
    <n v="40.97999999999999"/>
  </r>
  <r>
    <s v="2024-07-30"/>
    <n v="69.55"/>
    <x v="4196"/>
    <n v="68.98"/>
    <n v="69.19"/>
    <n v="12522469"/>
    <x v="8"/>
    <s v="Walmart"/>
    <x v="5"/>
    <n v="-0.61799999999999999"/>
    <x v="18"/>
    <x v="1"/>
    <s v="July"/>
    <s v="Loss"/>
    <n v="0.86499999999999488"/>
    <n v="40.361999999999988"/>
  </r>
  <r>
    <s v="2024-07-31"/>
    <n v="69.180000000000007"/>
    <x v="4197"/>
    <n v="68.290000000000006"/>
    <n v="68.64"/>
    <n v="22908760"/>
    <x v="8"/>
    <s v="Walmart"/>
    <x v="5"/>
    <n v="-0.79500000000000004"/>
    <x v="18"/>
    <x v="1"/>
    <s v="July"/>
    <s v="Loss"/>
    <n v="0.95999999999999375"/>
    <n v="39.566999999999986"/>
  </r>
  <r>
    <s v="2024-08-01"/>
    <n v="68.91"/>
    <x v="4198"/>
    <n v="68.52"/>
    <n v="69.790000000000006"/>
    <n v="17275532"/>
    <x v="8"/>
    <s v="Walmart"/>
    <x v="5"/>
    <n v="1.675"/>
    <x v="19"/>
    <x v="1"/>
    <s v="August"/>
    <s v="Profit"/>
    <n v="1.2800000000000011"/>
    <n v="41.241999999999983"/>
  </r>
  <r>
    <s v="2024-08-02"/>
    <n v="69.599999999999994"/>
    <x v="4194"/>
    <n v="67.739999999999995"/>
    <n v="68.459999999999994"/>
    <n v="23578664"/>
    <x v="8"/>
    <s v="Walmart"/>
    <x v="5"/>
    <n v="-1.9059999999999999"/>
    <x v="19"/>
    <x v="1"/>
    <s v="August"/>
    <s v="Loss"/>
    <n v="2.4950000000000045"/>
    <n v="39.335999999999984"/>
  </r>
  <r>
    <s v="2024-08-05"/>
    <n v="68.099999999999994"/>
    <x v="4174"/>
    <n v="66.91"/>
    <n v="67.59"/>
    <n v="20770455"/>
    <x v="8"/>
    <s v="Walmart"/>
    <x v="5"/>
    <n v="-1.2709999999999999"/>
    <x v="19"/>
    <x v="1"/>
    <s v="August"/>
    <s v="Loss"/>
    <n v="1.6700000000000017"/>
    <n v="38.064999999999984"/>
  </r>
  <r>
    <s v="2024-08-06"/>
    <n v="67.84"/>
    <x v="4199"/>
    <n v="67.680000000000007"/>
    <n v="67.739999999999995"/>
    <n v="14815072"/>
    <x v="8"/>
    <s v="Walmart"/>
    <x v="5"/>
    <n v="0.222"/>
    <x v="19"/>
    <x v="1"/>
    <s v="August"/>
    <s v="Profit"/>
    <n v="0.94999999999998863"/>
    <n v="38.286999999999985"/>
  </r>
  <r>
    <s v="2024-08-07"/>
    <n v="67.87"/>
    <x v="4200"/>
    <n v="66.81"/>
    <n v="66.91"/>
    <n v="18499200"/>
    <x v="8"/>
    <s v="Walmart"/>
    <x v="5"/>
    <n v="-1.2250000000000001"/>
    <x v="19"/>
    <x v="1"/>
    <s v="August"/>
    <s v="Loss"/>
    <n v="1.2000000000000028"/>
    <n v="37.061999999999983"/>
  </r>
  <r>
    <s v="2024-08-08"/>
    <n v="66.84"/>
    <x v="4201"/>
    <n v="66.67"/>
    <n v="67.66"/>
    <n v="12489819"/>
    <x v="8"/>
    <s v="Walmart"/>
    <x v="5"/>
    <n v="1.121"/>
    <x v="19"/>
    <x v="1"/>
    <s v="August"/>
    <s v="Profit"/>
    <n v="1.25"/>
    <n v="38.182999999999986"/>
  </r>
  <r>
    <s v="2024-08-09"/>
    <n v="67.849999999999994"/>
    <x v="4202"/>
    <n v="67.33"/>
    <n v="67.95"/>
    <n v="13805576"/>
    <x v="8"/>
    <s v="Walmart"/>
    <x v="5"/>
    <n v="0.42899999999999999"/>
    <x v="19"/>
    <x v="1"/>
    <s v="August"/>
    <s v="Profit"/>
    <n v="0.89000000000000057"/>
    <n v="38.611999999999988"/>
  </r>
  <r>
    <s v="2024-08-12"/>
    <n v="68.34"/>
    <x v="4203"/>
    <n v="68.069999999999993"/>
    <n v="68.7"/>
    <n v="17385278"/>
    <x v="8"/>
    <s v="Walmart"/>
    <x v="5"/>
    <n v="1.1040000000000001"/>
    <x v="19"/>
    <x v="1"/>
    <s v="August"/>
    <s v="Profit"/>
    <n v="1.1550000000000011"/>
    <n v="39.715999999999987"/>
  </r>
  <r>
    <s v="2024-08-13"/>
    <n v="68.430000000000007"/>
    <x v="4204"/>
    <n v="67.14"/>
    <n v="68.13"/>
    <n v="26557901"/>
    <x v="8"/>
    <s v="Walmart"/>
    <x v="5"/>
    <n v="-0.83"/>
    <x v="19"/>
    <x v="1"/>
    <s v="August"/>
    <s v="Loss"/>
    <n v="1.4699999999999989"/>
    <n v="38.885999999999989"/>
  </r>
  <r>
    <s v="2024-08-14"/>
    <n v="67.92"/>
    <x v="4205"/>
    <n v="67.849999999999994"/>
    <n v="68.66"/>
    <n v="22928551"/>
    <x v="8"/>
    <s v="Walmart"/>
    <x v="5"/>
    <n v="0.77800000000000002"/>
    <x v="19"/>
    <x v="1"/>
    <s v="August"/>
    <s v="Profit"/>
    <n v="0.94000000000001194"/>
    <n v="39.663999999999987"/>
  </r>
  <r>
    <s v="2024-08-15"/>
    <n v="74.12"/>
    <x v="4206"/>
    <n v="72.78"/>
    <n v="73.180000000000007"/>
    <n v="49567500"/>
    <x v="8"/>
    <s v="Walmart"/>
    <x v="5"/>
    <n v="6.5830000000000002"/>
    <x v="19"/>
    <x v="1"/>
    <s v="August"/>
    <s v="Profit"/>
    <n v="1.6599999999999966"/>
    <n v="46.246999999999986"/>
  </r>
  <r>
    <s v="2024-08-16"/>
    <n v="72.7"/>
    <x v="4207"/>
    <n v="72.52"/>
    <n v="73.45"/>
    <n v="19872144"/>
    <x v="8"/>
    <s v="Walmart"/>
    <x v="5"/>
    <n v="0.36899999999999999"/>
    <x v="19"/>
    <x v="1"/>
    <s v="August"/>
    <s v="Profit"/>
    <n v="1.085000000000008"/>
    <n v="46.615999999999985"/>
  </r>
  <r>
    <s v="2024-08-19"/>
    <n v="73.39"/>
    <x v="4208"/>
    <n v="73.34"/>
    <n v="73.72"/>
    <n v="13709265"/>
    <x v="8"/>
    <s v="Walmart"/>
    <x v="5"/>
    <n v="0.36799999999999999"/>
    <x v="19"/>
    <x v="1"/>
    <s v="August"/>
    <s v="Profit"/>
    <n v="0.64000000000000057"/>
    <n v="46.983999999999988"/>
  </r>
  <r>
    <s v="2024-08-20"/>
    <n v="73.75"/>
    <x v="4209"/>
    <n v="73.72"/>
    <n v="74.540000000000006"/>
    <n v="14433985"/>
    <x v="8"/>
    <s v="Walmart"/>
    <x v="5"/>
    <n v="1.1120000000000001"/>
    <x v="19"/>
    <x v="1"/>
    <s v="August"/>
    <s v="Profit"/>
    <n v="1.0300000000000011"/>
    <n v="48.095999999999989"/>
  </r>
  <r>
    <s v="2024-08-21"/>
    <n v="75.3"/>
    <x v="4210"/>
    <n v="74.59"/>
    <n v="75.239999999999995"/>
    <n v="14831992"/>
    <x v="8"/>
    <s v="Walmart"/>
    <x v="5"/>
    <n v="0.93899999999999995"/>
    <x v="19"/>
    <x v="1"/>
    <s v="August"/>
    <s v="Profit"/>
    <n v="0.98999999999999488"/>
    <n v="49.034999999999989"/>
  </r>
  <r>
    <s v="2024-08-22"/>
    <n v="75.37"/>
    <x v="4211"/>
    <n v="75.150000000000006"/>
    <n v="75.58"/>
    <n v="16511139"/>
    <x v="8"/>
    <s v="Walmart"/>
    <x v="5"/>
    <n v="0.45200000000000001"/>
    <x v="19"/>
    <x v="1"/>
    <s v="August"/>
    <s v="Profit"/>
    <n v="1.0699999999999932"/>
    <n v="49.486999999999988"/>
  </r>
  <r>
    <s v="2024-08-23"/>
    <n v="75.599999999999994"/>
    <x v="4212"/>
    <n v="75.007999999999996"/>
    <n v="75.7"/>
    <n v="12299093"/>
    <x v="8"/>
    <s v="Walmart"/>
    <x v="5"/>
    <n v="0.159"/>
    <x v="19"/>
    <x v="1"/>
    <s v="August"/>
    <s v="Profit"/>
    <n v="0.80200000000000671"/>
    <n v="49.645999999999987"/>
  </r>
  <r>
    <s v="2024-08-26"/>
    <n v="75.900000000000006"/>
    <x v="4213"/>
    <n v="75.569999999999993"/>
    <n v="76.03"/>
    <n v="9508215"/>
    <x v="8"/>
    <s v="Walmart"/>
    <x v="5"/>
    <n v="0.436"/>
    <x v="19"/>
    <x v="1"/>
    <s v="August"/>
    <s v="Profit"/>
    <n v="0.63500000000000512"/>
    <n v="50.081999999999987"/>
  </r>
  <r>
    <s v="2024-08-27"/>
    <n v="76.45"/>
    <x v="4214"/>
    <n v="75.77"/>
    <n v="76.13"/>
    <n v="11557762"/>
    <x v="8"/>
    <s v="Walmart"/>
    <x v="5"/>
    <n v="0.13200000000000001"/>
    <x v="19"/>
    <x v="1"/>
    <s v="August"/>
    <s v="Profit"/>
    <n v="0.68000000000000682"/>
    <n v="50.213999999999984"/>
  </r>
  <r>
    <s v="2024-08-28"/>
    <n v="76.28"/>
    <x v="4215"/>
    <n v="75.805000000000007"/>
    <n v="76.08"/>
    <n v="9814264"/>
    <x v="8"/>
    <s v="Walmart"/>
    <x v="5"/>
    <n v="-6.6000000000000003E-2"/>
    <x v="19"/>
    <x v="1"/>
    <s v="August"/>
    <s v="Loss"/>
    <n v="0.625"/>
    <n v="50.147999999999982"/>
  </r>
  <r>
    <s v="2024-08-29"/>
    <n v="75.989999999999995"/>
    <x v="4216"/>
    <n v="75.67"/>
    <n v="76.42"/>
    <n v="11856787"/>
    <x v="8"/>
    <s v="Walmart"/>
    <x v="5"/>
    <n v="0.44700000000000001"/>
    <x v="19"/>
    <x v="1"/>
    <s v="August"/>
    <s v="Profit"/>
    <n v="0.79999999999999716"/>
    <n v="50.594999999999985"/>
  </r>
  <r>
    <s v="2024-08-30"/>
    <n v="76.44"/>
    <x v="4217"/>
    <n v="76.22"/>
    <n v="77.23"/>
    <n v="23229975"/>
    <x v="8"/>
    <s v="Walmart"/>
    <x v="5"/>
    <n v="1.06"/>
    <x v="19"/>
    <x v="1"/>
    <s v="August"/>
    <s v="Profit"/>
    <n v="1.2549999999999955"/>
    <n v="51.654999999999987"/>
  </r>
  <r>
    <s v="2024-09-03"/>
    <n v="77.33"/>
    <x v="4218"/>
    <n v="76.795000000000002"/>
    <n v="77.17"/>
    <n v="22666144"/>
    <x v="8"/>
    <s v="Walmart"/>
    <x v="5"/>
    <n v="-7.8E-2"/>
    <x v="20"/>
    <x v="1"/>
    <s v="September"/>
    <s v="Loss"/>
    <n v="1.0150000000000006"/>
    <n v="51.576999999999984"/>
  </r>
  <r>
    <s v="2024-09-04"/>
    <n v="77.33"/>
    <x v="4219"/>
    <n v="76.73"/>
    <n v="77.239999999999995"/>
    <n v="18442775"/>
    <x v="8"/>
    <s v="Walmart"/>
    <x v="5"/>
    <n v="9.0999999999999998E-2"/>
    <x v="20"/>
    <x v="1"/>
    <s v="September"/>
    <s v="Profit"/>
    <n v="0.75"/>
    <n v="51.667999999999985"/>
  </r>
  <r>
    <s v="2024-09-05"/>
    <n v="77.25"/>
    <x v="4220"/>
    <n v="76.39"/>
    <n v="76.959999999999994"/>
    <n v="13082893"/>
    <x v="8"/>
    <s v="Walmart"/>
    <x v="5"/>
    <n v="-0.36299999999999999"/>
    <x v="20"/>
    <x v="1"/>
    <s v="September"/>
    <s v="Loss"/>
    <n v="1.0600000000000023"/>
    <n v="51.304999999999986"/>
  </r>
  <r>
    <s v="2024-09-06"/>
    <n v="76.900000000000006"/>
    <x v="4221"/>
    <n v="76.3"/>
    <n v="76.64"/>
    <n v="14548588"/>
    <x v="8"/>
    <s v="Walmart"/>
    <x v="5"/>
    <n v="-0.41599999999999998"/>
    <x v="20"/>
    <x v="1"/>
    <s v="September"/>
    <s v="Loss"/>
    <n v="1.019999999999996"/>
    <n v="50.888999999999989"/>
  </r>
  <r>
    <s v="2024-09-09"/>
    <n v="76.849999999999994"/>
    <x v="4222"/>
    <n v="76.489999999999995"/>
    <n v="77.34"/>
    <n v="22260226"/>
    <x v="8"/>
    <s v="Walmart"/>
    <x v="5"/>
    <n v="0.91300000000000003"/>
    <x v="20"/>
    <x v="1"/>
    <s v="September"/>
    <s v="Profit"/>
    <n v="0.98000000000000398"/>
    <n v="51.801999999999985"/>
  </r>
  <r>
    <s v="2024-09-10"/>
    <n v="77.349999999999994"/>
    <x v="4223"/>
    <n v="77.28"/>
    <n v="78.81"/>
    <n v="17686284"/>
    <x v="8"/>
    <s v="Walmart"/>
    <x v="5"/>
    <n v="1.901"/>
    <x v="20"/>
    <x v="1"/>
    <s v="September"/>
    <s v="Profit"/>
    <n v="1.6200000000000045"/>
    <n v="53.702999999999989"/>
  </r>
  <r>
    <s v="2024-09-11"/>
    <n v="78.38"/>
    <x v="4224"/>
    <n v="77.564999999999998"/>
    <n v="78.84"/>
    <n v="19518761"/>
    <x v="8"/>
    <s v="Walmart"/>
    <x v="5"/>
    <n v="3.7999999999999999E-2"/>
    <x v="20"/>
    <x v="1"/>
    <s v="September"/>
    <s v="Profit"/>
    <n v="1.355000000000004"/>
    <n v="53.740999999999985"/>
  </r>
  <r>
    <s v="2024-09-12"/>
    <n v="78.989999999999995"/>
    <x v="4225"/>
    <n v="78.622"/>
    <n v="79.66"/>
    <n v="14884852"/>
    <x v="8"/>
    <s v="Walmart"/>
    <x v="5"/>
    <n v="1.04"/>
    <x v="20"/>
    <x v="1"/>
    <s v="September"/>
    <s v="Profit"/>
    <n v="1.2830000000000013"/>
    <n v="54.780999999999985"/>
  </r>
  <r>
    <s v="2024-09-13"/>
    <n v="79.819999999999993"/>
    <x v="4226"/>
    <n v="79.69"/>
    <n v="80.599999999999994"/>
    <n v="12994100"/>
    <x v="8"/>
    <s v="Walmart"/>
    <x v="5"/>
    <n v="1.18"/>
    <x v="20"/>
    <x v="1"/>
    <s v="September"/>
    <s v="Profit"/>
    <n v="0.99500000000000455"/>
    <n v="55.960999999999984"/>
  </r>
  <r>
    <s v="2024-09-16"/>
    <n v="80.84"/>
    <x v="4227"/>
    <n v="80.14"/>
    <n v="80.56"/>
    <n v="15346367"/>
    <x v="8"/>
    <s v="Walmart"/>
    <x v="5"/>
    <n v="-0.05"/>
    <x v="20"/>
    <x v="1"/>
    <s v="September"/>
    <s v="Loss"/>
    <n v="0.87999999999999545"/>
    <n v="55.910999999999987"/>
  </r>
  <r>
    <s v="2024-09-17"/>
    <n v="79.760000000000005"/>
    <x v="4228"/>
    <n v="78.260000000000005"/>
    <n v="78.599999999999994"/>
    <n v="21065938"/>
    <x v="8"/>
    <s v="Walmart"/>
    <x v="5"/>
    <n v="-2.4329999999999998"/>
    <x v="20"/>
    <x v="1"/>
    <s v="September"/>
    <s v="Loss"/>
    <n v="2"/>
    <n v="53.477999999999987"/>
  </r>
  <r>
    <s v="2024-09-18"/>
    <n v="78.64"/>
    <x v="4229"/>
    <n v="78.28"/>
    <n v="79.03"/>
    <n v="15684878"/>
    <x v="8"/>
    <s v="Walmart"/>
    <x v="5"/>
    <n v="0.54700000000000004"/>
    <x v="20"/>
    <x v="1"/>
    <s v="September"/>
    <s v="Profit"/>
    <n v="1.1299999999999955"/>
    <n v="54.024999999999984"/>
  </r>
  <r>
    <s v="2024-09-19"/>
    <n v="79.05"/>
    <x v="4230"/>
    <n v="77.489999999999995"/>
    <n v="78.040000000000006"/>
    <n v="21525685"/>
    <x v="8"/>
    <s v="Walmart"/>
    <x v="5"/>
    <n v="-1.2529999999999999"/>
    <x v="20"/>
    <x v="1"/>
    <s v="September"/>
    <s v="Loss"/>
    <n v="1.6000000000000085"/>
    <n v="52.771999999999984"/>
  </r>
  <r>
    <s v="2024-09-20"/>
    <n v="78.23"/>
    <x v="4231"/>
    <n v="78.11"/>
    <n v="79.06"/>
    <n v="39534251"/>
    <x v="8"/>
    <s v="Walmart"/>
    <x v="5"/>
    <n v="1.3069999999999999"/>
    <x v="20"/>
    <x v="1"/>
    <s v="September"/>
    <s v="Profit"/>
    <n v="1.5"/>
    <n v="54.078999999999986"/>
  </r>
  <r>
    <s v="2024-09-23"/>
    <n v="79.069999999999993"/>
    <x v="4232"/>
    <n v="79.069999999999993"/>
    <n v="80.33"/>
    <n v="12147264"/>
    <x v="8"/>
    <s v="Walmart"/>
    <x v="5"/>
    <n v="1.6060000000000001"/>
    <x v="20"/>
    <x v="1"/>
    <s v="September"/>
    <s v="Profit"/>
    <n v="1.3670000000000044"/>
    <n v="55.684999999999988"/>
  </r>
  <r>
    <s v="2024-09-24"/>
    <n v="80.48"/>
    <x v="4233"/>
    <n v="80.239999999999995"/>
    <n v="80.67"/>
    <n v="14651133"/>
    <x v="8"/>
    <s v="Walmart"/>
    <x v="5"/>
    <n v="0.42299999999999999"/>
    <x v="20"/>
    <x v="1"/>
    <s v="September"/>
    <s v="Profit"/>
    <n v="0.67000000000000171"/>
    <n v="56.10799999999999"/>
  </r>
  <r>
    <s v="2024-09-25"/>
    <n v="80.89"/>
    <x v="4234"/>
    <n v="80.680000000000007"/>
    <n v="81.400000000000006"/>
    <n v="14163785"/>
    <x v="8"/>
    <s v="Walmart"/>
    <x v="5"/>
    <n v="0.90500000000000003"/>
    <x v="20"/>
    <x v="1"/>
    <s v="September"/>
    <s v="Profit"/>
    <n v="0.91999999999998749"/>
    <n v="57.012999999999991"/>
  </r>
  <r>
    <s v="2024-09-26"/>
    <n v="81.040000000000006"/>
    <x v="4235"/>
    <n v="79.260000000000005"/>
    <n v="79.92"/>
    <n v="17061133"/>
    <x v="8"/>
    <s v="Walmart"/>
    <x v="5"/>
    <n v="-1.8180000000000001"/>
    <x v="20"/>
    <x v="1"/>
    <s v="September"/>
    <s v="Loss"/>
    <n v="1.9399999999999977"/>
    <n v="55.194999999999993"/>
  </r>
  <r>
    <s v="2024-09-27"/>
    <n v="79.900000000000006"/>
    <x v="4236"/>
    <n v="79.599999999999994"/>
    <n v="79.78"/>
    <n v="11899050"/>
    <x v="8"/>
    <s v="Walmart"/>
    <x v="5"/>
    <n v="-0.17499999999999999"/>
    <x v="20"/>
    <x v="1"/>
    <s v="September"/>
    <s v="Loss"/>
    <n v="0.68700000000001182"/>
    <n v="55.019999999999996"/>
  </r>
  <r>
    <s v="2024-09-30"/>
    <n v="79.900000000000006"/>
    <x v="4237"/>
    <n v="79.86"/>
    <n v="80.75"/>
    <n v="19008187"/>
    <x v="8"/>
    <s v="Walmart"/>
    <x v="5"/>
    <n v="1.216"/>
    <x v="20"/>
    <x v="1"/>
    <s v="September"/>
    <s v="Profit"/>
    <n v="1.0799999999999983"/>
    <n v="56.235999999999997"/>
  </r>
  <r>
    <s v="2024-10-01"/>
    <n v="80.680000000000007"/>
    <x v="4238"/>
    <n v="80.435000000000002"/>
    <n v="81.27"/>
    <n v="16054249"/>
    <x v="8"/>
    <s v="Walmart"/>
    <x v="5"/>
    <n v="0.64400000000000002"/>
    <x v="21"/>
    <x v="1"/>
    <s v="October"/>
    <s v="Profit"/>
    <n v="1.0949999999999989"/>
    <n v="56.879999999999995"/>
  </r>
  <r>
    <s v="2024-10-02"/>
    <n v="80.989999999999995"/>
    <x v="4239"/>
    <n v="80.12"/>
    <n v="80.430000000000007"/>
    <n v="16618272"/>
    <x v="8"/>
    <s v="Walmart"/>
    <x v="5"/>
    <n v="-1.034"/>
    <x v="21"/>
    <x v="1"/>
    <s v="October"/>
    <s v="Loss"/>
    <n v="0.86999999999999034"/>
    <n v="55.845999999999997"/>
  </r>
  <r>
    <s v="2024-10-03"/>
    <n v="80.3"/>
    <x v="4240"/>
    <n v="79.849999999999994"/>
    <n v="80.430000000000007"/>
    <n v="11640421"/>
    <x v="8"/>
    <s v="Walmart"/>
    <x v="5"/>
    <n v="0"/>
    <x v="21"/>
    <x v="1"/>
    <s v="October"/>
    <s v="Neutral"/>
    <n v="0.72500000000000853"/>
    <n v="55.845999999999997"/>
  </r>
  <r>
    <s v="2024-10-04"/>
    <n v="80.05"/>
    <x v="4241"/>
    <n v="79.849999999999994"/>
    <n v="80.94"/>
    <n v="11591388"/>
    <x v="8"/>
    <s v="Walmart"/>
    <x v="5"/>
    <n v="0.63400000000000001"/>
    <x v="21"/>
    <x v="1"/>
    <s v="October"/>
    <s v="Profit"/>
    <n v="1.2650000000000006"/>
    <n v="56.48"/>
  </r>
  <r>
    <s v="2024-10-07"/>
    <n v="80.69"/>
    <x v="4237"/>
    <n v="78.98"/>
    <n v="79.099999999999994"/>
    <n v="16791646"/>
    <x v="8"/>
    <s v="Walmart"/>
    <x v="5"/>
    <n v="-2.2730000000000001"/>
    <x v="21"/>
    <x v="1"/>
    <s v="October"/>
    <s v="Loss"/>
    <n v="1.9599999999999937"/>
    <n v="54.206999999999994"/>
  </r>
  <r>
    <s v="2024-10-08"/>
    <n v="79.62"/>
    <x v="4242"/>
    <n v="79.069999999999993"/>
    <n v="79.709999999999994"/>
    <n v="15269963"/>
    <x v="8"/>
    <s v="Walmart"/>
    <x v="5"/>
    <n v="0.77100000000000002"/>
    <x v="21"/>
    <x v="1"/>
    <s v="October"/>
    <s v="Profit"/>
    <n v="0.75"/>
    <n v="54.977999999999994"/>
  </r>
  <r>
    <s v="2024-10-09"/>
    <n v="79.819999999999993"/>
    <x v="4243"/>
    <n v="79.75"/>
    <n v="80.400000000000006"/>
    <n v="12413030"/>
    <x v="8"/>
    <s v="Walmart"/>
    <x v="5"/>
    <n v="0.86599999999999999"/>
    <x v="21"/>
    <x v="1"/>
    <s v="October"/>
    <s v="Profit"/>
    <n v="0.75"/>
    <n v="55.843999999999994"/>
  </r>
  <r>
    <s v="2024-10-10"/>
    <n v="80.31"/>
    <x v="4244"/>
    <n v="79.459999999999994"/>
    <n v="79.61"/>
    <n v="10812700"/>
    <x v="8"/>
    <s v="Walmart"/>
    <x v="5"/>
    <n v="-0.98299999999999998"/>
    <x v="21"/>
    <x v="1"/>
    <s v="October"/>
    <s v="Loss"/>
    <n v="0.85999999999999943"/>
    <n v="54.860999999999997"/>
  </r>
  <r>
    <s v="2024-10-11"/>
    <n v="79.7"/>
    <x v="4245"/>
    <n v="79.37"/>
    <n v="80.099999999999994"/>
    <n v="9570734"/>
    <x v="8"/>
    <s v="Walmart"/>
    <x v="5"/>
    <n v="0.61599999999999999"/>
    <x v="21"/>
    <x v="1"/>
    <s v="October"/>
    <s v="Profit"/>
    <n v="0.75999999999999091"/>
    <n v="55.476999999999997"/>
  </r>
  <r>
    <s v="2024-10-14"/>
    <n v="80.05"/>
    <x v="4246"/>
    <n v="79.760000000000005"/>
    <n v="80.290000000000006"/>
    <n v="9914477"/>
    <x v="8"/>
    <s v="Walmart"/>
    <x v="5"/>
    <n v="0.23699999999999999"/>
    <x v="21"/>
    <x v="1"/>
    <s v="October"/>
    <s v="Profit"/>
    <n v="0.75"/>
    <n v="55.713999999999999"/>
  </r>
  <r>
    <s v="2024-10-15"/>
    <n v="80.67"/>
    <x v="4247"/>
    <n v="80.510000000000005"/>
    <n v="81.650000000000006"/>
    <n v="13276221"/>
    <x v="8"/>
    <s v="Walmart"/>
    <x v="5"/>
    <n v="1.694"/>
    <x v="21"/>
    <x v="1"/>
    <s v="October"/>
    <s v="Profit"/>
    <n v="1.3099999999999881"/>
    <n v="57.408000000000001"/>
  </r>
  <r>
    <s v="2024-10-16"/>
    <n v="81.53"/>
    <x v="4248"/>
    <n v="80.62"/>
    <n v="81.22"/>
    <n v="11123254"/>
    <x v="8"/>
    <s v="Walmart"/>
    <x v="5"/>
    <n v="-0.52700000000000002"/>
    <x v="21"/>
    <x v="1"/>
    <s v="October"/>
    <s v="Loss"/>
    <n v="1.039999999999992"/>
    <n v="56.881"/>
  </r>
  <r>
    <s v="2024-10-17"/>
    <n v="81.27"/>
    <x v="4249"/>
    <n v="80.644999999999996"/>
    <n v="80.89"/>
    <n v="9424705"/>
    <x v="8"/>
    <s v="Walmart"/>
    <x v="5"/>
    <n v="-0.40600000000000003"/>
    <x v="21"/>
    <x v="1"/>
    <s v="October"/>
    <s v="Loss"/>
    <n v="0.85500000000000398"/>
    <n v="56.475000000000001"/>
  </r>
  <r>
    <s v="2024-10-18"/>
    <n v="80.86"/>
    <x v="4250"/>
    <n v="80.66"/>
    <n v="81.31"/>
    <n v="12324148"/>
    <x v="8"/>
    <s v="Walmart"/>
    <x v="5"/>
    <n v="0.51900000000000002"/>
    <x v="21"/>
    <x v="1"/>
    <s v="October"/>
    <s v="Profit"/>
    <n v="1.0300000000000011"/>
    <n v="56.994"/>
  </r>
  <r>
    <s v="2024-10-21"/>
    <n v="81.23"/>
    <x v="4251"/>
    <n v="80.72"/>
    <n v="80.81"/>
    <n v="9750376"/>
    <x v="8"/>
    <s v="Walmart"/>
    <x v="5"/>
    <n v="-0.61499999999999999"/>
    <x v="21"/>
    <x v="1"/>
    <s v="October"/>
    <s v="Loss"/>
    <n v="0.82999999999999829"/>
    <n v="56.378999999999998"/>
  </r>
  <r>
    <s v="2024-10-22"/>
    <n v="81.11"/>
    <x v="4252"/>
    <n v="80.825000000000003"/>
    <n v="82.02"/>
    <n v="12240149"/>
    <x v="8"/>
    <s v="Walmart"/>
    <x v="5"/>
    <n v="1.4970000000000001"/>
    <x v="21"/>
    <x v="1"/>
    <s v="October"/>
    <s v="Profit"/>
    <n v="1.3999999999999915"/>
    <n v="57.875999999999998"/>
  </r>
  <r>
    <s v="2024-10-23"/>
    <n v="81.89"/>
    <x v="4253"/>
    <n v="81.8"/>
    <n v="83.27"/>
    <n v="13058244"/>
    <x v="8"/>
    <s v="Walmart"/>
    <x v="5"/>
    <n v="1.524"/>
    <x v="21"/>
    <x v="1"/>
    <s v="October"/>
    <s v="Profit"/>
    <n v="1.5400000000000063"/>
    <n v="59.4"/>
  </r>
  <r>
    <s v="2024-10-24"/>
    <n v="82.96"/>
    <x v="4254"/>
    <n v="82.58"/>
    <n v="83.04"/>
    <n v="11645856"/>
    <x v="8"/>
    <s v="Walmart"/>
    <x v="5"/>
    <n v="-0.27600000000000002"/>
    <x v="21"/>
    <x v="1"/>
    <s v="October"/>
    <s v="Loss"/>
    <n v="0.73499999999999943"/>
    <n v="59.123999999999995"/>
  </r>
  <r>
    <s v="2024-10-25"/>
    <n v="83.2"/>
    <x v="4255"/>
    <n v="82.435000000000002"/>
    <n v="82.51"/>
    <n v="8959412"/>
    <x v="8"/>
    <s v="Walmart"/>
    <x v="5"/>
    <n v="-0.63800000000000001"/>
    <x v="21"/>
    <x v="1"/>
    <s v="October"/>
    <s v="Loss"/>
    <n v="0.86499999999999488"/>
    <n v="58.485999999999997"/>
  </r>
  <r>
    <s v="2024-10-28"/>
    <n v="82.75"/>
    <x v="4256"/>
    <n v="82.47"/>
    <n v="82.75"/>
    <n v="7990186"/>
    <x v="8"/>
    <s v="Walmart"/>
    <x v="5"/>
    <n v="0.29099999999999998"/>
    <x v="21"/>
    <x v="1"/>
    <s v="October"/>
    <s v="Profit"/>
    <n v="0.60999999999999943"/>
    <n v="58.776999999999994"/>
  </r>
  <r>
    <s v="2024-10-29"/>
    <n v="82.67"/>
    <x v="4257"/>
    <n v="81.665000000000006"/>
    <n v="81.7"/>
    <n v="9682403"/>
    <x v="8"/>
    <s v="Walmart"/>
    <x v="5"/>
    <n v="-1.2689999999999999"/>
    <x v="21"/>
    <x v="1"/>
    <s v="October"/>
    <s v="Loss"/>
    <n v="1.1949999999999932"/>
    <n v="57.507999999999996"/>
  </r>
  <r>
    <s v="2024-10-30"/>
    <n v="81.599999999999994"/>
    <x v="4258"/>
    <n v="81.3"/>
    <n v="81.39"/>
    <n v="9268824"/>
    <x v="8"/>
    <s v="Walmart"/>
    <x v="5"/>
    <n v="-0.379"/>
    <x v="21"/>
    <x v="1"/>
    <s v="October"/>
    <s v="Loss"/>
    <n v="0.53000000000000114"/>
    <n v="57.128999999999998"/>
  </r>
  <r>
    <s v="2024-10-31"/>
    <n v="81.290000000000006"/>
    <x v="4259"/>
    <n v="81.22"/>
    <n v="81.95"/>
    <n v="15538968"/>
    <x v="8"/>
    <s v="Walmart"/>
    <x v="5"/>
    <n v="0.68799999999999994"/>
    <x v="21"/>
    <x v="1"/>
    <s v="October"/>
    <s v="Profit"/>
    <n v="1.2199999999999989"/>
    <n v="57.817"/>
  </r>
  <r>
    <s v="2024-11-01"/>
    <n v="82.53"/>
    <x v="4260"/>
    <n v="81.540000000000006"/>
    <n v="82.19"/>
    <n v="12181833"/>
    <x v="8"/>
    <s v="Walmart"/>
    <x v="5"/>
    <n v="0.29299999999999998"/>
    <x v="22"/>
    <x v="1"/>
    <s v="November"/>
    <s v="Profit"/>
    <n v="0.98999999999999488"/>
    <n v="58.11"/>
  </r>
  <r>
    <s v="2024-11-04"/>
    <n v="82.2"/>
    <x v="4261"/>
    <n v="82"/>
    <n v="82.45"/>
    <n v="11731043"/>
    <x v="8"/>
    <s v="Walmart"/>
    <x v="5"/>
    <n v="0.316"/>
    <x v="22"/>
    <x v="1"/>
    <s v="November"/>
    <s v="Profit"/>
    <n v="0.90500000000000114"/>
    <n v="58.426000000000002"/>
  </r>
  <r>
    <s v="2024-11-05"/>
    <n v="82.68"/>
    <x v="4262"/>
    <n v="82.51"/>
    <n v="83.68"/>
    <n v="10612489"/>
    <x v="8"/>
    <s v="Walmart"/>
    <x v="5"/>
    <n v="1.492"/>
    <x v="22"/>
    <x v="1"/>
    <s v="November"/>
    <s v="Profit"/>
    <n v="1.2599999999999909"/>
    <n v="59.917999999999999"/>
  </r>
  <r>
    <s v="2024-11-06"/>
    <n v="85.14"/>
    <x v="4263"/>
    <n v="82.06"/>
    <n v="83.44"/>
    <n v="19974038"/>
    <x v="8"/>
    <s v="Walmart"/>
    <x v="5"/>
    <n v="-0.28699999999999998"/>
    <x v="22"/>
    <x v="1"/>
    <s v="November"/>
    <s v="Loss"/>
    <n v="3.480000000000004"/>
    <n v="59.631"/>
  </r>
  <r>
    <s v="2024-11-07"/>
    <n v="83.72"/>
    <x v="4264"/>
    <n v="83.42"/>
    <n v="83.85"/>
    <n v="12665777"/>
    <x v="8"/>
    <s v="Walmart"/>
    <x v="5"/>
    <n v="0.49099999999999999"/>
    <x v="22"/>
    <x v="1"/>
    <s v="November"/>
    <s v="Profit"/>
    <n v="0.96999999999999886"/>
    <n v="60.122"/>
  </r>
  <r>
    <s v="2024-11-08"/>
    <n v="84.28"/>
    <x v="498"/>
    <n v="84.23"/>
    <n v="84.83"/>
    <n v="14396543"/>
    <x v="8"/>
    <s v="Walmart"/>
    <x v="5"/>
    <n v="1.169"/>
    <x v="22"/>
    <x v="1"/>
    <s v="November"/>
    <s v="Profit"/>
    <n v="1.1899999999999977"/>
    <n v="61.290999999999997"/>
  </r>
  <r>
    <s v="2024-11-11"/>
    <n v="84.95"/>
    <x v="4265"/>
    <n v="84.12"/>
    <n v="84.21"/>
    <n v="10433166"/>
    <x v="8"/>
    <s v="Walmart"/>
    <x v="5"/>
    <n v="-0.73099999999999998"/>
    <x v="22"/>
    <x v="1"/>
    <s v="November"/>
    <s v="Loss"/>
    <n v="1.289999999999992"/>
    <n v="60.559999999999995"/>
  </r>
  <r>
    <s v="2024-11-12"/>
    <n v="84.5"/>
    <x v="4266"/>
    <n v="84.5"/>
    <n v="84.99"/>
    <n v="12860194"/>
    <x v="8"/>
    <s v="Walmart"/>
    <x v="5"/>
    <n v="0.92600000000000005"/>
    <x v="22"/>
    <x v="1"/>
    <s v="November"/>
    <s v="Profit"/>
    <n v="1.0300000000000011"/>
    <n v="61.485999999999997"/>
  </r>
  <r>
    <s v="2024-11-13"/>
    <n v="84.938999999999993"/>
    <x v="4267"/>
    <n v="84.77"/>
    <n v="85.5"/>
    <n v="12802622"/>
    <x v="8"/>
    <s v="Walmart"/>
    <x v="5"/>
    <n v="0.6"/>
    <x v="22"/>
    <x v="1"/>
    <s v="November"/>
    <s v="Profit"/>
    <n v="1.0200000000000102"/>
    <n v="62.085999999999999"/>
  </r>
  <r>
    <s v="2024-11-14"/>
    <n v="85.09"/>
    <x v="4268"/>
    <n v="84.34"/>
    <n v="84.47"/>
    <n v="15740732"/>
    <x v="8"/>
    <s v="Walmart"/>
    <x v="5"/>
    <n v="-1.2050000000000001"/>
    <x v="22"/>
    <x v="1"/>
    <s v="November"/>
    <s v="Loss"/>
    <n v="1.4200000000000017"/>
    <n v="60.881"/>
  </r>
  <r>
    <s v="2024-11-15"/>
    <n v="84.53"/>
    <x v="4269"/>
    <n v="83.941999999999993"/>
    <n v="84.25"/>
    <n v="17370602"/>
    <x v="8"/>
    <s v="Walmart"/>
    <x v="5"/>
    <n v="-0.26"/>
    <x v="22"/>
    <x v="1"/>
    <s v="November"/>
    <s v="Loss"/>
    <n v="0.83800000000000807"/>
    <n v="60.621000000000002"/>
  </r>
  <r>
    <s v="2024-11-18"/>
    <n v="84.82"/>
    <x v="4270"/>
    <n v="83.66"/>
    <n v="84.08"/>
    <n v="25278121"/>
    <x v="8"/>
    <s v="Walmart"/>
    <x v="5"/>
    <n v="-0.20200000000000001"/>
    <x v="22"/>
    <x v="1"/>
    <s v="November"/>
    <s v="Loss"/>
    <n v="1.1899999999999977"/>
    <n v="60.419000000000004"/>
  </r>
  <r>
    <s v="2024-11-19"/>
    <n v="86.23"/>
    <x v="4271"/>
    <n v="85.91"/>
    <n v="86.6"/>
    <n v="36340856"/>
    <x v="8"/>
    <s v="Walmart"/>
    <x v="5"/>
    <n v="2.9969999999999999"/>
    <x v="22"/>
    <x v="1"/>
    <s v="November"/>
    <s v="Profit"/>
    <n v="2.3800000000000097"/>
    <n v="63.416000000000004"/>
  </r>
  <r>
    <s v="2024-11-20"/>
    <n v="86.6"/>
    <x v="4272"/>
    <n v="85.91"/>
    <n v="87.18"/>
    <n v="18183193"/>
    <x v="8"/>
    <s v="Walmart"/>
    <x v="5"/>
    <n v="0.67"/>
    <x v="22"/>
    <x v="1"/>
    <s v="November"/>
    <s v="Profit"/>
    <n v="1.2900000000000063"/>
    <n v="64.085999999999999"/>
  </r>
  <r>
    <s v="2024-11-21"/>
    <n v="87.45"/>
    <x v="4273"/>
    <n v="86.93"/>
    <n v="88.39"/>
    <n v="18729222"/>
    <x v="8"/>
    <s v="Walmart"/>
    <x v="5"/>
    <n v="1.3879999999999999"/>
    <x v="22"/>
    <x v="1"/>
    <s v="November"/>
    <s v="Profit"/>
    <n v="1.7099999999999937"/>
    <n v="65.474000000000004"/>
  </r>
  <r>
    <s v="2024-11-22"/>
    <n v="89.194999999999993"/>
    <x v="4274"/>
    <n v="88.93"/>
    <n v="90.44"/>
    <n v="23990645"/>
    <x v="8"/>
    <s v="Walmart"/>
    <x v="5"/>
    <n v="2.319"/>
    <x v="22"/>
    <x v="1"/>
    <s v="November"/>
    <s v="Profit"/>
    <n v="1.9799999999999898"/>
    <n v="67.793000000000006"/>
  </r>
  <r>
    <s v="2024-11-25"/>
    <n v="90.64"/>
    <x v="4275"/>
    <n v="89.06"/>
    <n v="89.5"/>
    <n v="25078633"/>
    <x v="8"/>
    <s v="Walmart"/>
    <x v="5"/>
    <n v="-1.0389999999999999"/>
    <x v="22"/>
    <x v="1"/>
    <s v="November"/>
    <s v="Loss"/>
    <n v="1.8900000000000006"/>
    <n v="66.754000000000005"/>
  </r>
  <r>
    <s v="2024-11-26"/>
    <n v="89.89"/>
    <x v="4276"/>
    <n v="89.84"/>
    <n v="91.31"/>
    <n v="16657022"/>
    <x v="8"/>
    <s v="Walmart"/>
    <x v="5"/>
    <n v="2.0219999999999998"/>
    <x v="22"/>
    <x v="1"/>
    <s v="November"/>
    <s v="Profit"/>
    <n v="2.039999999999992"/>
    <n v="68.77600000000001"/>
  </r>
  <r>
    <s v="2024-11-27"/>
    <n v="92.1"/>
    <x v="4277"/>
    <n v="91.31"/>
    <n v="91.88"/>
    <n v="14358861"/>
    <x v="8"/>
    <s v="Walmart"/>
    <x v="5"/>
    <n v="0.624"/>
    <x v="22"/>
    <x v="1"/>
    <s v="November"/>
    <s v="Profit"/>
    <n v="0.93999999999999773"/>
    <n v="69.400000000000006"/>
  </r>
  <r>
    <s v="2024-11-29"/>
    <n v="92.26"/>
    <x v="4278"/>
    <n v="91.82"/>
    <n v="92.5"/>
    <n v="11041178"/>
    <x v="8"/>
    <s v="Walmart"/>
    <x v="5"/>
    <n v="0.67500000000000004"/>
    <x v="22"/>
    <x v="1"/>
    <s v="November"/>
    <s v="Profit"/>
    <n v="0.82000000000000739"/>
    <n v="70.075000000000003"/>
  </r>
  <r>
    <s v="2024-12-02"/>
    <n v="92.989000000000004"/>
    <x v="4279"/>
    <n v="91.95"/>
    <n v="92.64"/>
    <n v="17172953"/>
    <x v="8"/>
    <s v="Walmart"/>
    <x v="5"/>
    <n v="0.151"/>
    <x v="23"/>
    <x v="1"/>
    <s v="December"/>
    <s v="Profit"/>
    <n v="1.0390000000000015"/>
    <n v="70.225999999999999"/>
  </r>
  <r>
    <s v="2024-12-03"/>
    <n v="92.78"/>
    <x v="4280"/>
    <n v="92.26"/>
    <n v="93.51"/>
    <n v="17775226"/>
    <x v="8"/>
    <s v="Walmart"/>
    <x v="5"/>
    <n v="0.93899999999999995"/>
    <x v="23"/>
    <x v="1"/>
    <s v="December"/>
    <s v="Profit"/>
    <n v="1.3299999999999983"/>
    <n v="71.164999999999992"/>
  </r>
  <r>
    <s v="2024-12-04"/>
    <n v="93.45"/>
    <x v="4281"/>
    <n v="93.05"/>
    <n v="94.45"/>
    <n v="17312575"/>
    <x v="8"/>
    <s v="Walmart"/>
    <x v="5"/>
    <n v="1.0049999999999999"/>
    <x v="23"/>
    <x v="1"/>
    <s v="December"/>
    <s v="Profit"/>
    <n v="1.4650000000000034"/>
    <n v="72.169999999999987"/>
  </r>
  <r>
    <s v="2024-12-05"/>
    <n v="94.89"/>
    <x v="4282"/>
    <n v="94.34"/>
    <n v="95.3"/>
    <n v="21932325"/>
    <x v="8"/>
    <s v="Walmart"/>
    <x v="5"/>
    <n v="0.9"/>
    <x v="23"/>
    <x v="1"/>
    <s v="December"/>
    <s v="Profit"/>
    <n v="1.2599999999999909"/>
    <n v="73.069999999999993"/>
  </r>
  <r>
    <s v="2024-12-06"/>
    <n v="95.54"/>
    <x v="4283"/>
    <n v="95.33"/>
    <n v="95.7"/>
    <n v="18803499"/>
    <x v="8"/>
    <s v="Walmart"/>
    <x v="5"/>
    <n v="0.42"/>
    <x v="23"/>
    <x v="1"/>
    <s v="December"/>
    <s v="Profit"/>
    <n v="0.85000000000000853"/>
    <n v="73.489999999999995"/>
  </r>
  <r>
    <s v="2024-12-09"/>
    <n v="95.66"/>
    <x v="4284"/>
    <n v="93.602000000000004"/>
    <n v="93.83"/>
    <n v="20931082"/>
    <x v="8"/>
    <s v="Walmart"/>
    <x v="5"/>
    <n v="-1.954"/>
    <x v="23"/>
    <x v="1"/>
    <s v="December"/>
    <s v="Loss"/>
    <n v="2.3379999999999939"/>
    <n v="71.536000000000001"/>
  </r>
  <r>
    <s v="2024-12-10"/>
    <n v="94.094999999999999"/>
    <x v="4285"/>
    <n v="93.77"/>
    <n v="94.55"/>
    <n v="13164487"/>
    <x v="8"/>
    <s v="Walmart"/>
    <x v="5"/>
    <n v="0.76700000000000002"/>
    <x v="23"/>
    <x v="1"/>
    <s v="December"/>
    <s v="Profit"/>
    <n v="1.4699999999999989"/>
    <n v="72.302999999999997"/>
  </r>
  <r>
    <s v="2024-12-11"/>
    <n v="94.55"/>
    <x v="4286"/>
    <n v="94.5"/>
    <n v="94.96"/>
    <n v="19682085"/>
    <x v="8"/>
    <s v="Walmart"/>
    <x v="5"/>
    <n v="0.434"/>
    <x v="23"/>
    <x v="1"/>
    <s v="December"/>
    <s v="Profit"/>
    <n v="1.1899999999999977"/>
    <n v="72.736999999999995"/>
  </r>
  <r>
    <s v="2024-12-12"/>
    <n v="95.67"/>
    <x v="4287"/>
    <n v="94.09"/>
    <n v="94.09"/>
    <n v="14298626"/>
    <x v="8"/>
    <s v="Walmart"/>
    <x v="5"/>
    <n v="-0.91600000000000004"/>
    <x v="23"/>
    <x v="1"/>
    <s v="December"/>
    <s v="Loss"/>
    <n v="1.625"/>
    <n v="71.820999999999998"/>
  </r>
  <r>
    <s v="2024-12-13"/>
    <n v="93.813999999999993"/>
    <x v="535"/>
    <n v="93.04"/>
    <n v="94.25"/>
    <n v="11495854"/>
    <x v="8"/>
    <s v="Walmart"/>
    <x v="5"/>
    <n v="0.17"/>
    <x v="23"/>
    <x v="1"/>
    <s v="December"/>
    <s v="Profit"/>
    <n v="1.6400000000000006"/>
    <n v="71.991"/>
  </r>
  <r>
    <s v="2024-12-16"/>
    <n v="94.42"/>
    <x v="4288"/>
    <n v="94.105000000000004"/>
    <n v="94.87"/>
    <n v="16741989"/>
    <x v="8"/>
    <s v="Walmart"/>
    <x v="5"/>
    <n v="0.65800000000000003"/>
    <x v="23"/>
    <x v="1"/>
    <s v="December"/>
    <s v="Profit"/>
    <n v="1.5999999999999943"/>
    <n v="72.649000000000001"/>
  </r>
  <r>
    <s v="2024-12-17"/>
    <n v="95.14"/>
    <x v="4289"/>
    <n v="94.32"/>
    <n v="95.42"/>
    <n v="23560821"/>
    <x v="8"/>
    <s v="Walmart"/>
    <x v="5"/>
    <n v="0.57999999999999996"/>
    <x v="23"/>
    <x v="1"/>
    <s v="December"/>
    <s v="Profit"/>
    <n v="1.1700000000000017"/>
    <n v="73.228999999999999"/>
  </r>
  <r>
    <s v="2024-12-18"/>
    <n v="95.34"/>
    <x v="4290"/>
    <n v="93.13"/>
    <n v="93.55"/>
    <n v="24665600"/>
    <x v="8"/>
    <s v="Walmart"/>
    <x v="5"/>
    <n v="-1.96"/>
    <x v="23"/>
    <x v="1"/>
    <s v="December"/>
    <s v="Loss"/>
    <n v="2.7650000000000006"/>
    <n v="71.269000000000005"/>
  </r>
  <r>
    <s v="2024-12-19"/>
    <n v="94.48"/>
    <x v="4291"/>
    <n v="93.36"/>
    <n v="93.4"/>
    <n v="16606501"/>
    <x v="8"/>
    <s v="Walmart"/>
    <x v="5"/>
    <n v="-0.16"/>
    <x v="23"/>
    <x v="1"/>
    <s v="December"/>
    <s v="Loss"/>
    <n v="1.2049999999999983"/>
    <n v="71.109000000000009"/>
  </r>
  <r>
    <s v="2024-12-20"/>
    <n v="93.01"/>
    <x v="4292"/>
    <n v="91.63"/>
    <n v="92.24"/>
    <n v="49350586"/>
    <x v="8"/>
    <s v="Walmart"/>
    <x v="5"/>
    <n v="-1.242"/>
    <x v="23"/>
    <x v="1"/>
    <s v="December"/>
    <s v="Loss"/>
    <n v="2.1189999999999998"/>
    <n v="69.867000000000004"/>
  </r>
  <r>
    <s v="2024-12-23"/>
    <n v="91.5"/>
    <x v="4293"/>
    <n v="88.91"/>
    <n v="90.35"/>
    <n v="26205379"/>
    <x v="8"/>
    <s v="Walmart"/>
    <x v="5"/>
    <n v="-2.0489999999999999"/>
    <x v="23"/>
    <x v="1"/>
    <s v="December"/>
    <s v="Loss"/>
    <n v="2.5900000000000034"/>
    <n v="67.817999999999998"/>
  </r>
  <r>
    <s v="2024-12-24"/>
    <n v="90.4"/>
    <x v="4294"/>
    <n v="90.35"/>
    <n v="92.68"/>
    <n v="8992427"/>
    <x v="8"/>
    <s v="Walmart"/>
    <x v="5"/>
    <n v="2.5790000000000002"/>
    <x v="23"/>
    <x v="1"/>
    <s v="December"/>
    <s v="Profit"/>
    <n v="2.3300000000000125"/>
    <n v="70.396999999999991"/>
  </r>
  <r>
    <s v="2024-12-26"/>
    <n v="92.54"/>
    <x v="4295"/>
    <n v="92.17"/>
    <n v="92.79"/>
    <n v="10997611"/>
    <x v="8"/>
    <s v="Walmart"/>
    <x v="5"/>
    <n v="0.11899999999999999"/>
    <x v="23"/>
    <x v="1"/>
    <s v="December"/>
    <s v="Profit"/>
    <n v="0.70499999999999829"/>
    <n v="70.515999999999991"/>
  </r>
  <r>
    <s v="2024-12-27"/>
    <n v="92.122"/>
    <x v="4296"/>
    <n v="91.03"/>
    <n v="91.66"/>
    <n v="11384359"/>
    <x v="8"/>
    <s v="Walmart"/>
    <x v="5"/>
    <n v="-1.218"/>
    <x v="23"/>
    <x v="1"/>
    <s v="December"/>
    <s v="Loss"/>
    <n v="1.3199999999999932"/>
    <n v="69.297999999999988"/>
  </r>
  <r>
    <s v="2024-12-30"/>
    <n v="90.795000000000002"/>
    <x v="4297"/>
    <n v="90.13"/>
    <n v="90.57"/>
    <n v="9790196"/>
    <x v="8"/>
    <s v="Walmart"/>
    <x v="5"/>
    <n v="-1.1890000000000001"/>
    <x v="23"/>
    <x v="1"/>
    <s v="December"/>
    <s v="Loss"/>
    <n v="0.93999999999999773"/>
    <n v="68.10899999999998"/>
  </r>
  <r>
    <s v="2024-12-31"/>
    <n v="90.56"/>
    <x v="4298"/>
    <n v="90.055000000000007"/>
    <n v="90.35"/>
    <n v="11267652"/>
    <x v="8"/>
    <s v="Walmart"/>
    <x v="5"/>
    <n v="-0.24299999999999999"/>
    <x v="23"/>
    <x v="1"/>
    <s v="December"/>
    <s v="Loss"/>
    <n v="0.88499999999999091"/>
    <n v="67.865999999999985"/>
  </r>
  <r>
    <s v="2023-01-03"/>
    <n v="109.78"/>
    <x v="4299"/>
    <n v="105.49"/>
    <n v="106.51"/>
    <n v="15146168"/>
    <x v="9"/>
    <s v="Exxon Mobil"/>
    <x v="6"/>
    <m/>
    <x v="0"/>
    <x v="0"/>
    <s v="January"/>
    <m/>
    <n v="4.5300000000000011"/>
    <n v="0"/>
  </r>
  <r>
    <s v="2023-01-04"/>
    <n v="104.8"/>
    <x v="4300"/>
    <n v="104.76"/>
    <n v="106.82"/>
    <n v="18058396"/>
    <x v="9"/>
    <s v="Exxon Mobil"/>
    <x v="6"/>
    <n v="0.29099999999999998"/>
    <x v="0"/>
    <x v="0"/>
    <s v="January"/>
    <s v="Profit"/>
    <n v="2.394999999999996"/>
    <n v="0.29099999999999998"/>
  </r>
  <r>
    <s v="2023-01-05"/>
    <n v="106.34"/>
    <x v="4301"/>
    <n v="106.31"/>
    <n v="109.21"/>
    <n v="15946559"/>
    <x v="9"/>
    <s v="Exxon Mobil"/>
    <x v="6"/>
    <n v="2.2370000000000001"/>
    <x v="0"/>
    <x v="0"/>
    <s v="January"/>
    <s v="Profit"/>
    <n v="3.6400000000000006"/>
    <n v="2.528"/>
  </r>
  <r>
    <s v="2023-01-06"/>
    <n v="110.08"/>
    <x v="4302"/>
    <n v="109.67"/>
    <n v="110.53"/>
    <n v="16348131"/>
    <x v="9"/>
    <s v="Exxon Mobil"/>
    <x v="6"/>
    <n v="1.2090000000000001"/>
    <x v="0"/>
    <x v="0"/>
    <s v="January"/>
    <s v="Profit"/>
    <n v="2.3199999999999932"/>
    <n v="3.7370000000000001"/>
  </r>
  <r>
    <s v="2023-01-09"/>
    <n v="111.64"/>
    <x v="4303"/>
    <n v="107.81"/>
    <n v="108.47"/>
    <n v="17964591"/>
    <x v="9"/>
    <s v="Exxon Mobil"/>
    <x v="6"/>
    <n v="-1.8640000000000001"/>
    <x v="0"/>
    <x v="0"/>
    <s v="January"/>
    <s v="Loss"/>
    <n v="3.8299999999999983"/>
    <n v="1.873"/>
  </r>
  <r>
    <s v="2023-01-10"/>
    <n v="109.79"/>
    <x v="4304"/>
    <n v="108.005"/>
    <n v="110.09"/>
    <n v="15104595"/>
    <x v="9"/>
    <s v="Exxon Mobil"/>
    <x v="6"/>
    <n v="1.494"/>
    <x v="0"/>
    <x v="0"/>
    <s v="January"/>
    <s v="Profit"/>
    <n v="2.3250000000000028"/>
    <n v="3.367"/>
  </r>
  <r>
    <s v="2023-01-11"/>
    <n v="110.99"/>
    <x v="4305"/>
    <n v="109.08499999999999"/>
    <n v="111.37"/>
    <n v="16710366"/>
    <x v="9"/>
    <s v="Exxon Mobil"/>
    <x v="6"/>
    <n v="1.163"/>
    <x v="0"/>
    <x v="0"/>
    <s v="January"/>
    <s v="Profit"/>
    <n v="2.3650000000000091"/>
    <n v="4.53"/>
  </r>
  <r>
    <s v="2023-01-12"/>
    <n v="111.82"/>
    <x v="4306"/>
    <n v="111.74"/>
    <n v="113.22"/>
    <n v="15357321"/>
    <x v="9"/>
    <s v="Exxon Mobil"/>
    <x v="6"/>
    <n v="1.661"/>
    <x v="0"/>
    <x v="0"/>
    <s v="January"/>
    <s v="Profit"/>
    <n v="2"/>
    <n v="6.1910000000000007"/>
  </r>
  <r>
    <s v="2023-01-13"/>
    <n v="113.11"/>
    <x v="4307"/>
    <n v="112.16"/>
    <n v="113.15"/>
    <n v="12011358"/>
    <x v="9"/>
    <s v="Exxon Mobil"/>
    <x v="6"/>
    <n v="-6.2E-2"/>
    <x v="0"/>
    <x v="0"/>
    <s v="January"/>
    <s v="Loss"/>
    <n v="1.3299999999999983"/>
    <n v="6.1290000000000004"/>
  </r>
  <r>
    <s v="2023-01-17"/>
    <n v="113.41"/>
    <x v="4308"/>
    <n v="112.67"/>
    <n v="112.93"/>
    <n v="16542201"/>
    <x v="9"/>
    <s v="Exxon Mobil"/>
    <x v="6"/>
    <n v="-0.19400000000000001"/>
    <x v="0"/>
    <x v="0"/>
    <s v="January"/>
    <s v="Loss"/>
    <n v="1.4099999999999966"/>
    <n v="5.9350000000000005"/>
  </r>
  <r>
    <s v="2023-01-18"/>
    <n v="113.26"/>
    <x v="4309"/>
    <n v="110.399"/>
    <n v="110.61"/>
    <n v="16399690"/>
    <x v="9"/>
    <s v="Exxon Mobil"/>
    <x v="6"/>
    <n v="-2.0539999999999998"/>
    <x v="0"/>
    <x v="0"/>
    <s v="January"/>
    <s v="Loss"/>
    <n v="3.7210000000000036"/>
    <n v="3.8810000000000007"/>
  </r>
  <r>
    <s v="2023-01-19"/>
    <n v="110.07"/>
    <x v="4310"/>
    <n v="109.58"/>
    <n v="111.32"/>
    <n v="12928021"/>
    <x v="9"/>
    <s v="Exxon Mobil"/>
    <x v="6"/>
    <n v="0.64200000000000002"/>
    <x v="0"/>
    <x v="0"/>
    <s v="January"/>
    <s v="Profit"/>
    <n v="2.5499999999999972"/>
    <n v="4.5230000000000006"/>
  </r>
  <r>
    <s v="2023-01-20"/>
    <n v="111.36"/>
    <x v="4311"/>
    <n v="110.61"/>
    <n v="113.35"/>
    <n v="16515614"/>
    <x v="9"/>
    <s v="Exxon Mobil"/>
    <x v="6"/>
    <n v="1.8240000000000001"/>
    <x v="0"/>
    <x v="0"/>
    <s v="January"/>
    <s v="Profit"/>
    <n v="2.8299999999999983"/>
    <n v="6.3470000000000004"/>
  </r>
  <r>
    <s v="2023-01-23"/>
    <n v="113.64"/>
    <x v="3359"/>
    <n v="112.64"/>
    <n v="112.76"/>
    <n v="16584422"/>
    <x v="9"/>
    <s v="Exxon Mobil"/>
    <x v="6"/>
    <n v="-0.52100000000000002"/>
    <x v="0"/>
    <x v="0"/>
    <s v="January"/>
    <s v="Loss"/>
    <n v="1.9500000000000028"/>
    <n v="5.8260000000000005"/>
  </r>
  <r>
    <s v="2023-01-24"/>
    <n v="99.23"/>
    <x v="4312"/>
    <n v="99.23"/>
    <n v="113.81"/>
    <n v="13583025"/>
    <x v="9"/>
    <s v="Exxon Mobil"/>
    <x v="6"/>
    <n v="0.93100000000000005"/>
    <x v="0"/>
    <x v="0"/>
    <s v="January"/>
    <s v="Profit"/>
    <n v="14.789999999999992"/>
    <n v="6.7570000000000006"/>
  </r>
  <r>
    <s v="2023-01-25"/>
    <n v="113.23"/>
    <x v="4313"/>
    <n v="111.39"/>
    <n v="113.21"/>
    <n v="11912947"/>
    <x v="9"/>
    <s v="Exxon Mobil"/>
    <x v="6"/>
    <n v="-0.52700000000000002"/>
    <x v="0"/>
    <x v="0"/>
    <s v="January"/>
    <s v="Loss"/>
    <n v="2.2600000000000051"/>
    <n v="6.23"/>
  </r>
  <r>
    <s v="2023-01-26"/>
    <n v="114.72"/>
    <x v="4314"/>
    <n v="114.33499999999999"/>
    <n v="117.76"/>
    <n v="21019678"/>
    <x v="9"/>
    <s v="Exxon Mobil"/>
    <x v="6"/>
    <n v="4.0190000000000001"/>
    <x v="0"/>
    <x v="0"/>
    <s v="January"/>
    <s v="Profit"/>
    <n v="3.4450000000000074"/>
    <n v="10.249000000000001"/>
  </r>
  <r>
    <s v="2023-01-27"/>
    <n v="116.95"/>
    <x v="4315"/>
    <n v="115.39"/>
    <n v="115.61"/>
    <n v="15179207"/>
    <x v="9"/>
    <s v="Exxon Mobil"/>
    <x v="6"/>
    <n v="-1.8260000000000001"/>
    <x v="0"/>
    <x v="0"/>
    <s v="January"/>
    <s v="Loss"/>
    <n v="2.2800000000000011"/>
    <n v="8.423"/>
  </r>
  <r>
    <s v="2023-01-30"/>
    <n v="115.09"/>
    <x v="4316"/>
    <n v="113.152"/>
    <n v="113.56"/>
    <n v="18672053"/>
    <x v="9"/>
    <s v="Exxon Mobil"/>
    <x v="6"/>
    <n v="-1.7729999999999999"/>
    <x v="0"/>
    <x v="0"/>
    <s v="January"/>
    <s v="Loss"/>
    <n v="2.3379999999999939"/>
    <n v="6.65"/>
  </r>
  <r>
    <s v="2023-01-31"/>
    <n v="112.1"/>
    <x v="4317"/>
    <n v="110.43"/>
    <n v="116.01"/>
    <n v="27861849"/>
    <x v="9"/>
    <s v="Exxon Mobil"/>
    <x v="6"/>
    <n v="2.157"/>
    <x v="0"/>
    <x v="0"/>
    <s v="January"/>
    <s v="Profit"/>
    <n v="5.9699999999999989"/>
    <n v="8.8070000000000004"/>
  </r>
  <r>
    <s v="2023-02-01"/>
    <n v="115.83"/>
    <x v="4318"/>
    <n v="113.34"/>
    <n v="114.74"/>
    <n v="19464873"/>
    <x v="9"/>
    <s v="Exxon Mobil"/>
    <x v="6"/>
    <n v="-1.095"/>
    <x v="1"/>
    <x v="0"/>
    <s v="February"/>
    <s v="Loss"/>
    <n v="4.039999999999992"/>
    <n v="7.7120000000000006"/>
  </r>
  <r>
    <s v="2023-02-02"/>
    <n v="114.85"/>
    <x v="4319"/>
    <n v="109.83"/>
    <n v="111.15"/>
    <n v="24562123"/>
    <x v="9"/>
    <s v="Exxon Mobil"/>
    <x v="6"/>
    <n v="-3.129"/>
    <x v="1"/>
    <x v="0"/>
    <s v="February"/>
    <s v="Loss"/>
    <n v="5.2399999999999949"/>
    <n v="4.5830000000000002"/>
  </r>
  <r>
    <s v="2023-02-03"/>
    <n v="111.9"/>
    <x v="4320"/>
    <n v="111.56"/>
    <n v="111.92"/>
    <n v="20226609"/>
    <x v="9"/>
    <s v="Exxon Mobil"/>
    <x v="6"/>
    <n v="0.69299999999999995"/>
    <x v="1"/>
    <x v="0"/>
    <s v="February"/>
    <s v="Profit"/>
    <n v="2.5499999999999972"/>
    <n v="5.2759999999999998"/>
  </r>
  <r>
    <s v="2023-02-06"/>
    <n v="112.36"/>
    <x v="4321"/>
    <n v="110.32"/>
    <n v="111.73"/>
    <n v="13855205"/>
    <x v="9"/>
    <s v="Exxon Mobil"/>
    <x v="6"/>
    <n v="-0.17"/>
    <x v="1"/>
    <x v="0"/>
    <s v="February"/>
    <s v="Loss"/>
    <n v="2.7700000000000102"/>
    <n v="5.1059999999999999"/>
  </r>
  <r>
    <s v="2023-02-07"/>
    <n v="112.39"/>
    <x v="4322"/>
    <n v="112.021"/>
    <n v="114.92"/>
    <n v="16013314"/>
    <x v="9"/>
    <s v="Exxon Mobil"/>
    <x v="6"/>
    <n v="2.855"/>
    <x v="1"/>
    <x v="0"/>
    <s v="February"/>
    <s v="Profit"/>
    <n v="3.2890000000000015"/>
    <n v="7.9610000000000003"/>
  </r>
  <r>
    <s v="2023-02-08"/>
    <n v="115.05"/>
    <x v="588"/>
    <n v="113.85"/>
    <n v="113.92"/>
    <n v="18459678"/>
    <x v="9"/>
    <s v="Exxon Mobil"/>
    <x v="6"/>
    <n v="-0.87"/>
    <x v="1"/>
    <x v="0"/>
    <s v="February"/>
    <s v="Loss"/>
    <n v="1.980000000000004"/>
    <n v="7.0910000000000002"/>
  </r>
  <r>
    <s v="2023-02-09"/>
    <n v="114.62"/>
    <x v="4323"/>
    <n v="114.18"/>
    <n v="114.35"/>
    <n v="17439311"/>
    <x v="9"/>
    <s v="Exxon Mobil"/>
    <x v="6"/>
    <n v="0.377"/>
    <x v="1"/>
    <x v="0"/>
    <s v="February"/>
    <s v="Profit"/>
    <n v="2.0599999999999881"/>
    <n v="7.468"/>
  </r>
  <r>
    <s v="2023-02-10"/>
    <n v="116.51"/>
    <x v="4324"/>
    <n v="116.16"/>
    <n v="119.17"/>
    <n v="24918616"/>
    <x v="9"/>
    <s v="Exxon Mobil"/>
    <x v="6"/>
    <n v="4.2149999999999999"/>
    <x v="1"/>
    <x v="0"/>
    <s v="February"/>
    <s v="Profit"/>
    <n v="3.4699999999999989"/>
    <n v="11.683"/>
  </r>
  <r>
    <s v="2023-02-13"/>
    <n v="117.72"/>
    <x v="4325"/>
    <n v="115.9"/>
    <n v="117.8"/>
    <n v="14536241"/>
    <x v="9"/>
    <s v="Exxon Mobil"/>
    <x v="6"/>
    <n v="-1.1499999999999999"/>
    <x v="1"/>
    <x v="0"/>
    <s v="February"/>
    <s v="Loss"/>
    <n v="2.2800000000000011"/>
    <n v="10.532999999999999"/>
  </r>
  <r>
    <s v="2023-02-14"/>
    <n v="117.01"/>
    <x v="4326"/>
    <n v="116.017"/>
    <n v="116.42"/>
    <n v="12078992"/>
    <x v="9"/>
    <s v="Exxon Mobil"/>
    <x v="6"/>
    <n v="-1.171"/>
    <x v="1"/>
    <x v="0"/>
    <s v="February"/>
    <s v="Loss"/>
    <n v="1.7930000000000064"/>
    <n v="9.3620000000000001"/>
  </r>
  <r>
    <s v="2023-02-15"/>
    <n v="115.72"/>
    <x v="4327"/>
    <n v="114.14"/>
    <n v="116.07"/>
    <n v="13673360"/>
    <x v="9"/>
    <s v="Exxon Mobil"/>
    <x v="6"/>
    <n v="-0.30099999999999999"/>
    <x v="1"/>
    <x v="0"/>
    <s v="February"/>
    <s v="Loss"/>
    <n v="1.9500000000000028"/>
    <n v="9.0609999999999999"/>
  </r>
  <r>
    <s v="2023-02-16"/>
    <n v="115.31"/>
    <x v="4328"/>
    <n v="114.8"/>
    <n v="115.73"/>
    <n v="11360604"/>
    <x v="9"/>
    <s v="Exxon Mobil"/>
    <x v="6"/>
    <n v="-0.29299999999999998"/>
    <x v="1"/>
    <x v="0"/>
    <s v="February"/>
    <s v="Loss"/>
    <n v="1.980000000000004"/>
    <n v="8.7680000000000007"/>
  </r>
  <r>
    <s v="2023-02-17"/>
    <n v="114.19"/>
    <x v="4329"/>
    <n v="110.98"/>
    <n v="111.28"/>
    <n v="20758331"/>
    <x v="9"/>
    <s v="Exxon Mobil"/>
    <x v="6"/>
    <n v="-3.8450000000000002"/>
    <x v="1"/>
    <x v="0"/>
    <s v="February"/>
    <s v="Loss"/>
    <n v="3.2099999999999937"/>
    <n v="4.923"/>
  </r>
  <r>
    <s v="2023-02-21"/>
    <n v="110.81"/>
    <x v="4330"/>
    <n v="110.81"/>
    <n v="111.17"/>
    <n v="14469431"/>
    <x v="9"/>
    <s v="Exxon Mobil"/>
    <x v="6"/>
    <n v="-9.9000000000000005E-2"/>
    <x v="1"/>
    <x v="0"/>
    <s v="February"/>
    <s v="Loss"/>
    <n v="1.5699999999999932"/>
    <n v="4.8239999999999998"/>
  </r>
  <r>
    <s v="2023-02-22"/>
    <n v="110.48"/>
    <x v="4331"/>
    <n v="108.64"/>
    <n v="109.73"/>
    <n v="13973841"/>
    <x v="9"/>
    <s v="Exxon Mobil"/>
    <x v="6"/>
    <n v="-1.2949999999999999"/>
    <x v="1"/>
    <x v="0"/>
    <s v="February"/>
    <s v="Loss"/>
    <n v="2.3299999999999983"/>
    <n v="3.5289999999999999"/>
  </r>
  <r>
    <s v="2023-02-23"/>
    <n v="110.73"/>
    <x v="4332"/>
    <n v="109.9"/>
    <n v="110.74"/>
    <n v="11289402"/>
    <x v="9"/>
    <s v="Exxon Mobil"/>
    <x v="6"/>
    <n v="0.92"/>
    <x v="1"/>
    <x v="0"/>
    <s v="February"/>
    <s v="Profit"/>
    <n v="1.9299999999999926"/>
    <n v="4.4489999999999998"/>
  </r>
  <r>
    <s v="2023-02-24"/>
    <n v="109.33"/>
    <x v="4333"/>
    <n v="109.02"/>
    <n v="110.75"/>
    <n v="14351036"/>
    <x v="9"/>
    <s v="Exxon Mobil"/>
    <x v="6"/>
    <n v="8.9999999999999993E-3"/>
    <x v="1"/>
    <x v="0"/>
    <s v="February"/>
    <s v="Profit"/>
    <n v="1.9399999999999977"/>
    <n v="4.4580000000000002"/>
  </r>
  <r>
    <s v="2023-02-27"/>
    <n v="110.8"/>
    <x v="4334"/>
    <n v="109.96"/>
    <n v="110.55"/>
    <n v="11710453"/>
    <x v="9"/>
    <s v="Exxon Mobil"/>
    <x v="6"/>
    <n v="-0.18099999999999999"/>
    <x v="1"/>
    <x v="0"/>
    <s v="February"/>
    <s v="Loss"/>
    <n v="1.3000000000000114"/>
    <n v="4.2770000000000001"/>
  </r>
  <r>
    <s v="2023-02-28"/>
    <n v="111.24"/>
    <x v="4335"/>
    <n v="109.22"/>
    <n v="109.91"/>
    <n v="18107031"/>
    <x v="9"/>
    <s v="Exxon Mobil"/>
    <x v="6"/>
    <n v="-0.57899999999999996"/>
    <x v="1"/>
    <x v="0"/>
    <s v="February"/>
    <s v="Loss"/>
    <n v="2.1400000000000006"/>
    <n v="3.6980000000000004"/>
  </r>
  <r>
    <s v="2023-03-01"/>
    <n v="109.31"/>
    <x v="4336"/>
    <n v="109.24"/>
    <n v="110.89"/>
    <n v="13199955"/>
    <x v="9"/>
    <s v="Exxon Mobil"/>
    <x v="6"/>
    <n v="0.89200000000000002"/>
    <x v="2"/>
    <x v="0"/>
    <s v="March"/>
    <s v="Profit"/>
    <n v="2.6200000000000045"/>
    <n v="4.5900000000000007"/>
  </r>
  <r>
    <s v="2023-03-02"/>
    <n v="110.61499999999999"/>
    <x v="4337"/>
    <n v="110.17"/>
    <n v="111.4"/>
    <n v="10343084"/>
    <x v="9"/>
    <s v="Exxon Mobil"/>
    <x v="6"/>
    <n v="0.46"/>
    <x v="2"/>
    <x v="0"/>
    <s v="March"/>
    <s v="Profit"/>
    <n v="1.5249999999999915"/>
    <n v="5.0500000000000007"/>
  </r>
  <r>
    <s v="2023-03-03"/>
    <n v="110.05"/>
    <x v="4338"/>
    <n v="109.95"/>
    <n v="112.81"/>
    <n v="13006713"/>
    <x v="9"/>
    <s v="Exxon Mobil"/>
    <x v="6"/>
    <n v="1.266"/>
    <x v="2"/>
    <x v="0"/>
    <s v="March"/>
    <s v="Profit"/>
    <n v="3.4200000000000017"/>
    <n v="6.3160000000000007"/>
  </r>
  <r>
    <s v="2023-03-06"/>
    <n v="111.99"/>
    <x v="4339"/>
    <n v="111.87"/>
    <n v="113.81"/>
    <n v="14347410"/>
    <x v="9"/>
    <s v="Exxon Mobil"/>
    <x v="6"/>
    <n v="0.88600000000000001"/>
    <x v="2"/>
    <x v="0"/>
    <s v="March"/>
    <s v="Profit"/>
    <n v="1.9699999999999989"/>
    <n v="7.2020000000000008"/>
  </r>
  <r>
    <s v="2023-03-07"/>
    <n v="112.81"/>
    <x v="4340"/>
    <n v="111.17"/>
    <n v="111.61"/>
    <n v="11525289"/>
    <x v="9"/>
    <s v="Exxon Mobil"/>
    <x v="6"/>
    <n v="-1.9330000000000001"/>
    <x v="2"/>
    <x v="0"/>
    <s v="March"/>
    <s v="Loss"/>
    <n v="2"/>
    <n v="5.269000000000001"/>
  </r>
  <r>
    <s v="2023-03-08"/>
    <n v="111.23"/>
    <x v="4341"/>
    <n v="109.065"/>
    <n v="109.98"/>
    <n v="13509818"/>
    <x v="9"/>
    <s v="Exxon Mobil"/>
    <x v="6"/>
    <n v="-1.46"/>
    <x v="2"/>
    <x v="0"/>
    <s v="March"/>
    <s v="Loss"/>
    <n v="3.355000000000004"/>
    <n v="3.8090000000000011"/>
  </r>
  <r>
    <s v="2023-03-09"/>
    <n v="110.87"/>
    <x v="4342"/>
    <n v="109.03"/>
    <n v="109.13"/>
    <n v="12961244"/>
    <x v="9"/>
    <s v="Exxon Mobil"/>
    <x v="6"/>
    <n v="-0.77300000000000002"/>
    <x v="2"/>
    <x v="0"/>
    <s v="March"/>
    <s v="Loss"/>
    <n v="3.2000000000000028"/>
    <n v="3.0360000000000009"/>
  </r>
  <r>
    <s v="2023-03-10"/>
    <n v="109.56"/>
    <x v="4343"/>
    <n v="107.15"/>
    <n v="107.78"/>
    <n v="15795666"/>
    <x v="9"/>
    <s v="Exxon Mobil"/>
    <x v="6"/>
    <n v="-1.2370000000000001"/>
    <x v="2"/>
    <x v="0"/>
    <s v="March"/>
    <s v="Loss"/>
    <n v="3.8849999999999909"/>
    <n v="1.7990000000000008"/>
  </r>
  <r>
    <s v="2023-03-13"/>
    <n v="105.34"/>
    <x v="4344"/>
    <n v="103.72"/>
    <n v="106.54"/>
    <n v="20745625"/>
    <x v="9"/>
    <s v="Exxon Mobil"/>
    <x v="6"/>
    <n v="-1.1499999999999999"/>
    <x v="2"/>
    <x v="0"/>
    <s v="March"/>
    <s v="Loss"/>
    <n v="4.1400000000000006"/>
    <n v="0.64900000000000091"/>
  </r>
  <r>
    <s v="2023-03-14"/>
    <n v="106.35"/>
    <x v="4345"/>
    <n v="104.96"/>
    <n v="106.94"/>
    <n v="18263512"/>
    <x v="9"/>
    <s v="Exxon Mobil"/>
    <x v="6"/>
    <n v="0.375"/>
    <x v="2"/>
    <x v="0"/>
    <s v="March"/>
    <s v="Profit"/>
    <n v="4.0500000000000114"/>
    <n v="1.0240000000000009"/>
  </r>
  <r>
    <s v="2023-03-15"/>
    <n v="102.82"/>
    <x v="559"/>
    <n v="100.22"/>
    <n v="101.62"/>
    <n v="25733781"/>
    <x v="9"/>
    <s v="Exxon Mobil"/>
    <x v="6"/>
    <n v="-4.9749999999999996"/>
    <x v="2"/>
    <x v="0"/>
    <s v="March"/>
    <s v="Loss"/>
    <n v="3.980000000000004"/>
    <n v="-3.9509999999999987"/>
  </r>
  <r>
    <s v="2023-03-16"/>
    <n v="99.11"/>
    <x v="4346"/>
    <n v="98.02"/>
    <n v="101.03"/>
    <n v="27476133"/>
    <x v="9"/>
    <s v="Exxon Mobil"/>
    <x v="6"/>
    <n v="-0.58099999999999996"/>
    <x v="2"/>
    <x v="0"/>
    <s v="March"/>
    <s v="Loss"/>
    <n v="3.6600000000000108"/>
    <n v="-4.5319999999999983"/>
  </r>
  <r>
    <s v="2023-03-17"/>
    <n v="100.6"/>
    <x v="4347"/>
    <n v="99.14"/>
    <n v="99.84"/>
    <n v="43199470"/>
    <x v="9"/>
    <s v="Exxon Mobil"/>
    <x v="6"/>
    <n v="-1.1779999999999999"/>
    <x v="2"/>
    <x v="0"/>
    <s v="March"/>
    <s v="Loss"/>
    <n v="2.4749999999999943"/>
    <n v="-5.7099999999999982"/>
  </r>
  <r>
    <s v="2023-03-20"/>
    <n v="99.63"/>
    <x v="4348"/>
    <n v="99.5"/>
    <n v="102.45"/>
    <n v="32042106"/>
    <x v="9"/>
    <s v="Exxon Mobil"/>
    <x v="6"/>
    <n v="2.6139999999999999"/>
    <x v="2"/>
    <x v="0"/>
    <s v="March"/>
    <s v="Profit"/>
    <n v="2.980000000000004"/>
    <n v="-3.0959999999999983"/>
  </r>
  <r>
    <s v="2023-03-21"/>
    <n v="104.17"/>
    <x v="4349"/>
    <n v="104.13"/>
    <n v="107.04"/>
    <n v="31592310"/>
    <x v="9"/>
    <s v="Exxon Mobil"/>
    <x v="6"/>
    <n v="4.4800000000000004"/>
    <x v="2"/>
    <x v="0"/>
    <s v="March"/>
    <s v="Profit"/>
    <n v="3.1500000000000057"/>
    <n v="1.3840000000000021"/>
  </r>
  <r>
    <s v="2023-03-22"/>
    <n v="106.8"/>
    <x v="4350"/>
    <n v="104.56"/>
    <n v="104.59"/>
    <n v="14952666"/>
    <x v="9"/>
    <s v="Exxon Mobil"/>
    <x v="6"/>
    <n v="-2.2890000000000001"/>
    <x v="2"/>
    <x v="0"/>
    <s v="March"/>
    <s v="Loss"/>
    <n v="2.6149999999999949"/>
    <n v="-0.90499999999999803"/>
  </r>
  <r>
    <s v="2023-03-23"/>
    <n v="105.36"/>
    <x v="4351"/>
    <n v="102.44"/>
    <n v="103.41"/>
    <n v="14385865"/>
    <x v="9"/>
    <s v="Exxon Mobil"/>
    <x v="6"/>
    <n v="-1.1279999999999999"/>
    <x v="2"/>
    <x v="0"/>
    <s v="March"/>
    <s v="Loss"/>
    <n v="3.9000000000000057"/>
    <n v="-2.0329999999999977"/>
  </r>
  <r>
    <s v="2023-03-24"/>
    <n v="101.47"/>
    <x v="4352"/>
    <n v="100.913"/>
    <n v="103.53"/>
    <n v="13405812"/>
    <x v="9"/>
    <s v="Exxon Mobil"/>
    <x v="6"/>
    <n v="0.11600000000000001"/>
    <x v="2"/>
    <x v="0"/>
    <s v="March"/>
    <s v="Profit"/>
    <n v="2.9369999999999976"/>
    <n v="-1.9169999999999976"/>
  </r>
  <r>
    <s v="2023-03-27"/>
    <n v="104.74"/>
    <x v="4353"/>
    <n v="103.91"/>
    <n v="105.8"/>
    <n v="14805911"/>
    <x v="9"/>
    <s v="Exxon Mobil"/>
    <x v="6"/>
    <n v="2.1930000000000001"/>
    <x v="2"/>
    <x v="0"/>
    <s v="March"/>
    <s v="Profit"/>
    <n v="2.5700000000000074"/>
    <n v="0.27600000000000247"/>
  </r>
  <r>
    <s v="2023-03-28"/>
    <n v="105.44"/>
    <x v="4354"/>
    <n v="105.19"/>
    <n v="107.12"/>
    <n v="11047587"/>
    <x v="9"/>
    <s v="Exxon Mobil"/>
    <x v="6"/>
    <n v="1.248"/>
    <x v="2"/>
    <x v="0"/>
    <s v="March"/>
    <s v="Profit"/>
    <n v="2.460000000000008"/>
    <n v="1.5240000000000025"/>
  </r>
  <r>
    <s v="2023-03-29"/>
    <n v="108.06"/>
    <x v="4355"/>
    <n v="107.49"/>
    <n v="108.96"/>
    <n v="14219122"/>
    <x v="9"/>
    <s v="Exxon Mobil"/>
    <x v="6"/>
    <n v="1.718"/>
    <x v="2"/>
    <x v="0"/>
    <s v="March"/>
    <s v="Profit"/>
    <n v="1.6700000000000017"/>
    <n v="3.2420000000000027"/>
  </r>
  <r>
    <s v="2023-03-30"/>
    <n v="109.55"/>
    <x v="4356"/>
    <n v="108.52"/>
    <n v="109.49"/>
    <n v="11578171"/>
    <x v="9"/>
    <s v="Exxon Mobil"/>
    <x v="6"/>
    <n v="0.48599999999999999"/>
    <x v="2"/>
    <x v="0"/>
    <s v="March"/>
    <s v="Profit"/>
    <n v="1.0499999999999972"/>
    <n v="3.7280000000000024"/>
  </r>
  <r>
    <s v="2023-03-31"/>
    <n v="109.68"/>
    <x v="4357"/>
    <n v="109.05"/>
    <n v="109.66"/>
    <n v="14417961"/>
    <x v="9"/>
    <s v="Exxon Mobil"/>
    <x v="6"/>
    <n v="0.155"/>
    <x v="2"/>
    <x v="0"/>
    <s v="March"/>
    <s v="Profit"/>
    <n v="1.1200000000000045"/>
    <n v="3.8830000000000022"/>
  </r>
  <r>
    <s v="2023-04-03"/>
    <n v="113.39"/>
    <x v="4358"/>
    <n v="113.12"/>
    <n v="116.13"/>
    <n v="28087681"/>
    <x v="9"/>
    <s v="Exxon Mobil"/>
    <x v="6"/>
    <n v="5.9"/>
    <x v="3"/>
    <x v="0"/>
    <s v="April"/>
    <s v="Profit"/>
    <n v="3.7299999999999898"/>
    <n v="9.783000000000003"/>
  </r>
  <r>
    <s v="2023-04-04"/>
    <n v="116.26"/>
    <x v="4359"/>
    <n v="114.17"/>
    <n v="115.02"/>
    <n v="16365489"/>
    <x v="9"/>
    <s v="Exxon Mobil"/>
    <x v="6"/>
    <n v="-0.95599999999999996"/>
    <x v="3"/>
    <x v="0"/>
    <s v="April"/>
    <s v="Loss"/>
    <n v="2.5300000000000011"/>
    <n v="8.8270000000000035"/>
  </r>
  <r>
    <s v="2023-04-05"/>
    <n v="115.35"/>
    <x v="4360"/>
    <n v="114.31"/>
    <n v="116.99"/>
    <n v="16479469"/>
    <x v="9"/>
    <s v="Exxon Mobil"/>
    <x v="6"/>
    <n v="1.7130000000000001"/>
    <x v="3"/>
    <x v="0"/>
    <s v="April"/>
    <s v="Profit"/>
    <n v="2.6899999999999977"/>
    <n v="10.540000000000003"/>
  </r>
  <r>
    <s v="2023-04-06"/>
    <n v="116.86"/>
    <x v="4361"/>
    <n v="114.77"/>
    <n v="115.05"/>
    <n v="15777957"/>
    <x v="9"/>
    <s v="Exxon Mobil"/>
    <x v="6"/>
    <n v="-1.6579999999999999"/>
    <x v="3"/>
    <x v="0"/>
    <s v="April"/>
    <s v="Loss"/>
    <n v="2.4100000000000108"/>
    <n v="8.8820000000000032"/>
  </r>
  <r>
    <s v="2023-04-10"/>
    <n v="114.78"/>
    <x v="4362"/>
    <n v="114.17"/>
    <n v="114.54"/>
    <n v="13006552"/>
    <x v="9"/>
    <s v="Exxon Mobil"/>
    <x v="6"/>
    <n v="-0.443"/>
    <x v="3"/>
    <x v="0"/>
    <s v="April"/>
    <s v="Loss"/>
    <n v="2.0100000000000051"/>
    <n v="8.4390000000000036"/>
  </r>
  <r>
    <s v="2023-04-11"/>
    <n v="114.96"/>
    <x v="4363"/>
    <n v="114.38"/>
    <n v="115.35"/>
    <n v="11758461"/>
    <x v="9"/>
    <s v="Exxon Mobil"/>
    <x v="6"/>
    <n v="0.70699999999999996"/>
    <x v="3"/>
    <x v="0"/>
    <s v="April"/>
    <s v="Profit"/>
    <n v="1.8200000000000074"/>
    <n v="9.1460000000000043"/>
  </r>
  <r>
    <s v="2023-04-12"/>
    <n v="116.16"/>
    <x v="4364"/>
    <n v="114.93"/>
    <n v="115.23"/>
    <n v="10919022"/>
    <x v="9"/>
    <s v="Exxon Mobil"/>
    <x v="6"/>
    <n v="-0.104"/>
    <x v="3"/>
    <x v="0"/>
    <s v="April"/>
    <s v="Loss"/>
    <n v="1.6599999999999966"/>
    <n v="9.0420000000000051"/>
  </r>
  <r>
    <s v="2023-04-13"/>
    <n v="114.6"/>
    <x v="4365"/>
    <n v="114.13"/>
    <n v="115.77"/>
    <n v="12399652"/>
    <x v="9"/>
    <s v="Exxon Mobil"/>
    <x v="6"/>
    <n v="0.46899999999999997"/>
    <x v="3"/>
    <x v="0"/>
    <s v="April"/>
    <s v="Profit"/>
    <n v="1.7600000000000051"/>
    <n v="9.5110000000000046"/>
  </r>
  <r>
    <s v="2023-04-14"/>
    <n v="115.9"/>
    <x v="4366"/>
    <n v="115.12"/>
    <n v="116.05"/>
    <n v="11530828"/>
    <x v="9"/>
    <s v="Exxon Mobil"/>
    <x v="6"/>
    <n v="0.24199999999999999"/>
    <x v="3"/>
    <x v="0"/>
    <s v="April"/>
    <s v="Profit"/>
    <n v="1.539999999999992"/>
    <n v="9.7530000000000037"/>
  </r>
  <r>
    <s v="2023-04-17"/>
    <n v="115.49"/>
    <x v="4367"/>
    <n v="114.42"/>
    <n v="114.7"/>
    <n v="13260352"/>
    <x v="9"/>
    <s v="Exxon Mobil"/>
    <x v="6"/>
    <n v="-1.163"/>
    <x v="3"/>
    <x v="0"/>
    <s v="April"/>
    <s v="Loss"/>
    <n v="2.0900000000000034"/>
    <n v="8.5900000000000034"/>
  </r>
  <r>
    <s v="2023-04-18"/>
    <n v="114.39"/>
    <x v="4368"/>
    <n v="114.3"/>
    <n v="116.94"/>
    <n v="17436140"/>
    <x v="9"/>
    <s v="Exxon Mobil"/>
    <x v="6"/>
    <n v="1.9530000000000001"/>
    <x v="3"/>
    <x v="0"/>
    <s v="April"/>
    <s v="Profit"/>
    <n v="2.9099999999999966"/>
    <n v="10.543000000000003"/>
  </r>
  <r>
    <s v="2023-04-19"/>
    <n v="116.08"/>
    <x v="4369"/>
    <n v="115.77"/>
    <n v="116.57"/>
    <n v="10682605"/>
    <x v="9"/>
    <s v="Exxon Mobil"/>
    <x v="6"/>
    <n v="-0.316"/>
    <x v="3"/>
    <x v="0"/>
    <s v="April"/>
    <s v="Loss"/>
    <n v="1.1300000000000097"/>
    <n v="10.227000000000002"/>
  </r>
  <r>
    <s v="2023-04-20"/>
    <n v="115.125"/>
    <x v="4370"/>
    <n v="113.23"/>
    <n v="115.64"/>
    <n v="17038747"/>
    <x v="9"/>
    <s v="Exxon Mobil"/>
    <x v="6"/>
    <n v="-0.79800000000000004"/>
    <x v="3"/>
    <x v="0"/>
    <s v="April"/>
    <s v="Loss"/>
    <n v="2.4500000000000028"/>
    <n v="9.429000000000002"/>
  </r>
  <r>
    <s v="2023-04-21"/>
    <n v="116.49"/>
    <x v="4371"/>
    <n v="115.26"/>
    <n v="116.01"/>
    <n v="14315329"/>
    <x v="9"/>
    <s v="Exxon Mobil"/>
    <x v="6"/>
    <n v="0.32"/>
    <x v="3"/>
    <x v="0"/>
    <s v="April"/>
    <s v="Profit"/>
    <n v="1.6199999999999903"/>
    <n v="9.7490000000000023"/>
  </r>
  <r>
    <s v="2023-04-24"/>
    <n v="115.92"/>
    <x v="4372"/>
    <n v="115.88"/>
    <n v="118.2"/>
    <n v="15831314"/>
    <x v="9"/>
    <s v="Exxon Mobil"/>
    <x v="6"/>
    <n v="1.8879999999999999"/>
    <x v="3"/>
    <x v="0"/>
    <s v="April"/>
    <s v="Profit"/>
    <n v="3.0050000000000097"/>
    <n v="11.637000000000002"/>
  </r>
  <r>
    <s v="2023-04-25"/>
    <n v="117.55"/>
    <x v="4373"/>
    <n v="115.63"/>
    <n v="116.52"/>
    <n v="12179825"/>
    <x v="9"/>
    <s v="Exxon Mobil"/>
    <x v="6"/>
    <n v="-1.421"/>
    <x v="3"/>
    <x v="0"/>
    <s v="April"/>
    <s v="Loss"/>
    <n v="2.1099999999999994"/>
    <n v="10.216000000000003"/>
  </r>
  <r>
    <s v="2023-04-26"/>
    <n v="116.03"/>
    <x v="4374"/>
    <n v="114.68"/>
    <n v="115.45"/>
    <n v="15566086"/>
    <x v="9"/>
    <s v="Exxon Mobil"/>
    <x v="6"/>
    <n v="-0.91800000000000004"/>
    <x v="3"/>
    <x v="0"/>
    <s v="April"/>
    <s v="Loss"/>
    <n v="2.4099999999999966"/>
    <n v="9.2980000000000036"/>
  </r>
  <r>
    <s v="2023-04-27"/>
    <n v="115.62"/>
    <x v="4375"/>
    <n v="114.88200000000001"/>
    <n v="116.83"/>
    <n v="16279188"/>
    <x v="9"/>
    <s v="Exxon Mobil"/>
    <x v="6"/>
    <n v="1.1950000000000001"/>
    <x v="3"/>
    <x v="0"/>
    <s v="April"/>
    <s v="Profit"/>
    <n v="2.1280000000000001"/>
    <n v="10.493000000000004"/>
  </r>
  <r>
    <s v="2023-04-28"/>
    <n v="117.25"/>
    <x v="4376"/>
    <n v="116.83"/>
    <n v="118.34"/>
    <n v="24381946"/>
    <x v="9"/>
    <s v="Exxon Mobil"/>
    <x v="6"/>
    <n v="1.292"/>
    <x v="3"/>
    <x v="0"/>
    <s v="April"/>
    <s v="Profit"/>
    <n v="3.0900000000000034"/>
    <n v="11.785000000000004"/>
  </r>
  <r>
    <s v="2023-05-01"/>
    <n v="115.99"/>
    <x v="4377"/>
    <n v="114.45"/>
    <n v="114.67"/>
    <n v="17354987"/>
    <x v="9"/>
    <s v="Exxon Mobil"/>
    <x v="6"/>
    <n v="-3.101"/>
    <x v="4"/>
    <x v="0"/>
    <s v="May"/>
    <s v="Loss"/>
    <n v="2.8499999999999943"/>
    <n v="8.6840000000000046"/>
  </r>
  <r>
    <s v="2023-05-02"/>
    <n v="113.94"/>
    <x v="4378"/>
    <n v="109.29"/>
    <n v="110.1"/>
    <n v="24324102"/>
    <x v="9"/>
    <s v="Exxon Mobil"/>
    <x v="6"/>
    <n v="-3.9849999999999999"/>
    <x v="4"/>
    <x v="0"/>
    <s v="May"/>
    <s v="Loss"/>
    <n v="4.6499999999999915"/>
    <n v="4.6990000000000052"/>
  </r>
  <r>
    <s v="2023-05-03"/>
    <n v="109.08"/>
    <x v="4379"/>
    <n v="107.755"/>
    <n v="107.93"/>
    <n v="16212343"/>
    <x v="9"/>
    <s v="Exxon Mobil"/>
    <x v="6"/>
    <n v="-1.9710000000000001"/>
    <x v="4"/>
    <x v="0"/>
    <s v="May"/>
    <s v="Loss"/>
    <n v="2.0550000000000068"/>
    <n v="2.7280000000000051"/>
  </r>
  <r>
    <s v="2023-05-04"/>
    <n v="107.9"/>
    <x v="4380"/>
    <n v="105.91"/>
    <n v="106.04"/>
    <n v="17177150"/>
    <x v="9"/>
    <s v="Exxon Mobil"/>
    <x v="6"/>
    <n v="-1.7509999999999999"/>
    <x v="4"/>
    <x v="0"/>
    <s v="May"/>
    <s v="Loss"/>
    <n v="2.8400000000000034"/>
    <n v="0.9770000000000052"/>
  </r>
  <r>
    <s v="2023-05-05"/>
    <n v="108.55"/>
    <x v="4381"/>
    <n v="107.53"/>
    <n v="108.68"/>
    <n v="14968197"/>
    <x v="9"/>
    <s v="Exxon Mobil"/>
    <x v="6"/>
    <n v="2.4900000000000002"/>
    <x v="4"/>
    <x v="0"/>
    <s v="May"/>
    <s v="Profit"/>
    <n v="1.9000000000000057"/>
    <n v="3.4670000000000054"/>
  </r>
  <r>
    <s v="2023-05-08"/>
    <n v="110.5"/>
    <x v="4331"/>
    <n v="109.04"/>
    <n v="109.11"/>
    <n v="11187752"/>
    <x v="9"/>
    <s v="Exxon Mobil"/>
    <x v="6"/>
    <n v="0.39600000000000002"/>
    <x v="4"/>
    <x v="0"/>
    <s v="May"/>
    <s v="Profit"/>
    <n v="1.9299999999999926"/>
    <n v="3.8630000000000053"/>
  </r>
  <r>
    <s v="2023-05-09"/>
    <n v="108.34"/>
    <x v="4382"/>
    <n v="108.21"/>
    <n v="109.14"/>
    <n v="11370769"/>
    <x v="9"/>
    <s v="Exxon Mobil"/>
    <x v="6"/>
    <n v="2.7E-2"/>
    <x v="4"/>
    <x v="0"/>
    <s v="May"/>
    <s v="Profit"/>
    <n v="2.0200000000000102"/>
    <n v="3.8900000000000055"/>
  </r>
  <r>
    <s v="2023-05-10"/>
    <n v="109.74"/>
    <x v="4383"/>
    <n v="106.71"/>
    <n v="107.74"/>
    <n v="14884793"/>
    <x v="9"/>
    <s v="Exxon Mobil"/>
    <x v="6"/>
    <n v="-1.2829999999999999"/>
    <x v="4"/>
    <x v="0"/>
    <s v="May"/>
    <s v="Loss"/>
    <n v="3.3000000000000114"/>
    <n v="2.6070000000000055"/>
  </r>
  <r>
    <s v="2023-05-11"/>
    <n v="106.49"/>
    <x v="4384"/>
    <n v="104.93300000000001"/>
    <n v="105.79"/>
    <n v="17165897"/>
    <x v="9"/>
    <s v="Exxon Mobil"/>
    <x v="6"/>
    <n v="-1.81"/>
    <x v="4"/>
    <x v="0"/>
    <s v="May"/>
    <s v="Loss"/>
    <n v="1.8869999999999862"/>
    <n v="0.79700000000000548"/>
  </r>
  <r>
    <s v="2023-05-12"/>
    <n v="106.31"/>
    <x v="4385"/>
    <n v="104.77500000000001"/>
    <n v="105.78"/>
    <n v="12613254"/>
    <x v="9"/>
    <s v="Exxon Mobil"/>
    <x v="6"/>
    <n v="-8.9999999999999993E-3"/>
    <x v="4"/>
    <x v="0"/>
    <s v="May"/>
    <s v="Loss"/>
    <n v="2.2349999999999994"/>
    <n v="0.78800000000000547"/>
  </r>
  <r>
    <s v="2023-05-15"/>
    <n v="105.51"/>
    <x v="4386"/>
    <n v="104.58"/>
    <n v="105.07"/>
    <n v="13715576"/>
    <x v="9"/>
    <s v="Exxon Mobil"/>
    <x v="6"/>
    <n v="-0.67100000000000004"/>
    <x v="4"/>
    <x v="0"/>
    <s v="May"/>
    <s v="Loss"/>
    <n v="1.3449999999999989"/>
    <n v="0.11700000000000543"/>
  </r>
  <r>
    <s v="2023-05-16"/>
    <n v="104.63"/>
    <x v="4387"/>
    <n v="102.02"/>
    <n v="102.52"/>
    <n v="14800200"/>
    <x v="9"/>
    <s v="Exxon Mobil"/>
    <x v="6"/>
    <n v="-2.427"/>
    <x v="4"/>
    <x v="0"/>
    <s v="May"/>
    <s v="Loss"/>
    <n v="2.7900000000000063"/>
    <n v="-2.3099999999999947"/>
  </r>
  <r>
    <s v="2023-05-17"/>
    <n v="103.39"/>
    <x v="576"/>
    <n v="102.85"/>
    <n v="104.82"/>
    <n v="14064742"/>
    <x v="9"/>
    <s v="Exxon Mobil"/>
    <x v="6"/>
    <n v="2.2429999999999999"/>
    <x v="4"/>
    <x v="0"/>
    <s v="May"/>
    <s v="Profit"/>
    <n v="2.3800000000000097"/>
    <n v="-6.6999999999994841E-2"/>
  </r>
  <r>
    <s v="2023-05-18"/>
    <n v="104.55"/>
    <x v="4388"/>
    <n v="104.13"/>
    <n v="105.77"/>
    <n v="12005609"/>
    <x v="9"/>
    <s v="Exxon Mobil"/>
    <x v="6"/>
    <n v="0.90600000000000003"/>
    <x v="4"/>
    <x v="0"/>
    <s v="May"/>
    <s v="Profit"/>
    <n v="1.7800000000000011"/>
    <n v="0.83900000000000519"/>
  </r>
  <r>
    <s v="2023-05-19"/>
    <n v="106.57"/>
    <x v="4389"/>
    <n v="105.82"/>
    <n v="106.26"/>
    <n v="13359630"/>
    <x v="9"/>
    <s v="Exxon Mobil"/>
    <x v="6"/>
    <n v="0.46300000000000002"/>
    <x v="4"/>
    <x v="0"/>
    <s v="May"/>
    <s v="Profit"/>
    <n v="1.230000000000004"/>
    <n v="1.3020000000000052"/>
  </r>
  <r>
    <s v="2023-05-22"/>
    <n v="105.84"/>
    <x v="4390"/>
    <n v="104.88"/>
    <n v="104.97"/>
    <n v="12882000"/>
    <x v="9"/>
    <s v="Exxon Mobil"/>
    <x v="6"/>
    <n v="-1.214"/>
    <x v="4"/>
    <x v="0"/>
    <s v="May"/>
    <s v="Loss"/>
    <n v="2.1600000000000108"/>
    <n v="8.8000000000005185E-2"/>
  </r>
  <r>
    <s v="2023-05-23"/>
    <n v="105.99"/>
    <x v="4391"/>
    <n v="105.75"/>
    <n v="106.4"/>
    <n v="14394440"/>
    <x v="9"/>
    <s v="Exxon Mobil"/>
    <x v="6"/>
    <n v="1.3620000000000001"/>
    <x v="4"/>
    <x v="0"/>
    <s v="May"/>
    <s v="Profit"/>
    <n v="2.4699999999999989"/>
    <n v="1.4500000000000053"/>
  </r>
  <r>
    <s v="2023-05-24"/>
    <n v="107.38"/>
    <x v="4392"/>
    <n v="106.73"/>
    <n v="107.59"/>
    <n v="16340293"/>
    <x v="9"/>
    <s v="Exxon Mobil"/>
    <x v="6"/>
    <n v="1.1180000000000001"/>
    <x v="4"/>
    <x v="0"/>
    <s v="May"/>
    <s v="Profit"/>
    <n v="1.7800000000000011"/>
    <n v="2.5680000000000054"/>
  </r>
  <r>
    <s v="2023-05-25"/>
    <n v="105.94"/>
    <x v="4393"/>
    <n v="104.71"/>
    <n v="105.66"/>
    <n v="14316463"/>
    <x v="9"/>
    <s v="Exxon Mobil"/>
    <x v="6"/>
    <n v="-1.794"/>
    <x v="4"/>
    <x v="0"/>
    <s v="May"/>
    <s v="Loss"/>
    <n v="1.7200000000000131"/>
    <n v="0.77400000000000535"/>
  </r>
  <r>
    <s v="2023-05-26"/>
    <n v="106.47"/>
    <x v="4394"/>
    <n v="104.833"/>
    <n v="104.97"/>
    <n v="12370326"/>
    <x v="9"/>
    <s v="Exxon Mobil"/>
    <x v="6"/>
    <n v="-0.65300000000000002"/>
    <x v="4"/>
    <x v="0"/>
    <s v="May"/>
    <s v="Loss"/>
    <n v="2.1170000000000044"/>
    <n v="0.12100000000000533"/>
  </r>
  <r>
    <s v="2023-05-30"/>
    <n v="103.29"/>
    <x v="4395"/>
    <n v="102.61"/>
    <n v="104.04"/>
    <n v="11938025"/>
    <x v="9"/>
    <s v="Exxon Mobil"/>
    <x v="6"/>
    <n v="-0.88600000000000001"/>
    <x v="4"/>
    <x v="0"/>
    <s v="May"/>
    <s v="Loss"/>
    <n v="1.5100000000000051"/>
    <n v="-0.76499999999999468"/>
  </r>
  <r>
    <s v="2023-05-31"/>
    <n v="102.29"/>
    <x v="556"/>
    <n v="101.74"/>
    <n v="102.18"/>
    <n v="24926117"/>
    <x v="9"/>
    <s v="Exxon Mobil"/>
    <x v="6"/>
    <n v="-1.788"/>
    <x v="4"/>
    <x v="0"/>
    <s v="May"/>
    <s v="Loss"/>
    <n v="1.3000000000000114"/>
    <n v="-2.5529999999999946"/>
  </r>
  <r>
    <s v="2023-06-01"/>
    <n v="101.75"/>
    <x v="4396"/>
    <n v="101.26"/>
    <n v="103.36"/>
    <n v="13551936"/>
    <x v="9"/>
    <s v="Exxon Mobil"/>
    <x v="6"/>
    <n v="1.155"/>
    <x v="5"/>
    <x v="0"/>
    <s v="June"/>
    <s v="Profit"/>
    <n v="4.3199999999999932"/>
    <n v="-1.3979999999999946"/>
  </r>
  <r>
    <s v="2023-06-02"/>
    <n v="105.16"/>
    <x v="4397"/>
    <n v="104.53"/>
    <n v="105.76"/>
    <n v="14112041"/>
    <x v="9"/>
    <s v="Exxon Mobil"/>
    <x v="6"/>
    <n v="2.3220000000000001"/>
    <x v="5"/>
    <x v="0"/>
    <s v="June"/>
    <s v="Profit"/>
    <n v="1.5999999999999943"/>
    <n v="0.92400000000000548"/>
  </r>
  <r>
    <s v="2023-06-05"/>
    <n v="107.19"/>
    <x v="4398"/>
    <n v="105.09"/>
    <n v="105.29"/>
    <n v="10628001"/>
    <x v="9"/>
    <s v="Exxon Mobil"/>
    <x v="6"/>
    <n v="-0.44400000000000001"/>
    <x v="5"/>
    <x v="0"/>
    <s v="June"/>
    <s v="Loss"/>
    <n v="2.0999999999999943"/>
    <n v="0.48000000000000548"/>
  </r>
  <r>
    <s v="2023-06-06"/>
    <n v="104.15"/>
    <x v="4399"/>
    <n v="103.98"/>
    <n v="106.15"/>
    <n v="12209768"/>
    <x v="9"/>
    <s v="Exxon Mobil"/>
    <x v="6"/>
    <n v="0.81699999999999995"/>
    <x v="5"/>
    <x v="0"/>
    <s v="June"/>
    <s v="Profit"/>
    <n v="2.289999999999992"/>
    <n v="1.2970000000000055"/>
  </r>
  <r>
    <s v="2023-06-07"/>
    <n v="106.79"/>
    <x v="4400"/>
    <n v="106.73"/>
    <n v="108.53"/>
    <n v="16027086"/>
    <x v="9"/>
    <s v="Exxon Mobil"/>
    <x v="6"/>
    <n v="2.242"/>
    <x v="5"/>
    <x v="0"/>
    <s v="June"/>
    <s v="Profit"/>
    <n v="2.1599999999999966"/>
    <n v="3.5390000000000055"/>
  </r>
  <r>
    <s v="2023-06-08"/>
    <n v="108.77"/>
    <x v="4401"/>
    <n v="105.9"/>
    <n v="108.19"/>
    <n v="13517919"/>
    <x v="9"/>
    <s v="Exxon Mobil"/>
    <x v="6"/>
    <n v="-0.313"/>
    <x v="5"/>
    <x v="0"/>
    <s v="June"/>
    <s v="Loss"/>
    <n v="3.2399999999999949"/>
    <n v="3.2260000000000053"/>
  </r>
  <r>
    <s v="2023-06-09"/>
    <n v="108.455"/>
    <x v="4402"/>
    <n v="107.16"/>
    <n v="107.39"/>
    <n v="12252531"/>
    <x v="9"/>
    <s v="Exxon Mobil"/>
    <x v="6"/>
    <n v="-0.73899999999999999"/>
    <x v="5"/>
    <x v="0"/>
    <s v="June"/>
    <s v="Loss"/>
    <n v="1.4500000000000028"/>
    <n v="2.4870000000000054"/>
  </r>
  <r>
    <s v="2023-06-12"/>
    <n v="105.81"/>
    <x v="4403"/>
    <n v="105.55500000000001"/>
    <n v="106.42"/>
    <n v="14115160"/>
    <x v="9"/>
    <s v="Exxon Mobil"/>
    <x v="6"/>
    <n v="-0.90300000000000002"/>
    <x v="5"/>
    <x v="0"/>
    <s v="June"/>
    <s v="Loss"/>
    <n v="1.5049999999999955"/>
    <n v="1.5840000000000054"/>
  </r>
  <r>
    <s v="2023-06-13"/>
    <n v="107.38"/>
    <x v="4404"/>
    <n v="106.27500000000001"/>
    <n v="106.44"/>
    <n v="13533780"/>
    <x v="9"/>
    <s v="Exxon Mobil"/>
    <x v="6"/>
    <n v="1.9E-2"/>
    <x v="5"/>
    <x v="0"/>
    <s v="June"/>
    <s v="Profit"/>
    <n v="2.0649999999999977"/>
    <n v="1.6030000000000053"/>
  </r>
  <r>
    <s v="2023-06-14"/>
    <n v="107.45"/>
    <x v="4405"/>
    <n v="104.39"/>
    <n v="105.16"/>
    <n v="16627681"/>
    <x v="9"/>
    <s v="Exxon Mobil"/>
    <x v="6"/>
    <n v="-1.2030000000000001"/>
    <x v="5"/>
    <x v="0"/>
    <s v="June"/>
    <s v="Loss"/>
    <n v="3.7199999999999989"/>
    <n v="0.40000000000000524"/>
  </r>
  <r>
    <s v="2023-06-15"/>
    <n v="105.5"/>
    <x v="4406"/>
    <n v="105.44"/>
    <n v="105.89"/>
    <n v="16224117"/>
    <x v="9"/>
    <s v="Exxon Mobil"/>
    <x v="6"/>
    <n v="0.69399999999999995"/>
    <x v="5"/>
    <x v="0"/>
    <s v="June"/>
    <s v="Profit"/>
    <n v="1.5900000000000034"/>
    <n v="1.0940000000000052"/>
  </r>
  <r>
    <s v="2023-06-16"/>
    <n v="106.36"/>
    <x v="4407"/>
    <n v="104.955"/>
    <n v="105.13"/>
    <n v="43128871"/>
    <x v="9"/>
    <s v="Exxon Mobil"/>
    <x v="6"/>
    <n v="-0.71799999999999997"/>
    <x v="5"/>
    <x v="0"/>
    <s v="June"/>
    <s v="Loss"/>
    <n v="1.8149999999999977"/>
    <n v="0.37600000000000522"/>
  </r>
  <r>
    <s v="2023-06-20"/>
    <n v="104.68"/>
    <x v="4408"/>
    <n v="102.12"/>
    <n v="102.72"/>
    <n v="17519379"/>
    <x v="9"/>
    <s v="Exxon Mobil"/>
    <x v="6"/>
    <n v="-2.2919999999999998"/>
    <x v="5"/>
    <x v="0"/>
    <s v="June"/>
    <s v="Loss"/>
    <n v="2.6499999999999915"/>
    <n v="-1.9159999999999946"/>
  </r>
  <r>
    <s v="2023-06-21"/>
    <n v="102.5"/>
    <x v="4409"/>
    <n v="102.33"/>
    <n v="103.87"/>
    <n v="13285741"/>
    <x v="9"/>
    <s v="Exxon Mobil"/>
    <x v="6"/>
    <n v="1.1200000000000001"/>
    <x v="5"/>
    <x v="0"/>
    <s v="June"/>
    <s v="Profit"/>
    <n v="2.2999999999999972"/>
    <n v="-0.79599999999999449"/>
  </r>
  <r>
    <s v="2023-06-22"/>
    <n v="102.84"/>
    <x v="4410"/>
    <n v="102.65"/>
    <n v="103.3"/>
    <n v="12458807"/>
    <x v="9"/>
    <s v="Exxon Mobil"/>
    <x v="6"/>
    <n v="-0.54900000000000004"/>
    <x v="5"/>
    <x v="0"/>
    <s v="June"/>
    <s v="Loss"/>
    <n v="1.2349999999999994"/>
    <n v="-1.3449999999999944"/>
  </r>
  <r>
    <s v="2023-06-23"/>
    <n v="102.59"/>
    <x v="4411"/>
    <n v="101.62"/>
    <n v="102.4"/>
    <n v="17933599"/>
    <x v="9"/>
    <s v="Exxon Mobil"/>
    <x v="6"/>
    <n v="-0.871"/>
    <x v="5"/>
    <x v="0"/>
    <s v="June"/>
    <s v="Loss"/>
    <n v="1.1999999999999886"/>
    <n v="-2.2159999999999944"/>
  </r>
  <r>
    <s v="2023-06-26"/>
    <n v="102.2"/>
    <x v="4412"/>
    <n v="102.2"/>
    <n v="104.29"/>
    <n v="14283407"/>
    <x v="9"/>
    <s v="Exxon Mobil"/>
    <x v="6"/>
    <n v="1.8460000000000001"/>
    <x v="5"/>
    <x v="0"/>
    <s v="June"/>
    <s v="Profit"/>
    <n v="2.7049999999999983"/>
    <n v="-0.36999999999999433"/>
  </r>
  <r>
    <s v="2023-06-27"/>
    <n v="104.045"/>
    <x v="4413"/>
    <n v="103.27"/>
    <n v="104.55"/>
    <n v="13227486"/>
    <x v="9"/>
    <s v="Exxon Mobil"/>
    <x v="6"/>
    <n v="0.249"/>
    <x v="5"/>
    <x v="0"/>
    <s v="June"/>
    <s v="Profit"/>
    <n v="1.3400000000000034"/>
    <n v="-0.12099999999999433"/>
  </r>
  <r>
    <s v="2023-06-28"/>
    <n v="104.30500000000001"/>
    <x v="4414"/>
    <n v="103.2"/>
    <n v="105.4"/>
    <n v="13084062"/>
    <x v="9"/>
    <s v="Exxon Mobil"/>
    <x v="6"/>
    <n v="0.81299999999999994"/>
    <x v="5"/>
    <x v="0"/>
    <s v="June"/>
    <s v="Profit"/>
    <n v="2.6199999999999903"/>
    <n v="0.69200000000000561"/>
  </r>
  <r>
    <s v="2023-06-29"/>
    <n v="105.66"/>
    <x v="4415"/>
    <n v="105.13"/>
    <n v="106.7"/>
    <n v="11364436"/>
    <x v="9"/>
    <s v="Exxon Mobil"/>
    <x v="6"/>
    <n v="1.2330000000000001"/>
    <x v="5"/>
    <x v="0"/>
    <s v="June"/>
    <s v="Profit"/>
    <n v="1.6000000000000085"/>
    <n v="1.9250000000000056"/>
  </r>
  <r>
    <s v="2023-06-30"/>
    <n v="107.32"/>
    <x v="4416"/>
    <n v="106.81"/>
    <n v="107.25"/>
    <n v="13544664"/>
    <x v="9"/>
    <s v="Exxon Mobil"/>
    <x v="6"/>
    <n v="0.51500000000000001"/>
    <x v="5"/>
    <x v="0"/>
    <s v="June"/>
    <s v="Profit"/>
    <n v="1.0649999999999977"/>
    <n v="2.4400000000000057"/>
  </r>
  <r>
    <s v="2023-07-03"/>
    <n v="107.49"/>
    <x v="4417"/>
    <n v="107.07"/>
    <n v="107.46"/>
    <n v="7396992"/>
    <x v="9"/>
    <s v="Exxon Mobil"/>
    <x v="6"/>
    <n v="0.19600000000000001"/>
    <x v="6"/>
    <x v="0"/>
    <s v="July"/>
    <s v="Profit"/>
    <n v="1.3900000000000006"/>
    <n v="2.6360000000000059"/>
  </r>
  <r>
    <s v="2023-07-05"/>
    <n v="107.63"/>
    <x v="4418"/>
    <n v="106.1"/>
    <n v="106.91"/>
    <n v="12491205"/>
    <x v="9"/>
    <s v="Exxon Mobil"/>
    <x v="6"/>
    <n v="-0.51200000000000001"/>
    <x v="6"/>
    <x v="0"/>
    <s v="July"/>
    <s v="Loss"/>
    <n v="1.8200000000000074"/>
    <n v="2.1240000000000059"/>
  </r>
  <r>
    <s v="2023-07-06"/>
    <n v="105.09"/>
    <x v="4419"/>
    <n v="102.43"/>
    <n v="102.92"/>
    <n v="17964883"/>
    <x v="9"/>
    <s v="Exxon Mobil"/>
    <x v="6"/>
    <n v="-3.7320000000000002"/>
    <x v="6"/>
    <x v="0"/>
    <s v="July"/>
    <s v="Loss"/>
    <n v="3.289999999999992"/>
    <n v="-1.6079999999999943"/>
  </r>
  <r>
    <s v="2023-07-07"/>
    <n v="101.92"/>
    <x v="4420"/>
    <n v="101.56"/>
    <n v="103.16"/>
    <n v="21929158"/>
    <x v="9"/>
    <s v="Exxon Mobil"/>
    <x v="6"/>
    <n v="0.23300000000000001"/>
    <x v="6"/>
    <x v="0"/>
    <s v="July"/>
    <s v="Profit"/>
    <n v="2.4399999999999977"/>
    <n v="-1.3749999999999942"/>
  </r>
  <r>
    <s v="2023-07-10"/>
    <n v="102.97"/>
    <x v="4421"/>
    <n v="102.75"/>
    <n v="104.69"/>
    <n v="14877615"/>
    <x v="9"/>
    <s v="Exxon Mobil"/>
    <x v="6"/>
    <n v="1.4830000000000001"/>
    <x v="6"/>
    <x v="0"/>
    <s v="July"/>
    <s v="Profit"/>
    <n v="2"/>
    <n v="0.10800000000000587"/>
  </r>
  <r>
    <s v="2023-07-11"/>
    <n v="105.26"/>
    <x v="4422"/>
    <n v="104.81"/>
    <n v="105.97"/>
    <n v="12581080"/>
    <x v="9"/>
    <s v="Exxon Mobil"/>
    <x v="6"/>
    <n v="1.2230000000000001"/>
    <x v="6"/>
    <x v="0"/>
    <s v="July"/>
    <s v="Profit"/>
    <n v="1.3499999999999943"/>
    <n v="1.331000000000006"/>
  </r>
  <r>
    <s v="2023-07-12"/>
    <n v="107"/>
    <x v="4354"/>
    <n v="106.13"/>
    <n v="106.49"/>
    <n v="13238236"/>
    <x v="9"/>
    <s v="Exxon Mobil"/>
    <x v="6"/>
    <n v="0.49099999999999999"/>
    <x v="6"/>
    <x v="0"/>
    <s v="July"/>
    <s v="Profit"/>
    <n v="1.5200000000000102"/>
    <n v="1.8220000000000058"/>
  </r>
  <r>
    <s v="2023-07-13"/>
    <n v="105.97"/>
    <x v="4423"/>
    <n v="103.32"/>
    <n v="104.54"/>
    <n v="26826838"/>
    <x v="9"/>
    <s v="Exxon Mobil"/>
    <x v="6"/>
    <n v="-1.831"/>
    <x v="6"/>
    <x v="0"/>
    <s v="July"/>
    <s v="Loss"/>
    <n v="2.9100000000000108"/>
    <n v="-8.9999999999941238E-3"/>
  </r>
  <r>
    <s v="2023-07-14"/>
    <n v="104.05"/>
    <x v="4424"/>
    <n v="100.53"/>
    <n v="100.94"/>
    <n v="28181920"/>
    <x v="9"/>
    <s v="Exxon Mobil"/>
    <x v="6"/>
    <n v="-3.444"/>
    <x v="6"/>
    <x v="0"/>
    <s v="July"/>
    <s v="Loss"/>
    <n v="3.519999999999996"/>
    <n v="-3.4529999999999941"/>
  </r>
  <r>
    <s v="2023-07-17"/>
    <n v="100.72"/>
    <x v="4425"/>
    <n v="100.22"/>
    <n v="101.38"/>
    <n v="18055849"/>
    <x v="9"/>
    <s v="Exxon Mobil"/>
    <x v="6"/>
    <n v="0.436"/>
    <x v="6"/>
    <x v="0"/>
    <s v="July"/>
    <s v="Profit"/>
    <n v="1.4450000000000074"/>
    <n v="-3.0169999999999941"/>
  </r>
  <r>
    <s v="2023-07-18"/>
    <n v="100.92"/>
    <x v="562"/>
    <n v="100.34"/>
    <n v="100.92"/>
    <n v="24617795"/>
    <x v="9"/>
    <s v="Exxon Mobil"/>
    <x v="6"/>
    <n v="-0.45400000000000001"/>
    <x v="6"/>
    <x v="0"/>
    <s v="July"/>
    <s v="Loss"/>
    <n v="1.8599999999999994"/>
    <n v="-3.4709999999999943"/>
  </r>
  <r>
    <s v="2023-07-19"/>
    <n v="101.05"/>
    <x v="4426"/>
    <n v="100.8"/>
    <n v="101.62"/>
    <n v="15556541"/>
    <x v="9"/>
    <s v="Exxon Mobil"/>
    <x v="6"/>
    <n v="0.69399999999999995"/>
    <x v="6"/>
    <x v="0"/>
    <s v="July"/>
    <s v="Profit"/>
    <n v="1.6000000000000085"/>
    <n v="-2.7769999999999944"/>
  </r>
  <r>
    <s v="2023-07-20"/>
    <n v="102.535"/>
    <x v="4427"/>
    <n v="102.36"/>
    <n v="103.41"/>
    <n v="15740202"/>
    <x v="9"/>
    <s v="Exxon Mobil"/>
    <x v="6"/>
    <n v="1.7609999999999999"/>
    <x v="6"/>
    <x v="0"/>
    <s v="July"/>
    <s v="Profit"/>
    <n v="1.2999999999999972"/>
    <n v="-1.0159999999999945"/>
  </r>
  <r>
    <s v="2023-07-21"/>
    <n v="104.16"/>
    <x v="4428"/>
    <n v="103.26"/>
    <n v="103.89"/>
    <n v="17121487"/>
    <x v="9"/>
    <s v="Exxon Mobil"/>
    <x v="6"/>
    <n v="0.46400000000000002"/>
    <x v="6"/>
    <x v="0"/>
    <s v="July"/>
    <s v="Profit"/>
    <n v="1.1199999999999903"/>
    <n v="-0.5519999999999945"/>
  </r>
  <r>
    <s v="2023-07-24"/>
    <n v="104.36"/>
    <x v="4422"/>
    <n v="103.96"/>
    <n v="105.52"/>
    <n v="15090856"/>
    <x v="9"/>
    <s v="Exxon Mobil"/>
    <x v="6"/>
    <n v="1.569"/>
    <x v="6"/>
    <x v="0"/>
    <s v="July"/>
    <s v="Profit"/>
    <n v="2.2000000000000028"/>
    <n v="1.0170000000000055"/>
  </r>
  <r>
    <s v="2023-07-25"/>
    <n v="105.06"/>
    <x v="4429"/>
    <n v="104.54"/>
    <n v="105.68"/>
    <n v="14116084"/>
    <x v="9"/>
    <s v="Exxon Mobil"/>
    <x v="6"/>
    <n v="0.152"/>
    <x v="6"/>
    <x v="0"/>
    <s v="July"/>
    <s v="Profit"/>
    <n v="1.5499999999999972"/>
    <n v="1.1690000000000054"/>
  </r>
  <r>
    <s v="2023-07-26"/>
    <n v="105.11"/>
    <x v="4419"/>
    <n v="104.639"/>
    <n v="105.09"/>
    <n v="15159624"/>
    <x v="9"/>
    <s v="Exxon Mobil"/>
    <x v="6"/>
    <n v="-0.55800000000000005"/>
    <x v="6"/>
    <x v="0"/>
    <s v="July"/>
    <s v="Loss"/>
    <n v="1.0810000000000031"/>
    <n v="0.61100000000000532"/>
  </r>
  <r>
    <s v="2023-07-27"/>
    <n v="106"/>
    <x v="4430"/>
    <n v="104.74"/>
    <n v="105.42"/>
    <n v="17677887"/>
    <x v="9"/>
    <s v="Exxon Mobil"/>
    <x v="6"/>
    <n v="0.314"/>
    <x v="6"/>
    <x v="0"/>
    <s v="July"/>
    <s v="Profit"/>
    <n v="2.25"/>
    <n v="0.92500000000000537"/>
  </r>
  <r>
    <s v="2023-07-28"/>
    <n v="105.11"/>
    <x v="4431"/>
    <n v="102.32"/>
    <n v="104.16"/>
    <n v="17571675"/>
    <x v="9"/>
    <s v="Exxon Mobil"/>
    <x v="6"/>
    <n v="-1.1950000000000001"/>
    <x v="6"/>
    <x v="0"/>
    <s v="July"/>
    <s v="Loss"/>
    <n v="2.8400000000000034"/>
    <n v="-0.26999999999999469"/>
  </r>
  <r>
    <s v="2023-07-31"/>
    <n v="105.19"/>
    <x v="4344"/>
    <n v="105.19"/>
    <n v="107.24"/>
    <n v="24200295"/>
    <x v="9"/>
    <s v="Exxon Mobil"/>
    <x v="6"/>
    <n v="2.9569999999999999"/>
    <x v="6"/>
    <x v="0"/>
    <s v="July"/>
    <s v="Profit"/>
    <n v="2.6700000000000017"/>
    <n v="2.6870000000000052"/>
  </r>
  <r>
    <s v="2023-08-01"/>
    <n v="106.95"/>
    <x v="4432"/>
    <n v="105.53"/>
    <n v="106.62"/>
    <n v="14212939"/>
    <x v="9"/>
    <s v="Exxon Mobil"/>
    <x v="6"/>
    <n v="-0.57799999999999996"/>
    <x v="7"/>
    <x v="0"/>
    <s v="August"/>
    <s v="Loss"/>
    <n v="1.789999999999992"/>
    <n v="2.1090000000000053"/>
  </r>
  <r>
    <s v="2023-08-02"/>
    <n v="106.26"/>
    <x v="4433"/>
    <n v="104.57"/>
    <n v="105.29"/>
    <n v="13489809"/>
    <x v="9"/>
    <s v="Exxon Mobil"/>
    <x v="6"/>
    <n v="-1.2470000000000001"/>
    <x v="7"/>
    <x v="0"/>
    <s v="August"/>
    <s v="Loss"/>
    <n v="1.8050000000000068"/>
    <n v="0.86200000000000521"/>
  </r>
  <r>
    <s v="2023-08-03"/>
    <n v="105.89"/>
    <x v="4434"/>
    <n v="105.3"/>
    <n v="107.12"/>
    <n v="16283107"/>
    <x v="9"/>
    <s v="Exxon Mobil"/>
    <x v="6"/>
    <n v="1.738"/>
    <x v="7"/>
    <x v="0"/>
    <s v="August"/>
    <s v="Profit"/>
    <n v="2.5799999999999983"/>
    <n v="2.600000000000005"/>
  </r>
  <r>
    <s v="2023-08-04"/>
    <n v="107.96"/>
    <x v="4435"/>
    <n v="107.33"/>
    <n v="107.42"/>
    <n v="14279634"/>
    <x v="9"/>
    <s v="Exxon Mobil"/>
    <x v="6"/>
    <n v="0.28000000000000003"/>
    <x v="7"/>
    <x v="0"/>
    <s v="August"/>
    <s v="Profit"/>
    <n v="1.9099999999999966"/>
    <n v="2.8800000000000052"/>
  </r>
  <r>
    <s v="2023-08-07"/>
    <n v="107.9"/>
    <x v="4436"/>
    <n v="106.505"/>
    <n v="107.2"/>
    <n v="12410827"/>
    <x v="9"/>
    <s v="Exxon Mobil"/>
    <x v="6"/>
    <n v="-0.20499999999999999"/>
    <x v="7"/>
    <x v="0"/>
    <s v="August"/>
    <s v="Loss"/>
    <n v="1.9150000000000063"/>
    <n v="2.6750000000000052"/>
  </r>
  <r>
    <s v="2023-08-08"/>
    <n v="106.04"/>
    <x v="4437"/>
    <n v="104.83499999999999"/>
    <n v="107.73"/>
    <n v="14065573"/>
    <x v="9"/>
    <s v="Exxon Mobil"/>
    <x v="6"/>
    <n v="0.49399999999999999"/>
    <x v="7"/>
    <x v="0"/>
    <s v="August"/>
    <s v="Profit"/>
    <n v="2.9150000000000063"/>
    <n v="3.1690000000000049"/>
  </r>
  <r>
    <s v="2023-08-09"/>
    <n v="108.71"/>
    <x v="4438"/>
    <n v="108.31"/>
    <n v="109.56"/>
    <n v="19919601"/>
    <x v="9"/>
    <s v="Exxon Mobil"/>
    <x v="6"/>
    <n v="1.6990000000000001"/>
    <x v="7"/>
    <x v="0"/>
    <s v="August"/>
    <s v="Profit"/>
    <n v="2.105000000000004"/>
    <n v="4.8680000000000048"/>
  </r>
  <r>
    <s v="2023-08-10"/>
    <n v="110.19"/>
    <x v="4439"/>
    <n v="109.44"/>
    <n v="110.12"/>
    <n v="15837170"/>
    <x v="9"/>
    <s v="Exxon Mobil"/>
    <x v="6"/>
    <n v="0.51100000000000001"/>
    <x v="7"/>
    <x v="0"/>
    <s v="August"/>
    <s v="Profit"/>
    <n v="2.1899999999999977"/>
    <n v="5.3790000000000049"/>
  </r>
  <r>
    <s v="2023-08-11"/>
    <n v="110.37"/>
    <x v="4440"/>
    <n v="110.05"/>
    <n v="111.83"/>
    <n v="14047044"/>
    <x v="9"/>
    <s v="Exxon Mobil"/>
    <x v="6"/>
    <n v="1.5529999999999999"/>
    <x v="7"/>
    <x v="0"/>
    <s v="August"/>
    <s v="Profit"/>
    <n v="2.019999999999996"/>
    <n v="6.9320000000000048"/>
  </r>
  <r>
    <s v="2023-08-14"/>
    <n v="111.68"/>
    <x v="4441"/>
    <n v="110.78"/>
    <n v="111.92"/>
    <n v="12973383"/>
    <x v="9"/>
    <s v="Exxon Mobil"/>
    <x v="6"/>
    <n v="0.08"/>
    <x v="7"/>
    <x v="0"/>
    <s v="August"/>
    <s v="Profit"/>
    <n v="1.2000000000000028"/>
    <n v="7.0120000000000049"/>
  </r>
  <r>
    <s v="2023-08-15"/>
    <n v="110.745"/>
    <x v="574"/>
    <n v="107.965"/>
    <n v="108.16"/>
    <n v="14909578"/>
    <x v="9"/>
    <s v="Exxon Mobil"/>
    <x v="6"/>
    <n v="-3.36"/>
    <x v="7"/>
    <x v="0"/>
    <s v="August"/>
    <s v="Loss"/>
    <n v="2.894999999999996"/>
    <n v="3.652000000000005"/>
  </r>
  <r>
    <s v="2023-08-16"/>
    <n v="108.28"/>
    <x v="4442"/>
    <n v="106.27500000000001"/>
    <n v="106.34"/>
    <n v="13695121"/>
    <x v="9"/>
    <s v="Exxon Mobil"/>
    <x v="6"/>
    <n v="-1.6830000000000001"/>
    <x v="7"/>
    <x v="0"/>
    <s v="August"/>
    <s v="Loss"/>
    <n v="3.0549999999999926"/>
    <n v="1.969000000000005"/>
  </r>
  <r>
    <s v="2023-08-17"/>
    <n v="107.42"/>
    <x v="4443"/>
    <n v="107.42"/>
    <n v="108.4"/>
    <n v="16709544"/>
    <x v="9"/>
    <s v="Exxon Mobil"/>
    <x v="6"/>
    <n v="1.9370000000000001"/>
    <x v="7"/>
    <x v="0"/>
    <s v="August"/>
    <s v="Profit"/>
    <n v="2.7249999999999943"/>
    <n v="3.906000000000005"/>
  </r>
  <r>
    <s v="2023-08-18"/>
    <n v="107.64"/>
    <x v="4444"/>
    <n v="107.62"/>
    <n v="110.04"/>
    <n v="16223953"/>
    <x v="9"/>
    <s v="Exxon Mobil"/>
    <x v="6"/>
    <n v="1.5129999999999999"/>
    <x v="7"/>
    <x v="0"/>
    <s v="August"/>
    <s v="Profit"/>
    <n v="2.5749999999999886"/>
    <n v="5.4190000000000049"/>
  </r>
  <r>
    <s v="2023-08-21"/>
    <n v="110.36"/>
    <x v="4445"/>
    <n v="108.142"/>
    <n v="108.71"/>
    <n v="11092380"/>
    <x v="9"/>
    <s v="Exxon Mobil"/>
    <x v="6"/>
    <n v="-1.2090000000000001"/>
    <x v="7"/>
    <x v="0"/>
    <s v="August"/>
    <s v="Loss"/>
    <n v="2.8370000000000033"/>
    <n v="4.2100000000000044"/>
  </r>
  <r>
    <s v="2023-08-22"/>
    <n v="109.17"/>
    <x v="4446"/>
    <n v="107.95"/>
    <n v="108.1"/>
    <n v="10520842"/>
    <x v="9"/>
    <s v="Exxon Mobil"/>
    <x v="6"/>
    <n v="-0.56100000000000005"/>
    <x v="7"/>
    <x v="0"/>
    <s v="August"/>
    <s v="Loss"/>
    <n v="1.769999999999996"/>
    <n v="3.6490000000000045"/>
  </r>
  <r>
    <s v="2023-08-23"/>
    <n v="107.04"/>
    <x v="4447"/>
    <n v="105.72"/>
    <n v="107.15"/>
    <n v="11435553"/>
    <x v="9"/>
    <s v="Exxon Mobil"/>
    <x v="6"/>
    <n v="-0.879"/>
    <x v="7"/>
    <x v="0"/>
    <s v="August"/>
    <s v="Loss"/>
    <n v="1.5799999999999983"/>
    <n v="2.7700000000000045"/>
  </r>
  <r>
    <s v="2023-08-24"/>
    <n v="106.42"/>
    <x v="4448"/>
    <n v="106.07"/>
    <n v="106.35"/>
    <n v="10818478"/>
    <x v="9"/>
    <s v="Exxon Mobil"/>
    <x v="6"/>
    <n v="-0.747"/>
    <x v="7"/>
    <x v="0"/>
    <s v="August"/>
    <s v="Loss"/>
    <n v="1.6950000000000074"/>
    <n v="2.0230000000000046"/>
  </r>
  <r>
    <s v="2023-08-25"/>
    <n v="107.43"/>
    <x v="4449"/>
    <n v="106.62"/>
    <n v="108.25"/>
    <n v="13579304"/>
    <x v="9"/>
    <s v="Exxon Mobil"/>
    <x v="6"/>
    <n v="1.7869999999999999"/>
    <x v="7"/>
    <x v="0"/>
    <s v="August"/>
    <s v="Profit"/>
    <n v="2.3100000000000023"/>
    <n v="3.8100000000000045"/>
  </r>
  <r>
    <s v="2023-08-28"/>
    <n v="108.45"/>
    <x v="4450"/>
    <n v="108.44"/>
    <n v="109.16"/>
    <n v="10382122"/>
    <x v="9"/>
    <s v="Exxon Mobil"/>
    <x v="6"/>
    <n v="0.84099999999999997"/>
    <x v="7"/>
    <x v="0"/>
    <s v="August"/>
    <s v="Profit"/>
    <n v="1.6000000000000085"/>
    <n v="4.6510000000000042"/>
  </r>
  <r>
    <s v="2023-08-29"/>
    <n v="109.66"/>
    <x v="4299"/>
    <n v="108.42"/>
    <n v="109.81"/>
    <n v="9665010"/>
    <x v="9"/>
    <s v="Exxon Mobil"/>
    <x v="6"/>
    <n v="0.59499999999999997"/>
    <x v="7"/>
    <x v="0"/>
    <s v="August"/>
    <s v="Profit"/>
    <n v="1.5999999999999943"/>
    <n v="5.246000000000004"/>
  </r>
  <r>
    <s v="2023-08-30"/>
    <n v="110.44"/>
    <x v="4451"/>
    <n v="109.98"/>
    <n v="110.88"/>
    <n v="11922060"/>
    <x v="9"/>
    <s v="Exxon Mobil"/>
    <x v="6"/>
    <n v="0.97399999999999998"/>
    <x v="7"/>
    <x v="0"/>
    <s v="August"/>
    <s v="Profit"/>
    <n v="1.1599999999999966"/>
    <n v="6.2200000000000042"/>
  </r>
  <r>
    <s v="2023-08-31"/>
    <n v="111.12"/>
    <x v="4452"/>
    <n v="110.61499999999999"/>
    <n v="111.19"/>
    <n v="17479834"/>
    <x v="9"/>
    <s v="Exxon Mobil"/>
    <x v="6"/>
    <n v="0.28000000000000003"/>
    <x v="7"/>
    <x v="0"/>
    <s v="August"/>
    <s v="Profit"/>
    <n v="0.80200000000000671"/>
    <n v="6.5000000000000044"/>
  </r>
  <r>
    <s v="2023-09-01"/>
    <n v="112.2"/>
    <x v="4453"/>
    <n v="112.2"/>
    <n v="113.52"/>
    <n v="14843482"/>
    <x v="9"/>
    <s v="Exxon Mobil"/>
    <x v="6"/>
    <n v="2.0960000000000001"/>
    <x v="8"/>
    <x v="0"/>
    <s v="September"/>
    <s v="Profit"/>
    <n v="1.6199999999999903"/>
    <n v="8.5960000000000036"/>
  </r>
  <r>
    <s v="2023-09-05"/>
    <n v="114.1"/>
    <x v="4454"/>
    <n v="113.5"/>
    <n v="113.53"/>
    <n v="18304013"/>
    <x v="9"/>
    <s v="Exxon Mobil"/>
    <x v="6"/>
    <n v="8.9999999999999993E-3"/>
    <x v="8"/>
    <x v="0"/>
    <s v="September"/>
    <s v="Profit"/>
    <n v="2.3250000000000028"/>
    <n v="8.605000000000004"/>
  </r>
  <r>
    <s v="2023-09-06"/>
    <n v="113.48"/>
    <x v="3359"/>
    <n v="113.23"/>
    <n v="114.51"/>
    <n v="13325542"/>
    <x v="9"/>
    <s v="Exxon Mobil"/>
    <x v="6"/>
    <n v="0.86299999999999999"/>
    <x v="8"/>
    <x v="0"/>
    <s v="September"/>
    <s v="Profit"/>
    <n v="1.3599999999999994"/>
    <n v="9.4680000000000035"/>
  </r>
  <r>
    <s v="2023-09-07"/>
    <n v="114.65"/>
    <x v="4455"/>
    <n v="113.7"/>
    <n v="113.95"/>
    <n v="13248541"/>
    <x v="9"/>
    <s v="Exxon Mobil"/>
    <x v="6"/>
    <n v="-0.48899999999999999"/>
    <x v="8"/>
    <x v="0"/>
    <s v="September"/>
    <s v="Loss"/>
    <n v="2.1499999999999915"/>
    <n v="8.9790000000000028"/>
  </r>
  <r>
    <s v="2023-09-08"/>
    <n v="114.53"/>
    <x v="4456"/>
    <n v="114.32"/>
    <n v="115.61"/>
    <n v="14286483"/>
    <x v="9"/>
    <s v="Exxon Mobil"/>
    <x v="6"/>
    <n v="1.4570000000000001"/>
    <x v="8"/>
    <x v="0"/>
    <s v="September"/>
    <s v="Profit"/>
    <n v="1.730000000000004"/>
    <n v="10.436000000000003"/>
  </r>
  <r>
    <s v="2023-09-11"/>
    <n v="116.18"/>
    <x v="4457"/>
    <n v="113.565"/>
    <n v="114.16"/>
    <n v="14383562"/>
    <x v="9"/>
    <s v="Exxon Mobil"/>
    <x v="6"/>
    <n v="-1.254"/>
    <x v="8"/>
    <x v="0"/>
    <s v="September"/>
    <s v="Loss"/>
    <n v="3.1150000000000091"/>
    <n v="9.1820000000000039"/>
  </r>
  <r>
    <s v="2023-09-12"/>
    <n v="115.34"/>
    <x v="4458"/>
    <n v="115.27"/>
    <n v="117.49"/>
    <n v="20145761"/>
    <x v="9"/>
    <s v="Exxon Mobil"/>
    <x v="6"/>
    <n v="2.9169999999999998"/>
    <x v="8"/>
    <x v="0"/>
    <s v="September"/>
    <s v="Profit"/>
    <n v="2.3950000000000102"/>
    <n v="12.099000000000004"/>
  </r>
  <r>
    <s v="2023-09-13"/>
    <n v="117.41"/>
    <x v="4459"/>
    <n v="115.9"/>
    <n v="116.44"/>
    <n v="13472800"/>
    <x v="9"/>
    <s v="Exxon Mobil"/>
    <x v="6"/>
    <n v="-0.89400000000000002"/>
    <x v="8"/>
    <x v="0"/>
    <s v="September"/>
    <s v="Loss"/>
    <n v="2.0599999999999881"/>
    <n v="11.205000000000004"/>
  </r>
  <r>
    <s v="2023-09-14"/>
    <n v="117.55"/>
    <x v="4460"/>
    <n v="117.33"/>
    <n v="118.52"/>
    <n v="15210701"/>
    <x v="9"/>
    <s v="Exxon Mobil"/>
    <x v="6"/>
    <n v="1.786"/>
    <x v="8"/>
    <x v="0"/>
    <s v="September"/>
    <s v="Profit"/>
    <n v="1.3299999999999983"/>
    <n v="12.991000000000003"/>
  </r>
  <r>
    <s v="2023-09-15"/>
    <n v="117.9"/>
    <x v="4461"/>
    <n v="116.5"/>
    <n v="116.7"/>
    <n v="34568393"/>
    <x v="9"/>
    <s v="Exxon Mobil"/>
    <x v="6"/>
    <n v="-1.536"/>
    <x v="8"/>
    <x v="0"/>
    <s v="September"/>
    <s v="Loss"/>
    <n v="2.0100000000000051"/>
    <n v="11.455000000000004"/>
  </r>
  <r>
    <s v="2023-09-18"/>
    <n v="117.53"/>
    <x v="4462"/>
    <n v="116.7"/>
    <n v="117.64"/>
    <n v="14045311"/>
    <x v="9"/>
    <s v="Exxon Mobil"/>
    <x v="6"/>
    <n v="0.80500000000000005"/>
    <x v="8"/>
    <x v="0"/>
    <s v="September"/>
    <s v="Profit"/>
    <n v="1.539999999999992"/>
    <n v="12.260000000000003"/>
  </r>
  <r>
    <s v="2023-09-19"/>
    <n v="118.62"/>
    <x v="4463"/>
    <n v="116.61"/>
    <n v="117.33"/>
    <n v="12569724"/>
    <x v="9"/>
    <s v="Exxon Mobil"/>
    <x v="6"/>
    <n v="-0.26400000000000001"/>
    <x v="8"/>
    <x v="0"/>
    <s v="September"/>
    <s v="Loss"/>
    <n v="2.230000000000004"/>
    <n v="11.996000000000004"/>
  </r>
  <r>
    <s v="2023-09-20"/>
    <n v="116.54"/>
    <x v="4464"/>
    <n v="116.32"/>
    <n v="116.4"/>
    <n v="11883207"/>
    <x v="9"/>
    <s v="Exxon Mobil"/>
    <x v="6"/>
    <n v="-0.79300000000000004"/>
    <x v="8"/>
    <x v="0"/>
    <s v="September"/>
    <s v="Loss"/>
    <n v="1.7000000000000028"/>
    <n v="11.203000000000005"/>
  </r>
  <r>
    <s v="2023-09-21"/>
    <n v="116.98"/>
    <x v="4465"/>
    <n v="114.6"/>
    <n v="114.76"/>
    <n v="14409635"/>
    <x v="9"/>
    <s v="Exxon Mobil"/>
    <x v="6"/>
    <n v="-1.409"/>
    <x v="8"/>
    <x v="0"/>
    <s v="September"/>
    <s v="Loss"/>
    <n v="2.7700000000000102"/>
    <n v="9.794000000000004"/>
  </r>
  <r>
    <s v="2023-09-22"/>
    <n v="115.705"/>
    <x v="4457"/>
    <n v="114.80500000000001"/>
    <n v="114.94"/>
    <n v="13200212"/>
    <x v="9"/>
    <s v="Exxon Mobil"/>
    <x v="6"/>
    <n v="0.157"/>
    <x v="8"/>
    <x v="0"/>
    <s v="September"/>
    <s v="Profit"/>
    <n v="1.875"/>
    <n v="9.9510000000000041"/>
  </r>
  <r>
    <s v="2023-09-25"/>
    <n v="115.09"/>
    <x v="4466"/>
    <n v="114.83"/>
    <n v="116.23"/>
    <n v="11316012"/>
    <x v="9"/>
    <s v="Exxon Mobil"/>
    <x v="6"/>
    <n v="1.1220000000000001"/>
    <x v="8"/>
    <x v="0"/>
    <s v="September"/>
    <s v="Profit"/>
    <n v="1.8149999999999977"/>
    <n v="11.073000000000004"/>
  </r>
  <r>
    <s v="2023-09-26"/>
    <n v="115.5"/>
    <x v="4467"/>
    <n v="115.37"/>
    <n v="116.41"/>
    <n v="11805429"/>
    <x v="9"/>
    <s v="Exxon Mobil"/>
    <x v="6"/>
    <n v="0.155"/>
    <x v="8"/>
    <x v="0"/>
    <s v="September"/>
    <s v="Profit"/>
    <n v="1.3599999999999994"/>
    <n v="11.228000000000003"/>
  </r>
  <r>
    <s v="2023-09-27"/>
    <n v="117.89"/>
    <x v="4468"/>
    <n v="117.4"/>
    <n v="120.2"/>
    <n v="23976160"/>
    <x v="9"/>
    <s v="Exxon Mobil"/>
    <x v="6"/>
    <n v="3.2559999999999998"/>
    <x v="8"/>
    <x v="0"/>
    <s v="September"/>
    <s v="Profit"/>
    <n v="3.0999999999999943"/>
    <n v="14.484000000000004"/>
  </r>
  <r>
    <s v="2023-09-28"/>
    <n v="119.98"/>
    <x v="4469"/>
    <n v="118.19"/>
    <n v="119.47"/>
    <n v="16808116"/>
    <x v="9"/>
    <s v="Exxon Mobil"/>
    <x v="6"/>
    <n v="-0.60699999999999998"/>
    <x v="8"/>
    <x v="0"/>
    <s v="September"/>
    <s v="Loss"/>
    <n v="2.5100000000000051"/>
    <n v="13.877000000000004"/>
  </r>
  <r>
    <s v="2023-09-29"/>
    <n v="119.1"/>
    <x v="4470"/>
    <n v="116.733"/>
    <n v="117.58"/>
    <n v="18813565"/>
    <x v="9"/>
    <s v="Exxon Mobil"/>
    <x v="6"/>
    <n v="-1.5820000000000001"/>
    <x v="8"/>
    <x v="0"/>
    <s v="September"/>
    <s v="Loss"/>
    <n v="2.4470000000000027"/>
    <n v="12.295000000000003"/>
  </r>
  <r>
    <s v="2023-10-02"/>
    <n v="117.53"/>
    <x v="4471"/>
    <n v="114.55"/>
    <n v="115.63"/>
    <n v="14394999"/>
    <x v="9"/>
    <s v="Exxon Mobil"/>
    <x v="6"/>
    <n v="-1.6579999999999999"/>
    <x v="9"/>
    <x v="0"/>
    <s v="October"/>
    <s v="Loss"/>
    <n v="3.2400000000000091"/>
    <n v="10.637000000000004"/>
  </r>
  <r>
    <s v="2023-10-03"/>
    <n v="115.44"/>
    <x v="4472"/>
    <n v="115.03400000000001"/>
    <n v="115.83"/>
    <n v="13297056"/>
    <x v="9"/>
    <s v="Exxon Mobil"/>
    <x v="6"/>
    <n v="0.17299999999999999"/>
    <x v="9"/>
    <x v="0"/>
    <s v="October"/>
    <s v="Profit"/>
    <n v="1.4059999999999917"/>
    <n v="10.810000000000004"/>
  </r>
  <r>
    <s v="2023-10-04"/>
    <n v="114.05"/>
    <x v="4473"/>
    <n v="110.502"/>
    <n v="111.5"/>
    <n v="19622226"/>
    <x v="9"/>
    <s v="Exxon Mobil"/>
    <x v="6"/>
    <n v="-3.738"/>
    <x v="9"/>
    <x v="0"/>
    <s v="October"/>
    <s v="Loss"/>
    <n v="3.5880000000000081"/>
    <n v="7.0720000000000045"/>
  </r>
  <r>
    <s v="2023-10-05"/>
    <n v="109.8"/>
    <x v="4474"/>
    <n v="108.7"/>
    <n v="108.99"/>
    <n v="20128783"/>
    <x v="9"/>
    <s v="Exxon Mobil"/>
    <x v="6"/>
    <n v="-2.2509999999999999"/>
    <x v="9"/>
    <x v="0"/>
    <s v="October"/>
    <s v="Loss"/>
    <n v="2.2000000000000028"/>
    <n v="4.8210000000000051"/>
  </r>
  <r>
    <s v="2023-10-06"/>
    <n v="105.73"/>
    <x v="4475"/>
    <n v="105.11"/>
    <n v="107.17"/>
    <n v="25367466"/>
    <x v="9"/>
    <s v="Exxon Mobil"/>
    <x v="6"/>
    <n v="-1.67"/>
    <x v="9"/>
    <x v="0"/>
    <s v="October"/>
    <s v="Loss"/>
    <n v="3.1599999999999966"/>
    <n v="3.1510000000000051"/>
  </r>
  <r>
    <s v="2023-10-09"/>
    <n v="110.44"/>
    <x v="4440"/>
    <n v="109.52"/>
    <n v="110.92"/>
    <n v="22369887"/>
    <x v="9"/>
    <s v="Exxon Mobil"/>
    <x v="6"/>
    <n v="3.4990000000000001"/>
    <x v="9"/>
    <x v="0"/>
    <s v="October"/>
    <s v="Profit"/>
    <n v="2.5499999999999972"/>
    <n v="6.6500000000000057"/>
  </r>
  <r>
    <s v="2023-10-10"/>
    <n v="111.02"/>
    <x v="4305"/>
    <n v="110.12"/>
    <n v="110.45"/>
    <n v="13891952"/>
    <x v="9"/>
    <s v="Exxon Mobil"/>
    <x v="6"/>
    <n v="-0.42399999999999999"/>
    <x v="9"/>
    <x v="0"/>
    <s v="October"/>
    <s v="Loss"/>
    <n v="1.3299999999999983"/>
    <n v="6.2260000000000053"/>
  </r>
  <r>
    <s v="2023-10-11"/>
    <n v="106.96"/>
    <x v="4476"/>
    <n v="104.83"/>
    <n v="106.49"/>
    <n v="57939024"/>
    <x v="9"/>
    <s v="Exxon Mobil"/>
    <x v="6"/>
    <n v="-3.585"/>
    <x v="9"/>
    <x v="0"/>
    <s v="October"/>
    <s v="Loss"/>
    <n v="2.3400000000000034"/>
    <n v="2.6410000000000053"/>
  </r>
  <r>
    <s v="2023-10-12"/>
    <n v="107.59"/>
    <x v="4477"/>
    <n v="106.09"/>
    <n v="106.47"/>
    <n v="31182957"/>
    <x v="9"/>
    <s v="Exxon Mobil"/>
    <x v="6"/>
    <n v="-1.9E-2"/>
    <x v="9"/>
    <x v="0"/>
    <s v="October"/>
    <s v="Loss"/>
    <n v="1.75"/>
    <n v="2.6220000000000052"/>
  </r>
  <r>
    <s v="2023-10-13"/>
    <n v="108.03"/>
    <x v="4478"/>
    <n v="107.84"/>
    <n v="109.87"/>
    <n v="30290328"/>
    <x v="9"/>
    <s v="Exxon Mobil"/>
    <x v="6"/>
    <n v="3.1930000000000001"/>
    <x v="9"/>
    <x v="0"/>
    <s v="October"/>
    <s v="Profit"/>
    <n v="2.3599999999999994"/>
    <n v="5.8150000000000048"/>
  </r>
  <r>
    <s v="2023-10-16"/>
    <n v="110.5"/>
    <x v="4479"/>
    <n v="109.13"/>
    <n v="109.95"/>
    <n v="18451996"/>
    <x v="9"/>
    <s v="Exxon Mobil"/>
    <x v="6"/>
    <n v="7.2999999999999995E-2"/>
    <x v="9"/>
    <x v="0"/>
    <s v="October"/>
    <s v="Profit"/>
    <n v="1.5500000000000114"/>
    <n v="5.8880000000000052"/>
  </r>
  <r>
    <s v="2023-10-17"/>
    <n v="109.73"/>
    <x v="4480"/>
    <n v="109.68"/>
    <n v="111.39"/>
    <n v="19775440"/>
    <x v="9"/>
    <s v="Exxon Mobil"/>
    <x v="6"/>
    <n v="1.31"/>
    <x v="9"/>
    <x v="0"/>
    <s v="October"/>
    <s v="Profit"/>
    <n v="2.1199999999999903"/>
    <n v="7.1980000000000057"/>
  </r>
  <r>
    <s v="2023-10-18"/>
    <n v="111.82"/>
    <x v="4481"/>
    <n v="111.7"/>
    <n v="112.95"/>
    <n v="23380266"/>
    <x v="9"/>
    <s v="Exxon Mobil"/>
    <x v="6"/>
    <n v="1.4"/>
    <x v="9"/>
    <x v="0"/>
    <s v="October"/>
    <s v="Profit"/>
    <n v="1.6899999999999977"/>
    <n v="8.5980000000000061"/>
  </r>
  <r>
    <s v="2023-10-19"/>
    <n v="112.72"/>
    <x v="4482"/>
    <n v="111.325"/>
    <n v="113.02"/>
    <n v="20972488"/>
    <x v="9"/>
    <s v="Exxon Mobil"/>
    <x v="6"/>
    <n v="6.2E-2"/>
    <x v="9"/>
    <x v="0"/>
    <s v="October"/>
    <s v="Profit"/>
    <n v="2.6400000000000006"/>
    <n v="8.6600000000000055"/>
  </r>
  <r>
    <s v="2023-10-20"/>
    <n v="112.92"/>
    <x v="4483"/>
    <n v="110.79"/>
    <n v="111.08"/>
    <n v="22445269"/>
    <x v="9"/>
    <s v="Exxon Mobil"/>
    <x v="6"/>
    <n v="-1.7170000000000001"/>
    <x v="9"/>
    <x v="0"/>
    <s v="October"/>
    <s v="Loss"/>
    <n v="2.5299999999999869"/>
    <n v="6.9430000000000049"/>
  </r>
  <r>
    <s v="2023-10-23"/>
    <n v="110.63"/>
    <x v="4333"/>
    <n v="108.675"/>
    <n v="109.45"/>
    <n v="18184950"/>
    <x v="9"/>
    <s v="Exxon Mobil"/>
    <x v="6"/>
    <n v="-1.4670000000000001"/>
    <x v="9"/>
    <x v="0"/>
    <s v="October"/>
    <s v="Loss"/>
    <n v="2.2849999999999966"/>
    <n v="5.4760000000000044"/>
  </r>
  <r>
    <s v="2023-10-24"/>
    <n v="109.7"/>
    <x v="4484"/>
    <n v="108.12"/>
    <n v="108.39"/>
    <n v="16786108"/>
    <x v="9"/>
    <s v="Exxon Mobil"/>
    <x v="6"/>
    <n v="-0.96799999999999997"/>
    <x v="9"/>
    <x v="0"/>
    <s v="October"/>
    <s v="Loss"/>
    <n v="1.6999999999999886"/>
    <n v="4.5080000000000044"/>
  </r>
  <r>
    <s v="2023-10-25"/>
    <n v="108.52"/>
    <x v="4485"/>
    <n v="108.13"/>
    <n v="108.59"/>
    <n v="22047319"/>
    <x v="9"/>
    <s v="Exxon Mobil"/>
    <x v="6"/>
    <n v="0.185"/>
    <x v="9"/>
    <x v="0"/>
    <s v="October"/>
    <s v="Profit"/>
    <n v="1.3700000000000045"/>
    <n v="4.6930000000000041"/>
  </r>
  <r>
    <s v="2023-10-26"/>
    <n v="107.45"/>
    <x v="4404"/>
    <n v="106.495"/>
    <n v="107.6"/>
    <n v="18768285"/>
    <x v="9"/>
    <s v="Exxon Mobil"/>
    <x v="6"/>
    <n v="-0.91200000000000003"/>
    <x v="9"/>
    <x v="0"/>
    <s v="October"/>
    <s v="Loss"/>
    <n v="1.8449999999999989"/>
    <n v="3.7810000000000041"/>
  </r>
  <r>
    <s v="2023-10-27"/>
    <n v="108.89"/>
    <x v="4486"/>
    <n v="104.96"/>
    <n v="105.55"/>
    <n v="23092017"/>
    <x v="9"/>
    <s v="Exxon Mobil"/>
    <x v="6"/>
    <n v="-1.905"/>
    <x v="9"/>
    <x v="0"/>
    <s v="October"/>
    <s v="Loss"/>
    <n v="4.9000000000000057"/>
    <n v="1.8760000000000041"/>
  </r>
  <r>
    <s v="2023-10-30"/>
    <n v="105.74"/>
    <x v="4487"/>
    <n v="105.212"/>
    <n v="105.88"/>
    <n v="19379917"/>
    <x v="9"/>
    <s v="Exxon Mobil"/>
    <x v="6"/>
    <n v="0.313"/>
    <x v="9"/>
    <x v="0"/>
    <s v="October"/>
    <s v="Profit"/>
    <n v="1.2079999999999984"/>
    <n v="2.1890000000000041"/>
  </r>
  <r>
    <s v="2023-10-31"/>
    <n v="105.58"/>
    <x v="4422"/>
    <n v="104.54"/>
    <n v="105.85"/>
    <n v="22185150"/>
    <x v="9"/>
    <s v="Exxon Mobil"/>
    <x v="6"/>
    <n v="-2.8000000000000001E-2"/>
    <x v="9"/>
    <x v="0"/>
    <s v="October"/>
    <s v="Loss"/>
    <n v="1.6199999999999903"/>
    <n v="2.161000000000004"/>
  </r>
  <r>
    <s v="2023-11-01"/>
    <n v="106.53"/>
    <x v="4488"/>
    <n v="105.46"/>
    <n v="105.64"/>
    <n v="28984865"/>
    <x v="9"/>
    <s v="Exxon Mobil"/>
    <x v="6"/>
    <n v="-0.19800000000000001"/>
    <x v="10"/>
    <x v="0"/>
    <s v="November"/>
    <s v="Loss"/>
    <n v="1.7050000000000125"/>
    <n v="1.9630000000000041"/>
  </r>
  <r>
    <s v="2023-11-02"/>
    <n v="105.88"/>
    <x v="4489"/>
    <n v="105.5"/>
    <n v="109.11"/>
    <n v="25212686"/>
    <x v="9"/>
    <s v="Exxon Mobil"/>
    <x v="6"/>
    <n v="3.2850000000000001"/>
    <x v="10"/>
    <x v="0"/>
    <s v="November"/>
    <s v="Profit"/>
    <n v="3.6899999999999977"/>
    <n v="5.2480000000000047"/>
  </r>
  <r>
    <s v="2023-11-03"/>
    <n v="108.4"/>
    <x v="518"/>
    <n v="106.54"/>
    <n v="107.78"/>
    <n v="30555554"/>
    <x v="9"/>
    <s v="Exxon Mobil"/>
    <x v="6"/>
    <n v="-1.2190000000000001"/>
    <x v="10"/>
    <x v="0"/>
    <s v="November"/>
    <s v="Loss"/>
    <n v="2.2399999999999949"/>
    <n v="4.0290000000000044"/>
  </r>
  <r>
    <s v="2023-11-06"/>
    <n v="108.17"/>
    <x v="4475"/>
    <n v="105.77"/>
    <n v="105.87"/>
    <n v="19097267"/>
    <x v="9"/>
    <s v="Exxon Mobil"/>
    <x v="6"/>
    <n v="-1.772"/>
    <x v="10"/>
    <x v="0"/>
    <s v="November"/>
    <s v="Loss"/>
    <n v="2.5"/>
    <n v="2.2570000000000041"/>
  </r>
  <r>
    <s v="2023-11-07"/>
    <n v="104.47"/>
    <x v="4490"/>
    <n v="103.29"/>
    <n v="104.21"/>
    <n v="20272486"/>
    <x v="9"/>
    <s v="Exxon Mobil"/>
    <x v="6"/>
    <n v="-1.5680000000000001"/>
    <x v="10"/>
    <x v="0"/>
    <s v="November"/>
    <s v="Loss"/>
    <n v="1.5699999999999932"/>
    <n v="0.68900000000000405"/>
  </r>
  <r>
    <s v="2023-11-08"/>
    <n v="103.73"/>
    <x v="4491"/>
    <n v="102.89"/>
    <n v="102.93"/>
    <n v="19184067"/>
    <x v="9"/>
    <s v="Exxon Mobil"/>
    <x v="6"/>
    <n v="-1.228"/>
    <x v="10"/>
    <x v="0"/>
    <s v="November"/>
    <s v="Loss"/>
    <n v="2.0100000000000051"/>
    <n v="-0.53899999999999593"/>
  </r>
  <r>
    <s v="2023-11-09"/>
    <n v="103.67"/>
    <x v="4492"/>
    <n v="102.855"/>
    <n v="102.96"/>
    <n v="18380538"/>
    <x v="9"/>
    <s v="Exxon Mobil"/>
    <x v="6"/>
    <n v="2.9000000000000001E-2"/>
    <x v="10"/>
    <x v="0"/>
    <s v="November"/>
    <s v="Profit"/>
    <n v="1.1149999999999949"/>
    <n v="-0.5099999999999959"/>
  </r>
  <r>
    <s v="2023-11-10"/>
    <n v="103.93"/>
    <x v="4493"/>
    <n v="102.905"/>
    <n v="103.75"/>
    <n v="17831341"/>
    <x v="9"/>
    <s v="Exxon Mobil"/>
    <x v="6"/>
    <n v="0.76700000000000002"/>
    <x v="10"/>
    <x v="0"/>
    <s v="November"/>
    <s v="Profit"/>
    <n v="1.5049999999999955"/>
    <n v="0.25700000000000411"/>
  </r>
  <r>
    <s v="2023-11-13"/>
    <n v="104.05"/>
    <x v="4494"/>
    <n v="103.80500000000001"/>
    <n v="104.84"/>
    <n v="15308382"/>
    <x v="9"/>
    <s v="Exxon Mobil"/>
    <x v="6"/>
    <n v="1.0509999999999999"/>
    <x v="10"/>
    <x v="0"/>
    <s v="November"/>
    <s v="Profit"/>
    <n v="1.3299999999999983"/>
    <n v="1.308000000000004"/>
  </r>
  <r>
    <s v="2023-11-14"/>
    <n v="104.3"/>
    <x v="4495"/>
    <n v="103.87"/>
    <n v="104.29"/>
    <n v="18260516"/>
    <x v="9"/>
    <s v="Exxon Mobil"/>
    <x v="6"/>
    <n v="-0.52500000000000002"/>
    <x v="10"/>
    <x v="0"/>
    <s v="November"/>
    <s v="Loss"/>
    <n v="0.94499999999999318"/>
    <n v="0.78300000000000403"/>
  </r>
  <r>
    <s v="2023-11-15"/>
    <n v="103.96"/>
    <x v="4496"/>
    <n v="103.5"/>
    <n v="103.66"/>
    <n v="20137561"/>
    <x v="9"/>
    <s v="Exxon Mobil"/>
    <x v="6"/>
    <n v="-0.60399999999999998"/>
    <x v="10"/>
    <x v="0"/>
    <s v="November"/>
    <s v="Loss"/>
    <n v="1.6500000000000057"/>
    <n v="0.17900000000000404"/>
  </r>
  <r>
    <s v="2023-11-16"/>
    <n v="102.9"/>
    <x v="4497"/>
    <n v="101.15"/>
    <n v="102.46"/>
    <n v="22469073"/>
    <x v="9"/>
    <s v="Exxon Mobil"/>
    <x v="6"/>
    <n v="-1.1579999999999999"/>
    <x v="10"/>
    <x v="0"/>
    <s v="November"/>
    <s v="Loss"/>
    <n v="2.1199999999999903"/>
    <n v="-0.97899999999999587"/>
  </r>
  <r>
    <s v="2023-11-17"/>
    <n v="103.06"/>
    <x v="4498"/>
    <n v="102.75"/>
    <n v="104.96"/>
    <n v="22991823"/>
    <x v="9"/>
    <s v="Exxon Mobil"/>
    <x v="6"/>
    <n v="2.44"/>
    <x v="10"/>
    <x v="0"/>
    <s v="November"/>
    <s v="Profit"/>
    <n v="2.6800000000000068"/>
    <n v="1.4610000000000041"/>
  </r>
  <r>
    <s v="2023-11-20"/>
    <n v="105.38"/>
    <x v="4499"/>
    <n v="104.43"/>
    <n v="104.5"/>
    <n v="17464016"/>
    <x v="9"/>
    <s v="Exxon Mobil"/>
    <x v="6"/>
    <n v="-0.438"/>
    <x v="10"/>
    <x v="0"/>
    <s v="November"/>
    <s v="Loss"/>
    <n v="1.4499999999999886"/>
    <n v="1.0230000000000041"/>
  </r>
  <r>
    <s v="2023-11-21"/>
    <n v="104.21"/>
    <x v="4500"/>
    <n v="103.215"/>
    <n v="104.46"/>
    <n v="14988984"/>
    <x v="9"/>
    <s v="Exxon Mobil"/>
    <x v="6"/>
    <n v="-3.7999999999999999E-2"/>
    <x v="10"/>
    <x v="0"/>
    <s v="November"/>
    <s v="Loss"/>
    <n v="1.4799999999999898"/>
    <n v="0.98500000000000409"/>
  </r>
  <r>
    <s v="2023-11-22"/>
    <n v="102.58"/>
    <x v="4395"/>
    <n v="101.94"/>
    <n v="104.01"/>
    <n v="18073240"/>
    <x v="9"/>
    <s v="Exxon Mobil"/>
    <x v="6"/>
    <n v="-0.43099999999999999"/>
    <x v="10"/>
    <x v="0"/>
    <s v="November"/>
    <s v="Loss"/>
    <n v="2.1800000000000068"/>
    <n v="0.55400000000000404"/>
  </r>
  <r>
    <s v="2023-11-24"/>
    <n v="104.02"/>
    <x v="4501"/>
    <n v="103.91"/>
    <n v="104.57"/>
    <n v="9480768"/>
    <x v="9"/>
    <s v="Exxon Mobil"/>
    <x v="6"/>
    <n v="0.53800000000000003"/>
    <x v="10"/>
    <x v="0"/>
    <s v="November"/>
    <s v="Profit"/>
    <n v="1.5550000000000068"/>
    <n v="1.0920000000000041"/>
  </r>
  <r>
    <s v="2023-11-27"/>
    <n v="104.1"/>
    <x v="4502"/>
    <n v="103.18"/>
    <n v="103.96"/>
    <n v="18013518"/>
    <x v="9"/>
    <s v="Exxon Mobil"/>
    <x v="6"/>
    <n v="-0.58299999999999996"/>
    <x v="10"/>
    <x v="0"/>
    <s v="November"/>
    <s v="Loss"/>
    <n v="1.2199999999999989"/>
    <n v="0.50900000000000412"/>
  </r>
  <r>
    <s v="2023-11-28"/>
    <n v="104.24"/>
    <x v="4503"/>
    <n v="103.88"/>
    <n v="103.9"/>
    <n v="20629512"/>
    <x v="9"/>
    <s v="Exxon Mobil"/>
    <x v="6"/>
    <n v="-5.8000000000000003E-2"/>
    <x v="10"/>
    <x v="0"/>
    <s v="November"/>
    <s v="Loss"/>
    <n v="1.0300000000000011"/>
    <n v="0.45100000000000412"/>
  </r>
  <r>
    <s v="2023-11-29"/>
    <n v="104.27"/>
    <x v="4504"/>
    <n v="101.64"/>
    <n v="102.34"/>
    <n v="26802092"/>
    <x v="9"/>
    <s v="Exxon Mobil"/>
    <x v="6"/>
    <n v="-1.5009999999999999"/>
    <x v="10"/>
    <x v="0"/>
    <s v="November"/>
    <s v="Loss"/>
    <n v="2.9399999999999977"/>
    <n v="-1.0499999999999958"/>
  </r>
  <r>
    <s v="2023-11-30"/>
    <n v="103.11"/>
    <x v="4505"/>
    <n v="101.81"/>
    <n v="102.74"/>
    <n v="29254687"/>
    <x v="9"/>
    <s v="Exxon Mobil"/>
    <x v="6"/>
    <n v="0.39100000000000001"/>
    <x v="10"/>
    <x v="0"/>
    <s v="November"/>
    <s v="Profit"/>
    <n v="2.6679999999999922"/>
    <n v="-0.65899999999999581"/>
  </r>
  <r>
    <s v="2023-12-01"/>
    <n v="102.5"/>
    <x v="4506"/>
    <n v="102.22"/>
    <n v="102.99"/>
    <n v="17845276"/>
    <x v="9"/>
    <s v="Exxon Mobil"/>
    <x v="6"/>
    <n v="0.24299999999999999"/>
    <x v="11"/>
    <x v="0"/>
    <s v="December"/>
    <s v="Profit"/>
    <n v="2"/>
    <n v="-0.41599999999999582"/>
  </r>
  <r>
    <s v="2023-12-04"/>
    <n v="102.13"/>
    <x v="4507"/>
    <n v="101.59"/>
    <n v="102.43"/>
    <n v="21523942"/>
    <x v="9"/>
    <s v="Exxon Mobil"/>
    <x v="6"/>
    <n v="-0.54400000000000004"/>
    <x v="11"/>
    <x v="0"/>
    <s v="December"/>
    <s v="Loss"/>
    <n v="1.769999999999996"/>
    <n v="-0.95999999999999586"/>
  </r>
  <r>
    <s v="2023-12-05"/>
    <n v="102.27"/>
    <x v="4508"/>
    <n v="100.29"/>
    <n v="100.44"/>
    <n v="22250251"/>
    <x v="9"/>
    <s v="Exxon Mobil"/>
    <x v="6"/>
    <n v="-1.9430000000000001"/>
    <x v="11"/>
    <x v="0"/>
    <s v="December"/>
    <s v="Loss"/>
    <n v="2.0499999999999972"/>
    <n v="-2.902999999999996"/>
  </r>
  <r>
    <s v="2023-12-06"/>
    <n v="100"/>
    <x v="4509"/>
    <n v="98.34"/>
    <n v="99.11"/>
    <n v="31154792"/>
    <x v="9"/>
    <s v="Exxon Mobil"/>
    <x v="6"/>
    <n v="-1.3240000000000001"/>
    <x v="11"/>
    <x v="0"/>
    <s v="December"/>
    <s v="Loss"/>
    <n v="2.3799999999999955"/>
    <n v="-4.2269999999999959"/>
  </r>
  <r>
    <s v="2023-12-07"/>
    <n v="99.86"/>
    <x v="4510"/>
    <n v="98.09"/>
    <n v="98.42"/>
    <n v="29990727"/>
    <x v="9"/>
    <s v="Exxon Mobil"/>
    <x v="6"/>
    <n v="-0.69599999999999995"/>
    <x v="11"/>
    <x v="0"/>
    <s v="December"/>
    <s v="Loss"/>
    <n v="2.7449999999999903"/>
    <n v="-4.9229999999999956"/>
  </r>
  <r>
    <s v="2023-12-08"/>
    <n v="99.02"/>
    <x v="4511"/>
    <n v="98.75"/>
    <n v="99.55"/>
    <n v="22074945"/>
    <x v="9"/>
    <s v="Exxon Mobil"/>
    <x v="6"/>
    <n v="1.1479999999999999"/>
    <x v="11"/>
    <x v="0"/>
    <s v="December"/>
    <s v="Profit"/>
    <n v="1.0370000000000061"/>
    <n v="-3.7749999999999959"/>
  </r>
  <r>
    <s v="2023-12-11"/>
    <n v="99.8"/>
    <x v="4512"/>
    <n v="98.58"/>
    <n v="99.62"/>
    <n v="22252250"/>
    <x v="9"/>
    <s v="Exxon Mobil"/>
    <x v="6"/>
    <n v="7.0000000000000007E-2"/>
    <x v="11"/>
    <x v="0"/>
    <s v="December"/>
    <s v="Profit"/>
    <n v="1.2800000000000011"/>
    <n v="-3.7049999999999961"/>
  </r>
  <r>
    <s v="2023-12-12"/>
    <n v="98.68"/>
    <x v="4513"/>
    <n v="97.48"/>
    <n v="98.05"/>
    <n v="26083964"/>
    <x v="9"/>
    <s v="Exxon Mobil"/>
    <x v="6"/>
    <n v="-1.5760000000000001"/>
    <x v="11"/>
    <x v="0"/>
    <s v="December"/>
    <s v="Loss"/>
    <n v="1.2000000000000028"/>
    <n v="-5.2809999999999961"/>
  </r>
  <r>
    <s v="2023-12-13"/>
    <n v="98.04"/>
    <x v="4514"/>
    <n v="97.655000000000001"/>
    <n v="98.92"/>
    <n v="19915444"/>
    <x v="9"/>
    <s v="Exxon Mobil"/>
    <x v="6"/>
    <n v="0.88700000000000001"/>
    <x v="11"/>
    <x v="0"/>
    <s v="December"/>
    <s v="Profit"/>
    <n v="1.375"/>
    <n v="-4.3939999999999966"/>
  </r>
  <r>
    <s v="2023-12-14"/>
    <n v="99.85"/>
    <x v="4515"/>
    <n v="99.72"/>
    <n v="101.58"/>
    <n v="26165653"/>
    <x v="9"/>
    <s v="Exxon Mobil"/>
    <x v="6"/>
    <n v="2.6890000000000001"/>
    <x v="11"/>
    <x v="0"/>
    <s v="December"/>
    <s v="Profit"/>
    <n v="2.4150000000000063"/>
    <n v="-1.7049999999999965"/>
  </r>
  <r>
    <s v="2023-12-15"/>
    <n v="100.59"/>
    <x v="563"/>
    <n v="100.31"/>
    <n v="100.9"/>
    <n v="55527018"/>
    <x v="9"/>
    <s v="Exxon Mobil"/>
    <x v="6"/>
    <n v="-0.66900000000000004"/>
    <x v="11"/>
    <x v="0"/>
    <s v="December"/>
    <s v="Loss"/>
    <n v="0.68999999999999773"/>
    <n v="-2.3739999999999966"/>
  </r>
  <r>
    <s v="2023-12-18"/>
    <n v="102.13"/>
    <x v="4516"/>
    <n v="101.52"/>
    <n v="101.65"/>
    <n v="21610428"/>
    <x v="9"/>
    <s v="Exxon Mobil"/>
    <x v="6"/>
    <n v="0.74299999999999999"/>
    <x v="11"/>
    <x v="0"/>
    <s v="December"/>
    <s v="Profit"/>
    <n v="1.5900000000000034"/>
    <n v="-1.6309999999999967"/>
  </r>
  <r>
    <s v="2023-12-19"/>
    <n v="102"/>
    <x v="4517"/>
    <n v="101.79"/>
    <n v="102.99"/>
    <n v="18904662"/>
    <x v="9"/>
    <s v="Exxon Mobil"/>
    <x v="6"/>
    <n v="1.3180000000000001"/>
    <x v="11"/>
    <x v="0"/>
    <s v="December"/>
    <s v="Profit"/>
    <n v="1.3999999999999915"/>
    <n v="-0.31299999999999661"/>
  </r>
  <r>
    <s v="2023-12-20"/>
    <n v="103.5"/>
    <x v="4518"/>
    <n v="101.125"/>
    <n v="101.27"/>
    <n v="20988863"/>
    <x v="9"/>
    <s v="Exxon Mobil"/>
    <x v="6"/>
    <n v="-1.67"/>
    <x v="11"/>
    <x v="0"/>
    <s v="December"/>
    <s v="Loss"/>
    <n v="2.8149999999999977"/>
    <n v="-1.9829999999999965"/>
  </r>
  <r>
    <s v="2023-12-21"/>
    <n v="101.47"/>
    <x v="4519"/>
    <n v="100.80500000000001"/>
    <n v="101.73"/>
    <n v="19250933"/>
    <x v="9"/>
    <s v="Exxon Mobil"/>
    <x v="6"/>
    <n v="0.45400000000000001"/>
    <x v="11"/>
    <x v="0"/>
    <s v="December"/>
    <s v="Profit"/>
    <n v="1.1999999999999886"/>
    <n v="-1.5289999999999966"/>
  </r>
  <r>
    <s v="2023-12-22"/>
    <n v="102.31"/>
    <x v="4520"/>
    <n v="101.82"/>
    <n v="101.91"/>
    <n v="12927831"/>
    <x v="9"/>
    <s v="Exxon Mobil"/>
    <x v="6"/>
    <n v="0.17699999999999999"/>
    <x v="11"/>
    <x v="0"/>
    <s v="December"/>
    <s v="Profit"/>
    <n v="1.1200000000000045"/>
    <n v="-1.3519999999999965"/>
  </r>
  <r>
    <s v="2023-12-26"/>
    <n v="102.74"/>
    <x v="4521"/>
    <n v="102.11499999999999"/>
    <n v="102.14"/>
    <n v="16835144"/>
    <x v="9"/>
    <s v="Exxon Mobil"/>
    <x v="6"/>
    <n v="0.22600000000000001"/>
    <x v="11"/>
    <x v="0"/>
    <s v="December"/>
    <s v="Profit"/>
    <n v="0.91500000000000625"/>
    <n v="-1.1259999999999966"/>
  </r>
  <r>
    <s v="2023-12-27"/>
    <n v="102.04"/>
    <x v="4522"/>
    <n v="101.33499999999999"/>
    <n v="101.66"/>
    <n v="14558830"/>
    <x v="9"/>
    <s v="Exxon Mobil"/>
    <x v="6"/>
    <n v="-0.47"/>
    <x v="11"/>
    <x v="0"/>
    <s v="December"/>
    <s v="Loss"/>
    <n v="1.2150000000000034"/>
    <n v="-1.5959999999999965"/>
  </r>
  <r>
    <s v="2023-12-28"/>
    <n v="101.39"/>
    <x v="4523"/>
    <n v="100.13"/>
    <n v="100.19"/>
    <n v="16329252"/>
    <x v="9"/>
    <s v="Exxon Mobil"/>
    <x v="6"/>
    <n v="-1.446"/>
    <x v="11"/>
    <x v="0"/>
    <s v="December"/>
    <s v="Loss"/>
    <n v="1.480000000000004"/>
    <n v="-3.0419999999999963"/>
  </r>
  <r>
    <s v="2023-12-29"/>
    <n v="100.37"/>
    <x v="4524"/>
    <n v="99.62"/>
    <n v="99.98"/>
    <n v="17746408"/>
    <x v="9"/>
    <s v="Exxon Mobil"/>
    <x v="6"/>
    <n v="-0.21"/>
    <x v="11"/>
    <x v="0"/>
    <s v="December"/>
    <s v="Loss"/>
    <n v="0.96999999999999886"/>
    <n v="-3.2519999999999962"/>
  </r>
  <r>
    <s v="2024-01-02"/>
    <n v="100.92"/>
    <x v="4525"/>
    <n v="100.85"/>
    <n v="102.36"/>
    <n v="23483049"/>
    <x v="9"/>
    <s v="Exxon Mobil"/>
    <x v="6"/>
    <n v="2.38"/>
    <x v="12"/>
    <x v="1"/>
    <s v="January"/>
    <s v="Profit"/>
    <n v="2.25"/>
    <n v="-0.87199999999999633"/>
  </r>
  <r>
    <s v="2024-01-03"/>
    <n v="102.27"/>
    <x v="4526"/>
    <n v="101.66"/>
    <n v="103.22"/>
    <n v="23490779"/>
    <x v="9"/>
    <s v="Exxon Mobil"/>
    <x v="6"/>
    <n v="0.84"/>
    <x v="12"/>
    <x v="1"/>
    <s v="January"/>
    <s v="Profit"/>
    <n v="1.960000000000008"/>
    <n v="-3.1999999999996365E-2"/>
  </r>
  <r>
    <s v="2024-01-04"/>
    <n v="104.08"/>
    <x v="4527"/>
    <n v="102.05"/>
    <n v="102.32"/>
    <n v="19395154"/>
    <x v="9"/>
    <s v="Exxon Mobil"/>
    <x v="6"/>
    <n v="-0.872"/>
    <x v="12"/>
    <x v="1"/>
    <s v="January"/>
    <s v="Loss"/>
    <n v="2.519999999999996"/>
    <n v="-0.90399999999999636"/>
  </r>
  <r>
    <s v="2024-01-05"/>
    <n v="103.17"/>
    <x v="4528"/>
    <n v="102.125"/>
    <n v="102.63"/>
    <n v="15827392"/>
    <x v="9"/>
    <s v="Exxon Mobil"/>
    <x v="6"/>
    <n v="0.30299999999999999"/>
    <x v="12"/>
    <x v="1"/>
    <s v="January"/>
    <s v="Profit"/>
    <n v="1.2740000000000009"/>
    <n v="-0.60099999999999643"/>
  </r>
  <r>
    <s v="2024-01-08"/>
    <n v="100.73"/>
    <x v="4529"/>
    <n v="98.9"/>
    <n v="100.92"/>
    <n v="23370127"/>
    <x v="9"/>
    <s v="Exxon Mobil"/>
    <x v="6"/>
    <n v="-1.6659999999999999"/>
    <x v="12"/>
    <x v="1"/>
    <s v="January"/>
    <s v="Loss"/>
    <n v="2.1400000000000006"/>
    <n v="-2.2669999999999964"/>
  </r>
  <r>
    <s v="2024-01-09"/>
    <n v="101.29"/>
    <x v="4530"/>
    <n v="99.19"/>
    <n v="99.67"/>
    <n v="19496647"/>
    <x v="9"/>
    <s v="Exxon Mobil"/>
    <x v="6"/>
    <n v="-1.2390000000000001"/>
    <x v="12"/>
    <x v="1"/>
    <s v="January"/>
    <s v="Loss"/>
    <n v="2.1000000000000085"/>
    <n v="-3.5059999999999967"/>
  </r>
  <r>
    <s v="2024-01-10"/>
    <n v="99.8"/>
    <x v="4531"/>
    <n v="98.16"/>
    <n v="98.69"/>
    <n v="18206088"/>
    <x v="9"/>
    <s v="Exxon Mobil"/>
    <x v="6"/>
    <n v="-0.98299999999999998"/>
    <x v="12"/>
    <x v="1"/>
    <s v="January"/>
    <s v="Loss"/>
    <n v="1.6400000000000006"/>
    <n v="-4.4889999999999963"/>
  </r>
  <r>
    <s v="2024-01-11"/>
    <n v="99.04"/>
    <x v="4532"/>
    <n v="98.56"/>
    <n v="98.67"/>
    <n v="15833360"/>
    <x v="9"/>
    <s v="Exxon Mobil"/>
    <x v="6"/>
    <n v="-0.02"/>
    <x v="12"/>
    <x v="1"/>
    <s v="January"/>
    <s v="Loss"/>
    <n v="0.93999999999999773"/>
    <n v="-4.5089999999999959"/>
  </r>
  <r>
    <s v="2024-01-12"/>
    <n v="100.14"/>
    <x v="4533"/>
    <n v="99.17"/>
    <n v="99.95"/>
    <n v="18041683"/>
    <x v="9"/>
    <s v="Exxon Mobil"/>
    <x v="6"/>
    <n v="1.2969999999999999"/>
    <x v="12"/>
    <x v="1"/>
    <s v="January"/>
    <s v="Profit"/>
    <n v="1.480000000000004"/>
    <n v="-3.2119999999999962"/>
  </r>
  <r>
    <s v="2024-01-16"/>
    <n v="99.82"/>
    <x v="4534"/>
    <n v="97.53"/>
    <n v="97.69"/>
    <n v="20235699"/>
    <x v="9"/>
    <s v="Exxon Mobil"/>
    <x v="6"/>
    <n v="-2.2610000000000001"/>
    <x v="12"/>
    <x v="1"/>
    <s v="January"/>
    <s v="Loss"/>
    <n v="2.480000000000004"/>
    <n v="-5.4729999999999963"/>
  </r>
  <r>
    <s v="2024-01-17"/>
    <n v="96.6"/>
    <x v="4535"/>
    <n v="96.58"/>
    <n v="96.98"/>
    <n v="18384015"/>
    <x v="9"/>
    <s v="Exxon Mobil"/>
    <x v="6"/>
    <n v="-0.72699999999999998"/>
    <x v="12"/>
    <x v="1"/>
    <s v="January"/>
    <s v="Loss"/>
    <n v="1.3799999999999955"/>
    <n v="-6.1999999999999966"/>
  </r>
  <r>
    <s v="2024-01-18"/>
    <n v="97"/>
    <x v="4536"/>
    <n v="95.82"/>
    <n v="96.8"/>
    <n v="20940275"/>
    <x v="9"/>
    <s v="Exxon Mobil"/>
    <x v="6"/>
    <n v="-0.186"/>
    <x v="12"/>
    <x v="1"/>
    <s v="January"/>
    <s v="Loss"/>
    <n v="1.2700000000000102"/>
    <n v="-6.3859999999999966"/>
  </r>
  <r>
    <s v="2024-01-19"/>
    <n v="96.72"/>
    <x v="4537"/>
    <n v="96.41"/>
    <n v="96.95"/>
    <n v="20088432"/>
    <x v="9"/>
    <s v="Exxon Mobil"/>
    <x v="6"/>
    <n v="0.155"/>
    <x v="12"/>
    <x v="1"/>
    <s v="January"/>
    <s v="Profit"/>
    <n v="0.60600000000000875"/>
    <n v="-6.2309999999999963"/>
  </r>
  <r>
    <s v="2024-01-22"/>
    <n v="96.7"/>
    <x v="4538"/>
    <n v="95.77"/>
    <n v="96.82"/>
    <n v="19955946"/>
    <x v="9"/>
    <s v="Exxon Mobil"/>
    <x v="6"/>
    <n v="-0.13400000000000001"/>
    <x v="12"/>
    <x v="1"/>
    <s v="January"/>
    <s v="Loss"/>
    <n v="1.3250000000000028"/>
    <n v="-6.3649999999999967"/>
  </r>
  <r>
    <s v="2024-01-23"/>
    <n v="96.81"/>
    <x v="4539"/>
    <n v="96.73"/>
    <n v="97.91"/>
    <n v="15863433"/>
    <x v="9"/>
    <s v="Exxon Mobil"/>
    <x v="6"/>
    <n v="1.1259999999999999"/>
    <x v="12"/>
    <x v="1"/>
    <s v="January"/>
    <s v="Profit"/>
    <n v="1.769999999999996"/>
    <n v="-5.2389999999999972"/>
  </r>
  <r>
    <s v="2024-01-24"/>
    <n v="98.32"/>
    <x v="4540"/>
    <n v="97.74"/>
    <n v="99.6"/>
    <n v="17330646"/>
    <x v="9"/>
    <s v="Exxon Mobil"/>
    <x v="6"/>
    <n v="1.726"/>
    <x v="12"/>
    <x v="1"/>
    <s v="January"/>
    <s v="Profit"/>
    <n v="1.9100000000000108"/>
    <n v="-3.5129999999999972"/>
  </r>
  <r>
    <s v="2024-01-25"/>
    <n v="100.31"/>
    <x v="4541"/>
    <n v="99.614999999999995"/>
    <n v="102.13"/>
    <n v="22089510"/>
    <x v="9"/>
    <s v="Exxon Mobil"/>
    <x v="6"/>
    <n v="2.54"/>
    <x v="12"/>
    <x v="1"/>
    <s v="January"/>
    <s v="Profit"/>
    <n v="2.5650000000000119"/>
    <n v="-0.9729999999999972"/>
  </r>
  <r>
    <s v="2024-01-26"/>
    <n v="101.97"/>
    <x v="4542"/>
    <n v="101.19"/>
    <n v="103"/>
    <n v="20817240"/>
    <x v="9"/>
    <s v="Exxon Mobil"/>
    <x v="6"/>
    <n v="0.85199999999999998"/>
    <x v="12"/>
    <x v="1"/>
    <s v="January"/>
    <s v="Profit"/>
    <n v="1.8900000000000006"/>
    <n v="-0.12099999999999722"/>
  </r>
  <r>
    <s v="2024-01-29"/>
    <n v="102.98"/>
    <x v="4543"/>
    <n v="101.86"/>
    <n v="103.13"/>
    <n v="18317549"/>
    <x v="9"/>
    <s v="Exxon Mobil"/>
    <x v="6"/>
    <n v="0.126"/>
    <x v="12"/>
    <x v="1"/>
    <s v="January"/>
    <s v="Profit"/>
    <n v="1.3400000000000034"/>
    <n v="5.00000000000278E-3"/>
  </r>
  <r>
    <s v="2024-01-30"/>
    <n v="102.41"/>
    <x v="4544"/>
    <n v="102.1"/>
    <n v="104.85"/>
    <n v="19610934"/>
    <x v="9"/>
    <s v="Exxon Mobil"/>
    <x v="6"/>
    <n v="1.6679999999999999"/>
    <x v="12"/>
    <x v="1"/>
    <s v="January"/>
    <s v="Profit"/>
    <n v="2.7800000000000011"/>
    <n v="1.6730000000000027"/>
  </r>
  <r>
    <s v="2024-01-31"/>
    <n v="104.74"/>
    <x v="4544"/>
    <n v="102.771"/>
    <n v="102.81"/>
    <n v="22415291"/>
    <x v="9"/>
    <s v="Exxon Mobil"/>
    <x v="6"/>
    <n v="-1.946"/>
    <x v="12"/>
    <x v="1"/>
    <s v="January"/>
    <s v="Loss"/>
    <n v="2.1089999999999947"/>
    <n v="-0.27299999999999724"/>
  </r>
  <r>
    <s v="2024-02-01"/>
    <n v="103.57"/>
    <x v="4545"/>
    <n v="101.62"/>
    <n v="102.39"/>
    <n v="19240687"/>
    <x v="9"/>
    <s v="Exxon Mobil"/>
    <x v="6"/>
    <n v="-0.40899999999999997"/>
    <x v="13"/>
    <x v="1"/>
    <s v="February"/>
    <s v="Loss"/>
    <n v="2.3900000000000006"/>
    <n v="-0.68199999999999728"/>
  </r>
  <r>
    <s v="2024-02-02"/>
    <n v="103.75"/>
    <x v="4420"/>
    <n v="101.611"/>
    <n v="101.97"/>
    <n v="21973405"/>
    <x v="9"/>
    <s v="Exxon Mobil"/>
    <x v="6"/>
    <n v="-0.41"/>
    <x v="13"/>
    <x v="1"/>
    <s v="February"/>
    <s v="Loss"/>
    <n v="2.3889999999999958"/>
    <n v="-1.0919999999999972"/>
  </r>
  <r>
    <s v="2024-02-05"/>
    <n v="101.45"/>
    <x v="4546"/>
    <n v="100.5"/>
    <n v="101.55"/>
    <n v="17190890"/>
    <x v="9"/>
    <s v="Exxon Mobil"/>
    <x v="6"/>
    <n v="-0.41199999999999998"/>
    <x v="13"/>
    <x v="1"/>
    <s v="February"/>
    <s v="Loss"/>
    <n v="1.8799999999999955"/>
    <n v="-1.5039999999999971"/>
  </r>
  <r>
    <s v="2024-02-06"/>
    <n v="102.07"/>
    <x v="556"/>
    <n v="101.57"/>
    <n v="102.25"/>
    <n v="13353286"/>
    <x v="9"/>
    <s v="Exxon Mobil"/>
    <x v="6"/>
    <n v="0.68899999999999995"/>
    <x v="13"/>
    <x v="1"/>
    <s v="February"/>
    <s v="Profit"/>
    <n v="1.4700000000000131"/>
    <n v="-0.81499999999999717"/>
  </r>
  <r>
    <s v="2024-02-07"/>
    <n v="102.25"/>
    <x v="4547"/>
    <n v="101.18"/>
    <n v="102.22"/>
    <n v="13826832"/>
    <x v="9"/>
    <s v="Exxon Mobil"/>
    <x v="6"/>
    <n v="-2.9000000000000001E-2"/>
    <x v="13"/>
    <x v="1"/>
    <s v="February"/>
    <s v="Loss"/>
    <n v="1.5499999999999972"/>
    <n v="-0.8439999999999972"/>
  </r>
  <r>
    <s v="2024-02-08"/>
    <n v="102.34"/>
    <x v="4548"/>
    <n v="102.11"/>
    <n v="103.97"/>
    <n v="19636898"/>
    <x v="9"/>
    <s v="Exxon Mobil"/>
    <x v="6"/>
    <n v="1.712"/>
    <x v="13"/>
    <x v="1"/>
    <s v="February"/>
    <s v="Profit"/>
    <n v="2.3100000000000023"/>
    <n v="0.86800000000000277"/>
  </r>
  <r>
    <s v="2024-02-09"/>
    <n v="104.1"/>
    <x v="4549"/>
    <n v="101.7"/>
    <n v="101.77"/>
    <n v="20410510"/>
    <x v="9"/>
    <s v="Exxon Mobil"/>
    <x v="6"/>
    <n v="-2.1160000000000001"/>
    <x v="13"/>
    <x v="1"/>
    <s v="February"/>
    <s v="Loss"/>
    <n v="3.1400000000000006"/>
    <n v="-1.2479999999999973"/>
  </r>
  <r>
    <s v="2024-02-12"/>
    <n v="102.16"/>
    <x v="4550"/>
    <n v="102"/>
    <n v="103.17"/>
    <n v="18173061"/>
    <x v="9"/>
    <s v="Exxon Mobil"/>
    <x v="6"/>
    <n v="1.3759999999999999"/>
    <x v="13"/>
    <x v="1"/>
    <s v="February"/>
    <s v="Profit"/>
    <n v="1.4000000000000057"/>
    <n v="0.12800000000000256"/>
  </r>
  <r>
    <s v="2024-02-13"/>
    <n v="102.76"/>
    <x v="4551"/>
    <n v="100.6"/>
    <n v="101.34"/>
    <n v="18917431"/>
    <x v="9"/>
    <s v="Exxon Mobil"/>
    <x v="6"/>
    <n v="-1.774"/>
    <x v="13"/>
    <x v="1"/>
    <s v="February"/>
    <s v="Loss"/>
    <n v="2.4900000000000091"/>
    <n v="-1.6459999999999975"/>
  </r>
  <r>
    <s v="2024-02-14"/>
    <n v="101.87"/>
    <x v="4552"/>
    <n v="100.42"/>
    <n v="100.84"/>
    <n v="17651253"/>
    <x v="9"/>
    <s v="Exxon Mobil"/>
    <x v="6"/>
    <n v="-0.49299999999999999"/>
    <x v="13"/>
    <x v="1"/>
    <s v="February"/>
    <s v="Loss"/>
    <n v="2.1949999999999932"/>
    <n v="-2.1389999999999976"/>
  </r>
  <r>
    <s v="2024-02-15"/>
    <n v="100.6"/>
    <x v="4553"/>
    <n v="100.6"/>
    <n v="103.73"/>
    <n v="23196310"/>
    <x v="9"/>
    <s v="Exxon Mobil"/>
    <x v="6"/>
    <n v="2.8660000000000001"/>
    <x v="13"/>
    <x v="1"/>
    <s v="February"/>
    <s v="Profit"/>
    <n v="3.335000000000008"/>
    <n v="0.72700000000000253"/>
  </r>
  <r>
    <s v="2024-02-16"/>
    <n v="104.01"/>
    <x v="4409"/>
    <n v="103.52"/>
    <n v="103.73"/>
    <n v="20151426"/>
    <x v="9"/>
    <s v="Exxon Mobil"/>
    <x v="6"/>
    <n v="0"/>
    <x v="13"/>
    <x v="1"/>
    <s v="February"/>
    <s v="Neutral"/>
    <n v="1.1099999999999994"/>
    <n v="0.72700000000000253"/>
  </r>
  <r>
    <s v="2024-02-20"/>
    <n v="103.84"/>
    <x v="4395"/>
    <n v="102.645"/>
    <n v="102.75"/>
    <n v="17650010"/>
    <x v="9"/>
    <s v="Exxon Mobil"/>
    <x v="6"/>
    <n v="-0.94499999999999995"/>
    <x v="13"/>
    <x v="1"/>
    <s v="February"/>
    <s v="Loss"/>
    <n v="1.4750000000000085"/>
    <n v="-0.21799999999999742"/>
  </r>
  <r>
    <s v="2024-02-21"/>
    <n v="103.02"/>
    <x v="4554"/>
    <n v="102.99"/>
    <n v="104.85"/>
    <n v="20999189"/>
    <x v="9"/>
    <s v="Exxon Mobil"/>
    <x v="6"/>
    <n v="2.044"/>
    <x v="13"/>
    <x v="1"/>
    <s v="February"/>
    <s v="Profit"/>
    <n v="1.9900000000000091"/>
    <n v="1.8260000000000027"/>
  </r>
  <r>
    <s v="2024-02-22"/>
    <n v="104.16"/>
    <x v="4555"/>
    <n v="103.45"/>
    <n v="104.76"/>
    <n v="20470668"/>
    <x v="9"/>
    <s v="Exxon Mobil"/>
    <x v="6"/>
    <n v="-8.5999999999999993E-2"/>
    <x v="13"/>
    <x v="1"/>
    <s v="February"/>
    <s v="Loss"/>
    <n v="1.9599999999999937"/>
    <n v="1.7400000000000027"/>
  </r>
  <r>
    <s v="2024-02-23"/>
    <n v="103.88"/>
    <x v="4556"/>
    <n v="102.88"/>
    <n v="103.84"/>
    <n v="15975888"/>
    <x v="9"/>
    <s v="Exxon Mobil"/>
    <x v="6"/>
    <n v="-0.878"/>
    <x v="13"/>
    <x v="1"/>
    <s v="February"/>
    <s v="Loss"/>
    <n v="1.210000000000008"/>
    <n v="0.86200000000000265"/>
  </r>
  <r>
    <s v="2024-02-26"/>
    <n v="103.72"/>
    <x v="4557"/>
    <n v="103.05"/>
    <n v="104.25"/>
    <n v="13360800"/>
    <x v="9"/>
    <s v="Exxon Mobil"/>
    <x v="6"/>
    <n v="0.39500000000000002"/>
    <x v="13"/>
    <x v="1"/>
    <s v="February"/>
    <s v="Profit"/>
    <n v="1.8850000000000051"/>
    <n v="1.2570000000000028"/>
  </r>
  <r>
    <s v="2024-02-27"/>
    <n v="104.68"/>
    <x v="4496"/>
    <n v="103.85"/>
    <n v="104.03"/>
    <n v="16359978"/>
    <x v="9"/>
    <s v="Exxon Mobil"/>
    <x v="6"/>
    <n v="-0.21099999999999999"/>
    <x v="13"/>
    <x v="1"/>
    <s v="February"/>
    <s v="Loss"/>
    <n v="1.3000000000000114"/>
    <n v="1.0460000000000027"/>
  </r>
  <r>
    <s v="2024-02-28"/>
    <n v="104.47"/>
    <x v="4498"/>
    <n v="104"/>
    <n v="104.32"/>
    <n v="14810486"/>
    <x v="9"/>
    <s v="Exxon Mobil"/>
    <x v="6"/>
    <n v="0.27900000000000003"/>
    <x v="13"/>
    <x v="1"/>
    <s v="February"/>
    <s v="Profit"/>
    <n v="1.4300000000000068"/>
    <n v="1.3250000000000028"/>
  </r>
  <r>
    <s v="2024-02-29"/>
    <n v="104.675"/>
    <x v="4558"/>
    <n v="104.215"/>
    <n v="104.52"/>
    <n v="17566066"/>
    <x v="9"/>
    <s v="Exxon Mobil"/>
    <x v="6"/>
    <n v="0.192"/>
    <x v="13"/>
    <x v="1"/>
    <s v="February"/>
    <s v="Profit"/>
    <n v="0.85499999999998977"/>
    <n v="1.5170000000000028"/>
  </r>
  <r>
    <s v="2024-03-01"/>
    <n v="105.72"/>
    <x v="4559"/>
    <n v="105.375"/>
    <n v="105.84"/>
    <n v="18460120"/>
    <x v="9"/>
    <s v="Exxon Mobil"/>
    <x v="6"/>
    <n v="1.2629999999999999"/>
    <x v="14"/>
    <x v="1"/>
    <s v="March"/>
    <s v="Profit"/>
    <n v="1.0150000000000006"/>
    <n v="2.7800000000000029"/>
  </r>
  <r>
    <s v="2024-03-04"/>
    <n v="105.66"/>
    <x v="4560"/>
    <n v="104.03"/>
    <n v="104.36"/>
    <n v="18137989"/>
    <x v="9"/>
    <s v="Exxon Mobil"/>
    <x v="6"/>
    <n v="-1.3979999999999999"/>
    <x v="14"/>
    <x v="1"/>
    <s v="March"/>
    <s v="Loss"/>
    <n v="1.8199999999999932"/>
    <n v="1.382000000000003"/>
  </r>
  <r>
    <s v="2024-03-05"/>
    <n v="104.53"/>
    <x v="4399"/>
    <n v="104.32"/>
    <n v="105.64"/>
    <n v="19952712"/>
    <x v="9"/>
    <s v="Exxon Mobil"/>
    <x v="6"/>
    <n v="1.2270000000000001"/>
    <x v="14"/>
    <x v="1"/>
    <s v="March"/>
    <s v="Profit"/>
    <n v="1.9500000000000028"/>
    <n v="2.6090000000000031"/>
  </r>
  <r>
    <s v="2024-03-06"/>
    <n v="106.62"/>
    <x v="1072"/>
    <n v="106.15"/>
    <n v="106.77"/>
    <n v="20472790"/>
    <x v="9"/>
    <s v="Exxon Mobil"/>
    <x v="6"/>
    <n v="1.07"/>
    <x v="14"/>
    <x v="1"/>
    <s v="March"/>
    <s v="Profit"/>
    <n v="1.4199999999999875"/>
    <n v="3.6790000000000029"/>
  </r>
  <r>
    <s v="2024-03-07"/>
    <n v="106.6"/>
    <x v="4561"/>
    <n v="106.6"/>
    <n v="107.37"/>
    <n v="15195406"/>
    <x v="9"/>
    <s v="Exxon Mobil"/>
    <x v="6"/>
    <n v="0.56200000000000006"/>
    <x v="14"/>
    <x v="1"/>
    <s v="March"/>
    <s v="Profit"/>
    <n v="1.3800000000000097"/>
    <n v="4.2410000000000032"/>
  </r>
  <r>
    <s v="2024-03-08"/>
    <n v="107.23"/>
    <x v="4562"/>
    <n v="106.77"/>
    <n v="108.38"/>
    <n v="16281468"/>
    <x v="9"/>
    <s v="Exxon Mobil"/>
    <x v="6"/>
    <n v="0.94099999999999995"/>
    <x v="14"/>
    <x v="1"/>
    <s v="March"/>
    <s v="Profit"/>
    <n v="1.6300000000000097"/>
    <n v="5.182000000000003"/>
  </r>
  <r>
    <s v="2024-03-11"/>
    <n v="108.25"/>
    <x v="4563"/>
    <n v="107.34"/>
    <n v="109.02"/>
    <n v="17577285"/>
    <x v="9"/>
    <s v="Exxon Mobil"/>
    <x v="6"/>
    <n v="0.59099999999999997"/>
    <x v="14"/>
    <x v="1"/>
    <s v="March"/>
    <s v="Profit"/>
    <n v="1.7800000000000011"/>
    <n v="5.7730000000000032"/>
  </r>
  <r>
    <s v="2024-03-12"/>
    <n v="109.06"/>
    <x v="4564"/>
    <n v="108.02500000000001"/>
    <n v="108.32"/>
    <n v="14957247"/>
    <x v="9"/>
    <s v="Exxon Mobil"/>
    <x v="6"/>
    <n v="-0.64200000000000002"/>
    <x v="14"/>
    <x v="1"/>
    <s v="March"/>
    <s v="Loss"/>
    <n v="1.2549999999999955"/>
    <n v="5.1310000000000029"/>
  </r>
  <r>
    <s v="2024-03-13"/>
    <n v="109.14"/>
    <x v="4565"/>
    <n v="109.11"/>
    <n v="109.53"/>
    <n v="17122239"/>
    <x v="9"/>
    <s v="Exxon Mobil"/>
    <x v="6"/>
    <n v="1.117"/>
    <x v="14"/>
    <x v="1"/>
    <s v="March"/>
    <s v="Profit"/>
    <n v="1.2399999999999949"/>
    <n v="6.2480000000000029"/>
  </r>
  <r>
    <s v="2024-03-14"/>
    <n v="109.83"/>
    <x v="4566"/>
    <n v="109.69"/>
    <n v="111.47"/>
    <n v="22121014"/>
    <x v="9"/>
    <s v="Exxon Mobil"/>
    <x v="6"/>
    <n v="1.7709999999999999"/>
    <x v="14"/>
    <x v="1"/>
    <s v="March"/>
    <s v="Profit"/>
    <n v="1.8599999999999994"/>
    <n v="8.0190000000000019"/>
  </r>
  <r>
    <s v="2024-03-15"/>
    <n v="110.85"/>
    <x v="4567"/>
    <n v="110.85"/>
    <n v="111.27"/>
    <n v="38264401"/>
    <x v="9"/>
    <s v="Exxon Mobil"/>
    <x v="6"/>
    <n v="-0.17899999999999999"/>
    <x v="14"/>
    <x v="1"/>
    <s v="March"/>
    <s v="Loss"/>
    <n v="1.4500000000000028"/>
    <n v="7.8400000000000016"/>
  </r>
  <r>
    <s v="2024-03-18"/>
    <n v="111.79"/>
    <x v="4568"/>
    <n v="111.1"/>
    <n v="112.3"/>
    <n v="16770462"/>
    <x v="9"/>
    <s v="Exxon Mobil"/>
    <x v="6"/>
    <n v="0.92600000000000005"/>
    <x v="14"/>
    <x v="1"/>
    <s v="March"/>
    <s v="Profit"/>
    <n v="1.7600000000000051"/>
    <n v="8.7660000000000018"/>
  </r>
  <r>
    <s v="2024-03-19"/>
    <n v="112.22"/>
    <x v="4569"/>
    <n v="112.06"/>
    <n v="113.09"/>
    <n v="14878756"/>
    <x v="9"/>
    <s v="Exxon Mobil"/>
    <x v="6"/>
    <n v="0.70299999999999996"/>
    <x v="14"/>
    <x v="1"/>
    <s v="March"/>
    <s v="Profit"/>
    <n v="1.4249999999999972"/>
    <n v="9.4690000000000012"/>
  </r>
  <r>
    <s v="2024-03-20"/>
    <n v="112.72"/>
    <x v="4570"/>
    <n v="112.13"/>
    <n v="112.99"/>
    <n v="16119703"/>
    <x v="9"/>
    <s v="Exxon Mobil"/>
    <x v="6"/>
    <n v="-8.7999999999999995E-2"/>
    <x v="14"/>
    <x v="1"/>
    <s v="March"/>
    <s v="Loss"/>
    <n v="1.2700000000000102"/>
    <n v="9.381000000000002"/>
  </r>
  <r>
    <s v="2024-03-21"/>
    <n v="112.92"/>
    <x v="4571"/>
    <n v="112.57"/>
    <n v="113.49"/>
    <n v="14878022"/>
    <x v="9"/>
    <s v="Exxon Mobil"/>
    <x v="6"/>
    <n v="0.443"/>
    <x v="14"/>
    <x v="1"/>
    <s v="March"/>
    <s v="Profit"/>
    <n v="1.3400000000000034"/>
    <n v="9.8240000000000016"/>
  </r>
  <r>
    <s v="2024-03-22"/>
    <n v="113.48"/>
    <x v="4572"/>
    <n v="112.824"/>
    <n v="113.49"/>
    <n v="14701933"/>
    <x v="9"/>
    <s v="Exxon Mobil"/>
    <x v="6"/>
    <n v="0"/>
    <x v="14"/>
    <x v="1"/>
    <s v="March"/>
    <s v="Neutral"/>
    <n v="0.86100000000000421"/>
    <n v="9.8240000000000016"/>
  </r>
  <r>
    <s v="2024-03-25"/>
    <n v="113.83"/>
    <x v="4573"/>
    <n v="113.83"/>
    <n v="114.65"/>
    <n v="14011734"/>
    <x v="9"/>
    <s v="Exxon Mobil"/>
    <x v="6"/>
    <n v="1.022"/>
    <x v="14"/>
    <x v="1"/>
    <s v="March"/>
    <s v="Profit"/>
    <n v="1.9450000000000074"/>
    <n v="10.846000000000002"/>
  </r>
  <r>
    <s v="2024-03-26"/>
    <n v="114.66"/>
    <x v="4574"/>
    <n v="113.41"/>
    <n v="113.79"/>
    <n v="13152287"/>
    <x v="9"/>
    <s v="Exxon Mobil"/>
    <x v="6"/>
    <n v="-0.75"/>
    <x v="14"/>
    <x v="1"/>
    <s v="March"/>
    <s v="Loss"/>
    <n v="1.5700000000000074"/>
    <n v="10.096000000000002"/>
  </r>
  <r>
    <s v="2024-03-27"/>
    <n v="113.48"/>
    <x v="4575"/>
    <n v="113.41"/>
    <n v="114.97"/>
    <n v="12415674"/>
    <x v="9"/>
    <s v="Exxon Mobil"/>
    <x v="6"/>
    <n v="1.0369999999999999"/>
    <x v="14"/>
    <x v="1"/>
    <s v="March"/>
    <s v="Profit"/>
    <n v="1.6500000000000057"/>
    <n v="11.133000000000003"/>
  </r>
  <r>
    <s v="2024-03-28"/>
    <n v="115.53"/>
    <x v="4576"/>
    <n v="115.06"/>
    <n v="116.24"/>
    <n v="18482055"/>
    <x v="9"/>
    <s v="Exxon Mobil"/>
    <x v="6"/>
    <n v="1.105"/>
    <x v="14"/>
    <x v="1"/>
    <s v="March"/>
    <s v="Profit"/>
    <n v="1.3900000000000006"/>
    <n v="12.238000000000003"/>
  </r>
  <r>
    <s v="2024-04-01"/>
    <n v="116.41"/>
    <x v="4577"/>
    <n v="115.38"/>
    <n v="116.99"/>
    <n v="13816996"/>
    <x v="9"/>
    <s v="Exxon Mobil"/>
    <x v="6"/>
    <n v="0.64500000000000002"/>
    <x v="15"/>
    <x v="1"/>
    <s v="April"/>
    <s v="Profit"/>
    <n v="1.8599999999999994"/>
    <n v="12.883000000000003"/>
  </r>
  <r>
    <s v="2024-04-02"/>
    <n v="117.92"/>
    <x v="4578"/>
    <n v="117.33"/>
    <n v="119.28"/>
    <n v="19919643"/>
    <x v="9"/>
    <s v="Exxon Mobil"/>
    <x v="6"/>
    <n v="1.9570000000000001"/>
    <x v="15"/>
    <x v="1"/>
    <s v="April"/>
    <s v="Profit"/>
    <n v="2.269999999999996"/>
    <n v="14.840000000000003"/>
  </r>
  <r>
    <s v="2024-04-03"/>
    <n v="119.48"/>
    <x v="4579"/>
    <n v="118.73"/>
    <n v="119.3"/>
    <n v="16504307"/>
    <x v="9"/>
    <s v="Exxon Mobil"/>
    <x v="6"/>
    <n v="1.7000000000000001E-2"/>
    <x v="15"/>
    <x v="1"/>
    <s v="April"/>
    <s v="Profit"/>
    <n v="1.0180000000000007"/>
    <n v="14.857000000000003"/>
  </r>
  <r>
    <s v="2024-04-04"/>
    <n v="119.05"/>
    <x v="4580"/>
    <n v="118.64"/>
    <n v="119.72"/>
    <n v="18467362"/>
    <x v="9"/>
    <s v="Exxon Mobil"/>
    <x v="6"/>
    <n v="0.35199999999999998"/>
    <x v="15"/>
    <x v="1"/>
    <s v="April"/>
    <s v="Profit"/>
    <n v="1.2399999999999949"/>
    <n v="15.209000000000003"/>
  </r>
  <r>
    <s v="2024-04-05"/>
    <n v="119.98"/>
    <x v="4581"/>
    <n v="119.64"/>
    <n v="121.37"/>
    <n v="21720591"/>
    <x v="9"/>
    <s v="Exxon Mobil"/>
    <x v="6"/>
    <n v="1.3779999999999999"/>
    <x v="15"/>
    <x v="1"/>
    <s v="April"/>
    <s v="Profit"/>
    <n v="2.5100000000000051"/>
    <n v="16.587000000000003"/>
  </r>
  <r>
    <s v="2024-04-08"/>
    <n v="121.08"/>
    <x v="4582"/>
    <n v="120.205"/>
    <n v="120.55"/>
    <n v="17513939"/>
    <x v="9"/>
    <s v="Exxon Mobil"/>
    <x v="6"/>
    <n v="-0.67600000000000005"/>
    <x v="15"/>
    <x v="1"/>
    <s v="April"/>
    <s v="Loss"/>
    <n v="1.5300000000000011"/>
    <n v="15.911000000000003"/>
  </r>
  <r>
    <s v="2024-04-09"/>
    <n v="121"/>
    <x v="4583"/>
    <n v="120.34"/>
    <n v="121.18"/>
    <n v="14135720"/>
    <x v="9"/>
    <s v="Exxon Mobil"/>
    <x v="6"/>
    <n v="0.52300000000000002"/>
    <x v="15"/>
    <x v="1"/>
    <s v="April"/>
    <s v="Profit"/>
    <n v="1.3089999999999975"/>
    <n v="16.434000000000005"/>
  </r>
  <r>
    <s v="2024-04-10"/>
    <n v="121.22"/>
    <x v="4584"/>
    <n v="120.73"/>
    <n v="122.2"/>
    <n v="17409184"/>
    <x v="9"/>
    <s v="Exxon Mobil"/>
    <x v="6"/>
    <n v="0.84199999999999997"/>
    <x v="15"/>
    <x v="1"/>
    <s v="April"/>
    <s v="Profit"/>
    <n v="1.7399999999999949"/>
    <n v="17.276000000000003"/>
  </r>
  <r>
    <s v="2024-04-11"/>
    <n v="122.69"/>
    <x v="4585"/>
    <n v="120.34"/>
    <n v="121.79"/>
    <n v="17555869"/>
    <x v="9"/>
    <s v="Exxon Mobil"/>
    <x v="6"/>
    <n v="-0.33600000000000002"/>
    <x v="15"/>
    <x v="1"/>
    <s v="April"/>
    <s v="Loss"/>
    <n v="2.3499999999999943"/>
    <n v="16.940000000000005"/>
  </r>
  <r>
    <s v="2024-04-12"/>
    <n v="122.95"/>
    <x v="4586"/>
    <n v="119.67"/>
    <n v="120.37"/>
    <n v="21556218"/>
    <x v="9"/>
    <s v="Exxon Mobil"/>
    <x v="6"/>
    <n v="-1.1659999999999999"/>
    <x v="15"/>
    <x v="1"/>
    <s v="April"/>
    <s v="Loss"/>
    <n v="4.0799999999999983"/>
    <n v="15.774000000000004"/>
  </r>
  <r>
    <s v="2024-04-15"/>
    <n v="121.09"/>
    <x v="4587"/>
    <n v="119.45"/>
    <n v="119.68"/>
    <n v="15029528"/>
    <x v="9"/>
    <s v="Exxon Mobil"/>
    <x v="6"/>
    <n v="-0.57299999999999995"/>
    <x v="15"/>
    <x v="1"/>
    <s v="April"/>
    <s v="Loss"/>
    <n v="2.2399999999999949"/>
    <n v="15.201000000000004"/>
  </r>
  <r>
    <s v="2024-04-16"/>
    <n v="119.55500000000001"/>
    <x v="4588"/>
    <n v="117.92"/>
    <n v="118.69"/>
    <n v="18082228"/>
    <x v="9"/>
    <s v="Exxon Mobil"/>
    <x v="6"/>
    <n v="-0.82699999999999996"/>
    <x v="15"/>
    <x v="1"/>
    <s v="April"/>
    <s v="Loss"/>
    <n v="2.2999999999999972"/>
    <n v="14.374000000000004"/>
  </r>
  <r>
    <s v="2024-04-17"/>
    <n v="118.55"/>
    <x v="4589"/>
    <n v="117.12"/>
    <n v="118.63"/>
    <n v="14538577"/>
    <x v="9"/>
    <s v="Exxon Mobil"/>
    <x v="6"/>
    <n v="-5.0999999999999997E-2"/>
    <x v="15"/>
    <x v="1"/>
    <s v="April"/>
    <s v="Loss"/>
    <n v="2.2299999999999898"/>
    <n v="14.323000000000004"/>
  </r>
  <r>
    <s v="2024-04-18"/>
    <n v="119"/>
    <x v="4590"/>
    <n v="117.97"/>
    <n v="118.52"/>
    <n v="13821356"/>
    <x v="9"/>
    <s v="Exxon Mobil"/>
    <x v="6"/>
    <n v="-9.2999999999999999E-2"/>
    <x v="15"/>
    <x v="1"/>
    <s v="April"/>
    <s v="Loss"/>
    <n v="1.75"/>
    <n v="14.230000000000004"/>
  </r>
  <r>
    <s v="2024-04-19"/>
    <n v="119.155"/>
    <x v="4591"/>
    <n v="118.95"/>
    <n v="119.88"/>
    <n v="21563940"/>
    <x v="9"/>
    <s v="Exxon Mobil"/>
    <x v="6"/>
    <n v="1.147"/>
    <x v="15"/>
    <x v="1"/>
    <s v="April"/>
    <s v="Profit"/>
    <n v="1.9749999999999943"/>
    <n v="15.377000000000004"/>
  </r>
  <r>
    <s v="2024-04-22"/>
    <n v="119.26"/>
    <x v="4592"/>
    <n v="118.43"/>
    <n v="120.56"/>
    <n v="16340694"/>
    <x v="9"/>
    <s v="Exxon Mobil"/>
    <x v="6"/>
    <n v="0.56699999999999995"/>
    <x v="15"/>
    <x v="1"/>
    <s v="April"/>
    <s v="Profit"/>
    <n v="3.1349999999999909"/>
    <n v="15.944000000000004"/>
  </r>
  <r>
    <s v="2024-04-23"/>
    <n v="120"/>
    <x v="4593"/>
    <n v="119.45"/>
    <n v="121.03"/>
    <n v="13929816"/>
    <x v="9"/>
    <s v="Exxon Mobil"/>
    <x v="6"/>
    <n v="0.39"/>
    <x v="15"/>
    <x v="1"/>
    <s v="April"/>
    <s v="Profit"/>
    <n v="1.6099999999999994"/>
    <n v="16.334000000000003"/>
  </r>
  <r>
    <s v="2024-04-24"/>
    <n v="120.3"/>
    <x v="4594"/>
    <n v="119.39"/>
    <n v="121.05"/>
    <n v="12101161"/>
    <x v="9"/>
    <s v="Exxon Mobil"/>
    <x v="6"/>
    <n v="1.7000000000000001E-2"/>
    <x v="15"/>
    <x v="1"/>
    <s v="April"/>
    <s v="Profit"/>
    <n v="1.8649999999999949"/>
    <n v="16.351000000000003"/>
  </r>
  <r>
    <s v="2024-04-25"/>
    <n v="121.03"/>
    <x v="4595"/>
    <n v="119.4"/>
    <n v="121.33"/>
    <n v="16041029"/>
    <x v="9"/>
    <s v="Exxon Mobil"/>
    <x v="6"/>
    <n v="0.23100000000000001"/>
    <x v="15"/>
    <x v="1"/>
    <s v="April"/>
    <s v="Profit"/>
    <n v="2.3599999999999994"/>
    <n v="16.582000000000004"/>
  </r>
  <r>
    <s v="2024-04-26"/>
    <n v="119"/>
    <x v="4596"/>
    <n v="116.22"/>
    <n v="117.96"/>
    <n v="27289468"/>
    <x v="9"/>
    <s v="Exxon Mobil"/>
    <x v="6"/>
    <n v="-2.778"/>
    <x v="15"/>
    <x v="1"/>
    <s v="April"/>
    <s v="Loss"/>
    <n v="2.8799999999999955"/>
    <n v="13.804000000000004"/>
  </r>
  <r>
    <s v="2024-04-29"/>
    <n v="117.76"/>
    <x v="4597"/>
    <n v="117.76"/>
    <n v="119.64"/>
    <n v="17343755"/>
    <x v="9"/>
    <s v="Exxon Mobil"/>
    <x v="6"/>
    <n v="1.4239999999999999"/>
    <x v="15"/>
    <x v="1"/>
    <s v="April"/>
    <s v="Profit"/>
    <n v="2.289999999999992"/>
    <n v="15.228000000000003"/>
  </r>
  <r>
    <s v="2024-04-30"/>
    <n v="119.11"/>
    <x v="4598"/>
    <n v="117.98"/>
    <n v="118.27"/>
    <n v="21083294"/>
    <x v="9"/>
    <s v="Exxon Mobil"/>
    <x v="6"/>
    <n v="-1.145"/>
    <x v="15"/>
    <x v="1"/>
    <s v="April"/>
    <s v="Loss"/>
    <n v="2.2199999999999989"/>
    <n v="14.083000000000004"/>
  </r>
  <r>
    <s v="2024-05-01"/>
    <n v="118.28"/>
    <x v="4599"/>
    <n v="115.66"/>
    <n v="116.03"/>
    <n v="27789759"/>
    <x v="9"/>
    <s v="Exxon Mobil"/>
    <x v="6"/>
    <n v="-1.8939999999999999"/>
    <x v="16"/>
    <x v="1"/>
    <s v="May"/>
    <s v="Loss"/>
    <n v="2.8100000000000023"/>
    <n v="12.189000000000004"/>
  </r>
  <r>
    <s v="2024-05-02"/>
    <n v="116.26"/>
    <x v="4600"/>
    <n v="115.9"/>
    <n v="116.24"/>
    <n v="25513648"/>
    <x v="9"/>
    <s v="Exxon Mobil"/>
    <x v="6"/>
    <n v="0.18099999999999999"/>
    <x v="16"/>
    <x v="1"/>
    <s v="May"/>
    <s v="Profit"/>
    <n v="1.3599999999999994"/>
    <n v="12.370000000000003"/>
  </r>
  <r>
    <s v="2024-05-03"/>
    <n v="116"/>
    <x v="4601"/>
    <n v="114.13"/>
    <n v="116"/>
    <n v="28023313"/>
    <x v="9"/>
    <s v="Exxon Mobil"/>
    <x v="6"/>
    <n v="-0.20599999999999999"/>
    <x v="16"/>
    <x v="1"/>
    <s v="May"/>
    <s v="Loss"/>
    <n v="1.9399999999999977"/>
    <n v="12.164000000000003"/>
  </r>
  <r>
    <s v="2024-05-06"/>
    <n v="116.67"/>
    <x v="4602"/>
    <n v="116.4"/>
    <n v="116.75"/>
    <n v="31401260"/>
    <x v="9"/>
    <s v="Exxon Mobil"/>
    <x v="6"/>
    <n v="0.64700000000000002"/>
    <x v="16"/>
    <x v="1"/>
    <s v="May"/>
    <s v="Profit"/>
    <n v="1.9399999999999977"/>
    <n v="12.811000000000003"/>
  </r>
  <r>
    <s v="2024-05-07"/>
    <n v="117.28"/>
    <x v="4603"/>
    <n v="115.93"/>
    <n v="116.17"/>
    <n v="30121973"/>
    <x v="9"/>
    <s v="Exxon Mobil"/>
    <x v="6"/>
    <n v="-0.497"/>
    <x v="16"/>
    <x v="1"/>
    <s v="May"/>
    <s v="Loss"/>
    <n v="1.6499999999999915"/>
    <n v="12.314000000000004"/>
  </r>
  <r>
    <s v="2024-05-08"/>
    <n v="115.71"/>
    <x v="4604"/>
    <n v="115.41"/>
    <n v="116.15"/>
    <n v="18957166"/>
    <x v="9"/>
    <s v="Exxon Mobil"/>
    <x v="6"/>
    <n v="-1.7000000000000001E-2"/>
    <x v="16"/>
    <x v="1"/>
    <s v="May"/>
    <s v="Loss"/>
    <n v="1.5439999999999969"/>
    <n v="12.297000000000004"/>
  </r>
  <r>
    <s v="2024-05-09"/>
    <n v="116.2"/>
    <x v="4605"/>
    <n v="116.19"/>
    <n v="118.44"/>
    <n v="17563975"/>
    <x v="9"/>
    <s v="Exxon Mobil"/>
    <x v="6"/>
    <n v="1.972"/>
    <x v="16"/>
    <x v="1"/>
    <s v="May"/>
    <s v="Profit"/>
    <n v="2.3400000000000034"/>
    <n v="14.269000000000004"/>
  </r>
  <r>
    <s v="2024-05-10"/>
    <n v="118.54"/>
    <x v="4460"/>
    <n v="117.58"/>
    <n v="117.96"/>
    <n v="13648130"/>
    <x v="9"/>
    <s v="Exxon Mobil"/>
    <x v="6"/>
    <n v="-0.40500000000000003"/>
    <x v="16"/>
    <x v="1"/>
    <s v="May"/>
    <s v="Loss"/>
    <n v="1.0799999999999983"/>
    <n v="13.864000000000004"/>
  </r>
  <r>
    <s v="2024-05-13"/>
    <n v="118.42"/>
    <x v="4606"/>
    <n v="117.12"/>
    <n v="117.91"/>
    <n v="15060619"/>
    <x v="9"/>
    <s v="Exxon Mobil"/>
    <x v="6"/>
    <n v="-4.2000000000000003E-2"/>
    <x v="16"/>
    <x v="1"/>
    <s v="May"/>
    <s v="Loss"/>
    <n v="1.9200000000000017"/>
    <n v="13.822000000000005"/>
  </r>
  <r>
    <s v="2024-05-14"/>
    <n v="116.79"/>
    <x v="4373"/>
    <n v="116.48"/>
    <n v="117.67"/>
    <n v="15079131"/>
    <x v="9"/>
    <s v="Exxon Mobil"/>
    <x v="6"/>
    <n v="-0.20399999999999999"/>
    <x v="16"/>
    <x v="1"/>
    <s v="May"/>
    <s v="Loss"/>
    <n v="1.2599999999999909"/>
    <n v="13.618000000000004"/>
  </r>
  <r>
    <s v="2024-05-15"/>
    <n v="117.61"/>
    <x v="4463"/>
    <n v="116.08"/>
    <n v="118.58"/>
    <n v="18244303"/>
    <x v="9"/>
    <s v="Exxon Mobil"/>
    <x v="6"/>
    <n v="0.77300000000000002"/>
    <x v="16"/>
    <x v="1"/>
    <s v="May"/>
    <s v="Profit"/>
    <n v="2.7600000000000051"/>
    <n v="14.391000000000004"/>
  </r>
  <r>
    <s v="2024-05-16"/>
    <n v="118.54"/>
    <x v="4607"/>
    <n v="117.54"/>
    <n v="117.87"/>
    <n v="15745202"/>
    <x v="9"/>
    <s v="Exxon Mobil"/>
    <x v="6"/>
    <n v="-0.59899999999999998"/>
    <x v="16"/>
    <x v="1"/>
    <s v="May"/>
    <s v="Loss"/>
    <n v="1.7599999999999909"/>
    <n v="13.792000000000003"/>
  </r>
  <r>
    <s v="2024-05-17"/>
    <n v="118.3"/>
    <x v="4608"/>
    <n v="117.96"/>
    <n v="119.64"/>
    <n v="15104469"/>
    <x v="9"/>
    <s v="Exxon Mobil"/>
    <x v="6"/>
    <n v="1.502"/>
    <x v="16"/>
    <x v="1"/>
    <s v="May"/>
    <s v="Profit"/>
    <n v="1.8700000000000045"/>
    <n v="15.294000000000004"/>
  </r>
  <r>
    <s v="2024-05-20"/>
    <n v="119.73"/>
    <x v="4609"/>
    <n v="118.55"/>
    <n v="118.67"/>
    <n v="11551250"/>
    <x v="9"/>
    <s v="Exxon Mobil"/>
    <x v="6"/>
    <n v="-0.81100000000000005"/>
    <x v="16"/>
    <x v="1"/>
    <s v="May"/>
    <s v="Loss"/>
    <n v="1.3400000000000034"/>
    <n v="14.483000000000004"/>
  </r>
  <r>
    <s v="2024-05-21"/>
    <n v="118.4"/>
    <x v="4610"/>
    <n v="117.78"/>
    <n v="117.85"/>
    <n v="14494980"/>
    <x v="9"/>
    <s v="Exxon Mobil"/>
    <x v="6"/>
    <n v="-0.69099999999999995"/>
    <x v="16"/>
    <x v="1"/>
    <s v="May"/>
    <s v="Loss"/>
    <n v="1.6700000000000017"/>
    <n v="13.792000000000003"/>
  </r>
  <r>
    <s v="2024-05-22"/>
    <n v="117.46"/>
    <x v="4611"/>
    <n v="114.96"/>
    <n v="115.48"/>
    <n v="17879252"/>
    <x v="9"/>
    <s v="Exxon Mobil"/>
    <x v="6"/>
    <n v="-2.0110000000000001"/>
    <x v="16"/>
    <x v="1"/>
    <s v="May"/>
    <s v="Loss"/>
    <n v="2.5"/>
    <n v="11.781000000000002"/>
  </r>
  <r>
    <s v="2024-05-23"/>
    <n v="115.6"/>
    <x v="4612"/>
    <n v="113.36"/>
    <n v="113.51"/>
    <n v="15979835"/>
    <x v="9"/>
    <s v="Exxon Mobil"/>
    <x v="6"/>
    <n v="-1.706"/>
    <x v="16"/>
    <x v="1"/>
    <s v="May"/>
    <s v="Loss"/>
    <n v="4.1500000000000057"/>
    <n v="10.075000000000003"/>
  </r>
  <r>
    <s v="2024-05-24"/>
    <n v="114.84"/>
    <x v="4613"/>
    <n v="113.035"/>
    <n v="113.42"/>
    <n v="12212949"/>
    <x v="9"/>
    <s v="Exxon Mobil"/>
    <x v="6"/>
    <n v="-7.9000000000000001E-2"/>
    <x v="16"/>
    <x v="1"/>
    <s v="May"/>
    <s v="Loss"/>
    <n v="2.0450000000000017"/>
    <n v="9.9960000000000022"/>
  </r>
  <r>
    <s v="2024-05-28"/>
    <n v="113.52"/>
    <x v="4614"/>
    <n v="113.07"/>
    <n v="114.86"/>
    <n v="13978305"/>
    <x v="9"/>
    <s v="Exxon Mobil"/>
    <x v="6"/>
    <n v="1.27"/>
    <x v="16"/>
    <x v="1"/>
    <s v="May"/>
    <s v="Profit"/>
    <n v="2.0400000000000063"/>
    <n v="11.266000000000002"/>
  </r>
  <r>
    <s v="2024-05-29"/>
    <n v="114.52500000000001"/>
    <x v="4615"/>
    <n v="112.81"/>
    <n v="113.63"/>
    <n v="13902001"/>
    <x v="9"/>
    <s v="Exxon Mobil"/>
    <x v="6"/>
    <n v="-1.071"/>
    <x v="16"/>
    <x v="1"/>
    <s v="May"/>
    <s v="Loss"/>
    <n v="1.7349999999999994"/>
    <n v="10.195000000000002"/>
  </r>
  <r>
    <s v="2024-05-30"/>
    <n v="113.27"/>
    <x v="4616"/>
    <n v="112.955"/>
    <n v="113.99"/>
    <n v="14691976"/>
    <x v="9"/>
    <s v="Exxon Mobil"/>
    <x v="6"/>
    <n v="0.317"/>
    <x v="16"/>
    <x v="1"/>
    <s v="May"/>
    <s v="Profit"/>
    <n v="1.1749999999999972"/>
    <n v="10.512000000000002"/>
  </r>
  <r>
    <s v="2024-05-31"/>
    <n v="114.12"/>
    <x v="4617"/>
    <n v="113.99"/>
    <n v="117.26"/>
    <n v="29037378"/>
    <x v="9"/>
    <s v="Exxon Mobil"/>
    <x v="6"/>
    <n v="2.8690000000000002"/>
    <x v="16"/>
    <x v="1"/>
    <s v="May"/>
    <s v="Profit"/>
    <n v="3.5"/>
    <n v="13.381000000000002"/>
  </r>
  <r>
    <s v="2024-06-03"/>
    <n v="116.3"/>
    <x v="4618"/>
    <n v="113.76"/>
    <n v="114.45"/>
    <n v="19589338"/>
    <x v="9"/>
    <s v="Exxon Mobil"/>
    <x v="6"/>
    <n v="-2.3959999999999999"/>
    <x v="17"/>
    <x v="1"/>
    <s v="June"/>
    <s v="Loss"/>
    <n v="2.5999999999999943"/>
    <n v="10.985000000000003"/>
  </r>
  <r>
    <s v="2024-06-04"/>
    <n v="113"/>
    <x v="4321"/>
    <n v="110.92"/>
    <n v="112.67"/>
    <n v="19412238"/>
    <x v="9"/>
    <s v="Exxon Mobil"/>
    <x v="6"/>
    <n v="-1.5549999999999999"/>
    <x v="17"/>
    <x v="1"/>
    <s v="June"/>
    <s v="Loss"/>
    <n v="2.1700000000000017"/>
    <n v="9.4300000000000033"/>
  </r>
  <r>
    <s v="2024-06-05"/>
    <n v="112.89"/>
    <x v="4619"/>
    <n v="111.48"/>
    <n v="113.12"/>
    <n v="14863516"/>
    <x v="9"/>
    <s v="Exxon Mobil"/>
    <x v="6"/>
    <n v="0.39900000000000002"/>
    <x v="17"/>
    <x v="1"/>
    <s v="June"/>
    <s v="Profit"/>
    <n v="1.7099999999999937"/>
    <n v="9.8290000000000042"/>
  </r>
  <r>
    <s v="2024-06-06"/>
    <n v="112.75"/>
    <x v="4620"/>
    <n v="112.11"/>
    <n v="113.97"/>
    <n v="13154094"/>
    <x v="9"/>
    <s v="Exxon Mobil"/>
    <x v="6"/>
    <n v="0.751"/>
    <x v="17"/>
    <x v="1"/>
    <s v="June"/>
    <s v="Profit"/>
    <n v="1.9300000000000068"/>
    <n v="10.580000000000004"/>
  </r>
  <r>
    <s v="2024-06-07"/>
    <n v="113.79"/>
    <x v="4621"/>
    <n v="112.67400000000001"/>
    <n v="112.75"/>
    <n v="13289196"/>
    <x v="9"/>
    <s v="Exxon Mobil"/>
    <x v="6"/>
    <n v="-1.07"/>
    <x v="17"/>
    <x v="1"/>
    <s v="June"/>
    <s v="Loss"/>
    <n v="2.2209999999999894"/>
    <n v="9.5100000000000033"/>
  </r>
  <r>
    <s v="2024-06-10"/>
    <n v="113.06"/>
    <x v="4622"/>
    <n v="112.7"/>
    <n v="113.08"/>
    <n v="15245227"/>
    <x v="9"/>
    <s v="Exxon Mobil"/>
    <x v="6"/>
    <n v="0.29299999999999998"/>
    <x v="17"/>
    <x v="1"/>
    <s v="June"/>
    <s v="Profit"/>
    <n v="1.519999999999996"/>
    <n v="9.8030000000000026"/>
  </r>
  <r>
    <s v="2024-06-11"/>
    <n v="112.49"/>
    <x v="4623"/>
    <n v="111.31"/>
    <n v="112.17"/>
    <n v="12462403"/>
    <x v="9"/>
    <s v="Exxon Mobil"/>
    <x v="6"/>
    <n v="-0.80500000000000005"/>
    <x v="17"/>
    <x v="1"/>
    <s v="June"/>
    <s v="Loss"/>
    <n v="1.3599999999999994"/>
    <n v="8.9980000000000029"/>
  </r>
  <r>
    <s v="2024-06-12"/>
    <n v="113.3"/>
    <x v="4624"/>
    <n v="110.54"/>
    <n v="110.93"/>
    <n v="13606788"/>
    <x v="9"/>
    <s v="Exxon Mobil"/>
    <x v="6"/>
    <n v="-1.105"/>
    <x v="17"/>
    <x v="1"/>
    <s v="June"/>
    <s v="Loss"/>
    <n v="2.7599999999999909"/>
    <n v="7.8930000000000025"/>
  </r>
  <r>
    <s v="2024-06-13"/>
    <n v="110.84"/>
    <x v="574"/>
    <n v="109.72"/>
    <n v="110.04"/>
    <n v="14466868"/>
    <x v="9"/>
    <s v="Exxon Mobil"/>
    <x v="6"/>
    <n v="-0.80200000000000005"/>
    <x v="17"/>
    <x v="1"/>
    <s v="June"/>
    <s v="Loss"/>
    <n v="1.1400000000000006"/>
    <n v="7.0910000000000029"/>
  </r>
  <r>
    <s v="2024-06-14"/>
    <n v="110.02"/>
    <x v="4625"/>
    <n v="108.59"/>
    <n v="109.11"/>
    <n v="13313430"/>
    <x v="9"/>
    <s v="Exxon Mobil"/>
    <x v="6"/>
    <n v="-0.84499999999999997"/>
    <x v="17"/>
    <x v="1"/>
    <s v="June"/>
    <s v="Loss"/>
    <n v="1.6169999999999902"/>
    <n v="6.2460000000000031"/>
  </r>
  <r>
    <s v="2024-06-17"/>
    <n v="109.17"/>
    <x v="4626"/>
    <n v="108.18"/>
    <n v="108.36"/>
    <n v="21147943"/>
    <x v="9"/>
    <s v="Exxon Mobil"/>
    <x v="6"/>
    <n v="-0.68700000000000006"/>
    <x v="17"/>
    <x v="1"/>
    <s v="June"/>
    <s v="Loss"/>
    <n v="1.2799999999999869"/>
    <n v="5.5590000000000028"/>
  </r>
  <r>
    <s v="2024-06-18"/>
    <n v="109.03"/>
    <x v="4627"/>
    <n v="108.8"/>
    <n v="109.38"/>
    <n v="17762915"/>
    <x v="9"/>
    <s v="Exxon Mobil"/>
    <x v="6"/>
    <n v="0.94099999999999995"/>
    <x v="17"/>
    <x v="1"/>
    <s v="June"/>
    <s v="Profit"/>
    <n v="1.9200000000000017"/>
    <n v="6.5000000000000027"/>
  </r>
  <r>
    <s v="2024-06-20"/>
    <n v="109.91"/>
    <x v="4628"/>
    <n v="109.59"/>
    <n v="111.74"/>
    <n v="17433192"/>
    <x v="9"/>
    <s v="Exxon Mobil"/>
    <x v="6"/>
    <n v="2.1579999999999999"/>
    <x v="17"/>
    <x v="1"/>
    <s v="June"/>
    <s v="Profit"/>
    <n v="3.0300000000000011"/>
    <n v="8.658000000000003"/>
  </r>
  <r>
    <s v="2024-06-21"/>
    <n v="111.9"/>
    <x v="4629"/>
    <n v="110.76"/>
    <n v="110.76"/>
    <n v="52220574"/>
    <x v="9"/>
    <s v="Exxon Mobil"/>
    <x v="6"/>
    <n v="-0.877"/>
    <x v="17"/>
    <x v="1"/>
    <s v="June"/>
    <s v="Loss"/>
    <n v="1.9349999999999881"/>
    <n v="7.7810000000000032"/>
  </r>
  <r>
    <s v="2024-06-24"/>
    <n v="111.64"/>
    <x v="4630"/>
    <n v="111.64"/>
    <n v="114.05"/>
    <n v="16266688"/>
    <x v="9"/>
    <s v="Exxon Mobil"/>
    <x v="6"/>
    <n v="2.97"/>
    <x v="17"/>
    <x v="1"/>
    <s v="June"/>
    <s v="Profit"/>
    <n v="2.8850000000000051"/>
    <n v="10.751000000000003"/>
  </r>
  <r>
    <s v="2024-06-25"/>
    <n v="114.11"/>
    <x v="4631"/>
    <n v="113.455"/>
    <n v="114.37"/>
    <n v="16213682"/>
    <x v="9"/>
    <s v="Exxon Mobil"/>
    <x v="6"/>
    <n v="0.28100000000000003"/>
    <x v="17"/>
    <x v="1"/>
    <s v="June"/>
    <s v="Profit"/>
    <n v="1.0949999999999989"/>
    <n v="11.032000000000004"/>
  </r>
  <r>
    <s v="2024-06-26"/>
    <n v="114.39"/>
    <x v="4632"/>
    <n v="113.14"/>
    <n v="114.41"/>
    <n v="15771751"/>
    <x v="9"/>
    <s v="Exxon Mobil"/>
    <x v="6"/>
    <n v="3.5000000000000003E-2"/>
    <x v="17"/>
    <x v="1"/>
    <s v="June"/>
    <s v="Profit"/>
    <n v="1.6749999999999972"/>
    <n v="11.067000000000004"/>
  </r>
  <r>
    <s v="2024-06-27"/>
    <n v="114.99"/>
    <x v="4633"/>
    <n v="114.11"/>
    <n v="114.9"/>
    <n v="16812731"/>
    <x v="9"/>
    <s v="Exxon Mobil"/>
    <x v="6"/>
    <n v="0.42799999999999999"/>
    <x v="17"/>
    <x v="1"/>
    <s v="June"/>
    <s v="Profit"/>
    <n v="0.87999999999999545"/>
    <n v="11.495000000000005"/>
  </r>
  <r>
    <s v="2024-06-28"/>
    <n v="115.86"/>
    <x v="4634"/>
    <n v="114.675"/>
    <n v="115.12"/>
    <n v="24565910"/>
    <x v="9"/>
    <s v="Exxon Mobil"/>
    <x v="6"/>
    <n v="0.191"/>
    <x v="17"/>
    <x v="1"/>
    <s v="June"/>
    <s v="Profit"/>
    <n v="1.8650000000000091"/>
    <n v="11.686000000000005"/>
  </r>
  <r>
    <s v="2024-07-01"/>
    <n v="115.71"/>
    <x v="4635"/>
    <n v="114.53"/>
    <n v="114.96"/>
    <n v="11972881"/>
    <x v="9"/>
    <s v="Exxon Mobil"/>
    <x v="6"/>
    <n v="-0.13900000000000001"/>
    <x v="18"/>
    <x v="1"/>
    <s v="July"/>
    <s v="Loss"/>
    <n v="2.2099999999999937"/>
    <n v="11.547000000000006"/>
  </r>
  <r>
    <s v="2024-07-02"/>
    <n v="115.9"/>
    <x v="4636"/>
    <n v="113.49"/>
    <n v="114.18"/>
    <n v="13326703"/>
    <x v="9"/>
    <s v="Exxon Mobil"/>
    <x v="6"/>
    <n v="-0.67800000000000005"/>
    <x v="18"/>
    <x v="1"/>
    <s v="July"/>
    <s v="Loss"/>
    <n v="2.4500000000000028"/>
    <n v="10.869000000000005"/>
  </r>
  <r>
    <s v="2024-07-03"/>
    <n v="114.27"/>
    <x v="4637"/>
    <n v="114.27"/>
    <n v="114.76"/>
    <n v="7732928"/>
    <x v="9"/>
    <s v="Exxon Mobil"/>
    <x v="6"/>
    <n v="0.50800000000000001"/>
    <x v="18"/>
    <x v="1"/>
    <s v="July"/>
    <s v="Profit"/>
    <n v="1.3900000000000006"/>
    <n v="11.377000000000006"/>
  </r>
  <r>
    <s v="2024-07-05"/>
    <n v="114.61"/>
    <x v="4638"/>
    <n v="112.685"/>
    <n v="113.37"/>
    <n v="12630986"/>
    <x v="9"/>
    <s v="Exxon Mobil"/>
    <x v="6"/>
    <n v="-1.2110000000000001"/>
    <x v="18"/>
    <x v="1"/>
    <s v="July"/>
    <s v="Loss"/>
    <n v="1.9449999999999932"/>
    <n v="10.166000000000006"/>
  </r>
  <r>
    <s v="2024-07-08"/>
    <n v="112.39"/>
    <x v="4639"/>
    <n v="111.42"/>
    <n v="112.18"/>
    <n v="13350549"/>
    <x v="9"/>
    <s v="Exxon Mobil"/>
    <x v="6"/>
    <n v="-1.05"/>
    <x v="18"/>
    <x v="1"/>
    <s v="July"/>
    <s v="Loss"/>
    <n v="2.1299999999999955"/>
    <n v="9.116000000000005"/>
  </r>
  <r>
    <s v="2024-07-09"/>
    <n v="111.11"/>
    <x v="4640"/>
    <n v="110.62"/>
    <n v="110.94"/>
    <n v="11729085"/>
    <x v="9"/>
    <s v="Exxon Mobil"/>
    <x v="6"/>
    <n v="-1.105"/>
    <x v="18"/>
    <x v="1"/>
    <s v="July"/>
    <s v="Loss"/>
    <n v="1.9200000000000017"/>
    <n v="8.0110000000000046"/>
  </r>
  <r>
    <s v="2024-07-10"/>
    <n v="110.92"/>
    <x v="4641"/>
    <n v="110.42"/>
    <n v="111.92"/>
    <n v="10004094"/>
    <x v="9"/>
    <s v="Exxon Mobil"/>
    <x v="6"/>
    <n v="0.88300000000000001"/>
    <x v="18"/>
    <x v="1"/>
    <s v="July"/>
    <s v="Profit"/>
    <n v="1.539999999999992"/>
    <n v="8.8940000000000055"/>
  </r>
  <r>
    <s v="2024-07-11"/>
    <n v="111.43"/>
    <x v="4642"/>
    <n v="110.93"/>
    <n v="113.25"/>
    <n v="13084875"/>
    <x v="9"/>
    <s v="Exxon Mobil"/>
    <x v="6"/>
    <n v="1.1879999999999999"/>
    <x v="18"/>
    <x v="1"/>
    <s v="July"/>
    <s v="Profit"/>
    <n v="2.3849999999999909"/>
    <n v="10.082000000000006"/>
  </r>
  <r>
    <s v="2024-07-12"/>
    <n v="113.99"/>
    <x v="4643"/>
    <n v="112.63"/>
    <n v="113.27"/>
    <n v="11684946"/>
    <x v="9"/>
    <s v="Exxon Mobil"/>
    <x v="6"/>
    <n v="1.7999999999999999E-2"/>
    <x v="18"/>
    <x v="1"/>
    <s v="July"/>
    <s v="Profit"/>
    <n v="1.5200000000000102"/>
    <n v="10.100000000000007"/>
  </r>
  <r>
    <s v="2024-07-15"/>
    <n v="114.27"/>
    <x v="4644"/>
    <n v="113.575"/>
    <n v="115.21"/>
    <n v="13032503"/>
    <x v="9"/>
    <s v="Exxon Mobil"/>
    <x v="6"/>
    <n v="1.7130000000000001"/>
    <x v="18"/>
    <x v="1"/>
    <s v="July"/>
    <s v="Profit"/>
    <n v="2.5849999999999937"/>
    <n v="11.813000000000006"/>
  </r>
  <r>
    <s v="2024-07-16"/>
    <n v="114.35"/>
    <x v="4645"/>
    <n v="113.71"/>
    <n v="116.04"/>
    <n v="13614050"/>
    <x v="9"/>
    <s v="Exxon Mobil"/>
    <x v="6"/>
    <n v="0.72"/>
    <x v="18"/>
    <x v="1"/>
    <s v="July"/>
    <s v="Profit"/>
    <n v="2.6400000000000006"/>
    <n v="12.533000000000007"/>
  </r>
  <r>
    <s v="2024-07-17"/>
    <n v="116.74"/>
    <x v="4646"/>
    <n v="116.55"/>
    <n v="117.64"/>
    <n v="13602766"/>
    <x v="9"/>
    <s v="Exxon Mobil"/>
    <x v="6"/>
    <n v="1.379"/>
    <x v="18"/>
    <x v="1"/>
    <s v="July"/>
    <s v="Profit"/>
    <n v="1.625"/>
    <n v="13.912000000000006"/>
  </r>
  <r>
    <s v="2024-07-18"/>
    <n v="117.95"/>
    <x v="4376"/>
    <n v="117.435"/>
    <n v="118.8"/>
    <n v="13033563"/>
    <x v="9"/>
    <s v="Exxon Mobil"/>
    <x v="6"/>
    <n v="0.98599999999999999"/>
    <x v="18"/>
    <x v="1"/>
    <s v="July"/>
    <s v="Profit"/>
    <n v="2.4849999999999994"/>
    <n v="14.898000000000007"/>
  </r>
  <r>
    <s v="2024-07-19"/>
    <n v="118.59"/>
    <x v="4647"/>
    <n v="115.87"/>
    <n v="116.07"/>
    <n v="16157707"/>
    <x v="9"/>
    <s v="Exxon Mobil"/>
    <x v="6"/>
    <n v="-2.298"/>
    <x v="18"/>
    <x v="1"/>
    <s v="July"/>
    <s v="Loss"/>
    <n v="3.0090000000000003"/>
    <n v="12.600000000000007"/>
  </r>
  <r>
    <s v="2024-07-22"/>
    <n v="115.18"/>
    <x v="4636"/>
    <n v="114.58"/>
    <n v="115.27"/>
    <n v="12065877"/>
    <x v="9"/>
    <s v="Exxon Mobil"/>
    <x v="6"/>
    <n v="-0.68899999999999995"/>
    <x v="18"/>
    <x v="1"/>
    <s v="July"/>
    <s v="Loss"/>
    <n v="1.3599999999999994"/>
    <n v="11.911000000000007"/>
  </r>
  <r>
    <s v="2024-07-23"/>
    <n v="114.81"/>
    <x v="4648"/>
    <n v="113.17"/>
    <n v="113.41"/>
    <n v="11251733"/>
    <x v="9"/>
    <s v="Exxon Mobil"/>
    <x v="6"/>
    <n v="-1.6140000000000001"/>
    <x v="18"/>
    <x v="1"/>
    <s v="July"/>
    <s v="Loss"/>
    <n v="2"/>
    <n v="10.297000000000006"/>
  </r>
  <r>
    <s v="2024-07-24"/>
    <n v="113.765"/>
    <x v="4649"/>
    <n v="113.065"/>
    <n v="115.01"/>
    <n v="14925184"/>
    <x v="9"/>
    <s v="Exxon Mobil"/>
    <x v="6"/>
    <n v="1.411"/>
    <x v="18"/>
    <x v="1"/>
    <s v="July"/>
    <s v="Profit"/>
    <n v="2.1350000000000051"/>
    <n v="11.708000000000006"/>
  </r>
  <r>
    <s v="2024-07-25"/>
    <n v="115.17"/>
    <x v="4650"/>
    <n v="114.56"/>
    <n v="117.43"/>
    <n v="17021698"/>
    <x v="9"/>
    <s v="Exxon Mobil"/>
    <x v="6"/>
    <n v="2.1040000000000001"/>
    <x v="18"/>
    <x v="1"/>
    <s v="July"/>
    <s v="Profit"/>
    <n v="3.4699999999999989"/>
    <n v="13.812000000000005"/>
  </r>
  <r>
    <s v="2024-07-26"/>
    <n v="116.77"/>
    <x v="4650"/>
    <n v="116.47"/>
    <n v="117.33"/>
    <n v="11252479"/>
    <x v="9"/>
    <s v="Exxon Mobil"/>
    <x v="6"/>
    <n v="-8.5000000000000006E-2"/>
    <x v="18"/>
    <x v="1"/>
    <s v="July"/>
    <s v="Loss"/>
    <n v="1.5600000000000023"/>
    <n v="13.727000000000004"/>
  </r>
  <r>
    <s v="2024-07-29"/>
    <n v="117.32"/>
    <x v="4651"/>
    <n v="115.38"/>
    <n v="116.1"/>
    <n v="8861806"/>
    <x v="9"/>
    <s v="Exxon Mobil"/>
    <x v="6"/>
    <n v="-1.048"/>
    <x v="18"/>
    <x v="1"/>
    <s v="July"/>
    <s v="Loss"/>
    <n v="2.0100000000000051"/>
    <n v="12.679000000000004"/>
  </r>
  <r>
    <s v="2024-07-30"/>
    <n v="116.36"/>
    <x v="4652"/>
    <n v="116.23"/>
    <n v="118.17"/>
    <n v="12483857"/>
    <x v="9"/>
    <s v="Exxon Mobil"/>
    <x v="6"/>
    <n v="1.7829999999999999"/>
    <x v="18"/>
    <x v="1"/>
    <s v="July"/>
    <s v="Profit"/>
    <n v="2.3649999999999949"/>
    <n v="14.462000000000003"/>
  </r>
  <r>
    <s v="2024-07-31"/>
    <n v="119.64"/>
    <x v="4653"/>
    <n v="118.56"/>
    <n v="118.59"/>
    <n v="15137710"/>
    <x v="9"/>
    <s v="Exxon Mobil"/>
    <x v="6"/>
    <n v="0.35499999999999998"/>
    <x v="18"/>
    <x v="1"/>
    <s v="July"/>
    <s v="Profit"/>
    <n v="1.2000000000000028"/>
    <n v="14.817000000000004"/>
  </r>
  <r>
    <s v="2024-08-01"/>
    <n v="118.35"/>
    <x v="4654"/>
    <n v="116.36"/>
    <n v="116.95"/>
    <n v="15051482"/>
    <x v="9"/>
    <s v="Exxon Mobil"/>
    <x v="6"/>
    <n v="-1.383"/>
    <x v="19"/>
    <x v="1"/>
    <s v="August"/>
    <s v="Loss"/>
    <n v="3.1299999999999955"/>
    <n v="13.434000000000005"/>
  </r>
  <r>
    <s v="2024-08-02"/>
    <n v="115.97"/>
    <x v="4655"/>
    <n v="115.42"/>
    <n v="116.88"/>
    <n v="20403773"/>
    <x v="9"/>
    <s v="Exxon Mobil"/>
    <x v="6"/>
    <n v="-0.06"/>
    <x v="19"/>
    <x v="1"/>
    <s v="August"/>
    <s v="Loss"/>
    <n v="3.4500000000000028"/>
    <n v="13.374000000000004"/>
  </r>
  <r>
    <s v="2024-08-05"/>
    <n v="115.54"/>
    <x v="4656"/>
    <n v="113.25"/>
    <n v="114.77"/>
    <n v="18025858"/>
    <x v="9"/>
    <s v="Exxon Mobil"/>
    <x v="6"/>
    <n v="-1.8049999999999999"/>
    <x v="19"/>
    <x v="1"/>
    <s v="August"/>
    <s v="Loss"/>
    <n v="2.7800000000000011"/>
    <n v="11.569000000000004"/>
  </r>
  <r>
    <s v="2024-08-06"/>
    <n v="114.45"/>
    <x v="4657"/>
    <n v="113.63"/>
    <n v="114.16"/>
    <n v="13647778"/>
    <x v="9"/>
    <s v="Exxon Mobil"/>
    <x v="6"/>
    <n v="-0.53100000000000003"/>
    <x v="19"/>
    <x v="1"/>
    <s v="August"/>
    <s v="Loss"/>
    <n v="2"/>
    <n v="11.038000000000004"/>
  </r>
  <r>
    <s v="2024-08-07"/>
    <n v="115.45"/>
    <x v="4658"/>
    <n v="115.26"/>
    <n v="115.68"/>
    <n v="13660657"/>
    <x v="9"/>
    <s v="Exxon Mobil"/>
    <x v="6"/>
    <n v="1.331"/>
    <x v="19"/>
    <x v="1"/>
    <s v="August"/>
    <s v="Profit"/>
    <n v="1.8589999999999947"/>
    <n v="12.369000000000003"/>
  </r>
  <r>
    <s v="2024-08-08"/>
    <n v="116.08"/>
    <x v="4659"/>
    <n v="115.73"/>
    <n v="117.89"/>
    <n v="13850993"/>
    <x v="9"/>
    <s v="Exxon Mobil"/>
    <x v="6"/>
    <n v="1.91"/>
    <x v="19"/>
    <x v="1"/>
    <s v="August"/>
    <s v="Profit"/>
    <n v="2.375"/>
    <n v="14.279000000000003"/>
  </r>
  <r>
    <s v="2024-08-09"/>
    <n v="117.88500000000001"/>
    <x v="4660"/>
    <n v="117.36"/>
    <n v="118.85"/>
    <n v="12151867"/>
    <x v="9"/>
    <s v="Exxon Mobil"/>
    <x v="6"/>
    <n v="0.81399999999999995"/>
    <x v="19"/>
    <x v="1"/>
    <s v="August"/>
    <s v="Profit"/>
    <n v="1.9500000000000028"/>
    <n v="15.093000000000004"/>
  </r>
  <r>
    <s v="2024-08-12"/>
    <n v="119.55"/>
    <x v="4661"/>
    <n v="118.02"/>
    <n v="119"/>
    <n v="13228911"/>
    <x v="9"/>
    <s v="Exxon Mobil"/>
    <x v="6"/>
    <n v="0.126"/>
    <x v="19"/>
    <x v="1"/>
    <s v="August"/>
    <s v="Profit"/>
    <n v="2.1500000000000057"/>
    <n v="15.219000000000003"/>
  </r>
  <r>
    <s v="2024-08-13"/>
    <n v="118.27500000000001"/>
    <x v="4461"/>
    <n v="117.5"/>
    <n v="117.86"/>
    <n v="11585067"/>
    <x v="9"/>
    <s v="Exxon Mobil"/>
    <x v="6"/>
    <n v="-0.95799999999999996"/>
    <x v="19"/>
    <x v="1"/>
    <s v="August"/>
    <s v="Loss"/>
    <n v="1.0100000000000051"/>
    <n v="14.261000000000003"/>
  </r>
  <r>
    <s v="2024-08-14"/>
    <n v="118.1"/>
    <x v="4662"/>
    <n v="117.63"/>
    <n v="118.95"/>
    <n v="12194520"/>
    <x v="9"/>
    <s v="Exxon Mobil"/>
    <x v="6"/>
    <n v="0.92500000000000004"/>
    <x v="19"/>
    <x v="1"/>
    <s v="August"/>
    <s v="Profit"/>
    <n v="2.2700000000000102"/>
    <n v="15.186000000000003"/>
  </r>
  <r>
    <s v="2024-08-15"/>
    <n v="118.25"/>
    <x v="4324"/>
    <n v="118.12"/>
    <n v="118.73"/>
    <n v="11579432"/>
    <x v="9"/>
    <s v="Exxon Mobil"/>
    <x v="6"/>
    <n v="-0.185"/>
    <x v="19"/>
    <x v="1"/>
    <s v="August"/>
    <s v="Loss"/>
    <n v="1.5099999999999909"/>
    <n v="15.001000000000003"/>
  </r>
  <r>
    <s v="2024-08-16"/>
    <n v="117.99"/>
    <x v="4663"/>
    <n v="117.66"/>
    <n v="118.17"/>
    <n v="10056024"/>
    <x v="9"/>
    <s v="Exxon Mobil"/>
    <x v="6"/>
    <n v="-0.47199999999999998"/>
    <x v="19"/>
    <x v="1"/>
    <s v="August"/>
    <s v="Loss"/>
    <n v="0.82000000000000739"/>
    <n v="14.529000000000003"/>
  </r>
  <r>
    <s v="2024-08-19"/>
    <n v="118.4"/>
    <x v="4468"/>
    <n v="118.17"/>
    <n v="118.53"/>
    <n v="12417467"/>
    <x v="9"/>
    <s v="Exxon Mobil"/>
    <x v="6"/>
    <n v="0.30499999999999999"/>
    <x v="19"/>
    <x v="1"/>
    <s v="August"/>
    <s v="Profit"/>
    <n v="2.3299999999999983"/>
    <n v="14.834000000000003"/>
  </r>
  <r>
    <s v="2024-08-20"/>
    <n v="118.65"/>
    <x v="4664"/>
    <n v="114.51"/>
    <n v="114.58"/>
    <n v="15631967"/>
    <x v="9"/>
    <s v="Exxon Mobil"/>
    <x v="6"/>
    <n v="-3.3319999999999999"/>
    <x v="19"/>
    <x v="1"/>
    <s v="August"/>
    <s v="Loss"/>
    <n v="4.1400000000000006"/>
    <n v="11.502000000000002"/>
  </r>
  <r>
    <s v="2024-08-21"/>
    <n v="115.01"/>
    <x v="4665"/>
    <n v="113.76"/>
    <n v="113.85"/>
    <n v="11752358"/>
    <x v="9"/>
    <s v="Exxon Mobil"/>
    <x v="6"/>
    <n v="-0.63700000000000001"/>
    <x v="19"/>
    <x v="1"/>
    <s v="August"/>
    <s v="Loss"/>
    <n v="1.8099999999999881"/>
    <n v="10.865000000000002"/>
  </r>
  <r>
    <s v="2024-08-22"/>
    <n v="113.78"/>
    <x v="4666"/>
    <n v="113.63500000000001"/>
    <n v="114.73"/>
    <n v="10609501"/>
    <x v="9"/>
    <s v="Exxon Mobil"/>
    <x v="6"/>
    <n v="0.77300000000000002"/>
    <x v="19"/>
    <x v="1"/>
    <s v="August"/>
    <s v="Profit"/>
    <n v="1.375"/>
    <n v="11.638000000000002"/>
  </r>
  <r>
    <s v="2024-08-23"/>
    <n v="115.02500000000001"/>
    <x v="4667"/>
    <n v="115.02500000000001"/>
    <n v="116.32"/>
    <n v="10381431"/>
    <x v="9"/>
    <s v="Exxon Mobil"/>
    <x v="6"/>
    <n v="1.3859999999999999"/>
    <x v="19"/>
    <x v="1"/>
    <s v="August"/>
    <s v="Profit"/>
    <n v="1.6949999999999932"/>
    <n v="13.024000000000001"/>
  </r>
  <r>
    <s v="2024-08-26"/>
    <n v="117.76"/>
    <x v="4668"/>
    <n v="116.92"/>
    <n v="118.81"/>
    <n v="13671016"/>
    <x v="9"/>
    <s v="Exxon Mobil"/>
    <x v="6"/>
    <n v="2.141"/>
    <x v="19"/>
    <x v="1"/>
    <s v="August"/>
    <s v="Profit"/>
    <n v="2.019999999999996"/>
    <n v="15.165000000000001"/>
  </r>
  <r>
    <s v="2024-08-27"/>
    <n v="118.96"/>
    <x v="4669"/>
    <n v="117.4"/>
    <n v="117.68"/>
    <n v="9991631"/>
    <x v="9"/>
    <s v="Exxon Mobil"/>
    <x v="6"/>
    <n v="-0.95099999999999996"/>
    <x v="19"/>
    <x v="1"/>
    <s v="August"/>
    <s v="Loss"/>
    <n v="2.0099999999999909"/>
    <n v="14.214"/>
  </r>
  <r>
    <s v="2024-08-28"/>
    <n v="117"/>
    <x v="4603"/>
    <n v="116.26"/>
    <n v="116.52"/>
    <n v="10742867"/>
    <x v="9"/>
    <s v="Exxon Mobil"/>
    <x v="6"/>
    <n v="-0.98599999999999999"/>
    <x v="19"/>
    <x v="1"/>
    <s v="August"/>
    <s v="Loss"/>
    <n v="1.3199999999999932"/>
    <n v="13.228"/>
  </r>
  <r>
    <s v="2024-08-29"/>
    <n v="117.2"/>
    <x v="4670"/>
    <n v="116.35"/>
    <n v="118.13"/>
    <n v="10753895"/>
    <x v="9"/>
    <s v="Exxon Mobil"/>
    <x v="6"/>
    <n v="1.3819999999999999"/>
    <x v="19"/>
    <x v="1"/>
    <s v="August"/>
    <s v="Profit"/>
    <n v="2.4400000000000119"/>
    <n v="14.61"/>
  </r>
  <r>
    <s v="2024-08-30"/>
    <n v="116.79"/>
    <x v="4464"/>
    <n v="116.29"/>
    <n v="117.94"/>
    <n v="13284689"/>
    <x v="9"/>
    <s v="Exxon Mobil"/>
    <x v="6"/>
    <n v="-0.161"/>
    <x v="19"/>
    <x v="1"/>
    <s v="August"/>
    <s v="Loss"/>
    <n v="1.7299999999999898"/>
    <n v="14.449"/>
  </r>
  <r>
    <s v="2024-09-03"/>
    <n v="115.84"/>
    <x v="4327"/>
    <n v="114.04"/>
    <n v="115.47"/>
    <n v="15725139"/>
    <x v="9"/>
    <s v="Exxon Mobil"/>
    <x v="6"/>
    <n v="-2.0939999999999999"/>
    <x v="20"/>
    <x v="1"/>
    <s v="September"/>
    <s v="Loss"/>
    <n v="2.0499999999999972"/>
    <n v="12.355"/>
  </r>
  <r>
    <s v="2024-09-04"/>
    <n v="115.29"/>
    <x v="4671"/>
    <n v="113.97499999999999"/>
    <n v="114.06"/>
    <n v="12620584"/>
    <x v="9"/>
    <s v="Exxon Mobil"/>
    <x v="6"/>
    <n v="-1.2210000000000001"/>
    <x v="20"/>
    <x v="1"/>
    <s v="September"/>
    <s v="Loss"/>
    <n v="2.1750000000000114"/>
    <n v="11.134"/>
  </r>
  <r>
    <s v="2024-09-05"/>
    <n v="115.07"/>
    <x v="4672"/>
    <n v="113.07"/>
    <n v="113.17"/>
    <n v="17200770"/>
    <x v="9"/>
    <s v="Exxon Mobil"/>
    <x v="6"/>
    <n v="-0.78"/>
    <x v="20"/>
    <x v="1"/>
    <s v="September"/>
    <s v="Loss"/>
    <n v="2.210000000000008"/>
    <n v="10.354000000000001"/>
  </r>
  <r>
    <s v="2024-09-06"/>
    <n v="113.59"/>
    <x v="4673"/>
    <n v="111.732"/>
    <n v="112.64"/>
    <n v="13467747"/>
    <x v="9"/>
    <s v="Exxon Mobil"/>
    <x v="6"/>
    <n v="-0.46800000000000003"/>
    <x v="20"/>
    <x v="1"/>
    <s v="September"/>
    <s v="Loss"/>
    <n v="2.4480000000000075"/>
    <n v="9.886000000000001"/>
  </r>
  <r>
    <s v="2024-09-09"/>
    <n v="112.87"/>
    <x v="4671"/>
    <n v="112.66"/>
    <n v="115.01"/>
    <n v="21645325"/>
    <x v="9"/>
    <s v="Exxon Mobil"/>
    <x v="6"/>
    <n v="2.1040000000000001"/>
    <x v="20"/>
    <x v="1"/>
    <s v="September"/>
    <s v="Profit"/>
    <n v="3.4900000000000091"/>
    <n v="11.990000000000002"/>
  </r>
  <r>
    <s v="2024-09-10"/>
    <n v="115.1"/>
    <x v="4674"/>
    <n v="110.17"/>
    <n v="110.82"/>
    <n v="20913405"/>
    <x v="9"/>
    <s v="Exxon Mobil"/>
    <x v="6"/>
    <n v="-3.6429999999999998"/>
    <x v="20"/>
    <x v="1"/>
    <s v="September"/>
    <s v="Loss"/>
    <n v="5.230000000000004"/>
    <n v="8.3470000000000013"/>
  </r>
  <r>
    <s v="2024-09-11"/>
    <n v="110.77500000000001"/>
    <x v="4675"/>
    <n v="107.77"/>
    <n v="109.72"/>
    <n v="19571945"/>
    <x v="9"/>
    <s v="Exxon Mobil"/>
    <x v="6"/>
    <n v="-0.99299999999999999"/>
    <x v="20"/>
    <x v="1"/>
    <s v="September"/>
    <s v="Loss"/>
    <n v="3.1800000000000068"/>
    <n v="7.354000000000001"/>
  </r>
  <r>
    <s v="2024-09-12"/>
    <n v="109.9"/>
    <x v="4676"/>
    <n v="109.761"/>
    <n v="111.23"/>
    <n v="15923318"/>
    <x v="9"/>
    <s v="Exxon Mobil"/>
    <x v="6"/>
    <n v="1.3759999999999999"/>
    <x v="20"/>
    <x v="1"/>
    <s v="September"/>
    <s v="Profit"/>
    <n v="1.5690000000000026"/>
    <n v="8.73"/>
  </r>
  <r>
    <s v="2024-09-13"/>
    <n v="111.47"/>
    <x v="4677"/>
    <n v="110.93"/>
    <n v="111.15"/>
    <n v="10035392"/>
    <x v="9"/>
    <s v="Exxon Mobil"/>
    <x v="6"/>
    <n v="-7.1999999999999995E-2"/>
    <x v="20"/>
    <x v="1"/>
    <s v="September"/>
    <s v="Loss"/>
    <n v="1.539999999999992"/>
    <n v="8.6580000000000013"/>
  </r>
  <r>
    <s v="2024-09-16"/>
    <n v="112.05"/>
    <x v="4678"/>
    <n v="111.69"/>
    <n v="112.71"/>
    <n v="11729034"/>
    <x v="9"/>
    <s v="Exxon Mobil"/>
    <x v="6"/>
    <n v="1.4039999999999999"/>
    <x v="20"/>
    <x v="1"/>
    <s v="September"/>
    <s v="Profit"/>
    <n v="1.394999999999996"/>
    <n v="10.062000000000001"/>
  </r>
  <r>
    <s v="2024-09-17"/>
    <n v="112.32"/>
    <x v="4679"/>
    <n v="112.12"/>
    <n v="114.18"/>
    <n v="12202556"/>
    <x v="9"/>
    <s v="Exxon Mobil"/>
    <x v="6"/>
    <n v="1.304"/>
    <x v="20"/>
    <x v="1"/>
    <s v="September"/>
    <s v="Profit"/>
    <n v="2.25"/>
    <n v="11.366000000000001"/>
  </r>
  <r>
    <s v="2024-09-18"/>
    <n v="114.11"/>
    <x v="4657"/>
    <n v="113.81"/>
    <n v="114.58"/>
    <n v="12569929"/>
    <x v="9"/>
    <s v="Exxon Mobil"/>
    <x v="6"/>
    <n v="0.35"/>
    <x v="20"/>
    <x v="1"/>
    <s v="September"/>
    <s v="Profit"/>
    <n v="1.8199999999999932"/>
    <n v="11.716000000000001"/>
  </r>
  <r>
    <s v="2024-09-19"/>
    <n v="116.16"/>
    <x v="4680"/>
    <n v="115.19"/>
    <n v="116"/>
    <n v="12660642"/>
    <x v="9"/>
    <s v="Exxon Mobil"/>
    <x v="6"/>
    <n v="1.2390000000000001"/>
    <x v="20"/>
    <x v="1"/>
    <s v="September"/>
    <s v="Profit"/>
    <n v="2.3850000000000051"/>
    <n v="12.955000000000002"/>
  </r>
  <r>
    <s v="2024-09-20"/>
    <n v="115.46"/>
    <x v="4681"/>
    <n v="114.25"/>
    <n v="115.27"/>
    <n v="36206195"/>
    <x v="9"/>
    <s v="Exxon Mobil"/>
    <x v="6"/>
    <n v="-0.629"/>
    <x v="20"/>
    <x v="1"/>
    <s v="September"/>
    <s v="Loss"/>
    <n v="1.2600000000000051"/>
    <n v="12.326000000000002"/>
  </r>
  <r>
    <s v="2024-09-23"/>
    <n v="115.33"/>
    <x v="4682"/>
    <n v="115.12"/>
    <n v="117.36"/>
    <n v="16066285"/>
    <x v="9"/>
    <s v="Exxon Mobil"/>
    <x v="6"/>
    <n v="1.8129999999999999"/>
    <x v="20"/>
    <x v="1"/>
    <s v="September"/>
    <s v="Profit"/>
    <n v="2.6730000000000018"/>
    <n v="14.139000000000003"/>
  </r>
  <r>
    <s v="2024-09-24"/>
    <n v="117.84"/>
    <x v="4683"/>
    <n v="116.83"/>
    <n v="117.05"/>
    <n v="11984863"/>
    <x v="9"/>
    <s v="Exxon Mobil"/>
    <x v="6"/>
    <n v="-0.26400000000000001"/>
    <x v="20"/>
    <x v="1"/>
    <s v="September"/>
    <s v="Loss"/>
    <n v="1.3299999999999983"/>
    <n v="13.875000000000004"/>
  </r>
  <r>
    <s v="2024-09-25"/>
    <n v="116.485"/>
    <x v="4684"/>
    <n v="114.04"/>
    <n v="114.77"/>
    <n v="13816041"/>
    <x v="9"/>
    <s v="Exxon Mobil"/>
    <x v="6"/>
    <n v="-1.948"/>
    <x v="20"/>
    <x v="1"/>
    <s v="September"/>
    <s v="Loss"/>
    <n v="3.0099999999999909"/>
    <n v="11.927000000000003"/>
  </r>
  <r>
    <s v="2024-09-26"/>
    <n v="111.14"/>
    <x v="4685"/>
    <n v="111.14"/>
    <n v="112.8"/>
    <n v="16887908"/>
    <x v="9"/>
    <s v="Exxon Mobil"/>
    <x v="6"/>
    <n v="-1.716"/>
    <x v="20"/>
    <x v="1"/>
    <s v="September"/>
    <s v="Loss"/>
    <n v="2.3400000000000034"/>
    <n v="10.211000000000004"/>
  </r>
  <r>
    <s v="2024-09-27"/>
    <n v="113.76"/>
    <x v="4327"/>
    <n v="113.25"/>
    <n v="115.82"/>
    <n v="15963973"/>
    <x v="9"/>
    <s v="Exxon Mobil"/>
    <x v="6"/>
    <n v="2.677"/>
    <x v="20"/>
    <x v="1"/>
    <s v="September"/>
    <s v="Profit"/>
    <n v="2.8400000000000034"/>
    <n v="12.888000000000003"/>
  </r>
  <r>
    <s v="2024-09-30"/>
    <n v="115.46"/>
    <x v="4651"/>
    <n v="114.96"/>
    <n v="117.22"/>
    <n v="13250657"/>
    <x v="9"/>
    <s v="Exxon Mobil"/>
    <x v="6"/>
    <n v="1.2090000000000001"/>
    <x v="20"/>
    <x v="1"/>
    <s v="September"/>
    <s v="Profit"/>
    <n v="2.4300000000000068"/>
    <n v="14.097000000000003"/>
  </r>
  <r>
    <s v="2024-10-01"/>
    <n v="116.04"/>
    <x v="4686"/>
    <n v="115.93"/>
    <n v="119.93"/>
    <n v="23235878"/>
    <x v="9"/>
    <s v="Exxon Mobil"/>
    <x v="6"/>
    <n v="2.3119999999999998"/>
    <x v="21"/>
    <x v="1"/>
    <s v="October"/>
    <s v="Profit"/>
    <n v="4.6699999999999875"/>
    <n v="16.409000000000002"/>
  </r>
  <r>
    <s v="2024-10-02"/>
    <n v="121.93"/>
    <x v="4687"/>
    <n v="120.2"/>
    <n v="121.52"/>
    <n v="17129676"/>
    <x v="9"/>
    <s v="Exxon Mobil"/>
    <x v="6"/>
    <n v="1.3260000000000001"/>
    <x v="21"/>
    <x v="1"/>
    <s v="October"/>
    <s v="Profit"/>
    <n v="2.6199999999999903"/>
    <n v="17.735000000000003"/>
  </r>
  <r>
    <s v="2024-10-03"/>
    <n v="121.9"/>
    <x v="4688"/>
    <n v="120.929"/>
    <n v="122.58"/>
    <n v="16524334"/>
    <x v="9"/>
    <s v="Exxon Mobil"/>
    <x v="6"/>
    <n v="0.872"/>
    <x v="21"/>
    <x v="1"/>
    <s v="October"/>
    <s v="Profit"/>
    <n v="2.2409999999999997"/>
    <n v="18.607000000000003"/>
  </r>
  <r>
    <s v="2024-10-04"/>
    <n v="123.2"/>
    <x v="4689"/>
    <n v="122.43"/>
    <n v="124.83"/>
    <n v="19759207"/>
    <x v="9"/>
    <s v="Exxon Mobil"/>
    <x v="6"/>
    <n v="1.8360000000000001"/>
    <x v="21"/>
    <x v="1"/>
    <s v="October"/>
    <s v="Profit"/>
    <n v="2.7599999999999909"/>
    <n v="20.443000000000001"/>
  </r>
  <r>
    <s v="2024-10-07"/>
    <n v="125.25"/>
    <x v="695"/>
    <n v="124.86"/>
    <n v="125.37"/>
    <n v="15714440"/>
    <x v="9"/>
    <s v="Exxon Mobil"/>
    <x v="6"/>
    <n v="0.433"/>
    <x v="21"/>
    <x v="1"/>
    <s v="October"/>
    <s v="Profit"/>
    <n v="1.480000000000004"/>
    <n v="20.876000000000001"/>
  </r>
  <r>
    <s v="2024-10-08"/>
    <n v="123.88"/>
    <x v="4690"/>
    <n v="121.26"/>
    <n v="122.04"/>
    <n v="14818475"/>
    <x v="9"/>
    <s v="Exxon Mobil"/>
    <x v="6"/>
    <n v="-2.6560000000000001"/>
    <x v="21"/>
    <x v="1"/>
    <s v="October"/>
    <s v="Loss"/>
    <n v="2.7599999999999909"/>
    <n v="18.220000000000002"/>
  </r>
  <r>
    <s v="2024-10-09"/>
    <n v="120.9"/>
    <x v="4691"/>
    <n v="120.8"/>
    <n v="122.09"/>
    <n v="11144864"/>
    <x v="9"/>
    <s v="Exxon Mobil"/>
    <x v="6"/>
    <n v="4.1000000000000002E-2"/>
    <x v="21"/>
    <x v="1"/>
    <s v="October"/>
    <s v="Profit"/>
    <n v="1.7800000000000011"/>
    <n v="18.261000000000003"/>
  </r>
  <r>
    <s v="2024-10-10"/>
    <n v="123.16"/>
    <x v="4692"/>
    <n v="122.29"/>
    <n v="123.14"/>
    <n v="10243320"/>
    <x v="9"/>
    <s v="Exxon Mobil"/>
    <x v="6"/>
    <n v="0.86"/>
    <x v="21"/>
    <x v="1"/>
    <s v="October"/>
    <s v="Profit"/>
    <n v="1.4109999999999872"/>
    <n v="19.121000000000002"/>
  </r>
  <r>
    <s v="2024-10-11"/>
    <n v="123.1"/>
    <x v="4693"/>
    <n v="122.94"/>
    <n v="123.61"/>
    <n v="8294839"/>
    <x v="9"/>
    <s v="Exxon Mobil"/>
    <x v="6"/>
    <n v="0.38200000000000001"/>
    <x v="21"/>
    <x v="1"/>
    <s v="October"/>
    <s v="Profit"/>
    <n v="1.0940000000000083"/>
    <n v="19.503000000000004"/>
  </r>
  <r>
    <s v="2024-10-14"/>
    <n v="123.24"/>
    <x v="4694"/>
    <n v="122.61499999999999"/>
    <n v="124.08"/>
    <n v="9808122"/>
    <x v="9"/>
    <s v="Exxon Mobil"/>
    <x v="6"/>
    <n v="0.38"/>
    <x v="21"/>
    <x v="1"/>
    <s v="October"/>
    <s v="Profit"/>
    <n v="1.6450000000000102"/>
    <n v="19.883000000000003"/>
  </r>
  <r>
    <s v="2024-10-15"/>
    <n v="120.82"/>
    <x v="4695"/>
    <n v="119.78"/>
    <n v="120.35"/>
    <n v="15771317"/>
    <x v="9"/>
    <s v="Exxon Mobil"/>
    <x v="6"/>
    <n v="-3.0059999999999998"/>
    <x v="21"/>
    <x v="1"/>
    <s v="October"/>
    <s v="Loss"/>
    <n v="2.1700000000000017"/>
    <n v="16.877000000000002"/>
  </r>
  <r>
    <s v="2024-10-16"/>
    <n v="121.02"/>
    <x v="4696"/>
    <n v="120.6"/>
    <n v="120.66"/>
    <n v="8426770"/>
    <x v="9"/>
    <s v="Exxon Mobil"/>
    <x v="6"/>
    <n v="0.25800000000000001"/>
    <x v="21"/>
    <x v="1"/>
    <s v="October"/>
    <s v="Profit"/>
    <n v="0.83500000000000796"/>
    <n v="17.135000000000002"/>
  </r>
  <r>
    <s v="2024-10-17"/>
    <n v="120.76"/>
    <x v="4697"/>
    <n v="119.71"/>
    <n v="120.35"/>
    <n v="11204857"/>
    <x v="9"/>
    <s v="Exxon Mobil"/>
    <x v="6"/>
    <n v="-0.25700000000000001"/>
    <x v="21"/>
    <x v="1"/>
    <s v="October"/>
    <s v="Loss"/>
    <n v="1.8700000000000045"/>
    <n v="16.878"/>
  </r>
  <r>
    <s v="2024-10-18"/>
    <n v="120.44"/>
    <x v="4698"/>
    <n v="119.15"/>
    <n v="120.01"/>
    <n v="12898640"/>
    <x v="9"/>
    <s v="Exxon Mobil"/>
    <x v="6"/>
    <n v="-0.28299999999999997"/>
    <x v="21"/>
    <x v="1"/>
    <s v="October"/>
    <s v="Loss"/>
    <n v="1.4899999999999949"/>
    <n v="16.594999999999999"/>
  </r>
  <r>
    <s v="2024-10-21"/>
    <n v="120.98"/>
    <x v="4699"/>
    <n v="119.72"/>
    <n v="120.08"/>
    <n v="10177777"/>
    <x v="9"/>
    <s v="Exxon Mobil"/>
    <x v="6"/>
    <n v="5.8000000000000003E-2"/>
    <x v="21"/>
    <x v="1"/>
    <s v="October"/>
    <s v="Profit"/>
    <n v="1.7600000000000051"/>
    <n v="16.652999999999999"/>
  </r>
  <r>
    <s v="2024-10-22"/>
    <n v="120.26"/>
    <x v="4700"/>
    <n v="119.94"/>
    <n v="120.7"/>
    <n v="9201408"/>
    <x v="9"/>
    <s v="Exxon Mobil"/>
    <x v="6"/>
    <n v="0.51600000000000001"/>
    <x v="21"/>
    <x v="1"/>
    <s v="October"/>
    <s v="Profit"/>
    <n v="1.25"/>
    <n v="17.168999999999997"/>
  </r>
  <r>
    <s v="2024-10-23"/>
    <n v="119.97"/>
    <x v="4701"/>
    <n v="119.4"/>
    <n v="120.27"/>
    <n v="8320330"/>
    <x v="9"/>
    <s v="Exxon Mobil"/>
    <x v="6"/>
    <n v="-0.35599999999999998"/>
    <x v="21"/>
    <x v="1"/>
    <s v="October"/>
    <s v="Loss"/>
    <n v="1.3499999999999943"/>
    <n v="16.812999999999995"/>
  </r>
  <r>
    <s v="2024-10-24"/>
    <n v="120"/>
    <x v="4702"/>
    <n v="119.125"/>
    <n v="119.59"/>
    <n v="9905556"/>
    <x v="9"/>
    <s v="Exxon Mobil"/>
    <x v="6"/>
    <n v="-0.56499999999999995"/>
    <x v="21"/>
    <x v="1"/>
    <s v="October"/>
    <s v="Loss"/>
    <n v="1.3149999999999977"/>
    <n v="16.247999999999994"/>
  </r>
  <r>
    <s v="2024-10-25"/>
    <n v="120.2"/>
    <x v="4703"/>
    <n v="119.315"/>
    <n v="119.49"/>
    <n v="10714583"/>
    <x v="9"/>
    <s v="Exxon Mobil"/>
    <x v="6"/>
    <n v="-8.4000000000000005E-2"/>
    <x v="21"/>
    <x v="1"/>
    <s v="October"/>
    <s v="Loss"/>
    <n v="1.1150000000000091"/>
    <n v="16.163999999999994"/>
  </r>
  <r>
    <s v="2024-10-28"/>
    <n v="116.79"/>
    <x v="4704"/>
    <n v="116.77"/>
    <n v="118.9"/>
    <n v="11844545"/>
    <x v="9"/>
    <s v="Exxon Mobil"/>
    <x v="6"/>
    <n v="-0.49399999999999999"/>
    <x v="21"/>
    <x v="1"/>
    <s v="October"/>
    <s v="Loss"/>
    <n v="2.2400000000000091"/>
    <n v="15.669999999999995"/>
  </r>
  <r>
    <s v="2024-10-29"/>
    <n v="118.58"/>
    <x v="4705"/>
    <n v="117.07"/>
    <n v="117.28"/>
    <n v="14731024"/>
    <x v="9"/>
    <s v="Exxon Mobil"/>
    <x v="6"/>
    <n v="-1.3620000000000001"/>
    <x v="21"/>
    <x v="1"/>
    <s v="October"/>
    <s v="Loss"/>
    <n v="2.1020000000000039"/>
    <n v="14.307999999999995"/>
  </r>
  <r>
    <s v="2024-10-30"/>
    <n v="117.62"/>
    <x v="4706"/>
    <n v="116.48"/>
    <n v="116.69"/>
    <n v="12303738"/>
    <x v="9"/>
    <s v="Exxon Mobil"/>
    <x v="6"/>
    <n v="-0.503"/>
    <x v="21"/>
    <x v="1"/>
    <s v="October"/>
    <s v="Loss"/>
    <n v="1.789999999999992"/>
    <n v="13.804999999999994"/>
  </r>
  <r>
    <s v="2024-10-31"/>
    <n v="117.15"/>
    <x v="4707"/>
    <n v="116.68"/>
    <n v="116.78"/>
    <n v="20511977"/>
    <x v="9"/>
    <s v="Exxon Mobil"/>
    <x v="6"/>
    <n v="7.6999999999999999E-2"/>
    <x v="21"/>
    <x v="1"/>
    <s v="October"/>
    <s v="Profit"/>
    <n v="1.9899999999999949"/>
    <n v="13.881999999999994"/>
  </r>
  <r>
    <s v="2024-11-01"/>
    <n v="119.93"/>
    <x v="4708"/>
    <n v="114.84"/>
    <n v="114.95"/>
    <n v="20939321"/>
    <x v="9"/>
    <s v="Exxon Mobil"/>
    <x v="6"/>
    <n v="-1.5669999999999999"/>
    <x v="22"/>
    <x v="1"/>
    <s v="November"/>
    <s v="Loss"/>
    <n v="5.1099999999999994"/>
    <n v="12.314999999999994"/>
  </r>
  <r>
    <s v="2024-11-04"/>
    <n v="116.13"/>
    <x v="4709"/>
    <n v="115.93"/>
    <n v="118.61"/>
    <n v="14965433"/>
    <x v="9"/>
    <s v="Exxon Mobil"/>
    <x v="6"/>
    <n v="3.1840000000000002"/>
    <x v="22"/>
    <x v="1"/>
    <s v="November"/>
    <s v="Profit"/>
    <n v="2.769999999999996"/>
    <n v="15.498999999999995"/>
  </r>
  <r>
    <s v="2024-11-05"/>
    <n v="119.08"/>
    <x v="4710"/>
    <n v="118.01"/>
    <n v="118.96"/>
    <n v="10436744"/>
    <x v="9"/>
    <s v="Exxon Mobil"/>
    <x v="6"/>
    <n v="0.29499999999999998"/>
    <x v="22"/>
    <x v="1"/>
    <s v="November"/>
    <s v="Profit"/>
    <n v="1.1999999999999886"/>
    <n v="15.793999999999995"/>
  </r>
  <r>
    <s v="2024-11-06"/>
    <n v="121.145"/>
    <x v="4711"/>
    <n v="119.3"/>
    <n v="121"/>
    <n v="20807681"/>
    <x v="9"/>
    <s v="Exxon Mobil"/>
    <x v="6"/>
    <n v="1.7150000000000001"/>
    <x v="22"/>
    <x v="1"/>
    <s v="November"/>
    <s v="Profit"/>
    <n v="2.6099999999999994"/>
    <n v="17.508999999999997"/>
  </r>
  <r>
    <s v="2024-11-07"/>
    <n v="121.3"/>
    <x v="595"/>
    <n v="119.61"/>
    <n v="121.15"/>
    <n v="12184431"/>
    <x v="9"/>
    <s v="Exxon Mobil"/>
    <x v="6"/>
    <n v="0.124"/>
    <x v="22"/>
    <x v="1"/>
    <s v="November"/>
    <s v="Profit"/>
    <n v="1.8900000000000006"/>
    <n v="17.632999999999996"/>
  </r>
  <r>
    <s v="2024-11-08"/>
    <n v="120.98"/>
    <x v="4712"/>
    <n v="119.66"/>
    <n v="121.11"/>
    <n v="12835969"/>
    <x v="9"/>
    <s v="Exxon Mobil"/>
    <x v="6"/>
    <n v="-3.3000000000000002E-2"/>
    <x v="22"/>
    <x v="1"/>
    <s v="November"/>
    <s v="Loss"/>
    <n v="1.7600000000000051"/>
    <n v="17.599999999999994"/>
  </r>
  <r>
    <s v="2024-11-11"/>
    <n v="121"/>
    <x v="4713"/>
    <n v="120.07"/>
    <n v="120.47"/>
    <n v="11969663"/>
    <x v="9"/>
    <s v="Exxon Mobil"/>
    <x v="6"/>
    <n v="-0.52800000000000002"/>
    <x v="22"/>
    <x v="1"/>
    <s v="November"/>
    <s v="Loss"/>
    <n v="1.5500000000000114"/>
    <n v="17.071999999999996"/>
  </r>
  <r>
    <s v="2024-11-12"/>
    <n v="121.13"/>
    <x v="4714"/>
    <n v="119.837"/>
    <n v="120.35"/>
    <n v="11972802"/>
    <x v="9"/>
    <s v="Exxon Mobil"/>
    <x v="6"/>
    <n v="-0.1"/>
    <x v="22"/>
    <x v="1"/>
    <s v="November"/>
    <s v="Loss"/>
    <n v="1.472999999999999"/>
    <n v="16.971999999999994"/>
  </r>
  <r>
    <s v="2024-11-13"/>
    <n v="120.565"/>
    <x v="4715"/>
    <n v="118.8"/>
    <n v="121.47"/>
    <n v="15127877"/>
    <x v="9"/>
    <s v="Exxon Mobil"/>
    <x v="6"/>
    <n v="0.93100000000000005"/>
    <x v="22"/>
    <x v="1"/>
    <s v="November"/>
    <s v="Profit"/>
    <n v="3.25"/>
    <n v="17.902999999999995"/>
  </r>
  <r>
    <s v="2024-11-14"/>
    <n v="121.5"/>
    <x v="4716"/>
    <n v="120.33"/>
    <n v="120.56"/>
    <n v="13041845"/>
    <x v="9"/>
    <s v="Exxon Mobil"/>
    <x v="6"/>
    <n v="-0.749"/>
    <x v="22"/>
    <x v="1"/>
    <s v="November"/>
    <s v="Loss"/>
    <n v="1.5499999999999972"/>
    <n v="17.153999999999996"/>
  </r>
  <r>
    <s v="2024-11-15"/>
    <n v="120.4"/>
    <x v="4717"/>
    <n v="119.13"/>
    <n v="119.31"/>
    <n v="19051713"/>
    <x v="9"/>
    <s v="Exxon Mobil"/>
    <x v="6"/>
    <n v="-1.0369999999999999"/>
    <x v="22"/>
    <x v="1"/>
    <s v="November"/>
    <s v="Loss"/>
    <n v="2.1099999999999994"/>
    <n v="16.116999999999997"/>
  </r>
  <r>
    <s v="2024-11-18"/>
    <n v="119.79"/>
    <x v="4718"/>
    <n v="119.27"/>
    <n v="120.31"/>
    <n v="14243701"/>
    <x v="9"/>
    <s v="Exxon Mobil"/>
    <x v="6"/>
    <n v="0.83799999999999997"/>
    <x v="22"/>
    <x v="1"/>
    <s v="November"/>
    <s v="Profit"/>
    <n v="1.3500000000000085"/>
    <n v="16.954999999999998"/>
  </r>
  <r>
    <s v="2024-11-19"/>
    <n v="119.75"/>
    <x v="4719"/>
    <n v="118.2"/>
    <n v="118.63"/>
    <n v="11584382"/>
    <x v="9"/>
    <s v="Exxon Mobil"/>
    <x v="6"/>
    <n v="-1.3959999999999999"/>
    <x v="22"/>
    <x v="1"/>
    <s v="November"/>
    <s v="Loss"/>
    <n v="1.5499999999999972"/>
    <n v="15.558999999999997"/>
  </r>
  <r>
    <s v="2024-11-20"/>
    <n v="119.17"/>
    <x v="4720"/>
    <n v="118.64"/>
    <n v="120.32"/>
    <n v="11360932"/>
    <x v="9"/>
    <s v="Exxon Mobil"/>
    <x v="6"/>
    <n v="1.425"/>
    <x v="22"/>
    <x v="1"/>
    <s v="November"/>
    <s v="Profit"/>
    <n v="1.8299999999999983"/>
    <n v="16.983999999999998"/>
  </r>
  <r>
    <s v="2024-11-21"/>
    <n v="121.08"/>
    <x v="4721"/>
    <n v="120.27"/>
    <n v="121.93"/>
    <n v="14675422"/>
    <x v="9"/>
    <s v="Exxon Mobil"/>
    <x v="6"/>
    <n v="1.3380000000000001"/>
    <x v="22"/>
    <x v="1"/>
    <s v="November"/>
    <s v="Profit"/>
    <n v="2.2850000000000108"/>
    <n v="18.321999999999999"/>
  </r>
  <r>
    <s v="2024-11-22"/>
    <n v="121.82"/>
    <x v="4722"/>
    <n v="121.64"/>
    <n v="121.79"/>
    <n v="13323431"/>
    <x v="9"/>
    <s v="Exxon Mobil"/>
    <x v="6"/>
    <n v="-0.115"/>
    <x v="22"/>
    <x v="1"/>
    <s v="November"/>
    <s v="Loss"/>
    <n v="1.5699999999999932"/>
    <n v="18.207000000000001"/>
  </r>
  <r>
    <s v="2024-11-25"/>
    <n v="121.43"/>
    <x v="4716"/>
    <n v="119.61"/>
    <n v="119.97"/>
    <n v="26580295"/>
    <x v="9"/>
    <s v="Exxon Mobil"/>
    <x v="6"/>
    <n v="-1.494"/>
    <x v="22"/>
    <x v="1"/>
    <s v="November"/>
    <s v="Loss"/>
    <n v="2.269999999999996"/>
    <n v="16.713000000000001"/>
  </r>
  <r>
    <s v="2024-11-26"/>
    <n v="119.53"/>
    <x v="4723"/>
    <n v="117.845"/>
    <n v="117.97"/>
    <n v="14827327"/>
    <x v="9"/>
    <s v="Exxon Mobil"/>
    <x v="6"/>
    <n v="-1.667"/>
    <x v="22"/>
    <x v="1"/>
    <s v="November"/>
    <s v="Loss"/>
    <n v="1.835000000000008"/>
    <n v="15.046000000000001"/>
  </r>
  <r>
    <s v="2024-11-27"/>
    <n v="118.09"/>
    <x v="4724"/>
    <n v="117.43"/>
    <n v="117.66"/>
    <n v="11079122"/>
    <x v="9"/>
    <s v="Exxon Mobil"/>
    <x v="6"/>
    <n v="-0.26300000000000001"/>
    <x v="22"/>
    <x v="1"/>
    <s v="November"/>
    <s v="Loss"/>
    <n v="1.2999999999999972"/>
    <n v="14.783000000000001"/>
  </r>
  <r>
    <s v="2024-11-29"/>
    <n v="117.44"/>
    <x v="4725"/>
    <n v="116.95"/>
    <n v="117.96"/>
    <n v="9426499"/>
    <x v="9"/>
    <s v="Exxon Mobil"/>
    <x v="6"/>
    <n v="0.255"/>
    <x v="22"/>
    <x v="1"/>
    <s v="November"/>
    <s v="Profit"/>
    <n v="1.5499999999999972"/>
    <n v="15.038000000000002"/>
  </r>
  <r>
    <s v="2024-12-02"/>
    <n v="118.05"/>
    <x v="4726"/>
    <n v="116.82"/>
    <n v="117.85"/>
    <n v="12687317"/>
    <x v="9"/>
    <s v="Exxon Mobil"/>
    <x v="6"/>
    <n v="-9.2999999999999999E-2"/>
    <x v="23"/>
    <x v="1"/>
    <s v="December"/>
    <s v="Loss"/>
    <n v="1.3800000000000097"/>
    <n v="14.945000000000002"/>
  </r>
  <r>
    <s v="2024-12-03"/>
    <n v="118.72"/>
    <x v="4727"/>
    <n v="117.255"/>
    <n v="117.67"/>
    <n v="11756566"/>
    <x v="9"/>
    <s v="Exxon Mobil"/>
    <x v="6"/>
    <n v="-0.153"/>
    <x v="23"/>
    <x v="1"/>
    <s v="December"/>
    <s v="Loss"/>
    <n v="1.4650000000000034"/>
    <n v="14.792000000000002"/>
  </r>
  <r>
    <s v="2024-12-04"/>
    <n v="117.5"/>
    <x v="4728"/>
    <n v="113.861"/>
    <n v="114.28"/>
    <n v="19520583"/>
    <x v="9"/>
    <s v="Exxon Mobil"/>
    <x v="6"/>
    <n v="-2.8809999999999998"/>
    <x v="23"/>
    <x v="1"/>
    <s v="December"/>
    <s v="Loss"/>
    <n v="3.688999999999993"/>
    <n v="11.911000000000001"/>
  </r>
  <r>
    <s v="2024-12-05"/>
    <n v="114.71"/>
    <x v="4729"/>
    <n v="114.06"/>
    <n v="114.78"/>
    <n v="15751204"/>
    <x v="9"/>
    <s v="Exxon Mobil"/>
    <x v="6"/>
    <n v="0.438"/>
    <x v="23"/>
    <x v="1"/>
    <s v="December"/>
    <s v="Profit"/>
    <n v="1.5600000000000023"/>
    <n v="12.349000000000002"/>
  </r>
  <r>
    <s v="2024-12-06"/>
    <n v="114.54"/>
    <x v="4730"/>
    <n v="113.5"/>
    <n v="113.57"/>
    <n v="16171066"/>
    <x v="9"/>
    <s v="Exxon Mobil"/>
    <x v="6"/>
    <n v="-1.054"/>
    <x v="23"/>
    <x v="1"/>
    <s v="December"/>
    <s v="Loss"/>
    <n v="1.269999999999996"/>
    <n v="11.295000000000002"/>
  </r>
  <r>
    <s v="2024-12-09"/>
    <n v="114.64"/>
    <x v="4731"/>
    <n v="112.745"/>
    <n v="112.9"/>
    <n v="17412565"/>
    <x v="9"/>
    <s v="Exxon Mobil"/>
    <x v="6"/>
    <n v="-0.59"/>
    <x v="23"/>
    <x v="1"/>
    <s v="December"/>
    <s v="Loss"/>
    <n v="2.1949999999999932"/>
    <n v="10.705000000000002"/>
  </r>
  <r>
    <s v="2024-12-10"/>
    <n v="113.58499999999999"/>
    <x v="4732"/>
    <n v="111.75"/>
    <n v="112.67"/>
    <n v="20990943"/>
    <x v="9"/>
    <s v="Exxon Mobil"/>
    <x v="6"/>
    <n v="-0.20399999999999999"/>
    <x v="23"/>
    <x v="1"/>
    <s v="December"/>
    <s v="Loss"/>
    <n v="2.1299999999999955"/>
    <n v="10.501000000000001"/>
  </r>
  <r>
    <s v="2024-12-11"/>
    <n v="112"/>
    <x v="4733"/>
    <n v="111.11"/>
    <n v="111.92"/>
    <n v="32392238"/>
    <x v="9"/>
    <s v="Exxon Mobil"/>
    <x v="6"/>
    <n v="-0.66600000000000004"/>
    <x v="23"/>
    <x v="1"/>
    <s v="December"/>
    <s v="Loss"/>
    <n v="1.2800000000000011"/>
    <n v="9.8350000000000009"/>
  </r>
  <r>
    <s v="2024-12-12"/>
    <n v="111.59"/>
    <x v="4330"/>
    <n v="110.78"/>
    <n v="111.82"/>
    <n v="14543256"/>
    <x v="9"/>
    <s v="Exxon Mobil"/>
    <x v="6"/>
    <n v="-8.8999999999999996E-2"/>
    <x v="23"/>
    <x v="1"/>
    <s v="December"/>
    <s v="Loss"/>
    <n v="1.5999999999999943"/>
    <n v="9.7460000000000004"/>
  </r>
  <r>
    <s v="2024-12-13"/>
    <n v="111.899"/>
    <x v="4734"/>
    <n v="110.25"/>
    <n v="110.84"/>
    <n v="13106079"/>
    <x v="9"/>
    <s v="Exxon Mobil"/>
    <x v="6"/>
    <n v="-0.876"/>
    <x v="23"/>
    <x v="1"/>
    <s v="December"/>
    <s v="Loss"/>
    <n v="1.6490000000000009"/>
    <n v="8.870000000000001"/>
  </r>
  <r>
    <s v="2024-12-16"/>
    <n v="110.2"/>
    <x v="4735"/>
    <n v="108.16"/>
    <n v="108.47"/>
    <n v="20256088"/>
    <x v="9"/>
    <s v="Exxon Mobil"/>
    <x v="6"/>
    <n v="-2.1379999999999999"/>
    <x v="23"/>
    <x v="1"/>
    <s v="December"/>
    <s v="Loss"/>
    <n v="2.2400000000000091"/>
    <n v="6.7320000000000011"/>
  </r>
  <r>
    <s v="2024-12-17"/>
    <n v="107.235"/>
    <x v="4736"/>
    <n v="106.78700000000001"/>
    <n v="108.01"/>
    <n v="17553995"/>
    <x v="9"/>
    <s v="Exxon Mobil"/>
    <x v="6"/>
    <n v="-0.42399999999999999"/>
    <x v="23"/>
    <x v="1"/>
    <s v="December"/>
    <s v="Loss"/>
    <n v="1.3829999999999956"/>
    <n v="6.3080000000000007"/>
  </r>
  <r>
    <s v="2024-12-18"/>
    <n v="107.57"/>
    <x v="4737"/>
    <n v="106.31"/>
    <n v="106.42"/>
    <n v="17114542"/>
    <x v="9"/>
    <s v="Exxon Mobil"/>
    <x v="6"/>
    <n v="-1.472"/>
    <x v="23"/>
    <x v="1"/>
    <s v="December"/>
    <s v="Loss"/>
    <n v="2.519999999999996"/>
    <n v="4.8360000000000003"/>
  </r>
  <r>
    <s v="2024-12-19"/>
    <n v="107.39"/>
    <x v="4738"/>
    <n v="105.21"/>
    <n v="105.51"/>
    <n v="20565557"/>
    <x v="9"/>
    <s v="Exxon Mobil"/>
    <x v="6"/>
    <n v="-0.85499999999999998"/>
    <x v="23"/>
    <x v="1"/>
    <s v="December"/>
    <s v="Loss"/>
    <n v="2.460000000000008"/>
    <n v="3.9810000000000003"/>
  </r>
  <r>
    <s v="2024-12-20"/>
    <n v="105.45"/>
    <x v="4739"/>
    <n v="104.84"/>
    <n v="105.87"/>
    <n v="40141153"/>
    <x v="9"/>
    <s v="Exxon Mobil"/>
    <x v="6"/>
    <n v="0.34100000000000003"/>
    <x v="23"/>
    <x v="1"/>
    <s v="December"/>
    <s v="Profit"/>
    <n v="1.2950000000000017"/>
    <n v="4.3220000000000001"/>
  </r>
  <r>
    <s v="2024-12-23"/>
    <n v="105.31"/>
    <x v="4740"/>
    <n v="104.92"/>
    <n v="106.3"/>
    <n v="12285078"/>
    <x v="9"/>
    <s v="Exxon Mobil"/>
    <x v="6"/>
    <n v="0.40600000000000003"/>
    <x v="23"/>
    <x v="1"/>
    <s v="December"/>
    <s v="Profit"/>
    <n v="1.6799999999999926"/>
    <n v="4.7279999999999998"/>
  </r>
  <r>
    <s v="2024-12-24"/>
    <n v="106.52"/>
    <x v="4398"/>
    <n v="105.7"/>
    <n v="106.4"/>
    <n v="7806997"/>
    <x v="9"/>
    <s v="Exxon Mobil"/>
    <x v="6"/>
    <n v="9.4E-2"/>
    <x v="23"/>
    <x v="1"/>
    <s v="December"/>
    <s v="Profit"/>
    <n v="1.4899999999999949"/>
    <n v="4.8220000000000001"/>
  </r>
  <r>
    <s v="2024-12-26"/>
    <n v="106.52"/>
    <x v="4406"/>
    <n v="105.94"/>
    <n v="106.49"/>
    <n v="9653408"/>
    <x v="9"/>
    <s v="Exxon Mobil"/>
    <x v="6"/>
    <n v="8.5000000000000006E-2"/>
    <x v="23"/>
    <x v="1"/>
    <s v="December"/>
    <s v="Profit"/>
    <n v="1.0900000000000034"/>
    <n v="4.907"/>
  </r>
  <r>
    <s v="2024-12-27"/>
    <n v="106.3"/>
    <x v="4741"/>
    <n v="105.77"/>
    <n v="106.48"/>
    <n v="11943906"/>
    <x v="9"/>
    <s v="Exxon Mobil"/>
    <x v="6"/>
    <n v="-8.9999999999999993E-3"/>
    <x v="23"/>
    <x v="1"/>
    <s v="December"/>
    <s v="Loss"/>
    <n v="2.2199999999999989"/>
    <n v="4.8979999999999997"/>
  </r>
  <r>
    <s v="2024-12-30"/>
    <n v="106.3"/>
    <x v="4742"/>
    <n v="105.51"/>
    <n v="105.76"/>
    <n v="11080770"/>
    <x v="9"/>
    <s v="Exxon Mobil"/>
    <x v="6"/>
    <n v="-0.67600000000000005"/>
    <x v="23"/>
    <x v="1"/>
    <s v="December"/>
    <s v="Loss"/>
    <n v="1.0499999999999972"/>
    <n v="4.2219999999999995"/>
  </r>
  <r>
    <s v="2024-12-31"/>
    <n v="106.17"/>
    <x v="4743"/>
    <n v="105.78"/>
    <n v="107.57"/>
    <n v="12387756"/>
    <x v="9"/>
    <s v="Exxon Mobil"/>
    <x v="6"/>
    <n v="1.7110000000000001"/>
    <x v="23"/>
    <x v="1"/>
    <s v="December"/>
    <s v="Profit"/>
    <n v="2.1200000000000045"/>
    <n v="5.932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048D2-F055-420A-9DBC-6D208DAAC8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7" firstHeaderRow="1" firstDataRow="1" firstDataCol="1"/>
  <pivotFields count="16">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axis="axisRow" showAll="0">
      <items count="8">
        <item x="4"/>
        <item x="3"/>
        <item x="1"/>
        <item x="6"/>
        <item x="2"/>
        <item x="5"/>
        <item x="0"/>
        <item t="default"/>
      </items>
    </pivotField>
    <pivotField dataField="1" showAll="0"/>
    <pivotField showAll="0"/>
    <pivotField showAll="0">
      <items count="3">
        <item x="0"/>
        <item x="1"/>
        <item t="default"/>
      </items>
    </pivotField>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Average of Daily_Return_%" fld="9" subtotal="average" baseField="8" baseItem="0"/>
  </dataFields>
  <formats count="1">
    <format dxfId="48">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8" count="1" selected="0">
            <x v="0"/>
          </reference>
        </references>
      </pivotArea>
    </chartFormat>
    <chartFormat chart="9" format="27">
      <pivotArea type="data" outline="0" fieldPosition="0">
        <references count="2">
          <reference field="4294967294" count="1" selected="0">
            <x v="0"/>
          </reference>
          <reference field="8" count="1" selected="0">
            <x v="1"/>
          </reference>
        </references>
      </pivotArea>
    </chartFormat>
    <chartFormat chart="9" format="28">
      <pivotArea type="data" outline="0" fieldPosition="0">
        <references count="2">
          <reference field="4294967294" count="1" selected="0">
            <x v="0"/>
          </reference>
          <reference field="8" count="1" selected="0">
            <x v="2"/>
          </reference>
        </references>
      </pivotArea>
    </chartFormat>
    <chartFormat chart="9" format="29">
      <pivotArea type="data" outline="0" fieldPosition="0">
        <references count="2">
          <reference field="4294967294" count="1" selected="0">
            <x v="0"/>
          </reference>
          <reference field="8" count="1" selected="0">
            <x v="3"/>
          </reference>
        </references>
      </pivotArea>
    </chartFormat>
    <chartFormat chart="9" format="30">
      <pivotArea type="data" outline="0" fieldPosition="0">
        <references count="2">
          <reference field="4294967294" count="1" selected="0">
            <x v="0"/>
          </reference>
          <reference field="8" count="1" selected="0">
            <x v="4"/>
          </reference>
        </references>
      </pivotArea>
    </chartFormat>
    <chartFormat chart="9" format="31">
      <pivotArea type="data" outline="0" fieldPosition="0">
        <references count="2">
          <reference field="4294967294" count="1" selected="0">
            <x v="0"/>
          </reference>
          <reference field="8" count="1" selected="0">
            <x v="5"/>
          </reference>
        </references>
      </pivotArea>
    </chartFormat>
    <chartFormat chart="9" format="32">
      <pivotArea type="data" outline="0" fieldPosition="0">
        <references count="2">
          <reference field="4294967294" count="1" selected="0">
            <x v="0"/>
          </reference>
          <reference field="8" count="1" selected="0">
            <x v="6"/>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2" format="13">
      <pivotArea type="data" outline="0" fieldPosition="0">
        <references count="2">
          <reference field="4294967294" count="1" selected="0">
            <x v="0"/>
          </reference>
          <reference field="8" count="1" selected="0">
            <x v="5"/>
          </reference>
        </references>
      </pivotArea>
    </chartFormat>
    <chartFormat chart="2" format="14">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809BD-6B3E-4501-8B3C-289676995C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items count="8">
        <item x="4"/>
        <item x="3"/>
        <item x="1"/>
        <item x="6"/>
        <item x="2"/>
        <item x="5"/>
        <item x="0"/>
        <item t="default"/>
      </items>
    </pivotField>
    <pivotField dataField="1" showAll="0"/>
    <pivotField showAll="0"/>
    <pivotField showAll="0">
      <items count="3">
        <item x="0"/>
        <item x="1"/>
        <item t="default"/>
      </items>
    </pivotField>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Average of Daily_Return_%" fld="9" subtotal="average" baseField="6" baseItem="0" numFmtId="164"/>
  </dataFields>
  <formats count="1">
    <format dxfId="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4D5DDD-50FD-4DA6-803C-9F3EE3C569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9" firstHeaderRow="1" firstDataRow="1" firstDataCol="1"/>
  <pivotFields count="16">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axis="axisRow" showAll="0">
      <items count="8">
        <item x="4"/>
        <item x="3"/>
        <item x="1"/>
        <item x="6"/>
        <item x="2"/>
        <item x="5"/>
        <item x="0"/>
        <item t="default"/>
      </items>
    </pivotField>
    <pivotField dataField="1" showAll="0"/>
    <pivotField showAll="0"/>
    <pivotField showAll="0">
      <items count="3">
        <item x="0"/>
        <item x="1"/>
        <item t="default"/>
      </items>
    </pivotField>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Average of Daily_Return_%" fld="9" subtotal="average" baseField="8" baseItem="0"/>
  </dataFields>
  <formats count="1">
    <format dxfId="50">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F81CB7-62E6-42F8-813B-7BF75C4C4D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H27" firstHeaderRow="1" firstDataRow="1" firstDataCol="1"/>
  <pivotFields count="16">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items count="8">
        <item x="4"/>
        <item x="3"/>
        <item x="1"/>
        <item x="6"/>
        <item x="2"/>
        <item x="5"/>
        <item x="0"/>
        <item t="default"/>
      </items>
    </pivotField>
    <pivotField dataField="1" showAll="0"/>
    <pivotField axis="axisRow" showAll="0">
      <items count="25">
        <item x="3"/>
        <item x="15"/>
        <item x="7"/>
        <item x="19"/>
        <item x="11"/>
        <item x="23"/>
        <item x="1"/>
        <item x="13"/>
        <item x="0"/>
        <item x="12"/>
        <item x="6"/>
        <item x="18"/>
        <item x="5"/>
        <item x="17"/>
        <item x="2"/>
        <item x="14"/>
        <item x="4"/>
        <item x="16"/>
        <item x="10"/>
        <item x="22"/>
        <item x="9"/>
        <item x="21"/>
        <item x="8"/>
        <item x="20"/>
        <item t="default"/>
      </items>
    </pivotField>
    <pivotField showAll="0">
      <items count="3">
        <item x="0"/>
        <item x="1"/>
        <item t="default"/>
      </items>
    </pivotField>
    <pivotField showAll="0"/>
    <pivotField showAll="0"/>
    <pivotField showAll="0"/>
    <pivotField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Daily_Return_%" fld="9" subtotal="average" baseField="10" baseItem="0"/>
  </dataFields>
  <formats count="1">
    <format dxfId="5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B7B00BC-6FA0-4A12-B510-1E3F851EA423}" sourceName="Year">
  <pivotTables>
    <pivotTable tabId="4" name="PivotTable4"/>
    <pivotTable tabId="4" name="PivotTable1"/>
    <pivotTable tabId="4" name="PivotTable2"/>
    <pivotTable tabId="4" name="PivotTable3"/>
  </pivotTables>
  <data>
    <tabular pivotCacheId="945290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1" xr10:uid="{42404FF3-54C6-4935-95FC-6D2C821C0A8E}" sourceName="Symbol">
  <pivotTables>
    <pivotTable tabId="4" name="PivotTable4"/>
    <pivotTable tabId="4" name="PivotTable1"/>
    <pivotTable tabId="4" name="PivotTable2"/>
    <pivotTable tabId="4" name="PivotTable3"/>
  </pivotTables>
  <data>
    <tabular pivotCacheId="94529026">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06010DB8-5A52-4D47-B119-92141B55B47C}" sourceName="Sector">
  <pivotTables>
    <pivotTable tabId="4" name="PivotTable4"/>
    <pivotTable tabId="4" name="PivotTable1"/>
    <pivotTable tabId="4" name="PivotTable2"/>
    <pivotTable tabId="4" name="PivotTable3"/>
  </pivotTables>
  <data>
    <tabular pivotCacheId="94529026">
      <items count="7">
        <i x="4" s="1"/>
        <i x="3" s="1"/>
        <i x="1" s="1"/>
        <i x="6"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28F760E-027E-4AF8-8DE9-88D66D46FFC0}" cache="Slicer_Year1" caption="Year" rowHeight="241300"/>
  <slicer name="Symbol" xr10:uid="{26C0C841-90EB-4E9C-9AB4-32CB583FBDC5}" cache="Slicer_Symbol1" caption="Symbol" rowHeight="241300"/>
  <slicer name="Sector" xr10:uid="{2A1F9BA8-1DE4-46D1-BB81-C1E419AEA2EB}" cache="Slicer_Sector1" caption="Se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1D749D8A-FD3C-4D7C-A450-8CB493DB7FB8}" cache="Slicer_Year1" caption="Year" rowHeight="241300"/>
  <slicer name="Symbol 1" xr10:uid="{4F1CA87B-AE94-4C45-B10F-EDA456591B99}" cache="Slicer_Symbol1" caption="Symbol" startItem="2" rowHeight="241300"/>
  <slicer name="Sector 1" xr10:uid="{E518F014-4198-496D-B032-082A1BC56389}" cache="Slicer_Sector1" caption="Sect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9D529-8FD0-48A4-8197-1E22206A4750}" name="Table1" displayName="Table1" ref="A1:P5021" totalsRowShown="0" headerRowDxfId="47" dataDxfId="46" tableBorderDxfId="45">
  <autoFilter ref="A1:P5021" xr:uid="{D219D529-8FD0-48A4-8197-1E22206A4750}"/>
  <tableColumns count="16">
    <tableColumn id="1" xr3:uid="{7A0570D7-29E6-4E3E-A67F-9231249B4176}" name="Date" dataDxfId="44"/>
    <tableColumn id="2" xr3:uid="{3CD93643-8188-420A-BDF2-EB238AD42A5B}" name="Open" dataDxfId="43"/>
    <tableColumn id="3" xr3:uid="{3C79EAA8-752E-4992-89F1-DDA594CA8078}" name="High" dataDxfId="42"/>
    <tableColumn id="4" xr3:uid="{4D115F89-BD18-441A-99EC-BFD277E41E30}" name="Low" dataDxfId="41"/>
    <tableColumn id="5" xr3:uid="{C70D2A15-F05F-45AA-A8D9-B36E3F3CE31C}" name="Close" dataDxfId="40"/>
    <tableColumn id="6" xr3:uid="{01DE7029-584A-448A-809F-F229166584F6}" name="Volume" dataDxfId="39"/>
    <tableColumn id="7" xr3:uid="{E5E97AFF-102F-4395-8F39-C36F3C5D0186}" name="Symbol" dataDxfId="38"/>
    <tableColumn id="8" xr3:uid="{37D7745B-05A8-47CA-A8D1-40E01D2264A6}" name="Company" dataDxfId="37"/>
    <tableColumn id="9" xr3:uid="{1AD361F0-959B-4306-A36E-2746D1A0B7E4}" name="Sector" dataDxfId="36"/>
    <tableColumn id="10" xr3:uid="{BF9F9B67-7F9A-409B-B9FD-394CAC22346A}" name="Daily_Return_%" dataDxfId="35"/>
    <tableColumn id="11" xr3:uid="{367B9F53-5190-4B97-A16E-333B1508F18A}" name="Month_Year" dataDxfId="34"/>
    <tableColumn id="12" xr3:uid="{9E80E1B1-AFF5-4343-A27B-9D0A5F2ED717}" name="Year" dataDxfId="33"/>
    <tableColumn id="13" xr3:uid="{5D19D2B2-16AD-46F3-93D8-2E968C1DE0DB}" name="Month" dataDxfId="32"/>
    <tableColumn id="14" xr3:uid="{C6FC9C8B-6E8F-40DA-86A1-B0F88FAABCA3}" name="Profit_Loss" dataDxfId="31"/>
    <tableColumn id="15" xr3:uid="{EA7E91AA-207A-44EC-A635-7B0018F20D41}" name="Price Range">
      <calculatedColumnFormula>C2-D2</calculatedColumnFormula>
    </tableColumn>
    <tableColumn id="16" xr3:uid="{5BCACE38-B037-4DC2-9AD0-7D20C2BFD61F}" name="CumulativeReturn%">
      <calculatedColumnFormula>IF(G2=G1, P1+J2, J2)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304DC0-63DD-4E51-8148-0279AFE2E43E}" name="Table2" displayName="Table2" ref="A1:J11" totalsRowShown="0" headerRowDxfId="30" dataDxfId="28" headerRowBorderDxfId="29" tableBorderDxfId="27" totalsRowBorderDxfId="26">
  <autoFilter ref="A1:J11" xr:uid="{57304DC0-63DD-4E51-8148-0279AFE2E43E}"/>
  <tableColumns count="10">
    <tableColumn id="1" xr3:uid="{C0244F7A-AF1E-4090-8BAC-015E74B5A8F8}" name="Symbol" dataDxfId="25"/>
    <tableColumn id="2" xr3:uid="{25246F46-633E-4F6C-BB0A-A7463DC55805}" name="Company" dataDxfId="24"/>
    <tableColumn id="3" xr3:uid="{3864080B-9B98-473A-B03A-F67F84279BB3}" name="Sector" dataDxfId="23"/>
    <tableColumn id="4" xr3:uid="{2F7172DD-A492-469D-8B2B-9E84F99A746B}" name="Avg_Daily_Return" dataDxfId="22"/>
    <tableColumn id="5" xr3:uid="{59286D05-8933-499E-8E26-B23746589C62}" name="Volatility_Risk" dataDxfId="21"/>
    <tableColumn id="6" xr3:uid="{99BF7124-BB47-412D-9B94-1C2D754725A2}" name="Max_Return" dataDxfId="20"/>
    <tableColumn id="7" xr3:uid="{BCBB24CD-4CD7-4A4B-BC05-A58523EC632D}" name="Min_Return" dataDxfId="19"/>
    <tableColumn id="8" xr3:uid="{E9163EFC-6B50-48F4-8FD0-DB38B88BA0E1}" name="Avg_Volume" dataDxfId="18"/>
    <tableColumn id="9" xr3:uid="{BB7CE714-25A6-476F-8CDC-9010C5BFF6DC}" name="Avg_Close" dataDxfId="17"/>
    <tableColumn id="10" xr3:uid="{21A666FF-BFDD-4F92-A94A-04EAB640F5CB}" name="Total_Days" dataDxfId="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E097-102A-4AEC-9453-81E71C89A646}">
  <dimension ref="A2:H39"/>
  <sheetViews>
    <sheetView topLeftCell="A22" workbookViewId="0">
      <selection activeCell="B33" sqref="B33"/>
    </sheetView>
  </sheetViews>
  <sheetFormatPr defaultRowHeight="14.5" x14ac:dyDescent="0.35"/>
  <cols>
    <col min="1" max="1" width="12.36328125" bestFit="1" customWidth="1"/>
    <col min="2" max="2" width="23.7265625" bestFit="1" customWidth="1"/>
    <col min="7" max="7" width="12.36328125" bestFit="1" customWidth="1"/>
    <col min="8" max="8" width="23.7265625" bestFit="1" customWidth="1"/>
  </cols>
  <sheetData>
    <row r="2" spans="1:8" x14ac:dyDescent="0.35">
      <c r="G2" s="10" t="s">
        <v>594</v>
      </c>
      <c r="H2" t="s">
        <v>596</v>
      </c>
    </row>
    <row r="3" spans="1:8" x14ac:dyDescent="0.35">
      <c r="A3" s="10" t="s">
        <v>594</v>
      </c>
      <c r="B3" t="s">
        <v>596</v>
      </c>
      <c r="G3" s="11" t="s">
        <v>88</v>
      </c>
      <c r="H3" s="12">
        <v>8.6289473684210583E-2</v>
      </c>
    </row>
    <row r="4" spans="1:8" x14ac:dyDescent="0.35">
      <c r="A4" s="11" t="s">
        <v>15</v>
      </c>
      <c r="B4" s="12">
        <v>0.14977844311377236</v>
      </c>
      <c r="G4" s="11" t="s">
        <v>359</v>
      </c>
      <c r="H4" s="12">
        <v>-4.9345454545454664E-2</v>
      </c>
    </row>
    <row r="5" spans="1:8" x14ac:dyDescent="0.35">
      <c r="A5" s="11" t="s">
        <v>558</v>
      </c>
      <c r="B5" s="12">
        <v>0.20608183632734545</v>
      </c>
      <c r="G5" s="11" t="s">
        <v>179</v>
      </c>
      <c r="H5" s="12">
        <v>-2.5826086956521645E-3</v>
      </c>
    </row>
    <row r="6" spans="1:8" x14ac:dyDescent="0.35">
      <c r="A6" s="11" t="s">
        <v>561</v>
      </c>
      <c r="B6" s="12">
        <v>0.1680898203592813</v>
      </c>
      <c r="G6" s="11" t="s">
        <v>448</v>
      </c>
      <c r="H6" s="12">
        <v>6.6649999999999959E-2</v>
      </c>
    </row>
    <row r="7" spans="1:8" x14ac:dyDescent="0.35">
      <c r="A7" s="11" t="s">
        <v>563</v>
      </c>
      <c r="B7" s="12">
        <v>-3.6686626746506988E-2</v>
      </c>
      <c r="G7" s="11" t="s">
        <v>273</v>
      </c>
      <c r="H7" s="12">
        <v>0.1469399999999999</v>
      </c>
    </row>
    <row r="8" spans="1:8" x14ac:dyDescent="0.35">
      <c r="A8" s="11" t="s">
        <v>566</v>
      </c>
      <c r="B8" s="12">
        <v>0.12419161676646701</v>
      </c>
      <c r="G8" s="11" t="s">
        <v>537</v>
      </c>
      <c r="H8" s="12">
        <v>7.5438095238095235E-2</v>
      </c>
    </row>
    <row r="9" spans="1:8" x14ac:dyDescent="0.35">
      <c r="A9" s="11" t="s">
        <v>569</v>
      </c>
      <c r="B9" s="12">
        <v>0.12625548902195613</v>
      </c>
      <c r="G9" s="11" t="s">
        <v>42</v>
      </c>
      <c r="H9" s="12">
        <v>7.8052631578947401E-2</v>
      </c>
    </row>
    <row r="10" spans="1:8" x14ac:dyDescent="0.35">
      <c r="A10" s="11" t="s">
        <v>571</v>
      </c>
      <c r="B10" s="12">
        <v>0.49712974051896203</v>
      </c>
      <c r="G10" s="11" t="s">
        <v>317</v>
      </c>
      <c r="H10" s="12">
        <v>0.33196500000000001</v>
      </c>
    </row>
    <row r="11" spans="1:8" x14ac:dyDescent="0.35">
      <c r="A11" s="11" t="s">
        <v>573</v>
      </c>
      <c r="B11" s="12">
        <v>0.32972255489021957</v>
      </c>
      <c r="G11" s="11" t="s">
        <v>18</v>
      </c>
      <c r="H11" s="12">
        <v>0.70771578947368496</v>
      </c>
    </row>
    <row r="12" spans="1:8" x14ac:dyDescent="0.35">
      <c r="A12" s="11" t="s">
        <v>576</v>
      </c>
      <c r="B12" s="12">
        <v>0.13546107784431136</v>
      </c>
      <c r="G12" s="11" t="s">
        <v>295</v>
      </c>
      <c r="H12" s="12">
        <v>5.5099999999999955E-2</v>
      </c>
    </row>
    <row r="13" spans="1:8" x14ac:dyDescent="0.35">
      <c r="A13" s="11" t="s">
        <v>579</v>
      </c>
      <c r="B13" s="12">
        <v>1.1842315369261476E-2</v>
      </c>
      <c r="G13" s="11" t="s">
        <v>157</v>
      </c>
      <c r="H13" s="12">
        <v>0.1961849999999998</v>
      </c>
    </row>
    <row r="14" spans="1:8" x14ac:dyDescent="0.35">
      <c r="A14" s="11" t="s">
        <v>595</v>
      </c>
      <c r="B14" s="12">
        <v>0.17118662674650675</v>
      </c>
      <c r="G14" s="11" t="s">
        <v>425</v>
      </c>
      <c r="H14" s="12">
        <v>0.10799090909090912</v>
      </c>
    </row>
    <row r="15" spans="1:8" x14ac:dyDescent="0.35">
      <c r="G15" s="11" t="s">
        <v>134</v>
      </c>
      <c r="H15" s="12">
        <v>0.39118571428571414</v>
      </c>
    </row>
    <row r="16" spans="1:8" x14ac:dyDescent="0.35">
      <c r="G16" s="11" t="s">
        <v>405</v>
      </c>
      <c r="H16" s="12">
        <v>0.30027894736842092</v>
      </c>
    </row>
    <row r="17" spans="1:8" x14ac:dyDescent="0.35">
      <c r="G17" s="11" t="s">
        <v>63</v>
      </c>
      <c r="H17" s="12">
        <v>0.29477391304347833</v>
      </c>
    </row>
    <row r="18" spans="1:8" x14ac:dyDescent="0.35">
      <c r="G18" s="11" t="s">
        <v>338</v>
      </c>
      <c r="H18" s="12">
        <v>0.14077000000000006</v>
      </c>
    </row>
    <row r="19" spans="1:8" x14ac:dyDescent="0.35">
      <c r="A19" s="10" t="s">
        <v>594</v>
      </c>
      <c r="B19" t="s">
        <v>596</v>
      </c>
      <c r="G19" s="11" t="s">
        <v>109</v>
      </c>
      <c r="H19" s="12">
        <v>0.32843181818181821</v>
      </c>
    </row>
    <row r="20" spans="1:8" x14ac:dyDescent="0.35">
      <c r="A20" s="11" t="s">
        <v>575</v>
      </c>
      <c r="B20" s="12">
        <v>0.32972255489021957</v>
      </c>
      <c r="G20" s="11" t="s">
        <v>382</v>
      </c>
      <c r="H20" s="12">
        <v>0.30094090909090898</v>
      </c>
    </row>
    <row r="21" spans="1:8" x14ac:dyDescent="0.35">
      <c r="A21" s="11" t="s">
        <v>568</v>
      </c>
      <c r="B21" s="12">
        <v>0.12419161676646701</v>
      </c>
      <c r="G21" s="11" t="s">
        <v>250</v>
      </c>
      <c r="H21" s="12">
        <v>0.38304285714285741</v>
      </c>
    </row>
    <row r="22" spans="1:8" x14ac:dyDescent="0.35">
      <c r="A22" s="11" t="s">
        <v>560</v>
      </c>
      <c r="B22" s="12">
        <v>0.20608183632734545</v>
      </c>
      <c r="G22" s="11" t="s">
        <v>516</v>
      </c>
      <c r="H22" s="12">
        <v>0.41365000000000007</v>
      </c>
    </row>
    <row r="23" spans="1:8" x14ac:dyDescent="0.35">
      <c r="A23" s="11" t="s">
        <v>581</v>
      </c>
      <c r="B23" s="12">
        <v>1.1842315369261476E-2</v>
      </c>
      <c r="G23" s="11" t="s">
        <v>226</v>
      </c>
      <c r="H23" s="12">
        <v>-0.1619363636363636</v>
      </c>
    </row>
    <row r="24" spans="1:8" x14ac:dyDescent="0.35">
      <c r="A24" s="11" t="s">
        <v>565</v>
      </c>
      <c r="B24" s="12">
        <v>-3.6686626746506988E-2</v>
      </c>
      <c r="G24" s="11" t="s">
        <v>492</v>
      </c>
      <c r="H24" s="12">
        <v>3.7556521739130481E-2</v>
      </c>
    </row>
    <row r="25" spans="1:8" x14ac:dyDescent="0.35">
      <c r="A25" s="11" t="s">
        <v>578</v>
      </c>
      <c r="B25" s="12">
        <v>0.13546107784431136</v>
      </c>
      <c r="G25" s="11" t="s">
        <v>204</v>
      </c>
      <c r="H25" s="12">
        <v>-0.19474</v>
      </c>
    </row>
    <row r="26" spans="1:8" x14ac:dyDescent="0.35">
      <c r="A26" s="11" t="s">
        <v>17</v>
      </c>
      <c r="B26" s="12">
        <v>0.23531337325349291</v>
      </c>
      <c r="G26" s="11" t="s">
        <v>471</v>
      </c>
      <c r="H26" s="12">
        <v>0.15851499999999999</v>
      </c>
    </row>
    <row r="27" spans="1:8" x14ac:dyDescent="0.35">
      <c r="A27" s="11" t="s">
        <v>595</v>
      </c>
      <c r="B27" s="12">
        <v>0.17118662674650717</v>
      </c>
      <c r="G27" s="11" t="s">
        <v>595</v>
      </c>
      <c r="H27" s="12">
        <v>0.1711866267465072</v>
      </c>
    </row>
    <row r="31" spans="1:8" x14ac:dyDescent="0.35">
      <c r="A31" s="10" t="s">
        <v>594</v>
      </c>
      <c r="B31" t="s">
        <v>596</v>
      </c>
    </row>
    <row r="32" spans="1:8" x14ac:dyDescent="0.35">
      <c r="A32" s="11" t="s">
        <v>575</v>
      </c>
      <c r="B32" s="12">
        <v>0.32972255489021957</v>
      </c>
    </row>
    <row r="33" spans="1:2" x14ac:dyDescent="0.35">
      <c r="A33" s="11" t="s">
        <v>568</v>
      </c>
      <c r="B33" s="12">
        <v>0.12419161676646701</v>
      </c>
    </row>
    <row r="34" spans="1:2" x14ac:dyDescent="0.35">
      <c r="A34" s="11" t="s">
        <v>560</v>
      </c>
      <c r="B34" s="12">
        <v>0.20608183632734545</v>
      </c>
    </row>
    <row r="35" spans="1:2" x14ac:dyDescent="0.35">
      <c r="A35" s="11" t="s">
        <v>581</v>
      </c>
      <c r="B35" s="12">
        <v>1.1842315369261476E-2</v>
      </c>
    </row>
    <row r="36" spans="1:2" x14ac:dyDescent="0.35">
      <c r="A36" s="11" t="s">
        <v>565</v>
      </c>
      <c r="B36" s="12">
        <v>-3.6686626746506988E-2</v>
      </c>
    </row>
    <row r="37" spans="1:2" x14ac:dyDescent="0.35">
      <c r="A37" s="11" t="s">
        <v>578</v>
      </c>
      <c r="B37" s="12">
        <v>0.13546107784431136</v>
      </c>
    </row>
    <row r="38" spans="1:2" x14ac:dyDescent="0.35">
      <c r="A38" s="11" t="s">
        <v>17</v>
      </c>
      <c r="B38" s="12">
        <v>0.23531337325349291</v>
      </c>
    </row>
    <row r="39" spans="1:2" x14ac:dyDescent="0.35">
      <c r="A39" s="11" t="s">
        <v>595</v>
      </c>
      <c r="B39" s="12">
        <v>0.17118662674650717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B6C7-12CD-4655-B1BF-29457B5301E2}">
  <dimension ref="A1:T28"/>
  <sheetViews>
    <sheetView showGridLines="0" tabSelected="1" topLeftCell="C1" zoomScaleNormal="100" workbookViewId="0">
      <selection activeCell="I5" sqref="I5:J5"/>
    </sheetView>
  </sheetViews>
  <sheetFormatPr defaultRowHeight="14.5" x14ac:dyDescent="0.35"/>
  <sheetData>
    <row r="1" spans="1:20" x14ac:dyDescent="0.35">
      <c r="A1" s="21"/>
      <c r="B1" s="21"/>
      <c r="C1" s="21"/>
      <c r="D1" s="21"/>
      <c r="E1" s="21"/>
      <c r="F1" s="21"/>
      <c r="G1" s="21"/>
      <c r="H1" s="21"/>
      <c r="I1" s="21"/>
      <c r="J1" s="21"/>
      <c r="K1" s="21"/>
      <c r="L1" s="21"/>
      <c r="M1" s="21"/>
      <c r="N1" s="21"/>
      <c r="O1" s="21"/>
      <c r="P1" s="21"/>
      <c r="Q1" s="21"/>
      <c r="R1" s="21"/>
      <c r="S1" s="21"/>
      <c r="T1" s="21"/>
    </row>
    <row r="2" spans="1:20" x14ac:dyDescent="0.35">
      <c r="A2" s="21"/>
      <c r="B2" s="21"/>
      <c r="C2" s="21"/>
      <c r="D2" s="21"/>
      <c r="E2" s="21"/>
      <c r="F2" s="21"/>
      <c r="G2" s="21"/>
      <c r="H2" s="21"/>
      <c r="I2" s="21"/>
      <c r="J2" s="21"/>
      <c r="K2" s="21"/>
      <c r="L2" s="21"/>
      <c r="M2" s="21"/>
      <c r="N2" s="21"/>
      <c r="O2" s="21"/>
      <c r="P2" s="21"/>
      <c r="Q2" s="21"/>
      <c r="R2" s="21"/>
      <c r="S2" s="21"/>
      <c r="T2" s="21"/>
    </row>
    <row r="3" spans="1:20" x14ac:dyDescent="0.35">
      <c r="A3" s="26" t="s">
        <v>597</v>
      </c>
      <c r="B3" s="22"/>
      <c r="C3" s="21"/>
      <c r="D3" s="21"/>
      <c r="E3" s="21"/>
      <c r="F3" s="21"/>
      <c r="G3" s="27" t="s">
        <v>598</v>
      </c>
      <c r="H3" s="23"/>
      <c r="I3" s="28"/>
      <c r="J3" s="24"/>
      <c r="K3" s="21"/>
      <c r="L3" s="21"/>
      <c r="M3" s="29" t="s">
        <v>599</v>
      </c>
      <c r="N3" s="25"/>
      <c r="O3" s="21"/>
      <c r="P3" s="21"/>
      <c r="Q3" s="21"/>
      <c r="R3" s="21"/>
      <c r="S3" s="21"/>
      <c r="T3" s="21"/>
    </row>
    <row r="4" spans="1:20" x14ac:dyDescent="0.35">
      <c r="A4" s="22"/>
      <c r="B4" s="22"/>
      <c r="C4" s="21"/>
      <c r="D4" s="21"/>
      <c r="E4" s="21"/>
      <c r="F4" s="21"/>
      <c r="G4" s="23"/>
      <c r="H4" s="23"/>
      <c r="I4" s="24"/>
      <c r="J4" s="24"/>
      <c r="K4" s="21"/>
      <c r="L4" s="21"/>
      <c r="M4" s="25"/>
      <c r="N4" s="25"/>
      <c r="O4" s="21"/>
      <c r="P4" s="21"/>
      <c r="Q4" s="21"/>
      <c r="R4" s="21"/>
      <c r="S4" s="21"/>
      <c r="T4" s="21"/>
    </row>
    <row r="5" spans="1:20" x14ac:dyDescent="0.35">
      <c r="A5" s="22" t="s">
        <v>571</v>
      </c>
      <c r="B5" s="22"/>
      <c r="C5" s="21"/>
      <c r="D5" s="21"/>
      <c r="E5" s="21"/>
      <c r="F5" s="21"/>
      <c r="G5" s="23" t="s">
        <v>563</v>
      </c>
      <c r="H5" s="23"/>
      <c r="I5" s="24"/>
      <c r="J5" s="24"/>
      <c r="K5" s="21"/>
      <c r="L5" s="21"/>
      <c r="M5" s="25" t="s">
        <v>600</v>
      </c>
      <c r="N5" s="25"/>
      <c r="O5" s="21"/>
      <c r="P5" s="21"/>
      <c r="Q5" s="21"/>
      <c r="R5" s="21"/>
      <c r="S5" s="21"/>
      <c r="T5" s="21"/>
    </row>
    <row r="6" spans="1:20" x14ac:dyDescent="0.35">
      <c r="A6" s="22" t="s">
        <v>602</v>
      </c>
      <c r="B6" s="22"/>
      <c r="C6" s="21"/>
      <c r="D6" s="21"/>
      <c r="E6" s="21"/>
      <c r="F6" s="21"/>
      <c r="G6" s="23" t="s">
        <v>603</v>
      </c>
      <c r="H6" s="23"/>
      <c r="I6" s="24"/>
      <c r="J6" s="24"/>
      <c r="K6" s="21"/>
      <c r="L6" s="21"/>
      <c r="M6" s="25" t="s">
        <v>601</v>
      </c>
      <c r="N6" s="25"/>
      <c r="O6" s="21"/>
      <c r="P6" s="21"/>
      <c r="Q6" s="21"/>
      <c r="R6" s="21"/>
      <c r="S6" s="21"/>
      <c r="T6" s="21"/>
    </row>
    <row r="7" spans="1:20" x14ac:dyDescent="0.35">
      <c r="A7" s="21"/>
      <c r="B7" s="21"/>
      <c r="C7" s="21"/>
      <c r="D7" s="21"/>
      <c r="E7" s="21"/>
      <c r="F7" s="21"/>
      <c r="G7" s="21"/>
      <c r="H7" s="21"/>
      <c r="I7" s="21"/>
      <c r="J7" s="21"/>
      <c r="K7" s="21"/>
      <c r="L7" s="21"/>
      <c r="M7" s="21"/>
      <c r="N7" s="21"/>
      <c r="O7" s="21"/>
      <c r="P7" s="21"/>
      <c r="Q7" s="21"/>
      <c r="R7" s="21"/>
      <c r="S7" s="21"/>
      <c r="T7" s="21"/>
    </row>
    <row r="8" spans="1:20" x14ac:dyDescent="0.35">
      <c r="A8" s="21"/>
      <c r="B8" s="21"/>
      <c r="C8" s="21"/>
      <c r="D8" s="21"/>
      <c r="E8" s="21"/>
      <c r="F8" s="21"/>
      <c r="G8" s="21"/>
      <c r="H8" s="21"/>
      <c r="I8" s="21"/>
      <c r="J8" s="21"/>
      <c r="K8" s="21"/>
      <c r="L8" s="21"/>
      <c r="M8" s="21"/>
      <c r="N8" s="21"/>
      <c r="O8" s="21"/>
      <c r="P8" s="21"/>
      <c r="Q8" s="21"/>
      <c r="R8" s="21"/>
      <c r="S8" s="21"/>
      <c r="T8" s="21"/>
    </row>
    <row r="9" spans="1:20" x14ac:dyDescent="0.35">
      <c r="A9" s="21"/>
      <c r="B9" s="21"/>
      <c r="C9" s="21"/>
      <c r="D9" s="21"/>
      <c r="E9" s="21"/>
      <c r="F9" s="21"/>
      <c r="G9" s="21"/>
      <c r="H9" s="21"/>
      <c r="I9" s="21"/>
      <c r="J9" s="21"/>
      <c r="K9" s="21"/>
      <c r="L9" s="21"/>
      <c r="M9" s="21"/>
      <c r="N9" s="21"/>
      <c r="O9" s="21"/>
      <c r="P9" s="21"/>
      <c r="Q9" s="21"/>
      <c r="R9" s="21"/>
      <c r="S9" s="21"/>
      <c r="T9" s="21"/>
    </row>
    <row r="10" spans="1:20" x14ac:dyDescent="0.35">
      <c r="A10" s="21"/>
      <c r="B10" s="21"/>
      <c r="C10" s="21"/>
      <c r="D10" s="21"/>
      <c r="E10" s="21"/>
      <c r="F10" s="21"/>
      <c r="G10" s="21"/>
      <c r="H10" s="21"/>
      <c r="I10" s="21"/>
      <c r="J10" s="21"/>
      <c r="K10" s="21"/>
      <c r="L10" s="21"/>
      <c r="M10" s="21"/>
      <c r="N10" s="21"/>
      <c r="O10" s="21"/>
      <c r="P10" s="21"/>
      <c r="Q10" s="21"/>
      <c r="R10" s="21"/>
      <c r="S10" s="21"/>
      <c r="T10" s="21"/>
    </row>
    <row r="11" spans="1:20" x14ac:dyDescent="0.35">
      <c r="A11" s="21"/>
      <c r="B11" s="21"/>
      <c r="C11" s="21"/>
      <c r="D11" s="21"/>
      <c r="E11" s="21"/>
      <c r="F11" s="21"/>
      <c r="G11" s="21"/>
      <c r="H11" s="21"/>
      <c r="I11" s="21"/>
      <c r="J11" s="21"/>
      <c r="K11" s="21"/>
      <c r="L11" s="21"/>
      <c r="M11" s="21"/>
      <c r="N11" s="21"/>
      <c r="O11" s="21"/>
      <c r="P11" s="21"/>
      <c r="Q11" s="21"/>
      <c r="R11" s="21"/>
      <c r="S11" s="21"/>
      <c r="T11" s="21"/>
    </row>
    <row r="12" spans="1:20" x14ac:dyDescent="0.35">
      <c r="A12" s="21"/>
      <c r="B12" s="21"/>
      <c r="C12" s="21"/>
      <c r="D12" s="21"/>
      <c r="E12" s="21"/>
      <c r="F12" s="21"/>
      <c r="G12" s="21"/>
      <c r="H12" s="21"/>
      <c r="I12" s="21"/>
      <c r="J12" s="21"/>
      <c r="K12" s="21"/>
      <c r="L12" s="21"/>
      <c r="M12" s="21"/>
      <c r="N12" s="21"/>
      <c r="O12" s="21"/>
      <c r="P12" s="21"/>
      <c r="Q12" s="21"/>
      <c r="R12" s="21"/>
      <c r="S12" s="21"/>
      <c r="T12" s="21"/>
    </row>
    <row r="13" spans="1:20" x14ac:dyDescent="0.35">
      <c r="A13" s="21"/>
      <c r="B13" s="21"/>
      <c r="C13" s="21"/>
      <c r="D13" s="21"/>
      <c r="E13" s="21"/>
      <c r="F13" s="21"/>
      <c r="G13" s="21"/>
      <c r="H13" s="21"/>
      <c r="I13" s="21"/>
      <c r="J13" s="21"/>
      <c r="K13" s="21"/>
      <c r="L13" s="21"/>
      <c r="M13" s="21"/>
      <c r="N13" s="21"/>
      <c r="O13" s="21"/>
      <c r="P13" s="21"/>
      <c r="Q13" s="21"/>
      <c r="R13" s="21"/>
      <c r="S13" s="21"/>
      <c r="T13" s="21"/>
    </row>
    <row r="14" spans="1:20" x14ac:dyDescent="0.35">
      <c r="A14" s="21"/>
      <c r="B14" s="21"/>
      <c r="C14" s="21"/>
      <c r="D14" s="21"/>
      <c r="E14" s="21"/>
      <c r="F14" s="21"/>
      <c r="G14" s="21"/>
      <c r="H14" s="21"/>
      <c r="I14" s="21"/>
      <c r="J14" s="21"/>
      <c r="K14" s="21"/>
      <c r="L14" s="21"/>
      <c r="M14" s="21"/>
      <c r="N14" s="21"/>
      <c r="O14" s="21"/>
      <c r="P14" s="21"/>
      <c r="Q14" s="21"/>
      <c r="R14" s="21"/>
      <c r="S14" s="21"/>
      <c r="T14" s="21"/>
    </row>
    <row r="15" spans="1:20" x14ac:dyDescent="0.35">
      <c r="A15" s="21"/>
      <c r="B15" s="21"/>
      <c r="C15" s="21"/>
      <c r="D15" s="21"/>
      <c r="E15" s="21"/>
      <c r="F15" s="21"/>
      <c r="G15" s="21"/>
      <c r="H15" s="21"/>
      <c r="I15" s="21"/>
      <c r="J15" s="21"/>
      <c r="K15" s="21"/>
      <c r="L15" s="21"/>
      <c r="M15" s="21"/>
      <c r="N15" s="21"/>
      <c r="O15" s="21"/>
      <c r="P15" s="21"/>
      <c r="Q15" s="21"/>
      <c r="R15" s="21"/>
      <c r="S15" s="21"/>
      <c r="T15" s="21"/>
    </row>
    <row r="16" spans="1:20" x14ac:dyDescent="0.35">
      <c r="A16" s="21"/>
      <c r="B16" s="21"/>
      <c r="C16" s="21"/>
      <c r="D16" s="21"/>
      <c r="E16" s="21"/>
      <c r="F16" s="21"/>
      <c r="G16" s="21"/>
      <c r="H16" s="21"/>
      <c r="I16" s="21"/>
      <c r="J16" s="21"/>
      <c r="K16" s="21"/>
      <c r="L16" s="21"/>
      <c r="M16" s="21"/>
      <c r="N16" s="21"/>
      <c r="O16" s="21"/>
      <c r="P16" s="21"/>
      <c r="Q16" s="21"/>
      <c r="R16" s="21"/>
      <c r="S16" s="21"/>
      <c r="T16" s="21"/>
    </row>
    <row r="17" spans="1:20" x14ac:dyDescent="0.35">
      <c r="A17" s="21"/>
      <c r="B17" s="21"/>
      <c r="C17" s="21"/>
      <c r="D17" s="21"/>
      <c r="E17" s="21"/>
      <c r="F17" s="21"/>
      <c r="G17" s="21"/>
      <c r="H17" s="21"/>
      <c r="I17" s="21"/>
      <c r="J17" s="21"/>
      <c r="K17" s="21"/>
      <c r="L17" s="21"/>
      <c r="M17" s="21"/>
      <c r="N17" s="21"/>
      <c r="O17" s="21"/>
      <c r="P17" s="21"/>
      <c r="Q17" s="21"/>
      <c r="R17" s="21"/>
      <c r="S17" s="21"/>
      <c r="T17" s="21"/>
    </row>
    <row r="18" spans="1:20" x14ac:dyDescent="0.35">
      <c r="A18" s="21"/>
      <c r="B18" s="21"/>
      <c r="C18" s="21"/>
      <c r="D18" s="21"/>
      <c r="E18" s="21"/>
      <c r="F18" s="21"/>
      <c r="G18" s="21"/>
      <c r="H18" s="21"/>
      <c r="I18" s="21"/>
      <c r="J18" s="21"/>
      <c r="K18" s="21"/>
      <c r="L18" s="21"/>
      <c r="M18" s="21"/>
      <c r="N18" s="21"/>
      <c r="O18" s="21"/>
      <c r="P18" s="21"/>
      <c r="Q18" s="21"/>
      <c r="R18" s="21"/>
      <c r="S18" s="21"/>
      <c r="T18" s="21"/>
    </row>
    <row r="19" spans="1:20" x14ac:dyDescent="0.35">
      <c r="A19" s="21"/>
      <c r="B19" s="21"/>
      <c r="C19" s="21"/>
      <c r="D19" s="21"/>
      <c r="E19" s="21"/>
      <c r="F19" s="21"/>
      <c r="G19" s="21"/>
      <c r="H19" s="21"/>
      <c r="I19" s="21"/>
      <c r="J19" s="21"/>
      <c r="K19" s="21"/>
      <c r="L19" s="21"/>
      <c r="M19" s="21"/>
      <c r="N19" s="21"/>
      <c r="O19" s="21"/>
      <c r="P19" s="21"/>
      <c r="Q19" s="21"/>
      <c r="R19" s="21"/>
      <c r="S19" s="21"/>
      <c r="T19" s="21"/>
    </row>
    <row r="20" spans="1:20" x14ac:dyDescent="0.35">
      <c r="A20" s="21"/>
      <c r="B20" s="21"/>
      <c r="C20" s="21"/>
      <c r="D20" s="21"/>
      <c r="E20" s="21"/>
      <c r="F20" s="21"/>
      <c r="G20" s="21"/>
      <c r="H20" s="21"/>
      <c r="I20" s="21"/>
      <c r="J20" s="21"/>
      <c r="K20" s="21"/>
      <c r="L20" s="21"/>
      <c r="M20" s="21"/>
      <c r="N20" s="21"/>
      <c r="O20" s="21"/>
      <c r="P20" s="21"/>
      <c r="Q20" s="21"/>
      <c r="R20" s="21"/>
      <c r="S20" s="21"/>
      <c r="T20" s="21"/>
    </row>
    <row r="21" spans="1:20" x14ac:dyDescent="0.35">
      <c r="A21" s="21"/>
      <c r="B21" s="21"/>
      <c r="C21" s="21"/>
      <c r="D21" s="21"/>
      <c r="E21" s="21"/>
      <c r="F21" s="21"/>
      <c r="G21" s="21"/>
      <c r="H21" s="21"/>
      <c r="I21" s="21"/>
      <c r="J21" s="21"/>
      <c r="K21" s="21"/>
      <c r="L21" s="21"/>
      <c r="M21" s="21"/>
      <c r="N21" s="21"/>
      <c r="O21" s="21"/>
      <c r="P21" s="21"/>
      <c r="Q21" s="21"/>
      <c r="R21" s="21"/>
      <c r="S21" s="21"/>
      <c r="T21" s="21"/>
    </row>
    <row r="22" spans="1:20" x14ac:dyDescent="0.35">
      <c r="A22" s="21"/>
      <c r="B22" s="21"/>
      <c r="C22" s="21"/>
      <c r="D22" s="21"/>
      <c r="E22" s="21"/>
      <c r="F22" s="21"/>
      <c r="G22" s="21"/>
      <c r="H22" s="21"/>
      <c r="I22" s="21"/>
      <c r="J22" s="21"/>
      <c r="K22" s="21"/>
      <c r="L22" s="21"/>
      <c r="M22" s="21"/>
      <c r="N22" s="21"/>
      <c r="O22" s="21"/>
      <c r="P22" s="21"/>
      <c r="Q22" s="21"/>
      <c r="R22" s="21"/>
      <c r="S22" s="21"/>
      <c r="T22" s="21"/>
    </row>
    <row r="23" spans="1:20" x14ac:dyDescent="0.35">
      <c r="A23" s="21"/>
      <c r="B23" s="21"/>
      <c r="C23" s="21"/>
      <c r="D23" s="21"/>
      <c r="E23" s="21"/>
      <c r="F23" s="21"/>
      <c r="G23" s="21"/>
      <c r="H23" s="21"/>
      <c r="I23" s="21"/>
      <c r="J23" s="21"/>
      <c r="K23" s="21"/>
      <c r="L23" s="21"/>
      <c r="M23" s="21"/>
      <c r="N23" s="21"/>
      <c r="O23" s="21"/>
      <c r="P23" s="21"/>
      <c r="Q23" s="21"/>
      <c r="R23" s="21"/>
      <c r="S23" s="21"/>
      <c r="T23" s="21"/>
    </row>
    <row r="24" spans="1:20" x14ac:dyDescent="0.35">
      <c r="A24" s="21"/>
      <c r="B24" s="21"/>
      <c r="C24" s="21"/>
      <c r="D24" s="21"/>
      <c r="E24" s="21"/>
      <c r="F24" s="21"/>
      <c r="G24" s="21"/>
      <c r="H24" s="21"/>
      <c r="I24" s="21"/>
      <c r="J24" s="21"/>
      <c r="K24" s="21"/>
      <c r="L24" s="21"/>
      <c r="M24" s="21"/>
      <c r="N24" s="21"/>
      <c r="O24" s="21"/>
      <c r="P24" s="21"/>
      <c r="Q24" s="21"/>
      <c r="R24" s="21"/>
      <c r="S24" s="21"/>
      <c r="T24" s="21"/>
    </row>
    <row r="25" spans="1:20" x14ac:dyDescent="0.35">
      <c r="A25" s="21"/>
      <c r="B25" s="21"/>
      <c r="C25" s="21"/>
      <c r="D25" s="21"/>
      <c r="E25" s="21"/>
      <c r="F25" s="21"/>
      <c r="G25" s="21"/>
      <c r="H25" s="21"/>
      <c r="I25" s="21"/>
      <c r="J25" s="21"/>
      <c r="K25" s="21"/>
      <c r="L25" s="21"/>
      <c r="M25" s="21"/>
      <c r="N25" s="21"/>
      <c r="O25" s="21"/>
      <c r="P25" s="21"/>
      <c r="Q25" s="21"/>
      <c r="R25" s="21"/>
      <c r="S25" s="21"/>
      <c r="T25" s="21"/>
    </row>
    <row r="26" spans="1:20" x14ac:dyDescent="0.35">
      <c r="A26" s="21"/>
      <c r="B26" s="21"/>
      <c r="C26" s="21"/>
      <c r="D26" s="21"/>
      <c r="E26" s="21"/>
      <c r="F26" s="21"/>
      <c r="G26" s="21"/>
      <c r="H26" s="21"/>
      <c r="I26" s="21"/>
      <c r="J26" s="21"/>
      <c r="K26" s="21"/>
      <c r="L26" s="21"/>
      <c r="M26" s="21"/>
      <c r="N26" s="21"/>
      <c r="O26" s="21"/>
      <c r="P26" s="21"/>
      <c r="Q26" s="21"/>
      <c r="R26" s="21"/>
      <c r="S26" s="21"/>
      <c r="T26" s="21"/>
    </row>
    <row r="27" spans="1:20" x14ac:dyDescent="0.35">
      <c r="A27" s="21"/>
      <c r="B27" s="21"/>
      <c r="C27" s="21"/>
      <c r="D27" s="21"/>
      <c r="E27" s="21"/>
      <c r="F27" s="21"/>
      <c r="G27" s="21"/>
      <c r="H27" s="21"/>
      <c r="I27" s="21"/>
      <c r="J27" s="21"/>
      <c r="K27" s="21"/>
      <c r="L27" s="21"/>
      <c r="M27" s="21"/>
      <c r="N27" s="21"/>
      <c r="O27" s="21"/>
      <c r="P27" s="21"/>
      <c r="Q27" s="21"/>
      <c r="R27" s="21"/>
      <c r="S27" s="21"/>
      <c r="T27" s="21"/>
    </row>
    <row r="28" spans="1:20" x14ac:dyDescent="0.35">
      <c r="A28" s="21"/>
      <c r="B28" s="21"/>
      <c r="C28" s="21"/>
      <c r="D28" s="21"/>
      <c r="E28" s="21"/>
      <c r="F28" s="21"/>
      <c r="G28" s="21"/>
      <c r="H28" s="21"/>
      <c r="I28" s="21"/>
      <c r="J28" s="21"/>
      <c r="K28" s="21"/>
      <c r="L28" s="21"/>
      <c r="M28" s="21"/>
      <c r="N28" s="21"/>
      <c r="O28" s="21"/>
      <c r="P28" s="21"/>
      <c r="Q28" s="21"/>
      <c r="R28" s="21"/>
      <c r="S28" s="21"/>
      <c r="T28" s="21"/>
    </row>
  </sheetData>
  <mergeCells count="12">
    <mergeCell ref="A6:B6"/>
    <mergeCell ref="G6:H6"/>
    <mergeCell ref="I6:J6"/>
    <mergeCell ref="M6:N6"/>
    <mergeCell ref="A3:B4"/>
    <mergeCell ref="G3:H4"/>
    <mergeCell ref="I3:J4"/>
    <mergeCell ref="M3:N4"/>
    <mergeCell ref="A5:B5"/>
    <mergeCell ref="G5:H5"/>
    <mergeCell ref="I5:J5"/>
    <mergeCell ref="M5: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21"/>
  <sheetViews>
    <sheetView workbookViewId="0">
      <pane ySplit="1" topLeftCell="A2" activePane="bottomLeft" state="frozen"/>
      <selection pane="bottomLeft" activeCell="H6" sqref="H6"/>
    </sheetView>
  </sheetViews>
  <sheetFormatPr defaultRowHeight="14.5" x14ac:dyDescent="0.35"/>
  <cols>
    <col min="1" max="1" width="12" customWidth="1"/>
    <col min="2" max="5" width="10" customWidth="1"/>
    <col min="6" max="6" width="14" customWidth="1"/>
    <col min="7" max="7" width="9.7265625" customWidth="1"/>
    <col min="8" max="8" width="20" customWidth="1"/>
    <col min="9" max="9" width="12" customWidth="1"/>
    <col min="10" max="10" width="17.36328125" customWidth="1"/>
    <col min="11" max="11" width="13.90625" customWidth="1"/>
    <col min="12" max="12" width="7.08984375" customWidth="1"/>
    <col min="13" max="13" width="12" customWidth="1"/>
    <col min="14" max="14" width="13.453125" customWidth="1"/>
    <col min="15" max="15" width="14.08984375" customWidth="1"/>
    <col min="16" max="16" width="19.453125" customWidth="1"/>
  </cols>
  <sheetData>
    <row r="1" spans="1:16" x14ac:dyDescent="0.35">
      <c r="A1" s="8" t="s">
        <v>0</v>
      </c>
      <c r="B1" s="1" t="s">
        <v>1</v>
      </c>
      <c r="C1" s="1" t="s">
        <v>2</v>
      </c>
      <c r="D1" s="1" t="s">
        <v>3</v>
      </c>
      <c r="E1" s="1" t="s">
        <v>4</v>
      </c>
      <c r="F1" s="1" t="s">
        <v>5</v>
      </c>
      <c r="G1" s="1" t="s">
        <v>6</v>
      </c>
      <c r="H1" s="1" t="s">
        <v>7</v>
      </c>
      <c r="I1" s="1" t="s">
        <v>8</v>
      </c>
      <c r="J1" s="1" t="s">
        <v>9</v>
      </c>
      <c r="K1" s="1" t="s">
        <v>10</v>
      </c>
      <c r="L1" s="1" t="s">
        <v>11</v>
      </c>
      <c r="M1" s="1" t="s">
        <v>12</v>
      </c>
      <c r="N1" s="1" t="s">
        <v>13</v>
      </c>
      <c r="O1" s="7" t="s">
        <v>592</v>
      </c>
      <c r="P1" t="s">
        <v>593</v>
      </c>
    </row>
    <row r="2" spans="1:16" x14ac:dyDescent="0.35">
      <c r="A2" s="9" t="s">
        <v>14</v>
      </c>
      <c r="B2" s="2">
        <v>128.22300000000001</v>
      </c>
      <c r="C2" s="2">
        <v>128.834</v>
      </c>
      <c r="D2" s="2">
        <v>122.211</v>
      </c>
      <c r="E2" s="2">
        <v>123.09699999999999</v>
      </c>
      <c r="F2" s="2">
        <v>113915392</v>
      </c>
      <c r="G2" s="2" t="s">
        <v>15</v>
      </c>
      <c r="H2" s="2" t="s">
        <v>16</v>
      </c>
      <c r="I2" s="2" t="s">
        <v>17</v>
      </c>
      <c r="J2" s="2"/>
      <c r="K2" s="2" t="s">
        <v>18</v>
      </c>
      <c r="L2" s="2">
        <v>2023</v>
      </c>
      <c r="M2" s="2" t="s">
        <v>19</v>
      </c>
      <c r="N2" s="2"/>
      <c r="O2">
        <f>C2-D2</f>
        <v>6.6230000000000047</v>
      </c>
      <c r="P2">
        <f>J2</f>
        <v>0</v>
      </c>
    </row>
    <row r="3" spans="1:16" x14ac:dyDescent="0.35">
      <c r="A3" s="9" t="s">
        <v>20</v>
      </c>
      <c r="B3" s="2">
        <v>124.887</v>
      </c>
      <c r="C3" s="2">
        <v>126.625</v>
      </c>
      <c r="D3" s="2">
        <v>123.10599999999999</v>
      </c>
      <c r="E3" s="2">
        <v>124.36499999999999</v>
      </c>
      <c r="F3" s="2">
        <v>90542662</v>
      </c>
      <c r="G3" s="2" t="s">
        <v>15</v>
      </c>
      <c r="H3" s="2" t="s">
        <v>16</v>
      </c>
      <c r="I3" s="2" t="s">
        <v>17</v>
      </c>
      <c r="J3" s="3">
        <v>1.03</v>
      </c>
      <c r="K3" s="2" t="s">
        <v>18</v>
      </c>
      <c r="L3" s="2">
        <v>2023</v>
      </c>
      <c r="M3" s="2" t="s">
        <v>19</v>
      </c>
      <c r="N3" s="2" t="s">
        <v>21</v>
      </c>
      <c r="O3">
        <f t="shared" ref="O3:O66" si="0">C3-D3</f>
        <v>3.5190000000000055</v>
      </c>
      <c r="P3">
        <f>IF(G3=G2, P2+J3, J3)</f>
        <v>1.03</v>
      </c>
    </row>
    <row r="4" spans="1:16" x14ac:dyDescent="0.35">
      <c r="A4" s="9" t="s">
        <v>22</v>
      </c>
      <c r="B4" s="2">
        <v>125.124</v>
      </c>
      <c r="C4" s="2">
        <v>125.753</v>
      </c>
      <c r="D4" s="2">
        <v>122.79</v>
      </c>
      <c r="E4" s="2">
        <v>123.048</v>
      </c>
      <c r="F4" s="2">
        <v>82261029</v>
      </c>
      <c r="G4" s="2" t="s">
        <v>15</v>
      </c>
      <c r="H4" s="2" t="s">
        <v>16</v>
      </c>
      <c r="I4" s="2" t="s">
        <v>17</v>
      </c>
      <c r="J4" s="4">
        <v>-1.0589999999999999</v>
      </c>
      <c r="K4" s="2" t="s">
        <v>18</v>
      </c>
      <c r="L4" s="2">
        <v>2023</v>
      </c>
      <c r="M4" s="2" t="s">
        <v>19</v>
      </c>
      <c r="N4" s="2" t="s">
        <v>23</v>
      </c>
      <c r="O4">
        <f t="shared" si="0"/>
        <v>2.9629999999999939</v>
      </c>
      <c r="P4">
        <f t="shared" ref="P4:P67" si="1">IF(G4=G3, P3+J4, J4)</f>
        <v>-2.8999999999999915E-2</v>
      </c>
    </row>
    <row r="5" spans="1:16" x14ac:dyDescent="0.35">
      <c r="A5" s="9" t="s">
        <v>24</v>
      </c>
      <c r="B5" s="2">
        <v>124.02200000000001</v>
      </c>
      <c r="C5" s="2">
        <v>128.233</v>
      </c>
      <c r="D5" s="2">
        <v>122.919</v>
      </c>
      <c r="E5" s="2">
        <v>127.574</v>
      </c>
      <c r="F5" s="2">
        <v>89161952</v>
      </c>
      <c r="G5" s="2" t="s">
        <v>15</v>
      </c>
      <c r="H5" s="2" t="s">
        <v>16</v>
      </c>
      <c r="I5" s="2" t="s">
        <v>17</v>
      </c>
      <c r="J5" s="3">
        <v>3.6779999999999999</v>
      </c>
      <c r="K5" s="2" t="s">
        <v>18</v>
      </c>
      <c r="L5" s="2">
        <v>2023</v>
      </c>
      <c r="M5" s="2" t="s">
        <v>19</v>
      </c>
      <c r="N5" s="2" t="s">
        <v>21</v>
      </c>
      <c r="O5">
        <f t="shared" si="0"/>
        <v>5.3140000000000072</v>
      </c>
      <c r="P5">
        <f t="shared" si="1"/>
        <v>3.649</v>
      </c>
    </row>
    <row r="6" spans="1:16" x14ac:dyDescent="0.35">
      <c r="A6" s="9" t="s">
        <v>25</v>
      </c>
      <c r="B6" s="2">
        <v>128.405</v>
      </c>
      <c r="C6" s="2">
        <v>131.30600000000001</v>
      </c>
      <c r="D6" s="2">
        <v>127.84</v>
      </c>
      <c r="E6" s="2">
        <v>128.096</v>
      </c>
      <c r="F6" s="2">
        <v>71926017</v>
      </c>
      <c r="G6" s="2" t="s">
        <v>15</v>
      </c>
      <c r="H6" s="2" t="s">
        <v>16</v>
      </c>
      <c r="I6" s="2" t="s">
        <v>17</v>
      </c>
      <c r="J6" s="3">
        <v>0.40899999999999997</v>
      </c>
      <c r="K6" s="2" t="s">
        <v>18</v>
      </c>
      <c r="L6" s="2">
        <v>2023</v>
      </c>
      <c r="M6" s="2" t="s">
        <v>19</v>
      </c>
      <c r="N6" s="2" t="s">
        <v>21</v>
      </c>
      <c r="O6">
        <f t="shared" si="0"/>
        <v>3.4660000000000082</v>
      </c>
      <c r="P6">
        <f t="shared" si="1"/>
        <v>4.0579999999999998</v>
      </c>
    </row>
    <row r="7" spans="1:16" x14ac:dyDescent="0.35">
      <c r="A7" s="9" t="s">
        <v>26</v>
      </c>
      <c r="B7" s="2">
        <v>128.203</v>
      </c>
      <c r="C7" s="2">
        <v>129.191</v>
      </c>
      <c r="D7" s="2">
        <v>126.1</v>
      </c>
      <c r="E7" s="2">
        <v>128.66800000000001</v>
      </c>
      <c r="F7" s="2">
        <v>64920796</v>
      </c>
      <c r="G7" s="2" t="s">
        <v>15</v>
      </c>
      <c r="H7" s="2" t="s">
        <v>16</v>
      </c>
      <c r="I7" s="2" t="s">
        <v>17</v>
      </c>
      <c r="J7" s="3">
        <v>0.44700000000000001</v>
      </c>
      <c r="K7" s="2" t="s">
        <v>18</v>
      </c>
      <c r="L7" s="2">
        <v>2023</v>
      </c>
      <c r="M7" s="2" t="s">
        <v>19</v>
      </c>
      <c r="N7" s="2" t="s">
        <v>21</v>
      </c>
      <c r="O7">
        <f t="shared" si="0"/>
        <v>3.0910000000000082</v>
      </c>
      <c r="P7">
        <f t="shared" si="1"/>
        <v>4.5049999999999999</v>
      </c>
    </row>
    <row r="8" spans="1:16" x14ac:dyDescent="0.35">
      <c r="A8" s="9" t="s">
        <v>27</v>
      </c>
      <c r="B8" s="2">
        <v>129.178</v>
      </c>
      <c r="C8" s="2">
        <v>131.40299999999999</v>
      </c>
      <c r="D8" s="2">
        <v>128.4</v>
      </c>
      <c r="E8" s="2">
        <v>131.38399999999999</v>
      </c>
      <c r="F8" s="2">
        <v>70572795</v>
      </c>
      <c r="G8" s="2" t="s">
        <v>15</v>
      </c>
      <c r="H8" s="2" t="s">
        <v>16</v>
      </c>
      <c r="I8" s="2" t="s">
        <v>17</v>
      </c>
      <c r="J8" s="3">
        <v>2.1110000000000002</v>
      </c>
      <c r="K8" s="2" t="s">
        <v>18</v>
      </c>
      <c r="L8" s="2">
        <v>2023</v>
      </c>
      <c r="M8" s="2" t="s">
        <v>19</v>
      </c>
      <c r="N8" s="2" t="s">
        <v>21</v>
      </c>
      <c r="O8">
        <f t="shared" si="0"/>
        <v>3.0029999999999859</v>
      </c>
      <c r="P8">
        <f t="shared" si="1"/>
        <v>6.6159999999999997</v>
      </c>
    </row>
    <row r="9" spans="1:16" x14ac:dyDescent="0.35">
      <c r="A9" s="9" t="s">
        <v>28</v>
      </c>
      <c r="B9" s="2">
        <v>131.76599999999999</v>
      </c>
      <c r="C9" s="2">
        <v>132.13999999999999</v>
      </c>
      <c r="D9" s="2">
        <v>129.36500000000001</v>
      </c>
      <c r="E9" s="2">
        <v>131.30600000000001</v>
      </c>
      <c r="F9" s="2">
        <v>72524295</v>
      </c>
      <c r="G9" s="2" t="s">
        <v>15</v>
      </c>
      <c r="H9" s="2" t="s">
        <v>16</v>
      </c>
      <c r="I9" s="2" t="s">
        <v>17</v>
      </c>
      <c r="J9" s="4">
        <v>-5.8999999999999997E-2</v>
      </c>
      <c r="K9" s="2" t="s">
        <v>18</v>
      </c>
      <c r="L9" s="2">
        <v>2023</v>
      </c>
      <c r="M9" s="2" t="s">
        <v>19</v>
      </c>
      <c r="N9" s="2" t="s">
        <v>23</v>
      </c>
      <c r="O9">
        <f t="shared" si="0"/>
        <v>2.7749999999999773</v>
      </c>
      <c r="P9">
        <f t="shared" si="1"/>
        <v>6.5569999999999995</v>
      </c>
    </row>
    <row r="10" spans="1:16" x14ac:dyDescent="0.35">
      <c r="A10" s="9" t="s">
        <v>29</v>
      </c>
      <c r="B10" s="2">
        <v>129.946</v>
      </c>
      <c r="C10" s="2">
        <v>132.78899999999999</v>
      </c>
      <c r="D10" s="2">
        <v>129.583</v>
      </c>
      <c r="E10" s="2">
        <v>132.63300000000001</v>
      </c>
      <c r="F10" s="2">
        <v>58736757</v>
      </c>
      <c r="G10" s="2" t="s">
        <v>15</v>
      </c>
      <c r="H10" s="2" t="s">
        <v>16</v>
      </c>
      <c r="I10" s="2" t="s">
        <v>17</v>
      </c>
      <c r="J10" s="3">
        <v>1.0109999999999999</v>
      </c>
      <c r="K10" s="2" t="s">
        <v>18</v>
      </c>
      <c r="L10" s="2">
        <v>2023</v>
      </c>
      <c r="M10" s="2" t="s">
        <v>19</v>
      </c>
      <c r="N10" s="2" t="s">
        <v>21</v>
      </c>
      <c r="O10">
        <f t="shared" si="0"/>
        <v>3.2059999999999889</v>
      </c>
      <c r="P10">
        <f t="shared" si="1"/>
        <v>7.5679999999999996</v>
      </c>
    </row>
    <row r="11" spans="1:16" x14ac:dyDescent="0.35">
      <c r="A11" s="9" t="s">
        <v>30</v>
      </c>
      <c r="B11" s="2">
        <v>132.69999999999999</v>
      </c>
      <c r="C11" s="2">
        <v>135.124</v>
      </c>
      <c r="D11" s="2">
        <v>132.01300000000001</v>
      </c>
      <c r="E11" s="2">
        <v>133.79499999999999</v>
      </c>
      <c r="F11" s="2">
        <v>64667267</v>
      </c>
      <c r="G11" s="2" t="s">
        <v>15</v>
      </c>
      <c r="H11" s="2" t="s">
        <v>16</v>
      </c>
      <c r="I11" s="2" t="s">
        <v>17</v>
      </c>
      <c r="J11" s="3">
        <v>0.876</v>
      </c>
      <c r="K11" s="2" t="s">
        <v>18</v>
      </c>
      <c r="L11" s="2">
        <v>2023</v>
      </c>
      <c r="M11" s="2" t="s">
        <v>19</v>
      </c>
      <c r="N11" s="2" t="s">
        <v>21</v>
      </c>
      <c r="O11">
        <f t="shared" si="0"/>
        <v>3.11099999999999</v>
      </c>
      <c r="P11">
        <f t="shared" si="1"/>
        <v>8.4439999999999991</v>
      </c>
    </row>
    <row r="12" spans="1:16" x14ac:dyDescent="0.35">
      <c r="A12" s="9" t="s">
        <v>31</v>
      </c>
      <c r="B12" s="2">
        <v>134.655</v>
      </c>
      <c r="C12" s="2">
        <v>136.423</v>
      </c>
      <c r="D12" s="2">
        <v>132.898</v>
      </c>
      <c r="E12" s="2">
        <v>133.077</v>
      </c>
      <c r="F12" s="2">
        <v>70790075</v>
      </c>
      <c r="G12" s="2" t="s">
        <v>15</v>
      </c>
      <c r="H12" s="2" t="s">
        <v>16</v>
      </c>
      <c r="I12" s="2" t="s">
        <v>17</v>
      </c>
      <c r="J12" s="4">
        <v>-0.53700000000000003</v>
      </c>
      <c r="K12" s="2" t="s">
        <v>18</v>
      </c>
      <c r="L12" s="2">
        <v>2023</v>
      </c>
      <c r="M12" s="2" t="s">
        <v>19</v>
      </c>
      <c r="N12" s="2" t="s">
        <v>23</v>
      </c>
      <c r="O12">
        <f t="shared" si="0"/>
        <v>3.5250000000000057</v>
      </c>
      <c r="P12">
        <f t="shared" si="1"/>
        <v>7.9069999999999991</v>
      </c>
    </row>
    <row r="13" spans="1:16" x14ac:dyDescent="0.35">
      <c r="A13" s="9" t="s">
        <v>32</v>
      </c>
      <c r="B13" s="2">
        <v>131.964</v>
      </c>
      <c r="C13" s="2">
        <v>134.101</v>
      </c>
      <c r="D13" s="2">
        <v>131.65899999999999</v>
      </c>
      <c r="E13" s="2">
        <v>133.136</v>
      </c>
      <c r="F13" s="2">
        <v>59215000</v>
      </c>
      <c r="G13" s="2" t="s">
        <v>15</v>
      </c>
      <c r="H13" s="2" t="s">
        <v>16</v>
      </c>
      <c r="I13" s="2" t="s">
        <v>17</v>
      </c>
      <c r="J13" s="3">
        <v>4.3999999999999997E-2</v>
      </c>
      <c r="K13" s="2" t="s">
        <v>18</v>
      </c>
      <c r="L13" s="2">
        <v>2023</v>
      </c>
      <c r="M13" s="2" t="s">
        <v>19</v>
      </c>
      <c r="N13" s="2" t="s">
        <v>21</v>
      </c>
      <c r="O13">
        <f t="shared" si="0"/>
        <v>2.4420000000000073</v>
      </c>
      <c r="P13">
        <f t="shared" si="1"/>
        <v>7.9509999999999987</v>
      </c>
    </row>
    <row r="14" spans="1:16" x14ac:dyDescent="0.35">
      <c r="A14" s="9" t="s">
        <v>33</v>
      </c>
      <c r="B14" s="2">
        <v>133.14599999999999</v>
      </c>
      <c r="C14" s="2">
        <v>135.84200000000001</v>
      </c>
      <c r="D14" s="2">
        <v>132.101</v>
      </c>
      <c r="E14" s="2">
        <v>135.69499999999999</v>
      </c>
      <c r="F14" s="2">
        <v>81510095</v>
      </c>
      <c r="G14" s="2" t="s">
        <v>15</v>
      </c>
      <c r="H14" s="2" t="s">
        <v>16</v>
      </c>
      <c r="I14" s="2" t="s">
        <v>17</v>
      </c>
      <c r="J14" s="3">
        <v>1.9219999999999999</v>
      </c>
      <c r="K14" s="2" t="s">
        <v>18</v>
      </c>
      <c r="L14" s="2">
        <v>2023</v>
      </c>
      <c r="M14" s="2" t="s">
        <v>19</v>
      </c>
      <c r="N14" s="2" t="s">
        <v>21</v>
      </c>
      <c r="O14">
        <f t="shared" si="0"/>
        <v>3.7410000000000139</v>
      </c>
      <c r="P14">
        <f t="shared" si="1"/>
        <v>9.8729999999999993</v>
      </c>
    </row>
    <row r="15" spans="1:16" x14ac:dyDescent="0.35">
      <c r="A15" s="9" t="s">
        <v>34</v>
      </c>
      <c r="B15" s="2">
        <v>135.94</v>
      </c>
      <c r="C15" s="2">
        <v>141.05199999999999</v>
      </c>
      <c r="D15" s="2">
        <v>135.72300000000001</v>
      </c>
      <c r="E15" s="2">
        <v>138.881</v>
      </c>
      <c r="F15" s="2">
        <v>83071425</v>
      </c>
      <c r="G15" s="2" t="s">
        <v>15</v>
      </c>
      <c r="H15" s="2" t="s">
        <v>16</v>
      </c>
      <c r="I15" s="2" t="s">
        <v>17</v>
      </c>
      <c r="J15" s="3">
        <v>2.3479999999999999</v>
      </c>
      <c r="K15" s="2" t="s">
        <v>18</v>
      </c>
      <c r="L15" s="2">
        <v>2023</v>
      </c>
      <c r="M15" s="2" t="s">
        <v>19</v>
      </c>
      <c r="N15" s="2" t="s">
        <v>21</v>
      </c>
      <c r="O15">
        <f t="shared" si="0"/>
        <v>5.3289999999999793</v>
      </c>
      <c r="P15">
        <f t="shared" si="1"/>
        <v>12.221</v>
      </c>
    </row>
    <row r="16" spans="1:16" x14ac:dyDescent="0.35">
      <c r="A16" s="9" t="s">
        <v>35</v>
      </c>
      <c r="B16" s="2">
        <v>138.089</v>
      </c>
      <c r="C16" s="2">
        <v>140.90100000000001</v>
      </c>
      <c r="D16" s="2">
        <v>138.084</v>
      </c>
      <c r="E16" s="2">
        <v>140.279</v>
      </c>
      <c r="F16" s="2">
        <v>67500498</v>
      </c>
      <c r="G16" s="2" t="s">
        <v>15</v>
      </c>
      <c r="H16" s="2" t="s">
        <v>16</v>
      </c>
      <c r="I16" s="2" t="s">
        <v>17</v>
      </c>
      <c r="J16" s="3">
        <v>1.0069999999999999</v>
      </c>
      <c r="K16" s="2" t="s">
        <v>18</v>
      </c>
      <c r="L16" s="2">
        <v>2023</v>
      </c>
      <c r="M16" s="2" t="s">
        <v>19</v>
      </c>
      <c r="N16" s="2" t="s">
        <v>21</v>
      </c>
      <c r="O16">
        <f t="shared" si="0"/>
        <v>2.8170000000000073</v>
      </c>
      <c r="P16">
        <f t="shared" si="1"/>
        <v>13.228</v>
      </c>
    </row>
    <row r="17" spans="1:16" x14ac:dyDescent="0.35">
      <c r="A17" s="9" t="s">
        <v>36</v>
      </c>
      <c r="B17" s="2">
        <v>138.66499999999999</v>
      </c>
      <c r="C17" s="2">
        <v>140.18199999999999</v>
      </c>
      <c r="D17" s="2">
        <v>136.61799999999999</v>
      </c>
      <c r="E17" s="2">
        <v>139.62</v>
      </c>
      <c r="F17" s="2">
        <v>66854510</v>
      </c>
      <c r="G17" s="2" t="s">
        <v>15</v>
      </c>
      <c r="H17" s="2" t="s">
        <v>16</v>
      </c>
      <c r="I17" s="2" t="s">
        <v>17</v>
      </c>
      <c r="J17" s="4">
        <v>-0.47</v>
      </c>
      <c r="K17" s="2" t="s">
        <v>18</v>
      </c>
      <c r="L17" s="2">
        <v>2023</v>
      </c>
      <c r="M17" s="2" t="s">
        <v>19</v>
      </c>
      <c r="N17" s="2" t="s">
        <v>23</v>
      </c>
      <c r="O17">
        <f t="shared" si="0"/>
        <v>3.563999999999993</v>
      </c>
      <c r="P17">
        <f t="shared" si="1"/>
        <v>12.757999999999999</v>
      </c>
    </row>
    <row r="18" spans="1:16" x14ac:dyDescent="0.35">
      <c r="A18" s="9" t="s">
        <v>37</v>
      </c>
      <c r="B18" s="2">
        <v>140.91</v>
      </c>
      <c r="C18" s="2">
        <v>141.97300000000001</v>
      </c>
      <c r="D18" s="2">
        <v>139.65899999999999</v>
      </c>
      <c r="E18" s="2">
        <v>141.68799999999999</v>
      </c>
      <c r="F18" s="2">
        <v>54972699</v>
      </c>
      <c r="G18" s="2" t="s">
        <v>15</v>
      </c>
      <c r="H18" s="2" t="s">
        <v>16</v>
      </c>
      <c r="I18" s="2" t="s">
        <v>17</v>
      </c>
      <c r="J18" s="3">
        <v>1.4810000000000001</v>
      </c>
      <c r="K18" s="2" t="s">
        <v>18</v>
      </c>
      <c r="L18" s="2">
        <v>2023</v>
      </c>
      <c r="M18" s="2" t="s">
        <v>19</v>
      </c>
      <c r="N18" s="2" t="s">
        <v>21</v>
      </c>
      <c r="O18">
        <f t="shared" si="0"/>
        <v>2.3140000000000214</v>
      </c>
      <c r="P18">
        <f t="shared" si="1"/>
        <v>14.238999999999999</v>
      </c>
    </row>
    <row r="19" spans="1:16" x14ac:dyDescent="0.35">
      <c r="A19" s="9" t="s">
        <v>38</v>
      </c>
      <c r="B19" s="2">
        <v>140.89599999999999</v>
      </c>
      <c r="C19" s="2">
        <v>144.905</v>
      </c>
      <c r="D19" s="2">
        <v>140.82300000000001</v>
      </c>
      <c r="E19" s="2">
        <v>143.62899999999999</v>
      </c>
      <c r="F19" s="2">
        <v>71687279</v>
      </c>
      <c r="G19" s="2" t="s">
        <v>15</v>
      </c>
      <c r="H19" s="2" t="s">
        <v>16</v>
      </c>
      <c r="I19" s="2" t="s">
        <v>17</v>
      </c>
      <c r="J19" s="3">
        <v>1.37</v>
      </c>
      <c r="K19" s="2" t="s">
        <v>18</v>
      </c>
      <c r="L19" s="2">
        <v>2023</v>
      </c>
      <c r="M19" s="2" t="s">
        <v>19</v>
      </c>
      <c r="N19" s="2" t="s">
        <v>21</v>
      </c>
      <c r="O19">
        <f t="shared" si="0"/>
        <v>4.0819999999999936</v>
      </c>
      <c r="P19">
        <f t="shared" si="1"/>
        <v>15.608999999999998</v>
      </c>
    </row>
    <row r="20" spans="1:16" x14ac:dyDescent="0.35">
      <c r="A20" s="9" t="s">
        <v>39</v>
      </c>
      <c r="B20" s="2">
        <v>142.667</v>
      </c>
      <c r="C20" s="2">
        <v>143.25299999999999</v>
      </c>
      <c r="D20" s="2">
        <v>140.595</v>
      </c>
      <c r="E20" s="2">
        <v>140.744</v>
      </c>
      <c r="F20" s="2">
        <v>65041825</v>
      </c>
      <c r="G20" s="2" t="s">
        <v>15</v>
      </c>
      <c r="H20" s="2" t="s">
        <v>16</v>
      </c>
      <c r="I20" s="2" t="s">
        <v>17</v>
      </c>
      <c r="J20" s="4">
        <v>-2.0089999999999999</v>
      </c>
      <c r="K20" s="2" t="s">
        <v>18</v>
      </c>
      <c r="L20" s="2">
        <v>2023</v>
      </c>
      <c r="M20" s="2" t="s">
        <v>19</v>
      </c>
      <c r="N20" s="2" t="s">
        <v>23</v>
      </c>
      <c r="O20">
        <f t="shared" si="0"/>
        <v>2.657999999999987</v>
      </c>
      <c r="P20">
        <f t="shared" si="1"/>
        <v>13.599999999999998</v>
      </c>
    </row>
    <row r="21" spans="1:16" x14ac:dyDescent="0.35">
      <c r="A21" s="9" t="s">
        <v>40</v>
      </c>
      <c r="B21" s="2">
        <v>140.447</v>
      </c>
      <c r="C21" s="2">
        <v>142.06100000000001</v>
      </c>
      <c r="D21" s="2">
        <v>140.036</v>
      </c>
      <c r="E21" s="2">
        <v>142.01300000000001</v>
      </c>
      <c r="F21" s="2">
        <v>66930825</v>
      </c>
      <c r="G21" s="2" t="s">
        <v>15</v>
      </c>
      <c r="H21" s="2" t="s">
        <v>16</v>
      </c>
      <c r="I21" s="2" t="s">
        <v>17</v>
      </c>
      <c r="J21" s="3">
        <v>0.90200000000000002</v>
      </c>
      <c r="K21" s="2" t="s">
        <v>18</v>
      </c>
      <c r="L21" s="2">
        <v>2023</v>
      </c>
      <c r="M21" s="2" t="s">
        <v>19</v>
      </c>
      <c r="N21" s="2" t="s">
        <v>21</v>
      </c>
      <c r="O21">
        <f t="shared" si="0"/>
        <v>2.0250000000000057</v>
      </c>
      <c r="P21">
        <f t="shared" si="1"/>
        <v>14.501999999999997</v>
      </c>
    </row>
    <row r="22" spans="1:16" x14ac:dyDescent="0.35">
      <c r="A22" s="9" t="s">
        <v>41</v>
      </c>
      <c r="B22" s="2">
        <v>141.69800000000001</v>
      </c>
      <c r="C22" s="2">
        <v>144.29599999999999</v>
      </c>
      <c r="D22" s="2">
        <v>139.09</v>
      </c>
      <c r="E22" s="2">
        <v>143.13300000000001</v>
      </c>
      <c r="F22" s="2">
        <v>78909050</v>
      </c>
      <c r="G22" s="2" t="s">
        <v>15</v>
      </c>
      <c r="H22" s="2" t="s">
        <v>16</v>
      </c>
      <c r="I22" s="2" t="s">
        <v>17</v>
      </c>
      <c r="J22" s="3">
        <v>0.78900000000000003</v>
      </c>
      <c r="K22" s="2" t="s">
        <v>42</v>
      </c>
      <c r="L22" s="2">
        <v>2023</v>
      </c>
      <c r="M22" s="2" t="s">
        <v>43</v>
      </c>
      <c r="N22" s="2" t="s">
        <v>21</v>
      </c>
      <c r="O22">
        <f t="shared" si="0"/>
        <v>5.2059999999999889</v>
      </c>
      <c r="P22">
        <f t="shared" si="1"/>
        <v>15.290999999999997</v>
      </c>
    </row>
    <row r="23" spans="1:16" x14ac:dyDescent="0.35">
      <c r="A23" s="9" t="s">
        <v>44</v>
      </c>
      <c r="B23" s="2">
        <v>146.55000000000001</v>
      </c>
      <c r="C23" s="2">
        <v>148.79499999999999</v>
      </c>
      <c r="D23" s="2">
        <v>145.83199999999999</v>
      </c>
      <c r="E23" s="2">
        <v>148.43899999999999</v>
      </c>
      <c r="F23" s="2">
        <v>120236670</v>
      </c>
      <c r="G23" s="2" t="s">
        <v>15</v>
      </c>
      <c r="H23" s="2" t="s">
        <v>16</v>
      </c>
      <c r="I23" s="2" t="s">
        <v>17</v>
      </c>
      <c r="J23" s="3">
        <v>3.7069999999999999</v>
      </c>
      <c r="K23" s="2" t="s">
        <v>42</v>
      </c>
      <c r="L23" s="2">
        <v>2023</v>
      </c>
      <c r="M23" s="2" t="s">
        <v>43</v>
      </c>
      <c r="N23" s="2" t="s">
        <v>21</v>
      </c>
      <c r="O23">
        <f t="shared" si="0"/>
        <v>2.9629999999999939</v>
      </c>
      <c r="P23">
        <f t="shared" si="1"/>
        <v>18.997999999999998</v>
      </c>
    </row>
    <row r="24" spans="1:16" x14ac:dyDescent="0.35">
      <c r="A24" s="9" t="s">
        <v>45</v>
      </c>
      <c r="B24" s="2">
        <v>145.69300000000001</v>
      </c>
      <c r="C24" s="2">
        <v>154.89699999999999</v>
      </c>
      <c r="D24" s="2">
        <v>145.49700000000001</v>
      </c>
      <c r="E24" s="2">
        <v>152.06100000000001</v>
      </c>
      <c r="F24" s="2">
        <v>156832618</v>
      </c>
      <c r="G24" s="2" t="s">
        <v>15</v>
      </c>
      <c r="H24" s="2" t="s">
        <v>16</v>
      </c>
      <c r="I24" s="2" t="s">
        <v>17</v>
      </c>
      <c r="J24" s="3">
        <v>2.44</v>
      </c>
      <c r="K24" s="2" t="s">
        <v>42</v>
      </c>
      <c r="L24" s="2">
        <v>2023</v>
      </c>
      <c r="M24" s="2" t="s">
        <v>43</v>
      </c>
      <c r="N24" s="2" t="s">
        <v>21</v>
      </c>
      <c r="O24">
        <f t="shared" si="0"/>
        <v>9.3999999999999773</v>
      </c>
      <c r="P24">
        <f t="shared" si="1"/>
        <v>21.437999999999999</v>
      </c>
    </row>
    <row r="25" spans="1:16" x14ac:dyDescent="0.35">
      <c r="A25" s="9" t="s">
        <v>46</v>
      </c>
      <c r="B25" s="2">
        <v>150.166</v>
      </c>
      <c r="C25" s="2">
        <v>150.684</v>
      </c>
      <c r="D25" s="2">
        <v>148.399</v>
      </c>
      <c r="E25" s="2">
        <v>149.33600000000001</v>
      </c>
      <c r="F25" s="2">
        <v>70978557</v>
      </c>
      <c r="G25" s="2" t="s">
        <v>15</v>
      </c>
      <c r="H25" s="2" t="s">
        <v>16</v>
      </c>
      <c r="I25" s="2" t="s">
        <v>17</v>
      </c>
      <c r="J25" s="4">
        <v>-1.792</v>
      </c>
      <c r="K25" s="2" t="s">
        <v>42</v>
      </c>
      <c r="L25" s="2">
        <v>2023</v>
      </c>
      <c r="M25" s="2" t="s">
        <v>43</v>
      </c>
      <c r="N25" s="2" t="s">
        <v>23</v>
      </c>
      <c r="O25">
        <f t="shared" si="0"/>
        <v>2.2849999999999966</v>
      </c>
      <c r="P25">
        <f t="shared" si="1"/>
        <v>19.645999999999997</v>
      </c>
    </row>
    <row r="26" spans="1:16" x14ac:dyDescent="0.35">
      <c r="A26" s="9" t="s">
        <v>47</v>
      </c>
      <c r="B26" s="2">
        <v>148.26</v>
      </c>
      <c r="C26" s="2">
        <v>152.779</v>
      </c>
      <c r="D26" s="2">
        <v>148.26</v>
      </c>
      <c r="E26" s="2">
        <v>152.21</v>
      </c>
      <c r="F26" s="2">
        <v>84658715</v>
      </c>
      <c r="G26" s="2" t="s">
        <v>15</v>
      </c>
      <c r="H26" s="2" t="s">
        <v>16</v>
      </c>
      <c r="I26" s="2" t="s">
        <v>17</v>
      </c>
      <c r="J26" s="3">
        <v>1.925</v>
      </c>
      <c r="K26" s="2" t="s">
        <v>42</v>
      </c>
      <c r="L26" s="2">
        <v>2023</v>
      </c>
      <c r="M26" s="2" t="s">
        <v>43</v>
      </c>
      <c r="N26" s="2" t="s">
        <v>21</v>
      </c>
      <c r="O26">
        <f t="shared" si="0"/>
        <v>4.5190000000000055</v>
      </c>
      <c r="P26">
        <f t="shared" si="1"/>
        <v>21.570999999999998</v>
      </c>
    </row>
    <row r="27" spans="1:16" x14ac:dyDescent="0.35">
      <c r="A27" s="9" t="s">
        <v>48</v>
      </c>
      <c r="B27" s="2">
        <v>151.45099999999999</v>
      </c>
      <c r="C27" s="2">
        <v>152.13999999999999</v>
      </c>
      <c r="D27" s="2">
        <v>148.78399999999999</v>
      </c>
      <c r="E27" s="2">
        <v>149.52199999999999</v>
      </c>
      <c r="F27" s="2">
        <v>65148311</v>
      </c>
      <c r="G27" s="2" t="s">
        <v>15</v>
      </c>
      <c r="H27" s="2" t="s">
        <v>16</v>
      </c>
      <c r="I27" s="2" t="s">
        <v>17</v>
      </c>
      <c r="J27" s="4">
        <v>-1.766</v>
      </c>
      <c r="K27" s="2" t="s">
        <v>42</v>
      </c>
      <c r="L27" s="2">
        <v>2023</v>
      </c>
      <c r="M27" s="2" t="s">
        <v>43</v>
      </c>
      <c r="N27" s="2" t="s">
        <v>23</v>
      </c>
      <c r="O27">
        <f t="shared" si="0"/>
        <v>3.3559999999999945</v>
      </c>
      <c r="P27">
        <f t="shared" si="1"/>
        <v>19.805</v>
      </c>
    </row>
    <row r="28" spans="1:16" x14ac:dyDescent="0.35">
      <c r="A28" s="9" t="s">
        <v>49</v>
      </c>
      <c r="B28" s="2">
        <v>151.34899999999999</v>
      </c>
      <c r="C28" s="2">
        <v>151.893</v>
      </c>
      <c r="D28" s="2">
        <v>148.047</v>
      </c>
      <c r="E28" s="2">
        <v>148.489</v>
      </c>
      <c r="F28" s="2">
        <v>56905275</v>
      </c>
      <c r="G28" s="2" t="s">
        <v>15</v>
      </c>
      <c r="H28" s="2" t="s">
        <v>16</v>
      </c>
      <c r="I28" s="2" t="s">
        <v>17</v>
      </c>
      <c r="J28" s="4">
        <v>-0.69099999999999995</v>
      </c>
      <c r="K28" s="2" t="s">
        <v>42</v>
      </c>
      <c r="L28" s="2">
        <v>2023</v>
      </c>
      <c r="M28" s="2" t="s">
        <v>43</v>
      </c>
      <c r="N28" s="2" t="s">
        <v>23</v>
      </c>
      <c r="O28">
        <f t="shared" si="0"/>
        <v>3.8460000000000036</v>
      </c>
      <c r="P28">
        <f t="shared" si="1"/>
        <v>19.114000000000001</v>
      </c>
    </row>
    <row r="29" spans="1:16" x14ac:dyDescent="0.35">
      <c r="A29" s="9" t="s">
        <v>50</v>
      </c>
      <c r="B29" s="2">
        <v>147.32499999999999</v>
      </c>
      <c r="C29" s="2">
        <v>149.17699999999999</v>
      </c>
      <c r="D29" s="2">
        <v>147.09</v>
      </c>
      <c r="E29" s="2">
        <v>148.85499999999999</v>
      </c>
      <c r="F29" s="2">
        <v>58283001</v>
      </c>
      <c r="G29" s="2" t="s">
        <v>15</v>
      </c>
      <c r="H29" s="2" t="s">
        <v>16</v>
      </c>
      <c r="I29" s="2" t="s">
        <v>17</v>
      </c>
      <c r="J29" s="3">
        <v>0.246</v>
      </c>
      <c r="K29" s="2" t="s">
        <v>42</v>
      </c>
      <c r="L29" s="2">
        <v>2023</v>
      </c>
      <c r="M29" s="2" t="s">
        <v>43</v>
      </c>
      <c r="N29" s="2" t="s">
        <v>21</v>
      </c>
      <c r="O29">
        <f t="shared" si="0"/>
        <v>2.0869999999999891</v>
      </c>
      <c r="P29">
        <f t="shared" si="1"/>
        <v>19.36</v>
      </c>
    </row>
    <row r="30" spans="1:16" x14ac:dyDescent="0.35">
      <c r="A30" s="9" t="s">
        <v>51</v>
      </c>
      <c r="B30" s="2">
        <v>148.797</v>
      </c>
      <c r="C30" s="2">
        <v>152.05699999999999</v>
      </c>
      <c r="D30" s="2">
        <v>148.76599999999999</v>
      </c>
      <c r="E30" s="2">
        <v>151.654</v>
      </c>
      <c r="F30" s="2">
        <v>63100096</v>
      </c>
      <c r="G30" s="2" t="s">
        <v>15</v>
      </c>
      <c r="H30" s="2" t="s">
        <v>16</v>
      </c>
      <c r="I30" s="2" t="s">
        <v>17</v>
      </c>
      <c r="J30" s="3">
        <v>1.88</v>
      </c>
      <c r="K30" s="2" t="s">
        <v>42</v>
      </c>
      <c r="L30" s="2">
        <v>2023</v>
      </c>
      <c r="M30" s="2" t="s">
        <v>43</v>
      </c>
      <c r="N30" s="2" t="s">
        <v>21</v>
      </c>
      <c r="O30">
        <f t="shared" si="0"/>
        <v>3.2909999999999968</v>
      </c>
      <c r="P30">
        <f t="shared" si="1"/>
        <v>21.24</v>
      </c>
    </row>
    <row r="31" spans="1:16" x14ac:dyDescent="0.35">
      <c r="A31" s="9" t="s">
        <v>52</v>
      </c>
      <c r="B31" s="2">
        <v>149.947</v>
      </c>
      <c r="C31" s="2">
        <v>151.57499999999999</v>
      </c>
      <c r="D31" s="2">
        <v>148.70699999999999</v>
      </c>
      <c r="E31" s="2">
        <v>151.012</v>
      </c>
      <c r="F31" s="2">
        <v>62601536</v>
      </c>
      <c r="G31" s="2" t="s">
        <v>15</v>
      </c>
      <c r="H31" s="2" t="s">
        <v>16</v>
      </c>
      <c r="I31" s="2" t="s">
        <v>17</v>
      </c>
      <c r="J31" s="4">
        <v>-0.42299999999999999</v>
      </c>
      <c r="K31" s="2" t="s">
        <v>42</v>
      </c>
      <c r="L31" s="2">
        <v>2023</v>
      </c>
      <c r="M31" s="2" t="s">
        <v>43</v>
      </c>
      <c r="N31" s="2" t="s">
        <v>23</v>
      </c>
      <c r="O31">
        <f t="shared" si="0"/>
        <v>2.867999999999995</v>
      </c>
      <c r="P31">
        <f t="shared" si="1"/>
        <v>20.817</v>
      </c>
    </row>
    <row r="32" spans="1:16" x14ac:dyDescent="0.35">
      <c r="A32" s="9" t="s">
        <v>53</v>
      </c>
      <c r="B32" s="2">
        <v>150.92400000000001</v>
      </c>
      <c r="C32" s="2">
        <v>153.279</v>
      </c>
      <c r="D32" s="2">
        <v>150.697</v>
      </c>
      <c r="E32" s="2">
        <v>153.113</v>
      </c>
      <c r="F32" s="2">
        <v>66620609</v>
      </c>
      <c r="G32" s="2" t="s">
        <v>15</v>
      </c>
      <c r="H32" s="2" t="s">
        <v>16</v>
      </c>
      <c r="I32" s="2" t="s">
        <v>17</v>
      </c>
      <c r="J32" s="3">
        <v>1.391</v>
      </c>
      <c r="K32" s="2" t="s">
        <v>42</v>
      </c>
      <c r="L32" s="2">
        <v>2023</v>
      </c>
      <c r="M32" s="2" t="s">
        <v>43</v>
      </c>
      <c r="N32" s="2" t="s">
        <v>21</v>
      </c>
      <c r="O32">
        <f t="shared" si="0"/>
        <v>2.5819999999999936</v>
      </c>
      <c r="P32">
        <f t="shared" si="1"/>
        <v>22.207999999999998</v>
      </c>
    </row>
    <row r="33" spans="1:16" x14ac:dyDescent="0.35">
      <c r="A33" s="9" t="s">
        <v>54</v>
      </c>
      <c r="B33" s="2">
        <v>151.31800000000001</v>
      </c>
      <c r="C33" s="2">
        <v>154.09700000000001</v>
      </c>
      <c r="D33" s="2">
        <v>151.15700000000001</v>
      </c>
      <c r="E33" s="2">
        <v>151.51499999999999</v>
      </c>
      <c r="F33" s="2">
        <v>69155497</v>
      </c>
      <c r="G33" s="2" t="s">
        <v>15</v>
      </c>
      <c r="H33" s="2" t="s">
        <v>16</v>
      </c>
      <c r="I33" s="2" t="s">
        <v>17</v>
      </c>
      <c r="J33" s="4">
        <v>-1.044</v>
      </c>
      <c r="K33" s="2" t="s">
        <v>42</v>
      </c>
      <c r="L33" s="2">
        <v>2023</v>
      </c>
      <c r="M33" s="2" t="s">
        <v>43</v>
      </c>
      <c r="N33" s="2" t="s">
        <v>23</v>
      </c>
      <c r="O33">
        <f t="shared" si="0"/>
        <v>2.9399999999999977</v>
      </c>
      <c r="P33">
        <f t="shared" si="1"/>
        <v>21.163999999999998</v>
      </c>
    </row>
    <row r="34" spans="1:16" x14ac:dyDescent="0.35">
      <c r="A34" s="9" t="s">
        <v>55</v>
      </c>
      <c r="B34" s="2">
        <v>150.17400000000001</v>
      </c>
      <c r="C34" s="2">
        <v>150.816</v>
      </c>
      <c r="D34" s="2">
        <v>148.69800000000001</v>
      </c>
      <c r="E34" s="2">
        <v>150.37100000000001</v>
      </c>
      <c r="F34" s="2">
        <v>60000945</v>
      </c>
      <c r="G34" s="2" t="s">
        <v>15</v>
      </c>
      <c r="H34" s="2" t="s">
        <v>16</v>
      </c>
      <c r="I34" s="2" t="s">
        <v>17</v>
      </c>
      <c r="J34" s="4">
        <v>-0.755</v>
      </c>
      <c r="K34" s="2" t="s">
        <v>42</v>
      </c>
      <c r="L34" s="2">
        <v>2023</v>
      </c>
      <c r="M34" s="2" t="s">
        <v>43</v>
      </c>
      <c r="N34" s="2" t="s">
        <v>23</v>
      </c>
      <c r="O34">
        <f t="shared" si="0"/>
        <v>2.117999999999995</v>
      </c>
      <c r="P34">
        <f t="shared" si="1"/>
        <v>20.408999999999999</v>
      </c>
    </row>
    <row r="35" spans="1:16" x14ac:dyDescent="0.35">
      <c r="A35" s="9" t="s">
        <v>56</v>
      </c>
      <c r="B35" s="2">
        <v>148.05600000000001</v>
      </c>
      <c r="C35" s="2">
        <v>149.137</v>
      </c>
      <c r="D35" s="2">
        <v>146.286</v>
      </c>
      <c r="E35" s="2">
        <v>146.35900000000001</v>
      </c>
      <c r="F35" s="2">
        <v>59720045</v>
      </c>
      <c r="G35" s="2" t="s">
        <v>15</v>
      </c>
      <c r="H35" s="2" t="s">
        <v>16</v>
      </c>
      <c r="I35" s="2" t="s">
        <v>17</v>
      </c>
      <c r="J35" s="4">
        <v>-2.6680000000000001</v>
      </c>
      <c r="K35" s="2" t="s">
        <v>42</v>
      </c>
      <c r="L35" s="2">
        <v>2023</v>
      </c>
      <c r="M35" s="2" t="s">
        <v>43</v>
      </c>
      <c r="N35" s="2" t="s">
        <v>23</v>
      </c>
      <c r="O35">
        <f t="shared" si="0"/>
        <v>2.8509999999999991</v>
      </c>
      <c r="P35">
        <f t="shared" si="1"/>
        <v>17.741</v>
      </c>
    </row>
    <row r="36" spans="1:16" x14ac:dyDescent="0.35">
      <c r="A36" s="9" t="s">
        <v>57</v>
      </c>
      <c r="B36" s="2">
        <v>146.745</v>
      </c>
      <c r="C36" s="2">
        <v>147.81</v>
      </c>
      <c r="D36" s="2">
        <v>145.059</v>
      </c>
      <c r="E36" s="2">
        <v>146.78399999999999</v>
      </c>
      <c r="F36" s="2">
        <v>51750310</v>
      </c>
      <c r="G36" s="2" t="s">
        <v>15</v>
      </c>
      <c r="H36" s="2" t="s">
        <v>16</v>
      </c>
      <c r="I36" s="2" t="s">
        <v>17</v>
      </c>
      <c r="J36" s="3">
        <v>0.28999999999999998</v>
      </c>
      <c r="K36" s="2" t="s">
        <v>42</v>
      </c>
      <c r="L36" s="2">
        <v>2023</v>
      </c>
      <c r="M36" s="2" t="s">
        <v>43</v>
      </c>
      <c r="N36" s="2" t="s">
        <v>21</v>
      </c>
      <c r="O36">
        <f t="shared" si="0"/>
        <v>2.7510000000000048</v>
      </c>
      <c r="P36">
        <f t="shared" si="1"/>
        <v>18.030999999999999</v>
      </c>
    </row>
    <row r="37" spans="1:16" x14ac:dyDescent="0.35">
      <c r="A37" s="9" t="s">
        <v>58</v>
      </c>
      <c r="B37" s="2">
        <v>147.947</v>
      </c>
      <c r="C37" s="2">
        <v>148.191</v>
      </c>
      <c r="D37" s="2">
        <v>145.13800000000001</v>
      </c>
      <c r="E37" s="2">
        <v>147.26599999999999</v>
      </c>
      <c r="F37" s="2">
        <v>49095340</v>
      </c>
      <c r="G37" s="2" t="s">
        <v>15</v>
      </c>
      <c r="H37" s="2" t="s">
        <v>16</v>
      </c>
      <c r="I37" s="2" t="s">
        <v>17</v>
      </c>
      <c r="J37" s="3">
        <v>0.32800000000000001</v>
      </c>
      <c r="K37" s="2" t="s">
        <v>42</v>
      </c>
      <c r="L37" s="2">
        <v>2023</v>
      </c>
      <c r="M37" s="2" t="s">
        <v>43</v>
      </c>
      <c r="N37" s="2" t="s">
        <v>21</v>
      </c>
      <c r="O37">
        <f t="shared" si="0"/>
        <v>3.0529999999999973</v>
      </c>
      <c r="P37">
        <f t="shared" si="1"/>
        <v>18.358999999999998</v>
      </c>
    </row>
    <row r="38" spans="1:16" x14ac:dyDescent="0.35">
      <c r="A38" s="9" t="s">
        <v>59</v>
      </c>
      <c r="B38" s="2">
        <v>145.00899999999999</v>
      </c>
      <c r="C38" s="2">
        <v>145.089</v>
      </c>
      <c r="D38" s="2">
        <v>143.64099999999999</v>
      </c>
      <c r="E38" s="2">
        <v>144.61500000000001</v>
      </c>
      <c r="F38" s="2">
        <v>56273199</v>
      </c>
      <c r="G38" s="2" t="s">
        <v>15</v>
      </c>
      <c r="H38" s="2" t="s">
        <v>16</v>
      </c>
      <c r="I38" s="2" t="s">
        <v>17</v>
      </c>
      <c r="J38" s="4">
        <v>-1.8</v>
      </c>
      <c r="K38" s="2" t="s">
        <v>42</v>
      </c>
      <c r="L38" s="2">
        <v>2023</v>
      </c>
      <c r="M38" s="2" t="s">
        <v>43</v>
      </c>
      <c r="N38" s="2" t="s">
        <v>23</v>
      </c>
      <c r="O38">
        <f t="shared" si="0"/>
        <v>1.4480000000000075</v>
      </c>
      <c r="P38">
        <f t="shared" si="1"/>
        <v>16.558999999999997</v>
      </c>
    </row>
    <row r="39" spans="1:16" x14ac:dyDescent="0.35">
      <c r="A39" s="9" t="s">
        <v>60</v>
      </c>
      <c r="B39" s="2">
        <v>145.6</v>
      </c>
      <c r="C39" s="2">
        <v>147.04</v>
      </c>
      <c r="D39" s="2">
        <v>145.345</v>
      </c>
      <c r="E39" s="2">
        <v>145.809</v>
      </c>
      <c r="F39" s="2">
        <v>45650367</v>
      </c>
      <c r="G39" s="2" t="s">
        <v>15</v>
      </c>
      <c r="H39" s="2" t="s">
        <v>16</v>
      </c>
      <c r="I39" s="2" t="s">
        <v>17</v>
      </c>
      <c r="J39" s="3">
        <v>0.82599999999999996</v>
      </c>
      <c r="K39" s="2" t="s">
        <v>42</v>
      </c>
      <c r="L39" s="2">
        <v>2023</v>
      </c>
      <c r="M39" s="2" t="s">
        <v>43</v>
      </c>
      <c r="N39" s="2" t="s">
        <v>21</v>
      </c>
      <c r="O39">
        <f t="shared" si="0"/>
        <v>1.6949999999999932</v>
      </c>
      <c r="P39">
        <f t="shared" si="1"/>
        <v>17.384999999999998</v>
      </c>
    </row>
    <row r="40" spans="1:16" x14ac:dyDescent="0.35">
      <c r="A40" s="9" t="s">
        <v>61</v>
      </c>
      <c r="B40" s="2">
        <v>144.94900000000001</v>
      </c>
      <c r="C40" s="2">
        <v>146.94999999999999</v>
      </c>
      <c r="D40" s="2">
        <v>144.733</v>
      </c>
      <c r="E40" s="2">
        <v>145.30500000000001</v>
      </c>
      <c r="F40" s="2">
        <v>51279277</v>
      </c>
      <c r="G40" s="2" t="s">
        <v>15</v>
      </c>
      <c r="H40" s="2" t="s">
        <v>16</v>
      </c>
      <c r="I40" s="2" t="s">
        <v>17</v>
      </c>
      <c r="J40" s="4">
        <v>-0.34599999999999997</v>
      </c>
      <c r="K40" s="2" t="s">
        <v>42</v>
      </c>
      <c r="L40" s="2">
        <v>2023</v>
      </c>
      <c r="M40" s="2" t="s">
        <v>43</v>
      </c>
      <c r="N40" s="2" t="s">
        <v>23</v>
      </c>
      <c r="O40">
        <f t="shared" si="0"/>
        <v>2.2169999999999845</v>
      </c>
      <c r="P40">
        <f t="shared" si="1"/>
        <v>17.038999999999998</v>
      </c>
    </row>
    <row r="41" spans="1:16" x14ac:dyDescent="0.35">
      <c r="A41" s="9" t="s">
        <v>62</v>
      </c>
      <c r="B41" s="2">
        <v>144.733</v>
      </c>
      <c r="C41" s="2">
        <v>145.126</v>
      </c>
      <c r="D41" s="2">
        <v>142.93899999999999</v>
      </c>
      <c r="E41" s="2">
        <v>143.23500000000001</v>
      </c>
      <c r="F41" s="2">
        <v>56282720</v>
      </c>
      <c r="G41" s="2" t="s">
        <v>15</v>
      </c>
      <c r="H41" s="2" t="s">
        <v>16</v>
      </c>
      <c r="I41" s="2" t="s">
        <v>17</v>
      </c>
      <c r="J41" s="4">
        <v>-1.425</v>
      </c>
      <c r="K41" s="2" t="s">
        <v>63</v>
      </c>
      <c r="L41" s="2">
        <v>2023</v>
      </c>
      <c r="M41" s="2" t="s">
        <v>64</v>
      </c>
      <c r="N41" s="2" t="s">
        <v>23</v>
      </c>
      <c r="O41">
        <f t="shared" si="0"/>
        <v>2.1870000000000118</v>
      </c>
      <c r="P41">
        <f t="shared" si="1"/>
        <v>15.613999999999997</v>
      </c>
    </row>
    <row r="42" spans="1:16" x14ac:dyDescent="0.35">
      <c r="A42" s="9" t="s">
        <v>65</v>
      </c>
      <c r="B42" s="2">
        <v>142.32</v>
      </c>
      <c r="C42" s="2">
        <v>144.61500000000001</v>
      </c>
      <c r="D42" s="2">
        <v>141.84299999999999</v>
      </c>
      <c r="E42" s="2">
        <v>143.82499999999999</v>
      </c>
      <c r="F42" s="2">
        <v>53037142</v>
      </c>
      <c r="G42" s="2" t="s">
        <v>15</v>
      </c>
      <c r="H42" s="2" t="s">
        <v>16</v>
      </c>
      <c r="I42" s="2" t="s">
        <v>17</v>
      </c>
      <c r="J42" s="3">
        <v>0.41199999999999998</v>
      </c>
      <c r="K42" s="2" t="s">
        <v>63</v>
      </c>
      <c r="L42" s="2">
        <v>2023</v>
      </c>
      <c r="M42" s="2" t="s">
        <v>64</v>
      </c>
      <c r="N42" s="2" t="s">
        <v>21</v>
      </c>
      <c r="O42">
        <f t="shared" si="0"/>
        <v>2.7720000000000198</v>
      </c>
      <c r="P42">
        <f t="shared" si="1"/>
        <v>16.025999999999996</v>
      </c>
    </row>
    <row r="43" spans="1:16" x14ac:dyDescent="0.35">
      <c r="A43" s="9" t="s">
        <v>66</v>
      </c>
      <c r="B43" s="2">
        <v>145.93199999999999</v>
      </c>
      <c r="C43" s="2">
        <v>148.952</v>
      </c>
      <c r="D43" s="2">
        <v>145.227</v>
      </c>
      <c r="E43" s="2">
        <v>148.875</v>
      </c>
      <c r="F43" s="2">
        <v>71757002</v>
      </c>
      <c r="G43" s="2" t="s">
        <v>15</v>
      </c>
      <c r="H43" s="2" t="s">
        <v>16</v>
      </c>
      <c r="I43" s="2" t="s">
        <v>17</v>
      </c>
      <c r="J43" s="3">
        <v>3.5110000000000001</v>
      </c>
      <c r="K43" s="2" t="s">
        <v>63</v>
      </c>
      <c r="L43" s="2">
        <v>2023</v>
      </c>
      <c r="M43" s="2" t="s">
        <v>64</v>
      </c>
      <c r="N43" s="2" t="s">
        <v>21</v>
      </c>
      <c r="O43">
        <f t="shared" si="0"/>
        <v>3.7249999999999943</v>
      </c>
      <c r="P43">
        <f t="shared" si="1"/>
        <v>19.536999999999995</v>
      </c>
    </row>
    <row r="44" spans="1:16" x14ac:dyDescent="0.35">
      <c r="A44" s="9" t="s">
        <v>67</v>
      </c>
      <c r="B44" s="2">
        <v>151.59</v>
      </c>
      <c r="C44" s="2">
        <v>154.07</v>
      </c>
      <c r="D44" s="2">
        <v>151.268</v>
      </c>
      <c r="E44" s="2">
        <v>151.63499999999999</v>
      </c>
      <c r="F44" s="2">
        <v>88826490</v>
      </c>
      <c r="G44" s="2" t="s">
        <v>15</v>
      </c>
      <c r="H44" s="2" t="s">
        <v>16</v>
      </c>
      <c r="I44" s="2" t="s">
        <v>17</v>
      </c>
      <c r="J44" s="3">
        <v>1.8540000000000001</v>
      </c>
      <c r="K44" s="2" t="s">
        <v>63</v>
      </c>
      <c r="L44" s="2">
        <v>2023</v>
      </c>
      <c r="M44" s="2" t="s">
        <v>64</v>
      </c>
      <c r="N44" s="2" t="s">
        <v>21</v>
      </c>
      <c r="O44">
        <f t="shared" si="0"/>
        <v>2.8019999999999925</v>
      </c>
      <c r="P44">
        <f t="shared" si="1"/>
        <v>21.390999999999995</v>
      </c>
    </row>
    <row r="45" spans="1:16" x14ac:dyDescent="0.35">
      <c r="A45" s="9" t="s">
        <v>68</v>
      </c>
      <c r="B45" s="2">
        <v>151.505</v>
      </c>
      <c r="C45" s="2">
        <v>151.82900000000001</v>
      </c>
      <c r="D45" s="2">
        <v>148.97</v>
      </c>
      <c r="E45" s="2">
        <v>149.43600000000001</v>
      </c>
      <c r="F45" s="2">
        <v>56995942</v>
      </c>
      <c r="G45" s="2" t="s">
        <v>15</v>
      </c>
      <c r="H45" s="2" t="s">
        <v>16</v>
      </c>
      <c r="I45" s="2" t="s">
        <v>17</v>
      </c>
      <c r="J45" s="4">
        <v>-1.45</v>
      </c>
      <c r="K45" s="2" t="s">
        <v>63</v>
      </c>
      <c r="L45" s="2">
        <v>2023</v>
      </c>
      <c r="M45" s="2" t="s">
        <v>64</v>
      </c>
      <c r="N45" s="2" t="s">
        <v>23</v>
      </c>
      <c r="O45">
        <f t="shared" si="0"/>
        <v>2.8590000000000089</v>
      </c>
      <c r="P45">
        <f t="shared" si="1"/>
        <v>19.940999999999995</v>
      </c>
    </row>
    <row r="46" spans="1:16" x14ac:dyDescent="0.35">
      <c r="A46" s="9" t="s">
        <v>69</v>
      </c>
      <c r="B46" s="2">
        <v>150.62799999999999</v>
      </c>
      <c r="C46" s="2">
        <v>151.27799999999999</v>
      </c>
      <c r="D46" s="2">
        <v>149.66200000000001</v>
      </c>
      <c r="E46" s="2">
        <v>150.68700000000001</v>
      </c>
      <c r="F46" s="2">
        <v>47888651</v>
      </c>
      <c r="G46" s="2" t="s">
        <v>15</v>
      </c>
      <c r="H46" s="2" t="s">
        <v>16</v>
      </c>
      <c r="I46" s="2" t="s">
        <v>17</v>
      </c>
      <c r="J46" s="3">
        <v>0.83699999999999997</v>
      </c>
      <c r="K46" s="2" t="s">
        <v>63</v>
      </c>
      <c r="L46" s="2">
        <v>2023</v>
      </c>
      <c r="M46" s="2" t="s">
        <v>64</v>
      </c>
      <c r="N46" s="2" t="s">
        <v>21</v>
      </c>
      <c r="O46">
        <f t="shared" si="0"/>
        <v>1.6159999999999854</v>
      </c>
      <c r="P46">
        <f t="shared" si="1"/>
        <v>20.777999999999995</v>
      </c>
    </row>
    <row r="47" spans="1:16" x14ac:dyDescent="0.35">
      <c r="A47" s="9" t="s">
        <v>70</v>
      </c>
      <c r="B47" s="2">
        <v>151.36699999999999</v>
      </c>
      <c r="C47" s="2">
        <v>152.32900000000001</v>
      </c>
      <c r="D47" s="2">
        <v>148.078</v>
      </c>
      <c r="E47" s="2">
        <v>148.43899999999999</v>
      </c>
      <c r="F47" s="2">
        <v>54613474</v>
      </c>
      <c r="G47" s="2" t="s">
        <v>15</v>
      </c>
      <c r="H47" s="2" t="s">
        <v>16</v>
      </c>
      <c r="I47" s="2" t="s">
        <v>17</v>
      </c>
      <c r="J47" s="4">
        <v>-1.492</v>
      </c>
      <c r="K47" s="2" t="s">
        <v>63</v>
      </c>
      <c r="L47" s="2">
        <v>2023</v>
      </c>
      <c r="M47" s="2" t="s">
        <v>64</v>
      </c>
      <c r="N47" s="2" t="s">
        <v>23</v>
      </c>
      <c r="O47">
        <f t="shared" si="0"/>
        <v>4.2510000000000048</v>
      </c>
      <c r="P47">
        <f t="shared" si="1"/>
        <v>19.285999999999994</v>
      </c>
    </row>
    <row r="48" spans="1:16" x14ac:dyDescent="0.35">
      <c r="A48" s="9" t="s">
        <v>71</v>
      </c>
      <c r="B48" s="2">
        <v>148.06399999999999</v>
      </c>
      <c r="C48" s="2">
        <v>148.786</v>
      </c>
      <c r="D48" s="2">
        <v>145.50200000000001</v>
      </c>
      <c r="E48" s="2">
        <v>146.37899999999999</v>
      </c>
      <c r="F48" s="2">
        <v>69565815</v>
      </c>
      <c r="G48" s="2" t="s">
        <v>15</v>
      </c>
      <c r="H48" s="2" t="s">
        <v>16</v>
      </c>
      <c r="I48" s="2" t="s">
        <v>17</v>
      </c>
      <c r="J48" s="4">
        <v>-1.3879999999999999</v>
      </c>
      <c r="K48" s="2" t="s">
        <v>63</v>
      </c>
      <c r="L48" s="2">
        <v>2023</v>
      </c>
      <c r="M48" s="2" t="s">
        <v>64</v>
      </c>
      <c r="N48" s="2" t="s">
        <v>23</v>
      </c>
      <c r="O48">
        <f t="shared" si="0"/>
        <v>3.2839999999999918</v>
      </c>
      <c r="P48">
        <f t="shared" si="1"/>
        <v>17.897999999999996</v>
      </c>
    </row>
    <row r="49" spans="1:16" x14ac:dyDescent="0.35">
      <c r="A49" s="9" t="s">
        <v>72</v>
      </c>
      <c r="B49" s="2">
        <v>145.69399999999999</v>
      </c>
      <c r="C49" s="2">
        <v>150.953</v>
      </c>
      <c r="D49" s="2">
        <v>145.59</v>
      </c>
      <c r="E49" s="2">
        <v>148.32</v>
      </c>
      <c r="F49" s="2">
        <v>85680661</v>
      </c>
      <c r="G49" s="2" t="s">
        <v>15</v>
      </c>
      <c r="H49" s="2" t="s">
        <v>16</v>
      </c>
      <c r="I49" s="2" t="s">
        <v>17</v>
      </c>
      <c r="J49" s="3">
        <v>1.3260000000000001</v>
      </c>
      <c r="K49" s="2" t="s">
        <v>63</v>
      </c>
      <c r="L49" s="2">
        <v>2023</v>
      </c>
      <c r="M49" s="2" t="s">
        <v>64</v>
      </c>
      <c r="N49" s="2" t="s">
        <v>21</v>
      </c>
      <c r="O49">
        <f t="shared" si="0"/>
        <v>5.3629999999999995</v>
      </c>
      <c r="P49">
        <f t="shared" si="1"/>
        <v>19.223999999999997</v>
      </c>
    </row>
    <row r="50" spans="1:16" x14ac:dyDescent="0.35">
      <c r="A50" s="9" t="s">
        <v>73</v>
      </c>
      <c r="B50" s="2">
        <v>149.11799999999999</v>
      </c>
      <c r="C50" s="2">
        <v>151.209</v>
      </c>
      <c r="D50" s="2">
        <v>147.95699999999999</v>
      </c>
      <c r="E50" s="2">
        <v>150.411</v>
      </c>
      <c r="F50" s="2">
        <v>74763532</v>
      </c>
      <c r="G50" s="2" t="s">
        <v>15</v>
      </c>
      <c r="H50" s="2" t="s">
        <v>16</v>
      </c>
      <c r="I50" s="2" t="s">
        <v>17</v>
      </c>
      <c r="J50" s="3">
        <v>1.41</v>
      </c>
      <c r="K50" s="2" t="s">
        <v>63</v>
      </c>
      <c r="L50" s="2">
        <v>2023</v>
      </c>
      <c r="M50" s="2" t="s">
        <v>64</v>
      </c>
      <c r="N50" s="2" t="s">
        <v>21</v>
      </c>
      <c r="O50">
        <f t="shared" si="0"/>
        <v>3.2520000000000095</v>
      </c>
      <c r="P50">
        <f t="shared" si="1"/>
        <v>20.633999999999997</v>
      </c>
    </row>
    <row r="51" spans="1:16" x14ac:dyDescent="0.35">
      <c r="A51" s="9" t="s">
        <v>74</v>
      </c>
      <c r="B51" s="2">
        <v>149.03</v>
      </c>
      <c r="C51" s="2">
        <v>151.05600000000001</v>
      </c>
      <c r="D51" s="2">
        <v>147.78100000000001</v>
      </c>
      <c r="E51" s="2">
        <v>150.80600000000001</v>
      </c>
      <c r="F51" s="2">
        <v>78285805</v>
      </c>
      <c r="G51" s="2" t="s">
        <v>15</v>
      </c>
      <c r="H51" s="2" t="s">
        <v>16</v>
      </c>
      <c r="I51" s="2" t="s">
        <v>17</v>
      </c>
      <c r="J51" s="3">
        <v>0.26300000000000001</v>
      </c>
      <c r="K51" s="2" t="s">
        <v>63</v>
      </c>
      <c r="L51" s="2">
        <v>2023</v>
      </c>
      <c r="M51" s="2" t="s">
        <v>64</v>
      </c>
      <c r="N51" s="2" t="s">
        <v>21</v>
      </c>
      <c r="O51">
        <f t="shared" si="0"/>
        <v>3.2750000000000057</v>
      </c>
      <c r="P51">
        <f t="shared" si="1"/>
        <v>20.896999999999998</v>
      </c>
    </row>
    <row r="52" spans="1:16" x14ac:dyDescent="0.35">
      <c r="A52" s="9" t="s">
        <v>75</v>
      </c>
      <c r="B52" s="2">
        <v>149.98599999999999</v>
      </c>
      <c r="C52" s="2">
        <v>154.22499999999999</v>
      </c>
      <c r="D52" s="2">
        <v>149.476</v>
      </c>
      <c r="E52" s="2">
        <v>153.624</v>
      </c>
      <c r="F52" s="2">
        <v>77359125</v>
      </c>
      <c r="G52" s="2" t="s">
        <v>15</v>
      </c>
      <c r="H52" s="2" t="s">
        <v>16</v>
      </c>
      <c r="I52" s="2" t="s">
        <v>17</v>
      </c>
      <c r="J52" s="3">
        <v>1.869</v>
      </c>
      <c r="K52" s="2" t="s">
        <v>63</v>
      </c>
      <c r="L52" s="2">
        <v>2023</v>
      </c>
      <c r="M52" s="2" t="s">
        <v>64</v>
      </c>
      <c r="N52" s="2" t="s">
        <v>21</v>
      </c>
      <c r="O52">
        <f t="shared" si="0"/>
        <v>4.7489999999999952</v>
      </c>
      <c r="P52">
        <f t="shared" si="1"/>
        <v>22.765999999999998</v>
      </c>
    </row>
    <row r="53" spans="1:16" x14ac:dyDescent="0.35">
      <c r="A53" s="9" t="s">
        <v>76</v>
      </c>
      <c r="B53" s="2">
        <v>153.852</v>
      </c>
      <c r="C53" s="2">
        <v>154.5</v>
      </c>
      <c r="D53" s="2">
        <v>152.077</v>
      </c>
      <c r="E53" s="2">
        <v>152.786</v>
      </c>
      <c r="F53" s="2">
        <v>100378055</v>
      </c>
      <c r="G53" s="2" t="s">
        <v>15</v>
      </c>
      <c r="H53" s="2" t="s">
        <v>16</v>
      </c>
      <c r="I53" s="2" t="s">
        <v>17</v>
      </c>
      <c r="J53" s="4">
        <v>-0.54500000000000004</v>
      </c>
      <c r="K53" s="2" t="s">
        <v>63</v>
      </c>
      <c r="L53" s="2">
        <v>2023</v>
      </c>
      <c r="M53" s="2" t="s">
        <v>64</v>
      </c>
      <c r="N53" s="2" t="s">
        <v>23</v>
      </c>
      <c r="O53">
        <f t="shared" si="0"/>
        <v>2.4230000000000018</v>
      </c>
      <c r="P53">
        <f t="shared" si="1"/>
        <v>22.220999999999997</v>
      </c>
    </row>
    <row r="54" spans="1:16" x14ac:dyDescent="0.35">
      <c r="A54" s="9" t="s">
        <v>77</v>
      </c>
      <c r="B54" s="2">
        <v>152.85599999999999</v>
      </c>
      <c r="C54" s="2">
        <v>155.565</v>
      </c>
      <c r="D54" s="2">
        <v>151.94800000000001</v>
      </c>
      <c r="E54" s="2">
        <v>155.15199999999999</v>
      </c>
      <c r="F54" s="2">
        <v>74708265</v>
      </c>
      <c r="G54" s="2" t="s">
        <v>15</v>
      </c>
      <c r="H54" s="2" t="s">
        <v>16</v>
      </c>
      <c r="I54" s="2" t="s">
        <v>17</v>
      </c>
      <c r="J54" s="3">
        <v>1.5489999999999999</v>
      </c>
      <c r="K54" s="2" t="s">
        <v>63</v>
      </c>
      <c r="L54" s="2">
        <v>2023</v>
      </c>
      <c r="M54" s="2" t="s">
        <v>64</v>
      </c>
      <c r="N54" s="2" t="s">
        <v>21</v>
      </c>
      <c r="O54">
        <f t="shared" si="0"/>
        <v>3.6169999999999902</v>
      </c>
      <c r="P54">
        <f t="shared" si="1"/>
        <v>23.769999999999996</v>
      </c>
    </row>
    <row r="55" spans="1:16" x14ac:dyDescent="0.35">
      <c r="A55" s="9" t="s">
        <v>78</v>
      </c>
      <c r="B55" s="2">
        <v>155.07400000000001</v>
      </c>
      <c r="C55" s="2">
        <v>157.12299999999999</v>
      </c>
      <c r="D55" s="2">
        <v>154.30500000000001</v>
      </c>
      <c r="E55" s="2">
        <v>157.005</v>
      </c>
      <c r="F55" s="2">
        <v>75009437</v>
      </c>
      <c r="G55" s="2" t="s">
        <v>15</v>
      </c>
      <c r="H55" s="2" t="s">
        <v>16</v>
      </c>
      <c r="I55" s="2" t="s">
        <v>17</v>
      </c>
      <c r="J55" s="3">
        <v>1.194</v>
      </c>
      <c r="K55" s="2" t="s">
        <v>63</v>
      </c>
      <c r="L55" s="2">
        <v>2023</v>
      </c>
      <c r="M55" s="2" t="s">
        <v>64</v>
      </c>
      <c r="N55" s="2" t="s">
        <v>21</v>
      </c>
      <c r="O55">
        <f t="shared" si="0"/>
        <v>2.8179999999999836</v>
      </c>
      <c r="P55">
        <f t="shared" si="1"/>
        <v>24.963999999999995</v>
      </c>
    </row>
    <row r="56" spans="1:16" x14ac:dyDescent="0.35">
      <c r="A56" s="9" t="s">
        <v>79</v>
      </c>
      <c r="B56" s="2">
        <v>157.024</v>
      </c>
      <c r="C56" s="2">
        <v>159.82499999999999</v>
      </c>
      <c r="D56" s="2">
        <v>155.55500000000001</v>
      </c>
      <c r="E56" s="2">
        <v>155.57499999999999</v>
      </c>
      <c r="F56" s="2">
        <v>76798510</v>
      </c>
      <c r="G56" s="2" t="s">
        <v>15</v>
      </c>
      <c r="H56" s="2" t="s">
        <v>16</v>
      </c>
      <c r="I56" s="2" t="s">
        <v>17</v>
      </c>
      <c r="J56" s="4">
        <v>-0.91100000000000003</v>
      </c>
      <c r="K56" s="2" t="s">
        <v>63</v>
      </c>
      <c r="L56" s="2">
        <v>2023</v>
      </c>
      <c r="M56" s="2" t="s">
        <v>64</v>
      </c>
      <c r="N56" s="2" t="s">
        <v>23</v>
      </c>
      <c r="O56">
        <f t="shared" si="0"/>
        <v>4.2699999999999818</v>
      </c>
      <c r="P56">
        <f t="shared" si="1"/>
        <v>24.052999999999994</v>
      </c>
    </row>
    <row r="57" spans="1:16" x14ac:dyDescent="0.35">
      <c r="A57" s="9" t="s">
        <v>80</v>
      </c>
      <c r="B57" s="2">
        <v>156.56299999999999</v>
      </c>
      <c r="C57" s="2">
        <v>159.24199999999999</v>
      </c>
      <c r="D57" s="2">
        <v>155.429</v>
      </c>
      <c r="E57" s="2">
        <v>156.65899999999999</v>
      </c>
      <c r="F57" s="2">
        <v>68601707</v>
      </c>
      <c r="G57" s="2" t="s">
        <v>15</v>
      </c>
      <c r="H57" s="2" t="s">
        <v>16</v>
      </c>
      <c r="I57" s="2" t="s">
        <v>17</v>
      </c>
      <c r="J57" s="3">
        <v>0.69699999999999995</v>
      </c>
      <c r="K57" s="2" t="s">
        <v>63</v>
      </c>
      <c r="L57" s="2">
        <v>2023</v>
      </c>
      <c r="M57" s="2" t="s">
        <v>64</v>
      </c>
      <c r="N57" s="2" t="s">
        <v>21</v>
      </c>
      <c r="O57">
        <f t="shared" si="0"/>
        <v>3.8129999999999882</v>
      </c>
      <c r="P57">
        <f t="shared" si="1"/>
        <v>24.749999999999993</v>
      </c>
    </row>
    <row r="58" spans="1:16" x14ac:dyDescent="0.35">
      <c r="A58" s="9" t="s">
        <v>81</v>
      </c>
      <c r="B58" s="2">
        <v>156.59200000000001</v>
      </c>
      <c r="C58" s="2">
        <v>158.05000000000001</v>
      </c>
      <c r="D58" s="2">
        <v>155.595</v>
      </c>
      <c r="E58" s="2">
        <v>157.96199999999999</v>
      </c>
      <c r="F58" s="2">
        <v>60114795</v>
      </c>
      <c r="G58" s="2" t="s">
        <v>15</v>
      </c>
      <c r="H58" s="2" t="s">
        <v>16</v>
      </c>
      <c r="I58" s="2" t="s">
        <v>17</v>
      </c>
      <c r="J58" s="3">
        <v>0.83199999999999996</v>
      </c>
      <c r="K58" s="2" t="s">
        <v>63</v>
      </c>
      <c r="L58" s="2">
        <v>2023</v>
      </c>
      <c r="M58" s="2" t="s">
        <v>64</v>
      </c>
      <c r="N58" s="2" t="s">
        <v>21</v>
      </c>
      <c r="O58">
        <f t="shared" si="0"/>
        <v>2.4550000000000125</v>
      </c>
      <c r="P58">
        <f t="shared" si="1"/>
        <v>25.581999999999994</v>
      </c>
    </row>
    <row r="59" spans="1:16" x14ac:dyDescent="0.35">
      <c r="A59" s="9" t="s">
        <v>82</v>
      </c>
      <c r="B59" s="2">
        <v>157.65700000000001</v>
      </c>
      <c r="C59" s="2">
        <v>158.47399999999999</v>
      </c>
      <c r="D59" s="2">
        <v>155.61500000000001</v>
      </c>
      <c r="E59" s="2">
        <v>156.02000000000001</v>
      </c>
      <c r="F59" s="2">
        <v>53149249</v>
      </c>
      <c r="G59" s="2" t="s">
        <v>15</v>
      </c>
      <c r="H59" s="2" t="s">
        <v>16</v>
      </c>
      <c r="I59" s="2" t="s">
        <v>17</v>
      </c>
      <c r="J59" s="4">
        <v>-1.2290000000000001</v>
      </c>
      <c r="K59" s="2" t="s">
        <v>63</v>
      </c>
      <c r="L59" s="2">
        <v>2023</v>
      </c>
      <c r="M59" s="2" t="s">
        <v>64</v>
      </c>
      <c r="N59" s="2" t="s">
        <v>23</v>
      </c>
      <c r="O59">
        <f t="shared" si="0"/>
        <v>2.8589999999999804</v>
      </c>
      <c r="P59">
        <f t="shared" si="1"/>
        <v>24.352999999999994</v>
      </c>
    </row>
    <row r="60" spans="1:16" x14ac:dyDescent="0.35">
      <c r="A60" s="9" t="s">
        <v>83</v>
      </c>
      <c r="B60" s="2">
        <v>155.714</v>
      </c>
      <c r="C60" s="2">
        <v>156.226</v>
      </c>
      <c r="D60" s="2">
        <v>153.75299999999999</v>
      </c>
      <c r="E60" s="2">
        <v>155.399</v>
      </c>
      <c r="F60" s="2">
        <v>46658445</v>
      </c>
      <c r="G60" s="2" t="s">
        <v>15</v>
      </c>
      <c r="H60" s="2" t="s">
        <v>16</v>
      </c>
      <c r="I60" s="2" t="s">
        <v>17</v>
      </c>
      <c r="J60" s="4">
        <v>-0.39800000000000002</v>
      </c>
      <c r="K60" s="2" t="s">
        <v>63</v>
      </c>
      <c r="L60" s="2">
        <v>2023</v>
      </c>
      <c r="M60" s="2" t="s">
        <v>64</v>
      </c>
      <c r="N60" s="2" t="s">
        <v>23</v>
      </c>
      <c r="O60">
        <f t="shared" si="0"/>
        <v>2.4730000000000132</v>
      </c>
      <c r="P60">
        <f t="shared" si="1"/>
        <v>23.954999999999995</v>
      </c>
    </row>
    <row r="61" spans="1:16" x14ac:dyDescent="0.35">
      <c r="A61" s="9" t="s">
        <v>84</v>
      </c>
      <c r="B61" s="2">
        <v>157.09399999999999</v>
      </c>
      <c r="C61" s="2">
        <v>158.75</v>
      </c>
      <c r="D61" s="2">
        <v>157.07400000000001</v>
      </c>
      <c r="E61" s="2">
        <v>158.47399999999999</v>
      </c>
      <c r="F61" s="2">
        <v>52048961</v>
      </c>
      <c r="G61" s="2" t="s">
        <v>15</v>
      </c>
      <c r="H61" s="2" t="s">
        <v>16</v>
      </c>
      <c r="I61" s="2" t="s">
        <v>17</v>
      </c>
      <c r="J61" s="3">
        <v>1.9790000000000001</v>
      </c>
      <c r="K61" s="2" t="s">
        <v>63</v>
      </c>
      <c r="L61" s="2">
        <v>2023</v>
      </c>
      <c r="M61" s="2" t="s">
        <v>64</v>
      </c>
      <c r="N61" s="2" t="s">
        <v>21</v>
      </c>
      <c r="O61">
        <f t="shared" si="0"/>
        <v>1.6759999999999877</v>
      </c>
      <c r="P61">
        <f t="shared" si="1"/>
        <v>25.933999999999994</v>
      </c>
    </row>
    <row r="62" spans="1:16" x14ac:dyDescent="0.35">
      <c r="A62" s="9" t="s">
        <v>85</v>
      </c>
      <c r="B62" s="2">
        <v>159.22300000000001</v>
      </c>
      <c r="C62" s="2">
        <v>160.15</v>
      </c>
      <c r="D62" s="2">
        <v>158.96700000000001</v>
      </c>
      <c r="E62" s="2">
        <v>160.041</v>
      </c>
      <c r="F62" s="2">
        <v>50218824</v>
      </c>
      <c r="G62" s="2" t="s">
        <v>15</v>
      </c>
      <c r="H62" s="2" t="s">
        <v>16</v>
      </c>
      <c r="I62" s="2" t="s">
        <v>17</v>
      </c>
      <c r="J62" s="3">
        <v>0.98899999999999999</v>
      </c>
      <c r="K62" s="2" t="s">
        <v>63</v>
      </c>
      <c r="L62" s="2">
        <v>2023</v>
      </c>
      <c r="M62" s="2" t="s">
        <v>64</v>
      </c>
      <c r="N62" s="2" t="s">
        <v>21</v>
      </c>
      <c r="O62">
        <f t="shared" si="0"/>
        <v>1.1829999999999927</v>
      </c>
      <c r="P62">
        <f t="shared" si="1"/>
        <v>26.922999999999995</v>
      </c>
    </row>
    <row r="63" spans="1:16" x14ac:dyDescent="0.35">
      <c r="A63" s="9" t="s">
        <v>86</v>
      </c>
      <c r="B63" s="2">
        <v>160.12</v>
      </c>
      <c r="C63" s="2">
        <v>162.64400000000001</v>
      </c>
      <c r="D63" s="2">
        <v>159.59800000000001</v>
      </c>
      <c r="E63" s="2">
        <v>162.54599999999999</v>
      </c>
      <c r="F63" s="2">
        <v>69745777</v>
      </c>
      <c r="G63" s="2" t="s">
        <v>15</v>
      </c>
      <c r="H63" s="2" t="s">
        <v>16</v>
      </c>
      <c r="I63" s="2" t="s">
        <v>17</v>
      </c>
      <c r="J63" s="3">
        <v>1.5649999999999999</v>
      </c>
      <c r="K63" s="2" t="s">
        <v>63</v>
      </c>
      <c r="L63" s="2">
        <v>2023</v>
      </c>
      <c r="M63" s="2" t="s">
        <v>64</v>
      </c>
      <c r="N63" s="2" t="s">
        <v>21</v>
      </c>
      <c r="O63">
        <f t="shared" si="0"/>
        <v>3.0459999999999923</v>
      </c>
      <c r="P63">
        <f t="shared" si="1"/>
        <v>28.487999999999996</v>
      </c>
    </row>
    <row r="64" spans="1:16" x14ac:dyDescent="0.35">
      <c r="A64" s="9" t="s">
        <v>87</v>
      </c>
      <c r="B64" s="2">
        <v>161.923</v>
      </c>
      <c r="C64" s="2">
        <v>163.916</v>
      </c>
      <c r="D64" s="2">
        <v>161.876</v>
      </c>
      <c r="E64" s="2">
        <v>163.797</v>
      </c>
      <c r="F64" s="2">
        <v>57801606</v>
      </c>
      <c r="G64" s="2" t="s">
        <v>15</v>
      </c>
      <c r="H64" s="2" t="s">
        <v>16</v>
      </c>
      <c r="I64" s="2" t="s">
        <v>17</v>
      </c>
      <c r="J64" s="3">
        <v>0.77</v>
      </c>
      <c r="K64" s="2" t="s">
        <v>88</v>
      </c>
      <c r="L64" s="2">
        <v>2023</v>
      </c>
      <c r="M64" s="2" t="s">
        <v>89</v>
      </c>
      <c r="N64" s="2" t="s">
        <v>21</v>
      </c>
      <c r="O64">
        <f t="shared" si="0"/>
        <v>2.039999999999992</v>
      </c>
      <c r="P64">
        <f t="shared" si="1"/>
        <v>29.257999999999996</v>
      </c>
    </row>
    <row r="65" spans="1:16" x14ac:dyDescent="0.35">
      <c r="A65" s="9" t="s">
        <v>90</v>
      </c>
      <c r="B65" s="2">
        <v>164.21700000000001</v>
      </c>
      <c r="C65" s="2">
        <v>164.45599999999999</v>
      </c>
      <c r="D65" s="2">
        <v>162.75200000000001</v>
      </c>
      <c r="E65" s="2">
        <v>163.26499999999999</v>
      </c>
      <c r="F65" s="2">
        <v>46948732</v>
      </c>
      <c r="G65" s="2" t="s">
        <v>15</v>
      </c>
      <c r="H65" s="2" t="s">
        <v>16</v>
      </c>
      <c r="I65" s="2" t="s">
        <v>17</v>
      </c>
      <c r="J65" s="4">
        <v>-0.32500000000000001</v>
      </c>
      <c r="K65" s="2" t="s">
        <v>88</v>
      </c>
      <c r="L65" s="2">
        <v>2023</v>
      </c>
      <c r="M65" s="2" t="s">
        <v>89</v>
      </c>
      <c r="N65" s="2" t="s">
        <v>23</v>
      </c>
      <c r="O65">
        <f t="shared" si="0"/>
        <v>1.7039999999999793</v>
      </c>
      <c r="P65">
        <f t="shared" si="1"/>
        <v>28.932999999999996</v>
      </c>
    </row>
    <row r="66" spans="1:16" x14ac:dyDescent="0.35">
      <c r="A66" s="9" t="s">
        <v>91</v>
      </c>
      <c r="B66" s="2">
        <v>162.386</v>
      </c>
      <c r="C66" s="2">
        <v>162.69300000000001</v>
      </c>
      <c r="D66" s="2">
        <v>159.49100000000001</v>
      </c>
      <c r="E66" s="2">
        <v>161.41999999999999</v>
      </c>
      <c r="F66" s="2">
        <v>52257999</v>
      </c>
      <c r="G66" s="2" t="s">
        <v>15</v>
      </c>
      <c r="H66" s="2" t="s">
        <v>16</v>
      </c>
      <c r="I66" s="2" t="s">
        <v>17</v>
      </c>
      <c r="J66" s="4">
        <v>-1.1299999999999999</v>
      </c>
      <c r="K66" s="2" t="s">
        <v>88</v>
      </c>
      <c r="L66" s="2">
        <v>2023</v>
      </c>
      <c r="M66" s="2" t="s">
        <v>89</v>
      </c>
      <c r="N66" s="2" t="s">
        <v>23</v>
      </c>
      <c r="O66">
        <f t="shared" si="0"/>
        <v>3.2019999999999982</v>
      </c>
      <c r="P66">
        <f t="shared" si="1"/>
        <v>27.802999999999997</v>
      </c>
    </row>
    <row r="67" spans="1:16" x14ac:dyDescent="0.35">
      <c r="A67" s="9" t="s">
        <v>92</v>
      </c>
      <c r="B67" s="2">
        <v>160.11000000000001</v>
      </c>
      <c r="C67" s="2">
        <v>162.60400000000001</v>
      </c>
      <c r="D67" s="2">
        <v>159.68600000000001</v>
      </c>
      <c r="E67" s="2">
        <v>162.309</v>
      </c>
      <c r="F67" s="2">
        <v>46047693</v>
      </c>
      <c r="G67" s="2" t="s">
        <v>15</v>
      </c>
      <c r="H67" s="2" t="s">
        <v>16</v>
      </c>
      <c r="I67" s="2" t="s">
        <v>17</v>
      </c>
      <c r="J67" s="3">
        <v>0.55100000000000005</v>
      </c>
      <c r="K67" s="2" t="s">
        <v>88</v>
      </c>
      <c r="L67" s="2">
        <v>2023</v>
      </c>
      <c r="M67" s="2" t="s">
        <v>89</v>
      </c>
      <c r="N67" s="2" t="s">
        <v>21</v>
      </c>
      <c r="O67">
        <f t="shared" ref="O67:O130" si="2">C67-D67</f>
        <v>2.9180000000000064</v>
      </c>
      <c r="P67">
        <f t="shared" si="1"/>
        <v>28.353999999999996</v>
      </c>
    </row>
    <row r="68" spans="1:16" x14ac:dyDescent="0.35">
      <c r="A68" s="9" t="s">
        <v>93</v>
      </c>
      <c r="B68" s="2">
        <v>159.11600000000001</v>
      </c>
      <c r="C68" s="2">
        <v>159.71600000000001</v>
      </c>
      <c r="D68" s="2">
        <v>157.79300000000001</v>
      </c>
      <c r="E68" s="2">
        <v>159.71600000000001</v>
      </c>
      <c r="F68" s="2">
        <v>48408161</v>
      </c>
      <c r="G68" s="2" t="s">
        <v>15</v>
      </c>
      <c r="H68" s="2" t="s">
        <v>16</v>
      </c>
      <c r="I68" s="2" t="s">
        <v>17</v>
      </c>
      <c r="J68" s="4">
        <v>-1.5980000000000001</v>
      </c>
      <c r="K68" s="2" t="s">
        <v>88</v>
      </c>
      <c r="L68" s="2">
        <v>2023</v>
      </c>
      <c r="M68" s="2" t="s">
        <v>89</v>
      </c>
      <c r="N68" s="2" t="s">
        <v>23</v>
      </c>
      <c r="O68">
        <f t="shared" si="2"/>
        <v>1.9230000000000018</v>
      </c>
      <c r="P68">
        <f t="shared" ref="P68:P131" si="3">IF(G68=G67, P67+J68, J68)</f>
        <v>26.755999999999997</v>
      </c>
    </row>
    <row r="69" spans="1:16" x14ac:dyDescent="0.35">
      <c r="A69" s="9" t="s">
        <v>94</v>
      </c>
      <c r="B69" s="2">
        <v>160.03200000000001</v>
      </c>
      <c r="C69" s="2">
        <v>160.041</v>
      </c>
      <c r="D69" s="2">
        <v>158.21700000000001</v>
      </c>
      <c r="E69" s="2">
        <v>158.50399999999999</v>
      </c>
      <c r="F69" s="2">
        <v>48334443</v>
      </c>
      <c r="G69" s="2" t="s">
        <v>15</v>
      </c>
      <c r="H69" s="2" t="s">
        <v>16</v>
      </c>
      <c r="I69" s="2" t="s">
        <v>17</v>
      </c>
      <c r="J69" s="4">
        <v>-0.75900000000000001</v>
      </c>
      <c r="K69" s="2" t="s">
        <v>88</v>
      </c>
      <c r="L69" s="2">
        <v>2023</v>
      </c>
      <c r="M69" s="2" t="s">
        <v>89</v>
      </c>
      <c r="N69" s="2" t="s">
        <v>23</v>
      </c>
      <c r="O69">
        <f t="shared" si="2"/>
        <v>1.8239999999999839</v>
      </c>
      <c r="P69">
        <f t="shared" si="3"/>
        <v>25.996999999999996</v>
      </c>
    </row>
    <row r="70" spans="1:16" x14ac:dyDescent="0.35">
      <c r="A70" s="9" t="s">
        <v>95</v>
      </c>
      <c r="B70" s="2">
        <v>158.917</v>
      </c>
      <c r="C70" s="2">
        <v>159.74600000000001</v>
      </c>
      <c r="D70" s="2">
        <v>157.499</v>
      </c>
      <c r="E70" s="2">
        <v>157.81299999999999</v>
      </c>
      <c r="F70" s="2">
        <v>50859344</v>
      </c>
      <c r="G70" s="2" t="s">
        <v>15</v>
      </c>
      <c r="H70" s="2" t="s">
        <v>16</v>
      </c>
      <c r="I70" s="2" t="s">
        <v>17</v>
      </c>
      <c r="J70" s="4">
        <v>-0.436</v>
      </c>
      <c r="K70" s="2" t="s">
        <v>88</v>
      </c>
      <c r="L70" s="2">
        <v>2023</v>
      </c>
      <c r="M70" s="2" t="s">
        <v>89</v>
      </c>
      <c r="N70" s="2" t="s">
        <v>23</v>
      </c>
      <c r="O70">
        <f t="shared" si="2"/>
        <v>2.2470000000000141</v>
      </c>
      <c r="P70">
        <f t="shared" si="3"/>
        <v>25.560999999999996</v>
      </c>
    </row>
    <row r="71" spans="1:16" x14ac:dyDescent="0.35">
      <c r="A71" s="9" t="s">
        <v>96</v>
      </c>
      <c r="B71" s="2">
        <v>159.321</v>
      </c>
      <c r="C71" s="2">
        <v>163.43299999999999</v>
      </c>
      <c r="D71" s="2">
        <v>159.11600000000001</v>
      </c>
      <c r="E71" s="2">
        <v>163.19499999999999</v>
      </c>
      <c r="F71" s="2">
        <v>69437228</v>
      </c>
      <c r="G71" s="2" t="s">
        <v>15</v>
      </c>
      <c r="H71" s="2" t="s">
        <v>16</v>
      </c>
      <c r="I71" s="2" t="s">
        <v>17</v>
      </c>
      <c r="J71" s="3">
        <v>3.41</v>
      </c>
      <c r="K71" s="2" t="s">
        <v>88</v>
      </c>
      <c r="L71" s="2">
        <v>2023</v>
      </c>
      <c r="M71" s="2" t="s">
        <v>89</v>
      </c>
      <c r="N71" s="2" t="s">
        <v>21</v>
      </c>
      <c r="O71">
        <f t="shared" si="2"/>
        <v>4.3169999999999789</v>
      </c>
      <c r="P71">
        <f t="shared" si="3"/>
        <v>28.970999999999997</v>
      </c>
    </row>
    <row r="72" spans="1:16" x14ac:dyDescent="0.35">
      <c r="A72" s="9" t="s">
        <v>97</v>
      </c>
      <c r="B72" s="2">
        <v>162.24100000000001</v>
      </c>
      <c r="C72" s="2">
        <v>163.946</v>
      </c>
      <c r="D72" s="2">
        <v>161.47999999999999</v>
      </c>
      <c r="E72" s="2">
        <v>162.851</v>
      </c>
      <c r="F72" s="2">
        <v>50101947</v>
      </c>
      <c r="G72" s="2" t="s">
        <v>15</v>
      </c>
      <c r="H72" s="2" t="s">
        <v>16</v>
      </c>
      <c r="I72" s="2" t="s">
        <v>17</v>
      </c>
      <c r="J72" s="4">
        <v>-0.21099999999999999</v>
      </c>
      <c r="K72" s="2" t="s">
        <v>88</v>
      </c>
      <c r="L72" s="2">
        <v>2023</v>
      </c>
      <c r="M72" s="2" t="s">
        <v>89</v>
      </c>
      <c r="N72" s="2" t="s">
        <v>23</v>
      </c>
      <c r="O72">
        <f t="shared" si="2"/>
        <v>2.4660000000000082</v>
      </c>
      <c r="P72">
        <f t="shared" si="3"/>
        <v>28.759999999999998</v>
      </c>
    </row>
    <row r="73" spans="1:16" x14ac:dyDescent="0.35">
      <c r="A73" s="9" t="s">
        <v>98</v>
      </c>
      <c r="B73" s="2">
        <v>162.732</v>
      </c>
      <c r="C73" s="2">
        <v>163.029</v>
      </c>
      <c r="D73" s="2">
        <v>161.68700000000001</v>
      </c>
      <c r="E73" s="2">
        <v>162.87</v>
      </c>
      <c r="F73" s="2">
        <v>42117666</v>
      </c>
      <c r="G73" s="2" t="s">
        <v>15</v>
      </c>
      <c r="H73" s="2" t="s">
        <v>16</v>
      </c>
      <c r="I73" s="2" t="s">
        <v>17</v>
      </c>
      <c r="J73" s="3">
        <v>1.2E-2</v>
      </c>
      <c r="K73" s="2" t="s">
        <v>88</v>
      </c>
      <c r="L73" s="2">
        <v>2023</v>
      </c>
      <c r="M73" s="2" t="s">
        <v>89</v>
      </c>
      <c r="N73" s="2" t="s">
        <v>21</v>
      </c>
      <c r="O73">
        <f t="shared" si="2"/>
        <v>1.3419999999999845</v>
      </c>
      <c r="P73">
        <f t="shared" si="3"/>
        <v>28.771999999999998</v>
      </c>
    </row>
    <row r="74" spans="1:16" x14ac:dyDescent="0.35">
      <c r="A74" s="9" t="s">
        <v>99</v>
      </c>
      <c r="B74" s="2">
        <v>163.72800000000001</v>
      </c>
      <c r="C74" s="2">
        <v>165.02</v>
      </c>
      <c r="D74" s="2">
        <v>163.285</v>
      </c>
      <c r="E74" s="2">
        <v>164.09299999999999</v>
      </c>
      <c r="F74" s="2">
        <v>50646247</v>
      </c>
      <c r="G74" s="2" t="s">
        <v>15</v>
      </c>
      <c r="H74" s="2" t="s">
        <v>16</v>
      </c>
      <c r="I74" s="2" t="s">
        <v>17</v>
      </c>
      <c r="J74" s="3">
        <v>0.751</v>
      </c>
      <c r="K74" s="2" t="s">
        <v>88</v>
      </c>
      <c r="L74" s="2">
        <v>2023</v>
      </c>
      <c r="M74" s="2" t="s">
        <v>89</v>
      </c>
      <c r="N74" s="2" t="s">
        <v>21</v>
      </c>
      <c r="O74">
        <f t="shared" si="2"/>
        <v>1.7350000000000136</v>
      </c>
      <c r="P74">
        <f t="shared" si="3"/>
        <v>29.523</v>
      </c>
    </row>
    <row r="75" spans="1:16" x14ac:dyDescent="0.35">
      <c r="A75" s="9" t="s">
        <v>100</v>
      </c>
      <c r="B75" s="2">
        <v>163.43299999999999</v>
      </c>
      <c r="C75" s="2">
        <v>165.76</v>
      </c>
      <c r="D75" s="2">
        <v>163.17500000000001</v>
      </c>
      <c r="E75" s="2">
        <v>165.23500000000001</v>
      </c>
      <c r="F75" s="2">
        <v>48411492</v>
      </c>
      <c r="G75" s="2" t="s">
        <v>15</v>
      </c>
      <c r="H75" s="2" t="s">
        <v>16</v>
      </c>
      <c r="I75" s="2" t="s">
        <v>17</v>
      </c>
      <c r="J75" s="3">
        <v>0.69599999999999995</v>
      </c>
      <c r="K75" s="2" t="s">
        <v>88</v>
      </c>
      <c r="L75" s="2">
        <v>2023</v>
      </c>
      <c r="M75" s="2" t="s">
        <v>89</v>
      </c>
      <c r="N75" s="2" t="s">
        <v>21</v>
      </c>
      <c r="O75">
        <f t="shared" si="2"/>
        <v>2.5849999999999795</v>
      </c>
      <c r="P75">
        <f t="shared" si="3"/>
        <v>30.219000000000001</v>
      </c>
    </row>
    <row r="76" spans="1:16" x14ac:dyDescent="0.35">
      <c r="A76" s="9" t="s">
        <v>101</v>
      </c>
      <c r="B76" s="2">
        <v>163.71799999999999</v>
      </c>
      <c r="C76" s="2">
        <v>165.47200000000001</v>
      </c>
      <c r="D76" s="2">
        <v>163.19499999999999</v>
      </c>
      <c r="E76" s="2">
        <v>164.27</v>
      </c>
      <c r="F76" s="2">
        <v>53216318</v>
      </c>
      <c r="G76" s="2" t="s">
        <v>15</v>
      </c>
      <c r="H76" s="2" t="s">
        <v>16</v>
      </c>
      <c r="I76" s="2" t="s">
        <v>17</v>
      </c>
      <c r="J76" s="4">
        <v>-0.58399999999999996</v>
      </c>
      <c r="K76" s="2" t="s">
        <v>88</v>
      </c>
      <c r="L76" s="2">
        <v>2023</v>
      </c>
      <c r="M76" s="2" t="s">
        <v>89</v>
      </c>
      <c r="N76" s="2" t="s">
        <v>23</v>
      </c>
      <c r="O76">
        <f t="shared" si="2"/>
        <v>2.2770000000000152</v>
      </c>
      <c r="P76">
        <f t="shared" si="3"/>
        <v>29.635000000000002</v>
      </c>
    </row>
    <row r="77" spans="1:16" x14ac:dyDescent="0.35">
      <c r="A77" s="9" t="s">
        <v>102</v>
      </c>
      <c r="B77" s="2">
        <v>162.69300000000001</v>
      </c>
      <c r="C77" s="2">
        <v>164.07499999999999</v>
      </c>
      <c r="D77" s="2">
        <v>162.14099999999999</v>
      </c>
      <c r="E77" s="2">
        <v>162.66300000000001</v>
      </c>
      <c r="F77" s="2">
        <v>59182480</v>
      </c>
      <c r="G77" s="2" t="s">
        <v>15</v>
      </c>
      <c r="H77" s="2" t="s">
        <v>16</v>
      </c>
      <c r="I77" s="2" t="s">
        <v>17</v>
      </c>
      <c r="J77" s="4">
        <v>-0.97799999999999998</v>
      </c>
      <c r="K77" s="2" t="s">
        <v>88</v>
      </c>
      <c r="L77" s="2">
        <v>2023</v>
      </c>
      <c r="M77" s="2" t="s">
        <v>89</v>
      </c>
      <c r="N77" s="2" t="s">
        <v>23</v>
      </c>
      <c r="O77">
        <f t="shared" si="2"/>
        <v>1.9339999999999975</v>
      </c>
      <c r="P77">
        <f t="shared" si="3"/>
        <v>28.657</v>
      </c>
    </row>
    <row r="78" spans="1:16" x14ac:dyDescent="0.35">
      <c r="A78" s="9" t="s">
        <v>103</v>
      </c>
      <c r="B78" s="2">
        <v>162.64400000000001</v>
      </c>
      <c r="C78" s="2">
        <v>163.23500000000001</v>
      </c>
      <c r="D78" s="2">
        <v>161.55000000000001</v>
      </c>
      <c r="E78" s="2">
        <v>162.97</v>
      </c>
      <c r="F78" s="2">
        <v>42557308</v>
      </c>
      <c r="G78" s="2" t="s">
        <v>15</v>
      </c>
      <c r="H78" s="2" t="s">
        <v>16</v>
      </c>
      <c r="I78" s="2" t="s">
        <v>17</v>
      </c>
      <c r="J78" s="3">
        <v>0.189</v>
      </c>
      <c r="K78" s="2" t="s">
        <v>88</v>
      </c>
      <c r="L78" s="2">
        <v>2023</v>
      </c>
      <c r="M78" s="2" t="s">
        <v>89</v>
      </c>
      <c r="N78" s="2" t="s">
        <v>21</v>
      </c>
      <c r="O78">
        <f t="shared" si="2"/>
        <v>1.6850000000000023</v>
      </c>
      <c r="P78">
        <f t="shared" si="3"/>
        <v>28.846</v>
      </c>
    </row>
    <row r="79" spans="1:16" x14ac:dyDescent="0.35">
      <c r="A79" s="9" t="s">
        <v>104</v>
      </c>
      <c r="B79" s="2">
        <v>162.83099999999999</v>
      </c>
      <c r="C79" s="2">
        <v>163.93100000000001</v>
      </c>
      <c r="D79" s="2">
        <v>161.39099999999999</v>
      </c>
      <c r="E79" s="2">
        <v>161.43</v>
      </c>
      <c r="F79" s="2">
        <v>49419788</v>
      </c>
      <c r="G79" s="2" t="s">
        <v>15</v>
      </c>
      <c r="H79" s="2" t="s">
        <v>16</v>
      </c>
      <c r="I79" s="2" t="s">
        <v>17</v>
      </c>
      <c r="J79" s="4">
        <v>-0.94499999999999995</v>
      </c>
      <c r="K79" s="2" t="s">
        <v>88</v>
      </c>
      <c r="L79" s="2">
        <v>2023</v>
      </c>
      <c r="M79" s="2" t="s">
        <v>89</v>
      </c>
      <c r="N79" s="2" t="s">
        <v>23</v>
      </c>
      <c r="O79">
        <f t="shared" si="2"/>
        <v>2.5400000000000205</v>
      </c>
      <c r="P79">
        <f t="shared" si="3"/>
        <v>27.901</v>
      </c>
    </row>
    <row r="80" spans="1:16" x14ac:dyDescent="0.35">
      <c r="A80" s="9" t="s">
        <v>105</v>
      </c>
      <c r="B80" s="2">
        <v>160.727</v>
      </c>
      <c r="C80" s="2">
        <v>162.91999999999999</v>
      </c>
      <c r="D80" s="2">
        <v>160.47499999999999</v>
      </c>
      <c r="E80" s="2">
        <v>161.41999999999999</v>
      </c>
      <c r="F80" s="2">
        <v>46157941</v>
      </c>
      <c r="G80" s="2" t="s">
        <v>15</v>
      </c>
      <c r="H80" s="2" t="s">
        <v>16</v>
      </c>
      <c r="I80" s="2" t="s">
        <v>17</v>
      </c>
      <c r="J80" s="4">
        <v>-6.0000000000000001E-3</v>
      </c>
      <c r="K80" s="2" t="s">
        <v>88</v>
      </c>
      <c r="L80" s="2">
        <v>2023</v>
      </c>
      <c r="M80" s="2" t="s">
        <v>89</v>
      </c>
      <c r="N80" s="2" t="s">
        <v>23</v>
      </c>
      <c r="O80">
        <f t="shared" si="2"/>
        <v>2.4449999999999932</v>
      </c>
      <c r="P80">
        <f t="shared" si="3"/>
        <v>27.895</v>
      </c>
    </row>
    <row r="81" spans="1:16" x14ac:dyDescent="0.35">
      <c r="A81" s="9" t="s">
        <v>106</v>
      </c>
      <c r="B81" s="2">
        <v>162.83099999999999</v>
      </c>
      <c r="C81" s="2">
        <v>166.15299999999999</v>
      </c>
      <c r="D81" s="2">
        <v>162.83099999999999</v>
      </c>
      <c r="E81" s="2">
        <v>166.005</v>
      </c>
      <c r="F81" s="2">
        <v>65842575</v>
      </c>
      <c r="G81" s="2" t="s">
        <v>15</v>
      </c>
      <c r="H81" s="2" t="s">
        <v>16</v>
      </c>
      <c r="I81" s="2" t="s">
        <v>17</v>
      </c>
      <c r="J81" s="3">
        <v>2.84</v>
      </c>
      <c r="K81" s="2" t="s">
        <v>88</v>
      </c>
      <c r="L81" s="2">
        <v>2023</v>
      </c>
      <c r="M81" s="2" t="s">
        <v>89</v>
      </c>
      <c r="N81" s="2" t="s">
        <v>21</v>
      </c>
      <c r="O81">
        <f t="shared" si="2"/>
        <v>3.3220000000000027</v>
      </c>
      <c r="P81">
        <f t="shared" si="3"/>
        <v>30.734999999999999</v>
      </c>
    </row>
    <row r="82" spans="1:16" x14ac:dyDescent="0.35">
      <c r="A82" s="9" t="s">
        <v>107</v>
      </c>
      <c r="B82" s="2">
        <v>166.08500000000001</v>
      </c>
      <c r="C82" s="2">
        <v>167.42400000000001</v>
      </c>
      <c r="D82" s="2">
        <v>165.482</v>
      </c>
      <c r="E82" s="2">
        <v>167.256</v>
      </c>
      <c r="F82" s="2">
        <v>56076638</v>
      </c>
      <c r="G82" s="2" t="s">
        <v>15</v>
      </c>
      <c r="H82" s="2" t="s">
        <v>16</v>
      </c>
      <c r="I82" s="2" t="s">
        <v>17</v>
      </c>
      <c r="J82" s="3">
        <v>0.754</v>
      </c>
      <c r="K82" s="2" t="s">
        <v>88</v>
      </c>
      <c r="L82" s="2">
        <v>2023</v>
      </c>
      <c r="M82" s="2" t="s">
        <v>89</v>
      </c>
      <c r="N82" s="2" t="s">
        <v>21</v>
      </c>
      <c r="O82">
        <f t="shared" si="2"/>
        <v>1.9420000000000073</v>
      </c>
      <c r="P82">
        <f t="shared" si="3"/>
        <v>31.489000000000001</v>
      </c>
    </row>
    <row r="83" spans="1:16" x14ac:dyDescent="0.35">
      <c r="A83" s="9" t="s">
        <v>108</v>
      </c>
      <c r="B83" s="2">
        <v>166.863</v>
      </c>
      <c r="C83" s="2">
        <v>168.01499999999999</v>
      </c>
      <c r="D83" s="2">
        <v>166.23099999999999</v>
      </c>
      <c r="E83" s="2">
        <v>167.16900000000001</v>
      </c>
      <c r="F83" s="2">
        <v>53233116</v>
      </c>
      <c r="G83" s="2" t="s">
        <v>15</v>
      </c>
      <c r="H83" s="2" t="s">
        <v>16</v>
      </c>
      <c r="I83" s="2" t="s">
        <v>17</v>
      </c>
      <c r="J83" s="4">
        <v>-5.1999999999999998E-2</v>
      </c>
      <c r="K83" s="2" t="s">
        <v>109</v>
      </c>
      <c r="L83" s="2">
        <v>2023</v>
      </c>
      <c r="M83" s="2" t="s">
        <v>110</v>
      </c>
      <c r="N83" s="2" t="s">
        <v>23</v>
      </c>
      <c r="O83">
        <f t="shared" si="2"/>
        <v>1.7839999999999918</v>
      </c>
      <c r="P83">
        <f t="shared" si="3"/>
        <v>31.437000000000001</v>
      </c>
    </row>
    <row r="84" spans="1:16" x14ac:dyDescent="0.35">
      <c r="A84" s="9" t="s">
        <v>111</v>
      </c>
      <c r="B84" s="2">
        <v>167.661</v>
      </c>
      <c r="C84" s="2">
        <v>167.917</v>
      </c>
      <c r="D84" s="2">
        <v>165.14699999999999</v>
      </c>
      <c r="E84" s="2">
        <v>166.13300000000001</v>
      </c>
      <c r="F84" s="2">
        <v>49127243</v>
      </c>
      <c r="G84" s="2" t="s">
        <v>15</v>
      </c>
      <c r="H84" s="2" t="s">
        <v>16</v>
      </c>
      <c r="I84" s="2" t="s">
        <v>17</v>
      </c>
      <c r="J84" s="4">
        <v>-0.62</v>
      </c>
      <c r="K84" s="2" t="s">
        <v>109</v>
      </c>
      <c r="L84" s="2">
        <v>2023</v>
      </c>
      <c r="M84" s="2" t="s">
        <v>110</v>
      </c>
      <c r="N84" s="2" t="s">
        <v>23</v>
      </c>
      <c r="O84">
        <f t="shared" si="2"/>
        <v>2.7700000000000102</v>
      </c>
      <c r="P84">
        <f t="shared" si="3"/>
        <v>30.817</v>
      </c>
    </row>
    <row r="85" spans="1:16" x14ac:dyDescent="0.35">
      <c r="A85" s="9" t="s">
        <v>112</v>
      </c>
      <c r="B85" s="2">
        <v>167.08</v>
      </c>
      <c r="C85" s="2">
        <v>168.48</v>
      </c>
      <c r="D85" s="2">
        <v>164.774</v>
      </c>
      <c r="E85" s="2">
        <v>165.05799999999999</v>
      </c>
      <c r="F85" s="2">
        <v>66079650</v>
      </c>
      <c r="G85" s="2" t="s">
        <v>15</v>
      </c>
      <c r="H85" s="2" t="s">
        <v>16</v>
      </c>
      <c r="I85" s="2" t="s">
        <v>17</v>
      </c>
      <c r="J85" s="4">
        <v>-0.64700000000000002</v>
      </c>
      <c r="K85" s="2" t="s">
        <v>109</v>
      </c>
      <c r="L85" s="2">
        <v>2023</v>
      </c>
      <c r="M85" s="2" t="s">
        <v>110</v>
      </c>
      <c r="N85" s="2" t="s">
        <v>23</v>
      </c>
      <c r="O85">
        <f t="shared" si="2"/>
        <v>3.7059999999999889</v>
      </c>
      <c r="P85">
        <f t="shared" si="3"/>
        <v>30.17</v>
      </c>
    </row>
    <row r="86" spans="1:16" x14ac:dyDescent="0.35">
      <c r="A86" s="9" t="s">
        <v>113</v>
      </c>
      <c r="B86" s="2">
        <v>162.536</v>
      </c>
      <c r="C86" s="2">
        <v>164.654</v>
      </c>
      <c r="D86" s="2">
        <v>161.96299999999999</v>
      </c>
      <c r="E86" s="2">
        <v>163.423</v>
      </c>
      <c r="F86" s="2">
        <v>82412292</v>
      </c>
      <c r="G86" s="2" t="s">
        <v>15</v>
      </c>
      <c r="H86" s="2" t="s">
        <v>16</v>
      </c>
      <c r="I86" s="2" t="s">
        <v>17</v>
      </c>
      <c r="J86" s="4">
        <v>-0.99099999999999999</v>
      </c>
      <c r="K86" s="2" t="s">
        <v>109</v>
      </c>
      <c r="L86" s="2">
        <v>2023</v>
      </c>
      <c r="M86" s="2" t="s">
        <v>110</v>
      </c>
      <c r="N86" s="2" t="s">
        <v>23</v>
      </c>
      <c r="O86">
        <f t="shared" si="2"/>
        <v>2.6910000000000025</v>
      </c>
      <c r="P86">
        <f t="shared" si="3"/>
        <v>29.179000000000002</v>
      </c>
    </row>
    <row r="87" spans="1:16" x14ac:dyDescent="0.35">
      <c r="A87" s="9" t="s">
        <v>114</v>
      </c>
      <c r="B87" s="2">
        <v>168.53399999999999</v>
      </c>
      <c r="C87" s="2">
        <v>171.81</v>
      </c>
      <c r="D87" s="2">
        <v>168.322</v>
      </c>
      <c r="E87" s="2">
        <v>171.09100000000001</v>
      </c>
      <c r="F87" s="2">
        <v>115096779</v>
      </c>
      <c r="G87" s="2" t="s">
        <v>15</v>
      </c>
      <c r="H87" s="2" t="s">
        <v>16</v>
      </c>
      <c r="I87" s="2" t="s">
        <v>17</v>
      </c>
      <c r="J87" s="3">
        <v>4.6920000000000002</v>
      </c>
      <c r="K87" s="2" t="s">
        <v>109</v>
      </c>
      <c r="L87" s="2">
        <v>2023</v>
      </c>
      <c r="M87" s="2" t="s">
        <v>110</v>
      </c>
      <c r="N87" s="2" t="s">
        <v>21</v>
      </c>
      <c r="O87">
        <f t="shared" si="2"/>
        <v>3.4879999999999995</v>
      </c>
      <c r="P87">
        <f t="shared" si="3"/>
        <v>33.871000000000002</v>
      </c>
    </row>
    <row r="88" spans="1:16" x14ac:dyDescent="0.35">
      <c r="A88" s="9" t="s">
        <v>115</v>
      </c>
      <c r="B88" s="2">
        <v>170.018</v>
      </c>
      <c r="C88" s="2">
        <v>171.36799999999999</v>
      </c>
      <c r="D88" s="2">
        <v>169.65100000000001</v>
      </c>
      <c r="E88" s="2">
        <v>171.02199999999999</v>
      </c>
      <c r="F88" s="2">
        <v>56773531</v>
      </c>
      <c r="G88" s="2" t="s">
        <v>15</v>
      </c>
      <c r="H88" s="2" t="s">
        <v>16</v>
      </c>
      <c r="I88" s="2" t="s">
        <v>17</v>
      </c>
      <c r="J88" s="4">
        <v>-0.04</v>
      </c>
      <c r="K88" s="2" t="s">
        <v>109</v>
      </c>
      <c r="L88" s="2">
        <v>2023</v>
      </c>
      <c r="M88" s="2" t="s">
        <v>110</v>
      </c>
      <c r="N88" s="2" t="s">
        <v>23</v>
      </c>
      <c r="O88">
        <f t="shared" si="2"/>
        <v>1.7169999999999845</v>
      </c>
      <c r="P88">
        <f t="shared" si="3"/>
        <v>33.831000000000003</v>
      </c>
    </row>
    <row r="89" spans="1:16" x14ac:dyDescent="0.35">
      <c r="A89" s="9" t="s">
        <v>116</v>
      </c>
      <c r="B89" s="2">
        <v>170.578</v>
      </c>
      <c r="C89" s="2">
        <v>171.06100000000001</v>
      </c>
      <c r="D89" s="2">
        <v>169.15100000000001</v>
      </c>
      <c r="E89" s="2">
        <v>169.31899999999999</v>
      </c>
      <c r="F89" s="2">
        <v>45983529</v>
      </c>
      <c r="G89" s="2" t="s">
        <v>15</v>
      </c>
      <c r="H89" s="2" t="s">
        <v>16</v>
      </c>
      <c r="I89" s="2" t="s">
        <v>17</v>
      </c>
      <c r="J89" s="4">
        <v>-0.996</v>
      </c>
      <c r="K89" s="2" t="s">
        <v>109</v>
      </c>
      <c r="L89" s="2">
        <v>2023</v>
      </c>
      <c r="M89" s="2" t="s">
        <v>110</v>
      </c>
      <c r="N89" s="2" t="s">
        <v>23</v>
      </c>
      <c r="O89">
        <f t="shared" si="2"/>
        <v>1.9099999999999966</v>
      </c>
      <c r="P89">
        <f t="shared" si="3"/>
        <v>32.835000000000001</v>
      </c>
    </row>
    <row r="90" spans="1:16" x14ac:dyDescent="0.35">
      <c r="A90" s="9" t="s">
        <v>117</v>
      </c>
      <c r="B90" s="2">
        <v>170.54900000000001</v>
      </c>
      <c r="C90" s="2">
        <v>171.54599999999999</v>
      </c>
      <c r="D90" s="2">
        <v>169.446</v>
      </c>
      <c r="E90" s="2">
        <v>171.07599999999999</v>
      </c>
      <c r="F90" s="2">
        <v>54502812</v>
      </c>
      <c r="G90" s="2" t="s">
        <v>15</v>
      </c>
      <c r="H90" s="2" t="s">
        <v>16</v>
      </c>
      <c r="I90" s="2" t="s">
        <v>17</v>
      </c>
      <c r="J90" s="3">
        <v>1.038</v>
      </c>
      <c r="K90" s="2" t="s">
        <v>109</v>
      </c>
      <c r="L90" s="2">
        <v>2023</v>
      </c>
      <c r="M90" s="2" t="s">
        <v>110</v>
      </c>
      <c r="N90" s="2" t="s">
        <v>21</v>
      </c>
      <c r="O90">
        <f t="shared" si="2"/>
        <v>2.0999999999999943</v>
      </c>
      <c r="P90">
        <f t="shared" si="3"/>
        <v>33.872999999999998</v>
      </c>
    </row>
    <row r="91" spans="1:16" x14ac:dyDescent="0.35">
      <c r="A91" s="9" t="s">
        <v>118</v>
      </c>
      <c r="B91" s="2">
        <v>171.36799999999999</v>
      </c>
      <c r="C91" s="2">
        <v>172.09700000000001</v>
      </c>
      <c r="D91" s="2">
        <v>169.71</v>
      </c>
      <c r="E91" s="2">
        <v>171.26900000000001</v>
      </c>
      <c r="F91" s="2">
        <v>50231999</v>
      </c>
      <c r="G91" s="2" t="s">
        <v>15</v>
      </c>
      <c r="H91" s="2" t="s">
        <v>16</v>
      </c>
      <c r="I91" s="2" t="s">
        <v>17</v>
      </c>
      <c r="J91" s="3">
        <v>0.113</v>
      </c>
      <c r="K91" s="2" t="s">
        <v>109</v>
      </c>
      <c r="L91" s="2">
        <v>2023</v>
      </c>
      <c r="M91" s="2" t="s">
        <v>110</v>
      </c>
      <c r="N91" s="2" t="s">
        <v>21</v>
      </c>
      <c r="O91">
        <f t="shared" si="2"/>
        <v>2.3870000000000005</v>
      </c>
      <c r="P91">
        <f t="shared" si="3"/>
        <v>33.985999999999997</v>
      </c>
    </row>
    <row r="92" spans="1:16" x14ac:dyDescent="0.35">
      <c r="A92" s="9" t="s">
        <v>119</v>
      </c>
      <c r="B92" s="2">
        <v>171.37799999999999</v>
      </c>
      <c r="C92" s="2">
        <v>171.81100000000001</v>
      </c>
      <c r="D92" s="2">
        <v>168.79</v>
      </c>
      <c r="E92" s="2">
        <v>170.34200000000001</v>
      </c>
      <c r="F92" s="2">
        <v>46128975</v>
      </c>
      <c r="G92" s="2" t="s">
        <v>15</v>
      </c>
      <c r="H92" s="2" t="s">
        <v>16</v>
      </c>
      <c r="I92" s="2" t="s">
        <v>17</v>
      </c>
      <c r="J92" s="4">
        <v>-0.54100000000000004</v>
      </c>
      <c r="K92" s="2" t="s">
        <v>109</v>
      </c>
      <c r="L92" s="2">
        <v>2023</v>
      </c>
      <c r="M92" s="2" t="s">
        <v>110</v>
      </c>
      <c r="N92" s="2" t="s">
        <v>23</v>
      </c>
      <c r="O92">
        <f t="shared" si="2"/>
        <v>3.021000000000015</v>
      </c>
      <c r="P92">
        <f t="shared" si="3"/>
        <v>33.445</v>
      </c>
    </row>
    <row r="93" spans="1:16" x14ac:dyDescent="0.35">
      <c r="A93" s="9" t="s">
        <v>120</v>
      </c>
      <c r="B93" s="2">
        <v>170.922</v>
      </c>
      <c r="C93" s="2">
        <v>170.97200000000001</v>
      </c>
      <c r="D93" s="2">
        <v>169.25700000000001</v>
      </c>
      <c r="E93" s="2">
        <v>169.84700000000001</v>
      </c>
      <c r="F93" s="2">
        <v>37754322</v>
      </c>
      <c r="G93" s="2" t="s">
        <v>15</v>
      </c>
      <c r="H93" s="2" t="s">
        <v>16</v>
      </c>
      <c r="I93" s="2" t="s">
        <v>17</v>
      </c>
      <c r="J93" s="4">
        <v>-0.29099999999999998</v>
      </c>
      <c r="K93" s="2" t="s">
        <v>109</v>
      </c>
      <c r="L93" s="2">
        <v>2023</v>
      </c>
      <c r="M93" s="2" t="s">
        <v>110</v>
      </c>
      <c r="N93" s="2" t="s">
        <v>23</v>
      </c>
      <c r="O93">
        <f t="shared" si="2"/>
        <v>1.7150000000000034</v>
      </c>
      <c r="P93">
        <f t="shared" si="3"/>
        <v>33.154000000000003</v>
      </c>
    </row>
    <row r="94" spans="1:16" x14ac:dyDescent="0.35">
      <c r="A94" s="9" t="s">
        <v>121</v>
      </c>
      <c r="B94" s="2">
        <v>169.768</v>
      </c>
      <c r="C94" s="2">
        <v>170.90199999999999</v>
      </c>
      <c r="D94" s="2">
        <v>169.578</v>
      </c>
      <c r="E94" s="2">
        <v>169.84700000000001</v>
      </c>
      <c r="F94" s="2">
        <v>42661339</v>
      </c>
      <c r="G94" s="2" t="s">
        <v>15</v>
      </c>
      <c r="H94" s="2" t="s">
        <v>16</v>
      </c>
      <c r="I94" s="2" t="s">
        <v>17</v>
      </c>
      <c r="J94" s="2">
        <v>0</v>
      </c>
      <c r="K94" s="2" t="s">
        <v>109</v>
      </c>
      <c r="L94" s="2">
        <v>2023</v>
      </c>
      <c r="M94" s="2" t="s">
        <v>110</v>
      </c>
      <c r="N94" s="2" t="s">
        <v>122</v>
      </c>
      <c r="O94">
        <f t="shared" si="2"/>
        <v>1.3239999999999839</v>
      </c>
      <c r="P94">
        <f t="shared" si="3"/>
        <v>33.154000000000003</v>
      </c>
    </row>
    <row r="95" spans="1:16" x14ac:dyDescent="0.35">
      <c r="A95" s="9" t="s">
        <v>123</v>
      </c>
      <c r="B95" s="2">
        <v>169.49199999999999</v>
      </c>
      <c r="C95" s="2">
        <v>170.691</v>
      </c>
      <c r="D95" s="2">
        <v>168.21899999999999</v>
      </c>
      <c r="E95" s="2">
        <v>170.459</v>
      </c>
      <c r="F95" s="2">
        <v>58709946</v>
      </c>
      <c r="G95" s="2" t="s">
        <v>15</v>
      </c>
      <c r="H95" s="2" t="s">
        <v>16</v>
      </c>
      <c r="I95" s="2" t="s">
        <v>17</v>
      </c>
      <c r="J95" s="3">
        <v>0.36</v>
      </c>
      <c r="K95" s="2" t="s">
        <v>109</v>
      </c>
      <c r="L95" s="2">
        <v>2023</v>
      </c>
      <c r="M95" s="2" t="s">
        <v>110</v>
      </c>
      <c r="N95" s="2" t="s">
        <v>21</v>
      </c>
      <c r="O95">
        <f t="shared" si="2"/>
        <v>2.4720000000000084</v>
      </c>
      <c r="P95">
        <f t="shared" si="3"/>
        <v>33.514000000000003</v>
      </c>
    </row>
    <row r="96" spans="1:16" x14ac:dyDescent="0.35">
      <c r="A96" s="9" t="s">
        <v>124</v>
      </c>
      <c r="B96" s="2">
        <v>170.76499999999999</v>
      </c>
      <c r="C96" s="2">
        <v>172.976</v>
      </c>
      <c r="D96" s="2">
        <v>170.352</v>
      </c>
      <c r="E96" s="2">
        <v>172.79</v>
      </c>
      <c r="F96" s="2">
        <v>66353733</v>
      </c>
      <c r="G96" s="2" t="s">
        <v>15</v>
      </c>
      <c r="H96" s="2" t="s">
        <v>16</v>
      </c>
      <c r="I96" s="2" t="s">
        <v>17</v>
      </c>
      <c r="J96" s="3">
        <v>1.367</v>
      </c>
      <c r="K96" s="2" t="s">
        <v>109</v>
      </c>
      <c r="L96" s="2">
        <v>2023</v>
      </c>
      <c r="M96" s="2" t="s">
        <v>110</v>
      </c>
      <c r="N96" s="2" t="s">
        <v>21</v>
      </c>
      <c r="O96">
        <f t="shared" si="2"/>
        <v>2.6239999999999952</v>
      </c>
      <c r="P96">
        <f t="shared" si="3"/>
        <v>34.881</v>
      </c>
    </row>
    <row r="97" spans="1:16" x14ac:dyDescent="0.35">
      <c r="A97" s="9" t="s">
        <v>125</v>
      </c>
      <c r="B97" s="2">
        <v>174.11099999999999</v>
      </c>
      <c r="C97" s="2">
        <v>174.11099999999999</v>
      </c>
      <c r="D97" s="2">
        <v>172.68</v>
      </c>
      <c r="E97" s="2">
        <v>172.898</v>
      </c>
      <c r="F97" s="2">
        <v>56539786</v>
      </c>
      <c r="G97" s="2" t="s">
        <v>15</v>
      </c>
      <c r="H97" s="2" t="s">
        <v>16</v>
      </c>
      <c r="I97" s="2" t="s">
        <v>17</v>
      </c>
      <c r="J97" s="3">
        <v>6.3E-2</v>
      </c>
      <c r="K97" s="2" t="s">
        <v>109</v>
      </c>
      <c r="L97" s="2">
        <v>2023</v>
      </c>
      <c r="M97" s="2" t="s">
        <v>110</v>
      </c>
      <c r="N97" s="2" t="s">
        <v>21</v>
      </c>
      <c r="O97">
        <f t="shared" si="2"/>
        <v>1.4309999999999832</v>
      </c>
      <c r="P97">
        <f t="shared" si="3"/>
        <v>34.944000000000003</v>
      </c>
    </row>
    <row r="98" spans="1:16" x14ac:dyDescent="0.35">
      <c r="A98" s="9" t="s">
        <v>126</v>
      </c>
      <c r="B98" s="2">
        <v>171.73099999999999</v>
      </c>
      <c r="C98" s="2">
        <v>172.453</v>
      </c>
      <c r="D98" s="2">
        <v>171.21100000000001</v>
      </c>
      <c r="E98" s="2">
        <v>171.95</v>
      </c>
      <c r="F98" s="2">
        <v>44141092</v>
      </c>
      <c r="G98" s="2" t="s">
        <v>15</v>
      </c>
      <c r="H98" s="2" t="s">
        <v>16</v>
      </c>
      <c r="I98" s="2" t="s">
        <v>17</v>
      </c>
      <c r="J98" s="4">
        <v>-0.54800000000000004</v>
      </c>
      <c r="K98" s="2" t="s">
        <v>109</v>
      </c>
      <c r="L98" s="2">
        <v>2023</v>
      </c>
      <c r="M98" s="2" t="s">
        <v>110</v>
      </c>
      <c r="N98" s="2" t="s">
        <v>23</v>
      </c>
      <c r="O98">
        <f t="shared" si="2"/>
        <v>1.2419999999999902</v>
      </c>
      <c r="P98">
        <f t="shared" si="3"/>
        <v>34.396000000000001</v>
      </c>
    </row>
    <row r="99" spans="1:16" x14ac:dyDescent="0.35">
      <c r="A99" s="9" t="s">
        <v>127</v>
      </c>
      <c r="B99" s="2">
        <v>170.89400000000001</v>
      </c>
      <c r="C99" s="2">
        <v>171.14099999999999</v>
      </c>
      <c r="D99" s="2">
        <v>169.06299999999999</v>
      </c>
      <c r="E99" s="2">
        <v>169.346</v>
      </c>
      <c r="F99" s="2">
        <v>51411331</v>
      </c>
      <c r="G99" s="2" t="s">
        <v>15</v>
      </c>
      <c r="H99" s="2" t="s">
        <v>16</v>
      </c>
      <c r="I99" s="2" t="s">
        <v>17</v>
      </c>
      <c r="J99" s="4">
        <v>-1.514</v>
      </c>
      <c r="K99" s="2" t="s">
        <v>109</v>
      </c>
      <c r="L99" s="2">
        <v>2023</v>
      </c>
      <c r="M99" s="2" t="s">
        <v>110</v>
      </c>
      <c r="N99" s="2" t="s">
        <v>23</v>
      </c>
      <c r="O99">
        <f t="shared" si="2"/>
        <v>2.078000000000003</v>
      </c>
      <c r="P99">
        <f t="shared" si="3"/>
        <v>32.881999999999998</v>
      </c>
    </row>
    <row r="100" spans="1:16" x14ac:dyDescent="0.35">
      <c r="A100" s="9" t="s">
        <v>128</v>
      </c>
      <c r="B100" s="2">
        <v>168.88</v>
      </c>
      <c r="C100" s="2">
        <v>170.191</v>
      </c>
      <c r="D100" s="2">
        <v>168.31899999999999</v>
      </c>
      <c r="E100" s="2">
        <v>169.619</v>
      </c>
      <c r="F100" s="2">
        <v>45734226</v>
      </c>
      <c r="G100" s="2" t="s">
        <v>15</v>
      </c>
      <c r="H100" s="2" t="s">
        <v>16</v>
      </c>
      <c r="I100" s="2" t="s">
        <v>17</v>
      </c>
      <c r="J100" s="3">
        <v>0.161</v>
      </c>
      <c r="K100" s="2" t="s">
        <v>109</v>
      </c>
      <c r="L100" s="2">
        <v>2023</v>
      </c>
      <c r="M100" s="2" t="s">
        <v>110</v>
      </c>
      <c r="N100" s="2" t="s">
        <v>21</v>
      </c>
      <c r="O100">
        <f t="shared" si="2"/>
        <v>1.8720000000000141</v>
      </c>
      <c r="P100">
        <f t="shared" si="3"/>
        <v>33.042999999999999</v>
      </c>
    </row>
    <row r="101" spans="1:16" x14ac:dyDescent="0.35">
      <c r="A101" s="9" t="s">
        <v>129</v>
      </c>
      <c r="B101" s="2">
        <v>170.18199999999999</v>
      </c>
      <c r="C101" s="2">
        <v>171.64699999999999</v>
      </c>
      <c r="D101" s="2">
        <v>169.47200000000001</v>
      </c>
      <c r="E101" s="2">
        <v>170.755</v>
      </c>
      <c r="F101" s="2">
        <v>56791824</v>
      </c>
      <c r="G101" s="2" t="s">
        <v>15</v>
      </c>
      <c r="H101" s="2" t="s">
        <v>16</v>
      </c>
      <c r="I101" s="2" t="s">
        <v>17</v>
      </c>
      <c r="J101" s="3">
        <v>0.67</v>
      </c>
      <c r="K101" s="2" t="s">
        <v>109</v>
      </c>
      <c r="L101" s="2">
        <v>2023</v>
      </c>
      <c r="M101" s="2" t="s">
        <v>110</v>
      </c>
      <c r="N101" s="2" t="s">
        <v>21</v>
      </c>
      <c r="O101">
        <f t="shared" si="2"/>
        <v>2.1749999999999829</v>
      </c>
      <c r="P101">
        <f t="shared" si="3"/>
        <v>33.713000000000001</v>
      </c>
    </row>
    <row r="102" spans="1:16" x14ac:dyDescent="0.35">
      <c r="A102" s="9" t="s">
        <v>130</v>
      </c>
      <c r="B102" s="2">
        <v>171.08099999999999</v>
      </c>
      <c r="C102" s="2">
        <v>173.501</v>
      </c>
      <c r="D102" s="2">
        <v>170.874</v>
      </c>
      <c r="E102" s="2">
        <v>173.16200000000001</v>
      </c>
      <c r="F102" s="2">
        <v>55552534</v>
      </c>
      <c r="G102" s="2" t="s">
        <v>15</v>
      </c>
      <c r="H102" s="2" t="s">
        <v>16</v>
      </c>
      <c r="I102" s="2" t="s">
        <v>17</v>
      </c>
      <c r="J102" s="3">
        <v>1.41</v>
      </c>
      <c r="K102" s="2" t="s">
        <v>109</v>
      </c>
      <c r="L102" s="2">
        <v>2023</v>
      </c>
      <c r="M102" s="2" t="s">
        <v>110</v>
      </c>
      <c r="N102" s="2" t="s">
        <v>21</v>
      </c>
      <c r="O102">
        <f t="shared" si="2"/>
        <v>2.6270000000000095</v>
      </c>
      <c r="P102">
        <f t="shared" si="3"/>
        <v>35.122999999999998</v>
      </c>
    </row>
    <row r="103" spans="1:16" x14ac:dyDescent="0.35">
      <c r="A103" s="9" t="s">
        <v>131</v>
      </c>
      <c r="B103" s="2">
        <v>174.673</v>
      </c>
      <c r="C103" s="2">
        <v>176.68</v>
      </c>
      <c r="D103" s="2">
        <v>174.291</v>
      </c>
      <c r="E103" s="2">
        <v>175.01</v>
      </c>
      <c r="F103" s="2">
        <v>56696739</v>
      </c>
      <c r="G103" s="2" t="s">
        <v>15</v>
      </c>
      <c r="H103" s="2" t="s">
        <v>16</v>
      </c>
      <c r="I103" s="2" t="s">
        <v>17</v>
      </c>
      <c r="J103" s="3">
        <v>1.0669999999999999</v>
      </c>
      <c r="K103" s="2" t="s">
        <v>109</v>
      </c>
      <c r="L103" s="2">
        <v>2023</v>
      </c>
      <c r="M103" s="2" t="s">
        <v>110</v>
      </c>
      <c r="N103" s="2" t="s">
        <v>21</v>
      </c>
      <c r="O103">
        <f t="shared" si="2"/>
        <v>2.38900000000001</v>
      </c>
      <c r="P103">
        <f t="shared" si="3"/>
        <v>36.19</v>
      </c>
    </row>
    <row r="104" spans="1:16" x14ac:dyDescent="0.35">
      <c r="A104" s="9" t="s">
        <v>132</v>
      </c>
      <c r="B104" s="2">
        <v>175.035</v>
      </c>
      <c r="C104" s="2">
        <v>177.03299999999999</v>
      </c>
      <c r="D104" s="2">
        <v>174.47900000000001</v>
      </c>
      <c r="E104" s="2">
        <v>174.96</v>
      </c>
      <c r="F104" s="2">
        <v>100928964</v>
      </c>
      <c r="G104" s="2" t="s">
        <v>15</v>
      </c>
      <c r="H104" s="2" t="s">
        <v>16</v>
      </c>
      <c r="I104" s="2" t="s">
        <v>17</v>
      </c>
      <c r="J104" s="4">
        <v>-2.9000000000000001E-2</v>
      </c>
      <c r="K104" s="2" t="s">
        <v>109</v>
      </c>
      <c r="L104" s="2">
        <v>2023</v>
      </c>
      <c r="M104" s="2" t="s">
        <v>110</v>
      </c>
      <c r="N104" s="2" t="s">
        <v>23</v>
      </c>
      <c r="O104">
        <f t="shared" si="2"/>
        <v>2.5539999999999736</v>
      </c>
      <c r="P104">
        <f t="shared" si="3"/>
        <v>36.160999999999994</v>
      </c>
    </row>
    <row r="105" spans="1:16" x14ac:dyDescent="0.35">
      <c r="A105" s="9" t="s">
        <v>133</v>
      </c>
      <c r="B105" s="2">
        <v>175.405</v>
      </c>
      <c r="C105" s="2">
        <v>177.79300000000001</v>
      </c>
      <c r="D105" s="2">
        <v>174.64599999999999</v>
      </c>
      <c r="E105" s="2">
        <v>177.76400000000001</v>
      </c>
      <c r="F105" s="2">
        <v>69803444</v>
      </c>
      <c r="G105" s="2" t="s">
        <v>15</v>
      </c>
      <c r="H105" s="2" t="s">
        <v>16</v>
      </c>
      <c r="I105" s="2" t="s">
        <v>17</v>
      </c>
      <c r="J105" s="3">
        <v>1.603</v>
      </c>
      <c r="K105" s="2" t="s">
        <v>134</v>
      </c>
      <c r="L105" s="2">
        <v>2023</v>
      </c>
      <c r="M105" s="2" t="s">
        <v>135</v>
      </c>
      <c r="N105" s="2" t="s">
        <v>21</v>
      </c>
      <c r="O105">
        <f t="shared" si="2"/>
        <v>3.1470000000000198</v>
      </c>
      <c r="P105">
        <f t="shared" si="3"/>
        <v>37.763999999999996</v>
      </c>
    </row>
    <row r="106" spans="1:16" x14ac:dyDescent="0.35">
      <c r="A106" s="9" t="s">
        <v>136</v>
      </c>
      <c r="B106" s="2">
        <v>178.69300000000001</v>
      </c>
      <c r="C106" s="2">
        <v>179.43299999999999</v>
      </c>
      <c r="D106" s="2">
        <v>176.94300000000001</v>
      </c>
      <c r="E106" s="2">
        <v>178.613</v>
      </c>
      <c r="F106" s="2">
        <v>62808192</v>
      </c>
      <c r="G106" s="2" t="s">
        <v>15</v>
      </c>
      <c r="H106" s="2" t="s">
        <v>16</v>
      </c>
      <c r="I106" s="2" t="s">
        <v>17</v>
      </c>
      <c r="J106" s="3">
        <v>0.47799999999999998</v>
      </c>
      <c r="K106" s="2" t="s">
        <v>134</v>
      </c>
      <c r="L106" s="2">
        <v>2023</v>
      </c>
      <c r="M106" s="2" t="s">
        <v>135</v>
      </c>
      <c r="N106" s="2" t="s">
        <v>21</v>
      </c>
      <c r="O106">
        <f t="shared" si="2"/>
        <v>2.4899999999999807</v>
      </c>
      <c r="P106">
        <f t="shared" si="3"/>
        <v>38.241999999999997</v>
      </c>
    </row>
    <row r="107" spans="1:16" x14ac:dyDescent="0.35">
      <c r="A107" s="9" t="s">
        <v>137</v>
      </c>
      <c r="B107" s="2">
        <v>180.27199999999999</v>
      </c>
      <c r="C107" s="2">
        <v>182.56100000000001</v>
      </c>
      <c r="D107" s="2">
        <v>175.73599999999999</v>
      </c>
      <c r="E107" s="2">
        <v>177.26</v>
      </c>
      <c r="F107" s="2">
        <v>123542265</v>
      </c>
      <c r="G107" s="2" t="s">
        <v>15</v>
      </c>
      <c r="H107" s="2" t="s">
        <v>16</v>
      </c>
      <c r="I107" s="2" t="s">
        <v>17</v>
      </c>
      <c r="J107" s="4">
        <v>-0.75800000000000001</v>
      </c>
      <c r="K107" s="2" t="s">
        <v>134</v>
      </c>
      <c r="L107" s="2">
        <v>2023</v>
      </c>
      <c r="M107" s="2" t="s">
        <v>135</v>
      </c>
      <c r="N107" s="2" t="s">
        <v>23</v>
      </c>
      <c r="O107">
        <f t="shared" si="2"/>
        <v>6.8250000000000171</v>
      </c>
      <c r="P107">
        <f t="shared" si="3"/>
        <v>37.483999999999995</v>
      </c>
    </row>
    <row r="108" spans="1:16" x14ac:dyDescent="0.35">
      <c r="A108" s="9" t="s">
        <v>138</v>
      </c>
      <c r="B108" s="2">
        <v>177.64</v>
      </c>
      <c r="C108" s="2">
        <v>177.79300000000001</v>
      </c>
      <c r="D108" s="2">
        <v>175.13900000000001</v>
      </c>
      <c r="E108" s="2">
        <v>176.89400000000001</v>
      </c>
      <c r="F108" s="2">
        <v>65696966</v>
      </c>
      <c r="G108" s="2" t="s">
        <v>15</v>
      </c>
      <c r="H108" s="2" t="s">
        <v>16</v>
      </c>
      <c r="I108" s="2" t="s">
        <v>17</v>
      </c>
      <c r="J108" s="4">
        <v>-0.20599999999999999</v>
      </c>
      <c r="K108" s="2" t="s">
        <v>134</v>
      </c>
      <c r="L108" s="2">
        <v>2023</v>
      </c>
      <c r="M108" s="2" t="s">
        <v>135</v>
      </c>
      <c r="N108" s="2" t="s">
        <v>23</v>
      </c>
      <c r="O108">
        <f t="shared" si="2"/>
        <v>2.6539999999999964</v>
      </c>
      <c r="P108">
        <f t="shared" si="3"/>
        <v>37.277999999999992</v>
      </c>
    </row>
    <row r="109" spans="1:16" x14ac:dyDescent="0.35">
      <c r="A109" s="9" t="s">
        <v>139</v>
      </c>
      <c r="B109" s="2">
        <v>176.13399999999999</v>
      </c>
      <c r="C109" s="2">
        <v>178.87100000000001</v>
      </c>
      <c r="D109" s="2">
        <v>175.03</v>
      </c>
      <c r="E109" s="2">
        <v>175.523</v>
      </c>
      <c r="F109" s="2">
        <v>62755209</v>
      </c>
      <c r="G109" s="2" t="s">
        <v>15</v>
      </c>
      <c r="H109" s="2" t="s">
        <v>16</v>
      </c>
      <c r="I109" s="2" t="s">
        <v>17</v>
      </c>
      <c r="J109" s="4">
        <v>-0.77500000000000002</v>
      </c>
      <c r="K109" s="2" t="s">
        <v>134</v>
      </c>
      <c r="L109" s="2">
        <v>2023</v>
      </c>
      <c r="M109" s="2" t="s">
        <v>135</v>
      </c>
      <c r="N109" s="2" t="s">
        <v>23</v>
      </c>
      <c r="O109">
        <f t="shared" si="2"/>
        <v>3.8410000000000082</v>
      </c>
      <c r="P109">
        <f t="shared" si="3"/>
        <v>36.502999999999993</v>
      </c>
    </row>
    <row r="110" spans="1:16" x14ac:dyDescent="0.35">
      <c r="A110" s="9" t="s">
        <v>140</v>
      </c>
      <c r="B110" s="2">
        <v>175.59700000000001</v>
      </c>
      <c r="C110" s="2">
        <v>178.50399999999999</v>
      </c>
      <c r="D110" s="2">
        <v>175.16900000000001</v>
      </c>
      <c r="E110" s="2">
        <v>178.23599999999999</v>
      </c>
      <c r="F110" s="2">
        <v>50871982</v>
      </c>
      <c r="G110" s="2" t="s">
        <v>15</v>
      </c>
      <c r="H110" s="2" t="s">
        <v>16</v>
      </c>
      <c r="I110" s="2" t="s">
        <v>17</v>
      </c>
      <c r="J110" s="3">
        <v>1.546</v>
      </c>
      <c r="K110" s="2" t="s">
        <v>134</v>
      </c>
      <c r="L110" s="2">
        <v>2023</v>
      </c>
      <c r="M110" s="2" t="s">
        <v>135</v>
      </c>
      <c r="N110" s="2" t="s">
        <v>21</v>
      </c>
      <c r="O110">
        <f t="shared" si="2"/>
        <v>3.3349999999999795</v>
      </c>
      <c r="P110">
        <f t="shared" si="3"/>
        <v>38.048999999999992</v>
      </c>
    </row>
    <row r="111" spans="1:16" x14ac:dyDescent="0.35">
      <c r="A111" s="9" t="s">
        <v>141</v>
      </c>
      <c r="B111" s="2">
        <v>179.154</v>
      </c>
      <c r="C111" s="2">
        <v>179.874</v>
      </c>
      <c r="D111" s="2">
        <v>178.29499999999999</v>
      </c>
      <c r="E111" s="2">
        <v>178.62299999999999</v>
      </c>
      <c r="F111" s="2">
        <v>49539868</v>
      </c>
      <c r="G111" s="2" t="s">
        <v>15</v>
      </c>
      <c r="H111" s="2" t="s">
        <v>16</v>
      </c>
      <c r="I111" s="2" t="s">
        <v>17</v>
      </c>
      <c r="J111" s="3">
        <v>0.217</v>
      </c>
      <c r="K111" s="2" t="s">
        <v>134</v>
      </c>
      <c r="L111" s="2">
        <v>2023</v>
      </c>
      <c r="M111" s="2" t="s">
        <v>135</v>
      </c>
      <c r="N111" s="2" t="s">
        <v>21</v>
      </c>
      <c r="O111">
        <f t="shared" si="2"/>
        <v>1.5790000000000077</v>
      </c>
      <c r="P111">
        <f t="shared" si="3"/>
        <v>38.265999999999991</v>
      </c>
    </row>
    <row r="112" spans="1:16" x14ac:dyDescent="0.35">
      <c r="A112" s="9" t="s">
        <v>142</v>
      </c>
      <c r="B112" s="2">
        <v>178.93</v>
      </c>
      <c r="C112" s="2">
        <v>181.51499999999999</v>
      </c>
      <c r="D112" s="2">
        <v>178.63300000000001</v>
      </c>
      <c r="E112" s="2">
        <v>181.416</v>
      </c>
      <c r="F112" s="2">
        <v>55471507</v>
      </c>
      <c r="G112" s="2" t="s">
        <v>15</v>
      </c>
      <c r="H112" s="2" t="s">
        <v>16</v>
      </c>
      <c r="I112" s="2" t="s">
        <v>17</v>
      </c>
      <c r="J112" s="3">
        <v>1.5640000000000001</v>
      </c>
      <c r="K112" s="2" t="s">
        <v>134</v>
      </c>
      <c r="L112" s="2">
        <v>2023</v>
      </c>
      <c r="M112" s="2" t="s">
        <v>135</v>
      </c>
      <c r="N112" s="2" t="s">
        <v>21</v>
      </c>
      <c r="O112">
        <f t="shared" si="2"/>
        <v>2.8819999999999766</v>
      </c>
      <c r="P112">
        <f t="shared" si="3"/>
        <v>39.829999999999991</v>
      </c>
    </row>
    <row r="113" spans="1:16" x14ac:dyDescent="0.35">
      <c r="A113" s="9" t="s">
        <v>143</v>
      </c>
      <c r="B113" s="2">
        <v>180.43899999999999</v>
      </c>
      <c r="C113" s="2">
        <v>181.77199999999999</v>
      </c>
      <c r="D113" s="2">
        <v>180.08199999999999</v>
      </c>
      <c r="E113" s="2">
        <v>180.94200000000001</v>
      </c>
      <c r="F113" s="2">
        <v>55647920</v>
      </c>
      <c r="G113" s="2" t="s">
        <v>15</v>
      </c>
      <c r="H113" s="2" t="s">
        <v>16</v>
      </c>
      <c r="I113" s="2" t="s">
        <v>17</v>
      </c>
      <c r="J113" s="4">
        <v>-0.26100000000000001</v>
      </c>
      <c r="K113" s="2" t="s">
        <v>134</v>
      </c>
      <c r="L113" s="2">
        <v>2023</v>
      </c>
      <c r="M113" s="2" t="s">
        <v>135</v>
      </c>
      <c r="N113" s="2" t="s">
        <v>23</v>
      </c>
      <c r="O113">
        <f t="shared" si="2"/>
        <v>1.6899999999999977</v>
      </c>
      <c r="P113">
        <f t="shared" si="3"/>
        <v>39.568999999999988</v>
      </c>
    </row>
    <row r="114" spans="1:16" x14ac:dyDescent="0.35">
      <c r="A114" s="9" t="s">
        <v>144</v>
      </c>
      <c r="B114" s="2">
        <v>181.00200000000001</v>
      </c>
      <c r="C114" s="2">
        <v>182.00899999999999</v>
      </c>
      <c r="D114" s="2">
        <v>179.67099999999999</v>
      </c>
      <c r="E114" s="2">
        <v>181.57300000000001</v>
      </c>
      <c r="F114" s="2">
        <v>58214829</v>
      </c>
      <c r="G114" s="2" t="s">
        <v>15</v>
      </c>
      <c r="H114" s="2" t="s">
        <v>16</v>
      </c>
      <c r="I114" s="2" t="s">
        <v>17</v>
      </c>
      <c r="J114" s="3">
        <v>0.34899999999999998</v>
      </c>
      <c r="K114" s="2" t="s">
        <v>134</v>
      </c>
      <c r="L114" s="2">
        <v>2023</v>
      </c>
      <c r="M114" s="2" t="s">
        <v>135</v>
      </c>
      <c r="N114" s="2" t="s">
        <v>21</v>
      </c>
      <c r="O114">
        <f t="shared" si="2"/>
        <v>2.3379999999999939</v>
      </c>
      <c r="P114">
        <f t="shared" si="3"/>
        <v>39.917999999999985</v>
      </c>
    </row>
    <row r="115" spans="1:16" x14ac:dyDescent="0.35">
      <c r="A115" s="9" t="s">
        <v>145</v>
      </c>
      <c r="B115" s="2">
        <v>181.583</v>
      </c>
      <c r="C115" s="2">
        <v>184.11</v>
      </c>
      <c r="D115" s="2">
        <v>181.40600000000001</v>
      </c>
      <c r="E115" s="2">
        <v>183.607</v>
      </c>
      <c r="F115" s="2">
        <v>66289411</v>
      </c>
      <c r="G115" s="2" t="s">
        <v>15</v>
      </c>
      <c r="H115" s="2" t="s">
        <v>16</v>
      </c>
      <c r="I115" s="2" t="s">
        <v>17</v>
      </c>
      <c r="J115" s="3">
        <v>1.1200000000000001</v>
      </c>
      <c r="K115" s="2" t="s">
        <v>134</v>
      </c>
      <c r="L115" s="2">
        <v>2023</v>
      </c>
      <c r="M115" s="2" t="s">
        <v>135</v>
      </c>
      <c r="N115" s="2" t="s">
        <v>21</v>
      </c>
      <c r="O115">
        <f t="shared" si="2"/>
        <v>2.7040000000000077</v>
      </c>
      <c r="P115">
        <f t="shared" si="3"/>
        <v>41.037999999999982</v>
      </c>
    </row>
    <row r="116" spans="1:16" x14ac:dyDescent="0.35">
      <c r="A116" s="9" t="s">
        <v>146</v>
      </c>
      <c r="B116" s="2">
        <v>184.31800000000001</v>
      </c>
      <c r="C116" s="2">
        <v>184.57400000000001</v>
      </c>
      <c r="D116" s="2">
        <v>181.89099999999999</v>
      </c>
      <c r="E116" s="2">
        <v>182.53100000000001</v>
      </c>
      <c r="F116" s="2">
        <v>102581243</v>
      </c>
      <c r="G116" s="2" t="s">
        <v>15</v>
      </c>
      <c r="H116" s="2" t="s">
        <v>16</v>
      </c>
      <c r="I116" s="2" t="s">
        <v>17</v>
      </c>
      <c r="J116" s="4">
        <v>-0.58599999999999997</v>
      </c>
      <c r="K116" s="2" t="s">
        <v>134</v>
      </c>
      <c r="L116" s="2">
        <v>2023</v>
      </c>
      <c r="M116" s="2" t="s">
        <v>135</v>
      </c>
      <c r="N116" s="2" t="s">
        <v>23</v>
      </c>
      <c r="O116">
        <f t="shared" si="2"/>
        <v>2.6830000000000211</v>
      </c>
      <c r="P116">
        <f t="shared" si="3"/>
        <v>40.451999999999984</v>
      </c>
    </row>
    <row r="117" spans="1:16" x14ac:dyDescent="0.35">
      <c r="A117" s="9" t="s">
        <v>147</v>
      </c>
      <c r="B117" s="2">
        <v>182.029</v>
      </c>
      <c r="C117" s="2">
        <v>183.69499999999999</v>
      </c>
      <c r="D117" s="2">
        <v>182.029</v>
      </c>
      <c r="E117" s="2">
        <v>182.62</v>
      </c>
      <c r="F117" s="2">
        <v>50450752</v>
      </c>
      <c r="G117" s="2" t="s">
        <v>15</v>
      </c>
      <c r="H117" s="2" t="s">
        <v>16</v>
      </c>
      <c r="I117" s="2" t="s">
        <v>17</v>
      </c>
      <c r="J117" s="3">
        <v>4.9000000000000002E-2</v>
      </c>
      <c r="K117" s="2" t="s">
        <v>134</v>
      </c>
      <c r="L117" s="2">
        <v>2023</v>
      </c>
      <c r="M117" s="2" t="s">
        <v>135</v>
      </c>
      <c r="N117" s="2" t="s">
        <v>21</v>
      </c>
      <c r="O117">
        <f t="shared" si="2"/>
        <v>1.6659999999999968</v>
      </c>
      <c r="P117">
        <f t="shared" si="3"/>
        <v>40.500999999999983</v>
      </c>
    </row>
    <row r="118" spans="1:16" x14ac:dyDescent="0.35">
      <c r="A118" s="9" t="s">
        <v>148</v>
      </c>
      <c r="B118" s="2">
        <v>182.511</v>
      </c>
      <c r="C118" s="2">
        <v>183.01499999999999</v>
      </c>
      <c r="D118" s="2">
        <v>180.232</v>
      </c>
      <c r="E118" s="2">
        <v>181.583</v>
      </c>
      <c r="F118" s="2">
        <v>50163649</v>
      </c>
      <c r="G118" s="2" t="s">
        <v>15</v>
      </c>
      <c r="H118" s="2" t="s">
        <v>16</v>
      </c>
      <c r="I118" s="2" t="s">
        <v>17</v>
      </c>
      <c r="J118" s="4">
        <v>-0.56799999999999995</v>
      </c>
      <c r="K118" s="2" t="s">
        <v>134</v>
      </c>
      <c r="L118" s="2">
        <v>2023</v>
      </c>
      <c r="M118" s="2" t="s">
        <v>135</v>
      </c>
      <c r="N118" s="2" t="s">
        <v>23</v>
      </c>
      <c r="O118">
        <f t="shared" si="2"/>
        <v>2.782999999999987</v>
      </c>
      <c r="P118">
        <f t="shared" si="3"/>
        <v>39.932999999999986</v>
      </c>
    </row>
    <row r="119" spans="1:16" x14ac:dyDescent="0.35">
      <c r="A119" s="9" t="s">
        <v>149</v>
      </c>
      <c r="B119" s="2">
        <v>181.36600000000001</v>
      </c>
      <c r="C119" s="2">
        <v>184.62899999999999</v>
      </c>
      <c r="D119" s="2">
        <v>181.298</v>
      </c>
      <c r="E119" s="2">
        <v>184.584</v>
      </c>
      <c r="F119" s="2">
        <v>51915913</v>
      </c>
      <c r="G119" s="2" t="s">
        <v>15</v>
      </c>
      <c r="H119" s="2" t="s">
        <v>16</v>
      </c>
      <c r="I119" s="2" t="s">
        <v>17</v>
      </c>
      <c r="J119" s="3">
        <v>1.653</v>
      </c>
      <c r="K119" s="2" t="s">
        <v>134</v>
      </c>
      <c r="L119" s="2">
        <v>2023</v>
      </c>
      <c r="M119" s="2" t="s">
        <v>135</v>
      </c>
      <c r="N119" s="2" t="s">
        <v>21</v>
      </c>
      <c r="O119">
        <f t="shared" si="2"/>
        <v>3.3309999999999889</v>
      </c>
      <c r="P119">
        <f t="shared" si="3"/>
        <v>41.585999999999984</v>
      </c>
    </row>
    <row r="120" spans="1:16" x14ac:dyDescent="0.35">
      <c r="A120" s="9" t="s">
        <v>150</v>
      </c>
      <c r="B120" s="2">
        <v>183.154</v>
      </c>
      <c r="C120" s="2">
        <v>185.137</v>
      </c>
      <c r="D120" s="2">
        <v>182.62</v>
      </c>
      <c r="E120" s="2">
        <v>184.26900000000001</v>
      </c>
      <c r="F120" s="2">
        <v>53812074</v>
      </c>
      <c r="G120" s="2" t="s">
        <v>15</v>
      </c>
      <c r="H120" s="2" t="s">
        <v>16</v>
      </c>
      <c r="I120" s="2" t="s">
        <v>17</v>
      </c>
      <c r="J120" s="4">
        <v>-0.17100000000000001</v>
      </c>
      <c r="K120" s="2" t="s">
        <v>134</v>
      </c>
      <c r="L120" s="2">
        <v>2023</v>
      </c>
      <c r="M120" s="2" t="s">
        <v>135</v>
      </c>
      <c r="N120" s="2" t="s">
        <v>23</v>
      </c>
      <c r="O120">
        <f t="shared" si="2"/>
        <v>2.5169999999999959</v>
      </c>
      <c r="P120">
        <f t="shared" si="3"/>
        <v>41.414999999999985</v>
      </c>
    </row>
    <row r="121" spans="1:16" x14ac:dyDescent="0.35">
      <c r="A121" s="9" t="s">
        <v>151</v>
      </c>
      <c r="B121" s="2">
        <v>184.90299999999999</v>
      </c>
      <c r="C121" s="2">
        <v>185.62100000000001</v>
      </c>
      <c r="D121" s="2">
        <v>182.839</v>
      </c>
      <c r="E121" s="2">
        <v>182.87799999999999</v>
      </c>
      <c r="F121" s="2">
        <v>48717938</v>
      </c>
      <c r="G121" s="2" t="s">
        <v>15</v>
      </c>
      <c r="H121" s="2" t="s">
        <v>16</v>
      </c>
      <c r="I121" s="2" t="s">
        <v>17</v>
      </c>
      <c r="J121" s="4">
        <v>-0.755</v>
      </c>
      <c r="K121" s="2" t="s">
        <v>134</v>
      </c>
      <c r="L121" s="2">
        <v>2023</v>
      </c>
      <c r="M121" s="2" t="s">
        <v>135</v>
      </c>
      <c r="N121" s="2" t="s">
        <v>23</v>
      </c>
      <c r="O121">
        <f t="shared" si="2"/>
        <v>2.7820000000000107</v>
      </c>
      <c r="P121">
        <f t="shared" si="3"/>
        <v>40.659999999999982</v>
      </c>
    </row>
    <row r="122" spans="1:16" x14ac:dyDescent="0.35">
      <c r="A122" s="9" t="s">
        <v>152</v>
      </c>
      <c r="B122" s="2">
        <v>183.488</v>
      </c>
      <c r="C122" s="2">
        <v>185.95699999999999</v>
      </c>
      <c r="D122" s="2">
        <v>183.27199999999999</v>
      </c>
      <c r="E122" s="2">
        <v>185.631</v>
      </c>
      <c r="F122" s="2">
        <v>51394699</v>
      </c>
      <c r="G122" s="2" t="s">
        <v>15</v>
      </c>
      <c r="H122" s="2" t="s">
        <v>16</v>
      </c>
      <c r="I122" s="2" t="s">
        <v>17</v>
      </c>
      <c r="J122" s="3">
        <v>1.5049999999999999</v>
      </c>
      <c r="K122" s="2" t="s">
        <v>134</v>
      </c>
      <c r="L122" s="2">
        <v>2023</v>
      </c>
      <c r="M122" s="2" t="s">
        <v>135</v>
      </c>
      <c r="N122" s="2" t="s">
        <v>21</v>
      </c>
      <c r="O122">
        <f t="shared" si="2"/>
        <v>2.6850000000000023</v>
      </c>
      <c r="P122">
        <f t="shared" si="3"/>
        <v>42.164999999999985</v>
      </c>
    </row>
    <row r="123" spans="1:16" x14ac:dyDescent="0.35">
      <c r="A123" s="9" t="s">
        <v>153</v>
      </c>
      <c r="B123" s="2">
        <v>185.50200000000001</v>
      </c>
      <c r="C123" s="2">
        <v>187.44800000000001</v>
      </c>
      <c r="D123" s="2">
        <v>185.17699999999999</v>
      </c>
      <c r="E123" s="2">
        <v>186.80500000000001</v>
      </c>
      <c r="F123" s="2">
        <v>51887013</v>
      </c>
      <c r="G123" s="2" t="s">
        <v>15</v>
      </c>
      <c r="H123" s="2" t="s">
        <v>16</v>
      </c>
      <c r="I123" s="2" t="s">
        <v>17</v>
      </c>
      <c r="J123" s="3">
        <v>0.63200000000000001</v>
      </c>
      <c r="K123" s="2" t="s">
        <v>134</v>
      </c>
      <c r="L123" s="2">
        <v>2023</v>
      </c>
      <c r="M123" s="2" t="s">
        <v>135</v>
      </c>
      <c r="N123" s="2" t="s">
        <v>21</v>
      </c>
      <c r="O123">
        <f t="shared" si="2"/>
        <v>2.271000000000015</v>
      </c>
      <c r="P123">
        <f t="shared" si="3"/>
        <v>42.796999999999983</v>
      </c>
    </row>
    <row r="124" spans="1:16" x14ac:dyDescent="0.35">
      <c r="A124" s="9" t="s">
        <v>154</v>
      </c>
      <c r="B124" s="2">
        <v>186.64</v>
      </c>
      <c r="C124" s="2">
        <v>187.614</v>
      </c>
      <c r="D124" s="2">
        <v>186.5</v>
      </c>
      <c r="E124" s="2">
        <v>187.14</v>
      </c>
      <c r="F124" s="2">
        <v>46953798</v>
      </c>
      <c r="G124" s="2" t="s">
        <v>15</v>
      </c>
      <c r="H124" s="2" t="s">
        <v>16</v>
      </c>
      <c r="I124" s="2" t="s">
        <v>17</v>
      </c>
      <c r="J124" s="3">
        <v>0.17899999999999999</v>
      </c>
      <c r="K124" s="2" t="s">
        <v>134</v>
      </c>
      <c r="L124" s="2">
        <v>2023</v>
      </c>
      <c r="M124" s="2" t="s">
        <v>135</v>
      </c>
      <c r="N124" s="2" t="s">
        <v>21</v>
      </c>
      <c r="O124">
        <f t="shared" si="2"/>
        <v>1.1140000000000043</v>
      </c>
      <c r="P124">
        <f t="shared" si="3"/>
        <v>42.975999999999985</v>
      </c>
    </row>
    <row r="125" spans="1:16" x14ac:dyDescent="0.35">
      <c r="A125" s="9" t="s">
        <v>155</v>
      </c>
      <c r="B125" s="2">
        <v>189.154</v>
      </c>
      <c r="C125" s="2">
        <v>191.96799999999999</v>
      </c>
      <c r="D125" s="2">
        <v>188.79</v>
      </c>
      <c r="E125" s="2">
        <v>191.46299999999999</v>
      </c>
      <c r="F125" s="2">
        <v>86328299</v>
      </c>
      <c r="G125" s="2" t="s">
        <v>15</v>
      </c>
      <c r="H125" s="2" t="s">
        <v>16</v>
      </c>
      <c r="I125" s="2" t="s">
        <v>17</v>
      </c>
      <c r="J125" s="3">
        <v>2.31</v>
      </c>
      <c r="K125" s="2" t="s">
        <v>134</v>
      </c>
      <c r="L125" s="2">
        <v>2023</v>
      </c>
      <c r="M125" s="2" t="s">
        <v>135</v>
      </c>
      <c r="N125" s="2" t="s">
        <v>21</v>
      </c>
      <c r="O125">
        <f t="shared" si="2"/>
        <v>3.1779999999999973</v>
      </c>
      <c r="P125">
        <f t="shared" si="3"/>
        <v>45.285999999999987</v>
      </c>
    </row>
    <row r="126" spans="1:16" x14ac:dyDescent="0.35">
      <c r="A126" s="9" t="s">
        <v>156</v>
      </c>
      <c r="B126" s="2">
        <v>191.27699999999999</v>
      </c>
      <c r="C126" s="2">
        <v>191.375</v>
      </c>
      <c r="D126" s="2">
        <v>189.28200000000001</v>
      </c>
      <c r="E126" s="2">
        <v>189.97300000000001</v>
      </c>
      <c r="F126" s="2">
        <v>31869853</v>
      </c>
      <c r="G126" s="2" t="s">
        <v>15</v>
      </c>
      <c r="H126" s="2" t="s">
        <v>16</v>
      </c>
      <c r="I126" s="2" t="s">
        <v>17</v>
      </c>
      <c r="J126" s="4">
        <v>-0.77800000000000002</v>
      </c>
      <c r="K126" s="2" t="s">
        <v>157</v>
      </c>
      <c r="L126" s="2">
        <v>2023</v>
      </c>
      <c r="M126" s="2" t="s">
        <v>158</v>
      </c>
      <c r="N126" s="2" t="s">
        <v>23</v>
      </c>
      <c r="O126">
        <f t="shared" si="2"/>
        <v>2.0929999999999893</v>
      </c>
      <c r="P126">
        <f t="shared" si="3"/>
        <v>44.507999999999988</v>
      </c>
    </row>
    <row r="127" spans="1:16" x14ac:dyDescent="0.35">
      <c r="A127" s="9" t="s">
        <v>159</v>
      </c>
      <c r="B127" s="2">
        <v>189.09200000000001</v>
      </c>
      <c r="C127" s="2">
        <v>190.48699999999999</v>
      </c>
      <c r="D127" s="2">
        <v>188.15899999999999</v>
      </c>
      <c r="E127" s="2">
        <v>188.85900000000001</v>
      </c>
      <c r="F127" s="2">
        <v>47534249</v>
      </c>
      <c r="G127" s="2" t="s">
        <v>15</v>
      </c>
      <c r="H127" s="2" t="s">
        <v>16</v>
      </c>
      <c r="I127" s="2" t="s">
        <v>17</v>
      </c>
      <c r="J127" s="4">
        <v>-0.58599999999999997</v>
      </c>
      <c r="K127" s="2" t="s">
        <v>157</v>
      </c>
      <c r="L127" s="2">
        <v>2023</v>
      </c>
      <c r="M127" s="2" t="s">
        <v>158</v>
      </c>
      <c r="N127" s="2" t="s">
        <v>23</v>
      </c>
      <c r="O127">
        <f t="shared" si="2"/>
        <v>2.328000000000003</v>
      </c>
      <c r="P127">
        <f t="shared" si="3"/>
        <v>43.92199999999999</v>
      </c>
    </row>
    <row r="128" spans="1:16" x14ac:dyDescent="0.35">
      <c r="A128" s="9" t="s">
        <v>160</v>
      </c>
      <c r="B128" s="2">
        <v>187.39</v>
      </c>
      <c r="C128" s="2">
        <v>189.54</v>
      </c>
      <c r="D128" s="2">
        <v>186.756</v>
      </c>
      <c r="E128" s="2">
        <v>189.33199999999999</v>
      </c>
      <c r="F128" s="2">
        <v>45746911</v>
      </c>
      <c r="G128" s="2" t="s">
        <v>15</v>
      </c>
      <c r="H128" s="2" t="s">
        <v>16</v>
      </c>
      <c r="I128" s="2" t="s">
        <v>17</v>
      </c>
      <c r="J128" s="3">
        <v>0.25</v>
      </c>
      <c r="K128" s="2" t="s">
        <v>157</v>
      </c>
      <c r="L128" s="2">
        <v>2023</v>
      </c>
      <c r="M128" s="2" t="s">
        <v>158</v>
      </c>
      <c r="N128" s="2" t="s">
        <v>21</v>
      </c>
      <c r="O128">
        <f t="shared" si="2"/>
        <v>2.7839999999999918</v>
      </c>
      <c r="P128">
        <f t="shared" si="3"/>
        <v>44.17199999999999</v>
      </c>
    </row>
    <row r="129" spans="1:16" x14ac:dyDescent="0.35">
      <c r="A129" s="9" t="s">
        <v>161</v>
      </c>
      <c r="B129" s="2">
        <v>188.93700000000001</v>
      </c>
      <c r="C129" s="2">
        <v>190.18100000000001</v>
      </c>
      <c r="D129" s="2">
        <v>187.78100000000001</v>
      </c>
      <c r="E129" s="2">
        <v>188.21700000000001</v>
      </c>
      <c r="F129" s="2">
        <v>47427608</v>
      </c>
      <c r="G129" s="2" t="s">
        <v>15</v>
      </c>
      <c r="H129" s="2" t="s">
        <v>16</v>
      </c>
      <c r="I129" s="2" t="s">
        <v>17</v>
      </c>
      <c r="J129" s="4">
        <v>-0.58899999999999997</v>
      </c>
      <c r="K129" s="2" t="s">
        <v>157</v>
      </c>
      <c r="L129" s="2">
        <v>2023</v>
      </c>
      <c r="M129" s="2" t="s">
        <v>158</v>
      </c>
      <c r="N129" s="2" t="s">
        <v>23</v>
      </c>
      <c r="O129">
        <f t="shared" si="2"/>
        <v>2.4000000000000057</v>
      </c>
      <c r="P129">
        <f t="shared" si="3"/>
        <v>43.582999999999991</v>
      </c>
    </row>
    <row r="130" spans="1:16" x14ac:dyDescent="0.35">
      <c r="A130" s="9" t="s">
        <v>162</v>
      </c>
      <c r="B130" s="2">
        <v>186.815</v>
      </c>
      <c r="C130" s="2">
        <v>187.53800000000001</v>
      </c>
      <c r="D130" s="2">
        <v>184.619</v>
      </c>
      <c r="E130" s="2">
        <v>186.173</v>
      </c>
      <c r="F130" s="2">
        <v>60706292</v>
      </c>
      <c r="G130" s="2" t="s">
        <v>15</v>
      </c>
      <c r="H130" s="2" t="s">
        <v>16</v>
      </c>
      <c r="I130" s="2" t="s">
        <v>17</v>
      </c>
      <c r="J130" s="4">
        <v>-1.0860000000000001</v>
      </c>
      <c r="K130" s="2" t="s">
        <v>157</v>
      </c>
      <c r="L130" s="2">
        <v>2023</v>
      </c>
      <c r="M130" s="2" t="s">
        <v>158</v>
      </c>
      <c r="N130" s="2" t="s">
        <v>23</v>
      </c>
      <c r="O130">
        <f t="shared" si="2"/>
        <v>2.9190000000000111</v>
      </c>
      <c r="P130">
        <f t="shared" si="3"/>
        <v>42.496999999999993</v>
      </c>
    </row>
    <row r="131" spans="1:16" x14ac:dyDescent="0.35">
      <c r="A131" s="9" t="s">
        <v>163</v>
      </c>
      <c r="B131" s="2">
        <v>186.71600000000001</v>
      </c>
      <c r="C131" s="2">
        <v>186.85499999999999</v>
      </c>
      <c r="D131" s="2">
        <v>184.19</v>
      </c>
      <c r="E131" s="2">
        <v>185.65100000000001</v>
      </c>
      <c r="F131" s="2">
        <v>47248415</v>
      </c>
      <c r="G131" s="2" t="s">
        <v>15</v>
      </c>
      <c r="H131" s="2" t="s">
        <v>16</v>
      </c>
      <c r="I131" s="2" t="s">
        <v>17</v>
      </c>
      <c r="J131" s="4">
        <v>-0.28000000000000003</v>
      </c>
      <c r="K131" s="2" t="s">
        <v>157</v>
      </c>
      <c r="L131" s="2">
        <v>2023</v>
      </c>
      <c r="M131" s="2" t="s">
        <v>158</v>
      </c>
      <c r="N131" s="2" t="s">
        <v>23</v>
      </c>
      <c r="O131">
        <f t="shared" ref="O131:O194" si="4">C131-D131</f>
        <v>2.664999999999992</v>
      </c>
      <c r="P131">
        <f t="shared" si="3"/>
        <v>42.216999999999992</v>
      </c>
    </row>
    <row r="132" spans="1:16" x14ac:dyDescent="0.35">
      <c r="A132" s="9" t="s">
        <v>164</v>
      </c>
      <c r="B132" s="2">
        <v>187.23</v>
      </c>
      <c r="C132" s="2">
        <v>189.22300000000001</v>
      </c>
      <c r="D132" s="2">
        <v>186.03399999999999</v>
      </c>
      <c r="E132" s="2">
        <v>187.32</v>
      </c>
      <c r="F132" s="2">
        <v>61545213</v>
      </c>
      <c r="G132" s="2" t="s">
        <v>15</v>
      </c>
      <c r="H132" s="2" t="s">
        <v>16</v>
      </c>
      <c r="I132" s="2" t="s">
        <v>17</v>
      </c>
      <c r="J132" s="3">
        <v>0.89900000000000002</v>
      </c>
      <c r="K132" s="2" t="s">
        <v>157</v>
      </c>
      <c r="L132" s="2">
        <v>2023</v>
      </c>
      <c r="M132" s="2" t="s">
        <v>158</v>
      </c>
      <c r="N132" s="2" t="s">
        <v>21</v>
      </c>
      <c r="O132">
        <f t="shared" si="4"/>
        <v>3.1890000000000214</v>
      </c>
      <c r="P132">
        <f t="shared" ref="P132:P195" si="5">IF(G132=G131, P131+J132, J132)</f>
        <v>43.115999999999993</v>
      </c>
    </row>
    <row r="133" spans="1:16" x14ac:dyDescent="0.35">
      <c r="A133" s="9" t="s">
        <v>165</v>
      </c>
      <c r="B133" s="2">
        <v>188.04</v>
      </c>
      <c r="C133" s="2">
        <v>188.72</v>
      </c>
      <c r="D133" s="2">
        <v>187.33</v>
      </c>
      <c r="E133" s="2">
        <v>188.08</v>
      </c>
      <c r="F133" s="2">
        <v>41883335</v>
      </c>
      <c r="G133" s="2" t="s">
        <v>15</v>
      </c>
      <c r="H133" s="2" t="s">
        <v>16</v>
      </c>
      <c r="I133" s="2" t="s">
        <v>17</v>
      </c>
      <c r="J133" s="3">
        <v>0.40600000000000003</v>
      </c>
      <c r="K133" s="2" t="s">
        <v>157</v>
      </c>
      <c r="L133" s="2">
        <v>2023</v>
      </c>
      <c r="M133" s="2" t="s">
        <v>158</v>
      </c>
      <c r="N133" s="2" t="s">
        <v>21</v>
      </c>
      <c r="O133">
        <f t="shared" si="4"/>
        <v>1.3899999999999864</v>
      </c>
      <c r="P133">
        <f t="shared" si="5"/>
        <v>43.521999999999991</v>
      </c>
    </row>
    <row r="134" spans="1:16" x14ac:dyDescent="0.35">
      <c r="A134" s="9" t="s">
        <v>166</v>
      </c>
      <c r="B134" s="2">
        <v>187.77099999999999</v>
      </c>
      <c r="C134" s="2">
        <v>188.71</v>
      </c>
      <c r="D134" s="2">
        <v>187.18</v>
      </c>
      <c r="E134" s="2">
        <v>188.227</v>
      </c>
      <c r="F134" s="2">
        <v>42160823</v>
      </c>
      <c r="G134" s="2" t="s">
        <v>15</v>
      </c>
      <c r="H134" s="2" t="s">
        <v>16</v>
      </c>
      <c r="I134" s="2" t="s">
        <v>17</v>
      </c>
      <c r="J134" s="3">
        <v>7.8E-2</v>
      </c>
      <c r="K134" s="2" t="s">
        <v>157</v>
      </c>
      <c r="L134" s="2">
        <v>2023</v>
      </c>
      <c r="M134" s="2" t="s">
        <v>158</v>
      </c>
      <c r="N134" s="2" t="s">
        <v>21</v>
      </c>
      <c r="O134">
        <f t="shared" si="4"/>
        <v>1.5300000000000011</v>
      </c>
      <c r="P134">
        <f t="shared" si="5"/>
        <v>43.599999999999994</v>
      </c>
    </row>
    <row r="135" spans="1:16" x14ac:dyDescent="0.35">
      <c r="A135" s="9" t="s">
        <v>167</v>
      </c>
      <c r="B135" s="2">
        <v>189.42099999999999</v>
      </c>
      <c r="C135" s="2">
        <v>191.81200000000001</v>
      </c>
      <c r="D135" s="2">
        <v>189.33199999999999</v>
      </c>
      <c r="E135" s="2">
        <v>191.483</v>
      </c>
      <c r="F135" s="2">
        <v>51181254</v>
      </c>
      <c r="G135" s="2" t="s">
        <v>15</v>
      </c>
      <c r="H135" s="2" t="s">
        <v>16</v>
      </c>
      <c r="I135" s="2" t="s">
        <v>17</v>
      </c>
      <c r="J135" s="3">
        <v>1.73</v>
      </c>
      <c r="K135" s="2" t="s">
        <v>157</v>
      </c>
      <c r="L135" s="2">
        <v>2023</v>
      </c>
      <c r="M135" s="2" t="s">
        <v>158</v>
      </c>
      <c r="N135" s="2" t="s">
        <v>21</v>
      </c>
      <c r="O135">
        <f t="shared" si="4"/>
        <v>2.4800000000000182</v>
      </c>
      <c r="P135">
        <f t="shared" si="5"/>
        <v>45.329999999999991</v>
      </c>
    </row>
    <row r="136" spans="1:16" x14ac:dyDescent="0.35">
      <c r="A136" s="9" t="s">
        <v>168</v>
      </c>
      <c r="B136" s="2">
        <v>190.852</v>
      </c>
      <c r="C136" s="2">
        <v>191.822</v>
      </c>
      <c r="D136" s="2">
        <v>189.929</v>
      </c>
      <c r="E136" s="2">
        <v>191.227</v>
      </c>
      <c r="F136" s="2">
        <v>48986521</v>
      </c>
      <c r="G136" s="2" t="s">
        <v>15</v>
      </c>
      <c r="H136" s="2" t="s">
        <v>16</v>
      </c>
      <c r="I136" s="2" t="s">
        <v>17</v>
      </c>
      <c r="J136" s="4">
        <v>-0.13400000000000001</v>
      </c>
      <c r="K136" s="2" t="s">
        <v>157</v>
      </c>
      <c r="L136" s="2">
        <v>2023</v>
      </c>
      <c r="M136" s="2" t="s">
        <v>158</v>
      </c>
      <c r="N136" s="2" t="s">
        <v>23</v>
      </c>
      <c r="O136">
        <f t="shared" si="4"/>
        <v>1.8930000000000007</v>
      </c>
      <c r="P136">
        <f t="shared" si="5"/>
        <v>45.195999999999991</v>
      </c>
    </row>
    <row r="137" spans="1:16" x14ac:dyDescent="0.35">
      <c r="A137" s="9" t="s">
        <v>169</v>
      </c>
      <c r="B137" s="2">
        <v>190.60599999999999</v>
      </c>
      <c r="C137" s="2">
        <v>195.672</v>
      </c>
      <c r="D137" s="2">
        <v>190.161</v>
      </c>
      <c r="E137" s="2">
        <v>192.58099999999999</v>
      </c>
      <c r="F137" s="2">
        <v>81560825</v>
      </c>
      <c r="G137" s="2" t="s">
        <v>15</v>
      </c>
      <c r="H137" s="2" t="s">
        <v>16</v>
      </c>
      <c r="I137" s="2" t="s">
        <v>17</v>
      </c>
      <c r="J137" s="3">
        <v>0.70799999999999996</v>
      </c>
      <c r="K137" s="2" t="s">
        <v>157</v>
      </c>
      <c r="L137" s="2">
        <v>2023</v>
      </c>
      <c r="M137" s="2" t="s">
        <v>158</v>
      </c>
      <c r="N137" s="2" t="s">
        <v>21</v>
      </c>
      <c r="O137">
        <f t="shared" si="4"/>
        <v>5.5109999999999957</v>
      </c>
      <c r="P137">
        <f t="shared" si="5"/>
        <v>45.903999999999989</v>
      </c>
    </row>
    <row r="138" spans="1:16" x14ac:dyDescent="0.35">
      <c r="A138" s="9" t="s">
        <v>170</v>
      </c>
      <c r="B138" s="2">
        <v>192.571</v>
      </c>
      <c r="C138" s="2">
        <v>193.93199999999999</v>
      </c>
      <c r="D138" s="2">
        <v>190.00800000000001</v>
      </c>
      <c r="E138" s="2">
        <v>190.63499999999999</v>
      </c>
      <c r="F138" s="2">
        <v>60360863</v>
      </c>
      <c r="G138" s="2" t="s">
        <v>15</v>
      </c>
      <c r="H138" s="2" t="s">
        <v>16</v>
      </c>
      <c r="I138" s="2" t="s">
        <v>17</v>
      </c>
      <c r="J138" s="4">
        <v>-1.01</v>
      </c>
      <c r="K138" s="2" t="s">
        <v>157</v>
      </c>
      <c r="L138" s="2">
        <v>2023</v>
      </c>
      <c r="M138" s="2" t="s">
        <v>158</v>
      </c>
      <c r="N138" s="2" t="s">
        <v>23</v>
      </c>
      <c r="O138">
        <f t="shared" si="4"/>
        <v>3.9239999999999782</v>
      </c>
      <c r="P138">
        <f t="shared" si="5"/>
        <v>44.893999999999991</v>
      </c>
    </row>
    <row r="139" spans="1:16" x14ac:dyDescent="0.35">
      <c r="A139" s="9" t="s">
        <v>171</v>
      </c>
      <c r="B139" s="2">
        <v>191.59200000000001</v>
      </c>
      <c r="C139" s="2">
        <v>192.45099999999999</v>
      </c>
      <c r="D139" s="2">
        <v>188.76</v>
      </c>
      <c r="E139" s="2">
        <v>189.46100000000001</v>
      </c>
      <c r="F139" s="2">
        <v>72893229</v>
      </c>
      <c r="G139" s="2" t="s">
        <v>15</v>
      </c>
      <c r="H139" s="2" t="s">
        <v>16</v>
      </c>
      <c r="I139" s="2" t="s">
        <v>17</v>
      </c>
      <c r="J139" s="4">
        <v>-0.61599999999999999</v>
      </c>
      <c r="K139" s="2" t="s">
        <v>157</v>
      </c>
      <c r="L139" s="2">
        <v>2023</v>
      </c>
      <c r="M139" s="2" t="s">
        <v>158</v>
      </c>
      <c r="N139" s="2" t="s">
        <v>23</v>
      </c>
      <c r="O139">
        <f t="shared" si="4"/>
        <v>3.6910000000000025</v>
      </c>
      <c r="P139">
        <f t="shared" si="5"/>
        <v>44.277999999999992</v>
      </c>
    </row>
    <row r="140" spans="1:16" x14ac:dyDescent="0.35">
      <c r="A140" s="9" t="s">
        <v>172</v>
      </c>
      <c r="B140" s="2">
        <v>190.91200000000001</v>
      </c>
      <c r="C140" s="2">
        <v>192.392</v>
      </c>
      <c r="D140" s="2">
        <v>189.76599999999999</v>
      </c>
      <c r="E140" s="2">
        <v>190.261</v>
      </c>
      <c r="F140" s="2">
        <v>46100567</v>
      </c>
      <c r="G140" s="2" t="s">
        <v>15</v>
      </c>
      <c r="H140" s="2" t="s">
        <v>16</v>
      </c>
      <c r="I140" s="2" t="s">
        <v>17</v>
      </c>
      <c r="J140" s="3">
        <v>0.42199999999999999</v>
      </c>
      <c r="K140" s="2" t="s">
        <v>157</v>
      </c>
      <c r="L140" s="2">
        <v>2023</v>
      </c>
      <c r="M140" s="2" t="s">
        <v>158</v>
      </c>
      <c r="N140" s="2" t="s">
        <v>21</v>
      </c>
      <c r="O140">
        <f t="shared" si="4"/>
        <v>2.6260000000000048</v>
      </c>
      <c r="P140">
        <f t="shared" si="5"/>
        <v>44.699999999999989</v>
      </c>
    </row>
    <row r="141" spans="1:16" x14ac:dyDescent="0.35">
      <c r="A141" s="9" t="s">
        <v>173</v>
      </c>
      <c r="B141" s="2">
        <v>190.83199999999999</v>
      </c>
      <c r="C141" s="2">
        <v>191.93</v>
      </c>
      <c r="D141" s="2">
        <v>190.42400000000001</v>
      </c>
      <c r="E141" s="2">
        <v>191.12100000000001</v>
      </c>
      <c r="F141" s="2">
        <v>37771081</v>
      </c>
      <c r="G141" s="2" t="s">
        <v>15</v>
      </c>
      <c r="H141" s="2" t="s">
        <v>16</v>
      </c>
      <c r="I141" s="2" t="s">
        <v>17</v>
      </c>
      <c r="J141" s="3">
        <v>0.45200000000000001</v>
      </c>
      <c r="K141" s="2" t="s">
        <v>157</v>
      </c>
      <c r="L141" s="2">
        <v>2023</v>
      </c>
      <c r="M141" s="2" t="s">
        <v>158</v>
      </c>
      <c r="N141" s="2" t="s">
        <v>21</v>
      </c>
      <c r="O141">
        <f t="shared" si="4"/>
        <v>1.5060000000000002</v>
      </c>
      <c r="P141">
        <f t="shared" si="5"/>
        <v>45.151999999999987</v>
      </c>
    </row>
    <row r="142" spans="1:16" x14ac:dyDescent="0.35">
      <c r="A142" s="9" t="s">
        <v>174</v>
      </c>
      <c r="B142" s="2">
        <v>191.17099999999999</v>
      </c>
      <c r="C142" s="2">
        <v>193.11199999999999</v>
      </c>
      <c r="D142" s="2">
        <v>190.822</v>
      </c>
      <c r="E142" s="2">
        <v>191.988</v>
      </c>
      <c r="F142" s="2">
        <v>48093074</v>
      </c>
      <c r="G142" s="2" t="s">
        <v>15</v>
      </c>
      <c r="H142" s="2" t="s">
        <v>16</v>
      </c>
      <c r="I142" s="2" t="s">
        <v>17</v>
      </c>
      <c r="J142" s="3">
        <v>0.45400000000000001</v>
      </c>
      <c r="K142" s="2" t="s">
        <v>157</v>
      </c>
      <c r="L142" s="2">
        <v>2023</v>
      </c>
      <c r="M142" s="2" t="s">
        <v>158</v>
      </c>
      <c r="N142" s="2" t="s">
        <v>21</v>
      </c>
      <c r="O142">
        <f t="shared" si="4"/>
        <v>2.289999999999992</v>
      </c>
      <c r="P142">
        <f t="shared" si="5"/>
        <v>45.605999999999987</v>
      </c>
    </row>
    <row r="143" spans="1:16" x14ac:dyDescent="0.35">
      <c r="A143" s="9" t="s">
        <v>175</v>
      </c>
      <c r="B143" s="2">
        <v>193.488</v>
      </c>
      <c r="C143" s="2">
        <v>194.65299999999999</v>
      </c>
      <c r="D143" s="2">
        <v>190.06299999999999</v>
      </c>
      <c r="E143" s="2">
        <v>190.72300000000001</v>
      </c>
      <c r="F143" s="2">
        <v>48081234</v>
      </c>
      <c r="G143" s="2" t="s">
        <v>15</v>
      </c>
      <c r="H143" s="2" t="s">
        <v>16</v>
      </c>
      <c r="I143" s="2" t="s">
        <v>17</v>
      </c>
      <c r="J143" s="4">
        <v>-0.65900000000000003</v>
      </c>
      <c r="K143" s="2" t="s">
        <v>157</v>
      </c>
      <c r="L143" s="2">
        <v>2023</v>
      </c>
      <c r="M143" s="2" t="s">
        <v>158</v>
      </c>
      <c r="N143" s="2" t="s">
        <v>23</v>
      </c>
      <c r="O143">
        <f t="shared" si="4"/>
        <v>4.5900000000000034</v>
      </c>
      <c r="P143">
        <f t="shared" si="5"/>
        <v>44.946999999999989</v>
      </c>
    </row>
    <row r="144" spans="1:16" x14ac:dyDescent="0.35">
      <c r="A144" s="9" t="s">
        <v>176</v>
      </c>
      <c r="B144" s="2">
        <v>192.155</v>
      </c>
      <c r="C144" s="2">
        <v>194.08699999999999</v>
      </c>
      <c r="D144" s="2">
        <v>191.63200000000001</v>
      </c>
      <c r="E144" s="2">
        <v>193.30099999999999</v>
      </c>
      <c r="F144" s="2">
        <v>48923374</v>
      </c>
      <c r="G144" s="2" t="s">
        <v>15</v>
      </c>
      <c r="H144" s="2" t="s">
        <v>16</v>
      </c>
      <c r="I144" s="2" t="s">
        <v>17</v>
      </c>
      <c r="J144" s="3">
        <v>1.3520000000000001</v>
      </c>
      <c r="K144" s="2" t="s">
        <v>157</v>
      </c>
      <c r="L144" s="2">
        <v>2023</v>
      </c>
      <c r="M144" s="2" t="s">
        <v>158</v>
      </c>
      <c r="N144" s="2" t="s">
        <v>21</v>
      </c>
      <c r="O144">
        <f t="shared" si="4"/>
        <v>2.4549999999999841</v>
      </c>
      <c r="P144">
        <f t="shared" si="5"/>
        <v>46.298999999999985</v>
      </c>
    </row>
    <row r="145" spans="1:16" x14ac:dyDescent="0.35">
      <c r="A145" s="9" t="s">
        <v>177</v>
      </c>
      <c r="B145" s="2">
        <v>193.52699999999999</v>
      </c>
      <c r="C145" s="2">
        <v>193.952</v>
      </c>
      <c r="D145" s="2">
        <v>192.738</v>
      </c>
      <c r="E145" s="2">
        <v>193.91300000000001</v>
      </c>
      <c r="F145" s="2">
        <v>39332157</v>
      </c>
      <c r="G145" s="2" t="s">
        <v>15</v>
      </c>
      <c r="H145" s="2" t="s">
        <v>16</v>
      </c>
      <c r="I145" s="2" t="s">
        <v>17</v>
      </c>
      <c r="J145" s="3">
        <v>0.317</v>
      </c>
      <c r="K145" s="2" t="s">
        <v>157</v>
      </c>
      <c r="L145" s="2">
        <v>2023</v>
      </c>
      <c r="M145" s="2" t="s">
        <v>158</v>
      </c>
      <c r="N145" s="2" t="s">
        <v>21</v>
      </c>
      <c r="O145">
        <f t="shared" si="4"/>
        <v>1.2139999999999986</v>
      </c>
      <c r="P145">
        <f t="shared" si="5"/>
        <v>46.615999999999985</v>
      </c>
    </row>
    <row r="146" spans="1:16" x14ac:dyDescent="0.35">
      <c r="A146" s="9" t="s">
        <v>178</v>
      </c>
      <c r="B146" s="2">
        <v>193.7</v>
      </c>
      <c r="C146" s="2">
        <v>194.191</v>
      </c>
      <c r="D146" s="2">
        <v>192.75800000000001</v>
      </c>
      <c r="E146" s="2">
        <v>193.077</v>
      </c>
      <c r="F146" s="2">
        <v>35743110</v>
      </c>
      <c r="G146" s="2" t="s">
        <v>15</v>
      </c>
      <c r="H146" s="2" t="s">
        <v>16</v>
      </c>
      <c r="I146" s="2" t="s">
        <v>17</v>
      </c>
      <c r="J146" s="4">
        <v>-0.43099999999999999</v>
      </c>
      <c r="K146" s="2" t="s">
        <v>179</v>
      </c>
      <c r="L146" s="2">
        <v>2023</v>
      </c>
      <c r="M146" s="2" t="s">
        <v>180</v>
      </c>
      <c r="N146" s="2" t="s">
        <v>23</v>
      </c>
      <c r="O146">
        <f t="shared" si="4"/>
        <v>1.4329999999999927</v>
      </c>
      <c r="P146">
        <f t="shared" si="5"/>
        <v>46.184999999999988</v>
      </c>
    </row>
    <row r="147" spans="1:16" x14ac:dyDescent="0.35">
      <c r="A147" s="9" t="s">
        <v>181</v>
      </c>
      <c r="B147" s="2">
        <v>192.52099999999999</v>
      </c>
      <c r="C147" s="2">
        <v>192.661</v>
      </c>
      <c r="D147" s="2">
        <v>189.37299999999999</v>
      </c>
      <c r="E147" s="2">
        <v>190.09299999999999</v>
      </c>
      <c r="F147" s="2">
        <v>51048711</v>
      </c>
      <c r="G147" s="2" t="s">
        <v>15</v>
      </c>
      <c r="H147" s="2" t="s">
        <v>16</v>
      </c>
      <c r="I147" s="2" t="s">
        <v>17</v>
      </c>
      <c r="J147" s="4">
        <v>-1.5449999999999999</v>
      </c>
      <c r="K147" s="2" t="s">
        <v>179</v>
      </c>
      <c r="L147" s="2">
        <v>2023</v>
      </c>
      <c r="M147" s="2" t="s">
        <v>180</v>
      </c>
      <c r="N147" s="2" t="s">
        <v>23</v>
      </c>
      <c r="O147">
        <f t="shared" si="4"/>
        <v>3.2880000000000109</v>
      </c>
      <c r="P147">
        <f t="shared" si="5"/>
        <v>44.639999999999986</v>
      </c>
    </row>
    <row r="148" spans="1:16" x14ac:dyDescent="0.35">
      <c r="A148" s="9" t="s">
        <v>182</v>
      </c>
      <c r="B148" s="2">
        <v>189.09700000000001</v>
      </c>
      <c r="C148" s="2">
        <v>189.88399999999999</v>
      </c>
      <c r="D148" s="2">
        <v>188.227</v>
      </c>
      <c r="E148" s="2">
        <v>188.7</v>
      </c>
      <c r="F148" s="2">
        <v>63057784</v>
      </c>
      <c r="G148" s="2" t="s">
        <v>15</v>
      </c>
      <c r="H148" s="2" t="s">
        <v>16</v>
      </c>
      <c r="I148" s="2" t="s">
        <v>17</v>
      </c>
      <c r="J148" s="4">
        <v>-0.73299999999999998</v>
      </c>
      <c r="K148" s="2" t="s">
        <v>179</v>
      </c>
      <c r="L148" s="2">
        <v>2023</v>
      </c>
      <c r="M148" s="2" t="s">
        <v>180</v>
      </c>
      <c r="N148" s="2" t="s">
        <v>23</v>
      </c>
      <c r="O148">
        <f t="shared" si="4"/>
        <v>1.6569999999999823</v>
      </c>
      <c r="P148">
        <f t="shared" si="5"/>
        <v>43.906999999999989</v>
      </c>
    </row>
    <row r="149" spans="1:16" x14ac:dyDescent="0.35">
      <c r="A149" s="9" t="s">
        <v>183</v>
      </c>
      <c r="B149" s="2">
        <v>183.124</v>
      </c>
      <c r="C149" s="2">
        <v>184.96100000000001</v>
      </c>
      <c r="D149" s="2">
        <v>179.572</v>
      </c>
      <c r="E149" s="2">
        <v>179.64099999999999</v>
      </c>
      <c r="F149" s="2">
        <v>117474229</v>
      </c>
      <c r="G149" s="2" t="s">
        <v>15</v>
      </c>
      <c r="H149" s="2" t="s">
        <v>16</v>
      </c>
      <c r="I149" s="2" t="s">
        <v>17</v>
      </c>
      <c r="J149" s="4">
        <v>-4.8010000000000002</v>
      </c>
      <c r="K149" s="2" t="s">
        <v>179</v>
      </c>
      <c r="L149" s="2">
        <v>2023</v>
      </c>
      <c r="M149" s="2" t="s">
        <v>180</v>
      </c>
      <c r="N149" s="2" t="s">
        <v>23</v>
      </c>
      <c r="O149">
        <f t="shared" si="4"/>
        <v>5.38900000000001</v>
      </c>
      <c r="P149">
        <f t="shared" si="5"/>
        <v>39.105999999999987</v>
      </c>
    </row>
    <row r="150" spans="1:16" x14ac:dyDescent="0.35">
      <c r="A150" s="9" t="s">
        <v>184</v>
      </c>
      <c r="B150" s="2">
        <v>179.779</v>
      </c>
      <c r="C150" s="2">
        <v>180.76300000000001</v>
      </c>
      <c r="D150" s="2">
        <v>175.06</v>
      </c>
      <c r="E150" s="2">
        <v>176.541</v>
      </c>
      <c r="F150" s="2">
        <v>98852930</v>
      </c>
      <c r="G150" s="2" t="s">
        <v>15</v>
      </c>
      <c r="H150" s="2" t="s">
        <v>16</v>
      </c>
      <c r="I150" s="2" t="s">
        <v>17</v>
      </c>
      <c r="J150" s="4">
        <v>-1.726</v>
      </c>
      <c r="K150" s="2" t="s">
        <v>179</v>
      </c>
      <c r="L150" s="2">
        <v>2023</v>
      </c>
      <c r="M150" s="2" t="s">
        <v>180</v>
      </c>
      <c r="N150" s="2" t="s">
        <v>23</v>
      </c>
      <c r="O150">
        <f t="shared" si="4"/>
        <v>5.703000000000003</v>
      </c>
      <c r="P150">
        <f t="shared" si="5"/>
        <v>37.379999999999988</v>
      </c>
    </row>
    <row r="151" spans="1:16" x14ac:dyDescent="0.35">
      <c r="A151" s="9" t="s">
        <v>185</v>
      </c>
      <c r="B151" s="2">
        <v>177.37</v>
      </c>
      <c r="C151" s="2">
        <v>177.94200000000001</v>
      </c>
      <c r="D151" s="2">
        <v>175.286</v>
      </c>
      <c r="E151" s="2">
        <v>177.47800000000001</v>
      </c>
      <c r="F151" s="2">
        <v>68710520</v>
      </c>
      <c r="G151" s="2" t="s">
        <v>15</v>
      </c>
      <c r="H151" s="2" t="s">
        <v>16</v>
      </c>
      <c r="I151" s="2" t="s">
        <v>17</v>
      </c>
      <c r="J151" s="3">
        <v>0.53100000000000003</v>
      </c>
      <c r="K151" s="2" t="s">
        <v>179</v>
      </c>
      <c r="L151" s="2">
        <v>2023</v>
      </c>
      <c r="M151" s="2" t="s">
        <v>180</v>
      </c>
      <c r="N151" s="2" t="s">
        <v>21</v>
      </c>
      <c r="O151">
        <f t="shared" si="4"/>
        <v>2.6560000000000059</v>
      </c>
      <c r="P151">
        <f t="shared" si="5"/>
        <v>37.910999999999987</v>
      </c>
    </row>
    <row r="152" spans="1:16" x14ac:dyDescent="0.35">
      <c r="A152" s="9" t="s">
        <v>186</v>
      </c>
      <c r="B152" s="2">
        <v>178.53399999999999</v>
      </c>
      <c r="C152" s="2">
        <v>178.59299999999999</v>
      </c>
      <c r="D152" s="2">
        <v>174.72200000000001</v>
      </c>
      <c r="E152" s="2">
        <v>175.88900000000001</v>
      </c>
      <c r="F152" s="2">
        <v>61168592</v>
      </c>
      <c r="G152" s="2" t="s">
        <v>15</v>
      </c>
      <c r="H152" s="2" t="s">
        <v>16</v>
      </c>
      <c r="I152" s="2" t="s">
        <v>17</v>
      </c>
      <c r="J152" s="4">
        <v>-0.89500000000000002</v>
      </c>
      <c r="K152" s="2" t="s">
        <v>179</v>
      </c>
      <c r="L152" s="2">
        <v>2023</v>
      </c>
      <c r="M152" s="2" t="s">
        <v>180</v>
      </c>
      <c r="N152" s="2" t="s">
        <v>23</v>
      </c>
      <c r="O152">
        <f t="shared" si="4"/>
        <v>3.8709999999999809</v>
      </c>
      <c r="P152">
        <f t="shared" si="5"/>
        <v>37.015999999999984</v>
      </c>
    </row>
    <row r="153" spans="1:16" x14ac:dyDescent="0.35">
      <c r="A153" s="9" t="s">
        <v>187</v>
      </c>
      <c r="B153" s="2">
        <v>177.16200000000001</v>
      </c>
      <c r="C153" s="2">
        <v>178.41499999999999</v>
      </c>
      <c r="D153" s="2">
        <v>175.30500000000001</v>
      </c>
      <c r="E153" s="2">
        <v>175.672</v>
      </c>
      <c r="F153" s="2">
        <v>55402471</v>
      </c>
      <c r="G153" s="2" t="s">
        <v>15</v>
      </c>
      <c r="H153" s="2" t="s">
        <v>16</v>
      </c>
      <c r="I153" s="2" t="s">
        <v>17</v>
      </c>
      <c r="J153" s="4">
        <v>-0.123</v>
      </c>
      <c r="K153" s="2" t="s">
        <v>179</v>
      </c>
      <c r="L153" s="2">
        <v>2023</v>
      </c>
      <c r="M153" s="2" t="s">
        <v>180</v>
      </c>
      <c r="N153" s="2" t="s">
        <v>23</v>
      </c>
      <c r="O153">
        <f t="shared" si="4"/>
        <v>3.1099999999999852</v>
      </c>
      <c r="P153">
        <f t="shared" si="5"/>
        <v>36.892999999999986</v>
      </c>
    </row>
    <row r="154" spans="1:16" x14ac:dyDescent="0.35">
      <c r="A154" s="9" t="s">
        <v>188</v>
      </c>
      <c r="B154" s="2">
        <v>175.26499999999999</v>
      </c>
      <c r="C154" s="2">
        <v>176.55199999999999</v>
      </c>
      <c r="D154" s="2">
        <v>174.505</v>
      </c>
      <c r="E154" s="2">
        <v>175.73099999999999</v>
      </c>
      <c r="F154" s="2">
        <v>52646521</v>
      </c>
      <c r="G154" s="2" t="s">
        <v>15</v>
      </c>
      <c r="H154" s="2" t="s">
        <v>16</v>
      </c>
      <c r="I154" s="2" t="s">
        <v>17</v>
      </c>
      <c r="J154" s="3">
        <v>3.4000000000000002E-2</v>
      </c>
      <c r="K154" s="2" t="s">
        <v>179</v>
      </c>
      <c r="L154" s="2">
        <v>2023</v>
      </c>
      <c r="M154" s="2" t="s">
        <v>180</v>
      </c>
      <c r="N154" s="2" t="s">
        <v>21</v>
      </c>
      <c r="O154">
        <f t="shared" si="4"/>
        <v>2.046999999999997</v>
      </c>
      <c r="P154">
        <f t="shared" si="5"/>
        <v>36.926999999999985</v>
      </c>
    </row>
    <row r="155" spans="1:16" x14ac:dyDescent="0.35">
      <c r="A155" s="9" t="s">
        <v>189</v>
      </c>
      <c r="B155" s="2">
        <v>175.90799999999999</v>
      </c>
      <c r="C155" s="2">
        <v>177.60900000000001</v>
      </c>
      <c r="D155" s="2">
        <v>175.25</v>
      </c>
      <c r="E155" s="2">
        <v>177.38200000000001</v>
      </c>
      <c r="F155" s="2">
        <v>44187488</v>
      </c>
      <c r="G155" s="2" t="s">
        <v>15</v>
      </c>
      <c r="H155" s="2" t="s">
        <v>16</v>
      </c>
      <c r="I155" s="2" t="s">
        <v>17</v>
      </c>
      <c r="J155" s="3">
        <v>0.94</v>
      </c>
      <c r="K155" s="2" t="s">
        <v>179</v>
      </c>
      <c r="L155" s="2">
        <v>2023</v>
      </c>
      <c r="M155" s="2" t="s">
        <v>180</v>
      </c>
      <c r="N155" s="2" t="s">
        <v>21</v>
      </c>
      <c r="O155">
        <f t="shared" si="4"/>
        <v>2.3590000000000089</v>
      </c>
      <c r="P155">
        <f t="shared" si="5"/>
        <v>37.866999999999983</v>
      </c>
    </row>
    <row r="156" spans="1:16" x14ac:dyDescent="0.35">
      <c r="A156" s="9" t="s">
        <v>190</v>
      </c>
      <c r="B156" s="2">
        <v>176.80699999999999</v>
      </c>
      <c r="C156" s="2">
        <v>177.40199999999999</v>
      </c>
      <c r="D156" s="2">
        <v>174.999</v>
      </c>
      <c r="E156" s="2">
        <v>175.39500000000001</v>
      </c>
      <c r="F156" s="2">
        <v>44133832</v>
      </c>
      <c r="G156" s="2" t="s">
        <v>15</v>
      </c>
      <c r="H156" s="2" t="s">
        <v>16</v>
      </c>
      <c r="I156" s="2" t="s">
        <v>17</v>
      </c>
      <c r="J156" s="4">
        <v>-1.1200000000000001</v>
      </c>
      <c r="K156" s="2" t="s">
        <v>179</v>
      </c>
      <c r="L156" s="2">
        <v>2023</v>
      </c>
      <c r="M156" s="2" t="s">
        <v>180</v>
      </c>
      <c r="N156" s="2" t="s">
        <v>23</v>
      </c>
      <c r="O156">
        <f t="shared" si="4"/>
        <v>2.4029999999999916</v>
      </c>
      <c r="P156">
        <f t="shared" si="5"/>
        <v>36.746999999999986</v>
      </c>
    </row>
    <row r="157" spans="1:16" x14ac:dyDescent="0.35">
      <c r="A157" s="9" t="s">
        <v>191</v>
      </c>
      <c r="B157" s="2">
        <v>175.07900000000001</v>
      </c>
      <c r="C157" s="2">
        <v>176.47200000000001</v>
      </c>
      <c r="D157" s="2">
        <v>174.45699999999999</v>
      </c>
      <c r="E157" s="2">
        <v>174.52500000000001</v>
      </c>
      <c r="F157" s="2">
        <v>47515266</v>
      </c>
      <c r="G157" s="2" t="s">
        <v>15</v>
      </c>
      <c r="H157" s="2" t="s">
        <v>16</v>
      </c>
      <c r="I157" s="2" t="s">
        <v>17</v>
      </c>
      <c r="J157" s="4">
        <v>-0.496</v>
      </c>
      <c r="K157" s="2" t="s">
        <v>179</v>
      </c>
      <c r="L157" s="2">
        <v>2023</v>
      </c>
      <c r="M157" s="2" t="s">
        <v>180</v>
      </c>
      <c r="N157" s="2" t="s">
        <v>23</v>
      </c>
      <c r="O157">
        <f t="shared" si="4"/>
        <v>2.0150000000000148</v>
      </c>
      <c r="P157">
        <f t="shared" si="5"/>
        <v>36.250999999999983</v>
      </c>
    </row>
    <row r="158" spans="1:16" x14ac:dyDescent="0.35">
      <c r="A158" s="9" t="s">
        <v>192</v>
      </c>
      <c r="B158" s="2">
        <v>175.089</v>
      </c>
      <c r="C158" s="2">
        <v>175.44900000000001</v>
      </c>
      <c r="D158" s="2">
        <v>171.471</v>
      </c>
      <c r="E158" s="2">
        <v>171.98500000000001</v>
      </c>
      <c r="F158" s="2">
        <v>66837112</v>
      </c>
      <c r="G158" s="2" t="s">
        <v>15</v>
      </c>
      <c r="H158" s="2" t="s">
        <v>16</v>
      </c>
      <c r="I158" s="2" t="s">
        <v>17</v>
      </c>
      <c r="J158" s="4">
        <v>-1.4550000000000001</v>
      </c>
      <c r="K158" s="2" t="s">
        <v>179</v>
      </c>
      <c r="L158" s="2">
        <v>2023</v>
      </c>
      <c r="M158" s="2" t="s">
        <v>180</v>
      </c>
      <c r="N158" s="2" t="s">
        <v>23</v>
      </c>
      <c r="O158">
        <f t="shared" si="4"/>
        <v>3.9780000000000086</v>
      </c>
      <c r="P158">
        <f t="shared" si="5"/>
        <v>34.795999999999985</v>
      </c>
    </row>
    <row r="159" spans="1:16" x14ac:dyDescent="0.35">
      <c r="A159" s="9" t="s">
        <v>193</v>
      </c>
      <c r="B159" s="2">
        <v>170.30500000000001</v>
      </c>
      <c r="C159" s="2">
        <v>173.071</v>
      </c>
      <c r="D159" s="2">
        <v>169.96799999999999</v>
      </c>
      <c r="E159" s="2">
        <v>172.46899999999999</v>
      </c>
      <c r="F159" s="2">
        <v>61889063</v>
      </c>
      <c r="G159" s="2" t="s">
        <v>15</v>
      </c>
      <c r="H159" s="2" t="s">
        <v>16</v>
      </c>
      <c r="I159" s="2" t="s">
        <v>17</v>
      </c>
      <c r="J159" s="3">
        <v>0.28100000000000003</v>
      </c>
      <c r="K159" s="2" t="s">
        <v>179</v>
      </c>
      <c r="L159" s="2">
        <v>2023</v>
      </c>
      <c r="M159" s="2" t="s">
        <v>180</v>
      </c>
      <c r="N159" s="2" t="s">
        <v>21</v>
      </c>
      <c r="O159">
        <f t="shared" si="4"/>
        <v>3.1030000000000086</v>
      </c>
      <c r="P159">
        <f t="shared" si="5"/>
        <v>35.076999999999984</v>
      </c>
    </row>
    <row r="160" spans="1:16" x14ac:dyDescent="0.35">
      <c r="A160" s="9" t="s">
        <v>194</v>
      </c>
      <c r="B160" s="2">
        <v>173.041</v>
      </c>
      <c r="C160" s="2">
        <v>174.089</v>
      </c>
      <c r="D160" s="2">
        <v>171.721</v>
      </c>
      <c r="E160" s="2">
        <v>173.80199999999999</v>
      </c>
      <c r="F160" s="2">
        <v>46854635</v>
      </c>
      <c r="G160" s="2" t="s">
        <v>15</v>
      </c>
      <c r="H160" s="2" t="s">
        <v>16</v>
      </c>
      <c r="I160" s="2" t="s">
        <v>17</v>
      </c>
      <c r="J160" s="3">
        <v>0.77300000000000002</v>
      </c>
      <c r="K160" s="2" t="s">
        <v>179</v>
      </c>
      <c r="L160" s="2">
        <v>2023</v>
      </c>
      <c r="M160" s="2" t="s">
        <v>180</v>
      </c>
      <c r="N160" s="2" t="s">
        <v>21</v>
      </c>
      <c r="O160">
        <f t="shared" si="4"/>
        <v>2.367999999999995</v>
      </c>
      <c r="P160">
        <f t="shared" si="5"/>
        <v>35.849999999999987</v>
      </c>
    </row>
    <row r="161" spans="1:16" x14ac:dyDescent="0.35">
      <c r="A161" s="9" t="s">
        <v>195</v>
      </c>
      <c r="B161" s="2">
        <v>175.00899999999999</v>
      </c>
      <c r="C161" s="2">
        <v>175.62200000000001</v>
      </c>
      <c r="D161" s="2">
        <v>174.209</v>
      </c>
      <c r="E161" s="2">
        <v>175.178</v>
      </c>
      <c r="F161" s="2">
        <v>42577455</v>
      </c>
      <c r="G161" s="2" t="s">
        <v>15</v>
      </c>
      <c r="H161" s="2" t="s">
        <v>16</v>
      </c>
      <c r="I161" s="2" t="s">
        <v>17</v>
      </c>
      <c r="J161" s="3">
        <v>0.79200000000000004</v>
      </c>
      <c r="K161" s="2" t="s">
        <v>179</v>
      </c>
      <c r="L161" s="2">
        <v>2023</v>
      </c>
      <c r="M161" s="2" t="s">
        <v>180</v>
      </c>
      <c r="N161" s="2" t="s">
        <v>21</v>
      </c>
      <c r="O161">
        <f t="shared" si="4"/>
        <v>1.4130000000000109</v>
      </c>
      <c r="P161">
        <f t="shared" si="5"/>
        <v>36.641999999999989</v>
      </c>
    </row>
    <row r="162" spans="1:16" x14ac:dyDescent="0.35">
      <c r="A162" s="9" t="s">
        <v>196</v>
      </c>
      <c r="B162" s="2">
        <v>176.452</v>
      </c>
      <c r="C162" s="2">
        <v>179.447</v>
      </c>
      <c r="D162" s="2">
        <v>176.25899999999999</v>
      </c>
      <c r="E162" s="2">
        <v>179.02</v>
      </c>
      <c r="F162" s="2">
        <v>53340641</v>
      </c>
      <c r="G162" s="2" t="s">
        <v>15</v>
      </c>
      <c r="H162" s="2" t="s">
        <v>16</v>
      </c>
      <c r="I162" s="2" t="s">
        <v>17</v>
      </c>
      <c r="J162" s="3">
        <v>2.1930000000000001</v>
      </c>
      <c r="K162" s="2" t="s">
        <v>179</v>
      </c>
      <c r="L162" s="2">
        <v>2023</v>
      </c>
      <c r="M162" s="2" t="s">
        <v>180</v>
      </c>
      <c r="N162" s="2" t="s">
        <v>21</v>
      </c>
      <c r="O162">
        <f t="shared" si="4"/>
        <v>3.1880000000000166</v>
      </c>
      <c r="P162">
        <f t="shared" si="5"/>
        <v>38.834999999999987</v>
      </c>
    </row>
    <row r="163" spans="1:16" x14ac:dyDescent="0.35">
      <c r="A163" s="9" t="s">
        <v>197</v>
      </c>
      <c r="B163" s="2">
        <v>178.58099999999999</v>
      </c>
      <c r="C163" s="2">
        <v>179.005</v>
      </c>
      <c r="D163" s="2">
        <v>173.97</v>
      </c>
      <c r="E163" s="2">
        <v>174.33799999999999</v>
      </c>
      <c r="F163" s="2">
        <v>55589740</v>
      </c>
      <c r="G163" s="2" t="s">
        <v>15</v>
      </c>
      <c r="H163" s="2" t="s">
        <v>16</v>
      </c>
      <c r="I163" s="2" t="s">
        <v>17</v>
      </c>
      <c r="J163" s="4">
        <v>-2.6150000000000002</v>
      </c>
      <c r="K163" s="2" t="s">
        <v>179</v>
      </c>
      <c r="L163" s="2">
        <v>2023</v>
      </c>
      <c r="M163" s="2" t="s">
        <v>180</v>
      </c>
      <c r="N163" s="2" t="s">
        <v>23</v>
      </c>
      <c r="O163">
        <f t="shared" si="4"/>
        <v>5.0349999999999966</v>
      </c>
      <c r="P163">
        <f t="shared" si="5"/>
        <v>36.219999999999985</v>
      </c>
    </row>
    <row r="164" spans="1:16" x14ac:dyDescent="0.35">
      <c r="A164" s="9" t="s">
        <v>198</v>
      </c>
      <c r="B164" s="2">
        <v>175.32499999999999</v>
      </c>
      <c r="C164" s="2">
        <v>177.07400000000001</v>
      </c>
      <c r="D164" s="2">
        <v>173.78200000000001</v>
      </c>
      <c r="E164" s="2">
        <v>176.542</v>
      </c>
      <c r="F164" s="2">
        <v>52052563</v>
      </c>
      <c r="G164" s="2" t="s">
        <v>15</v>
      </c>
      <c r="H164" s="2" t="s">
        <v>16</v>
      </c>
      <c r="I164" s="2" t="s">
        <v>17</v>
      </c>
      <c r="J164" s="3">
        <v>1.264</v>
      </c>
      <c r="K164" s="2" t="s">
        <v>179</v>
      </c>
      <c r="L164" s="2">
        <v>2023</v>
      </c>
      <c r="M164" s="2" t="s">
        <v>180</v>
      </c>
      <c r="N164" s="2" t="s">
        <v>21</v>
      </c>
      <c r="O164">
        <f t="shared" si="4"/>
        <v>3.2920000000000016</v>
      </c>
      <c r="P164">
        <f t="shared" si="5"/>
        <v>37.483999999999988</v>
      </c>
    </row>
    <row r="165" spans="1:16" x14ac:dyDescent="0.35">
      <c r="A165" s="9" t="s">
        <v>199</v>
      </c>
      <c r="B165" s="2">
        <v>178.00399999999999</v>
      </c>
      <c r="C165" s="2">
        <v>178.49799999999999</v>
      </c>
      <c r="D165" s="2">
        <v>176.477</v>
      </c>
      <c r="E165" s="2">
        <v>178.102</v>
      </c>
      <c r="F165" s="2">
        <v>44334257</v>
      </c>
      <c r="G165" s="2" t="s">
        <v>15</v>
      </c>
      <c r="H165" s="2" t="s">
        <v>16</v>
      </c>
      <c r="I165" s="2" t="s">
        <v>17</v>
      </c>
      <c r="J165" s="3">
        <v>0.88400000000000001</v>
      </c>
      <c r="K165" s="2" t="s">
        <v>179</v>
      </c>
      <c r="L165" s="2">
        <v>2023</v>
      </c>
      <c r="M165" s="2" t="s">
        <v>180</v>
      </c>
      <c r="N165" s="2" t="s">
        <v>21</v>
      </c>
      <c r="O165">
        <f t="shared" si="4"/>
        <v>2.0209999999999866</v>
      </c>
      <c r="P165">
        <f t="shared" si="5"/>
        <v>38.367999999999988</v>
      </c>
    </row>
    <row r="166" spans="1:16" x14ac:dyDescent="0.35">
      <c r="A166" s="9" t="s">
        <v>200</v>
      </c>
      <c r="B166" s="2">
        <v>177.614</v>
      </c>
      <c r="C166" s="2">
        <v>182.75899999999999</v>
      </c>
      <c r="D166" s="2">
        <v>177.42099999999999</v>
      </c>
      <c r="E166" s="2">
        <v>181.988</v>
      </c>
      <c r="F166" s="2">
        <v>53625133</v>
      </c>
      <c r="G166" s="2" t="s">
        <v>15</v>
      </c>
      <c r="H166" s="2" t="s">
        <v>16</v>
      </c>
      <c r="I166" s="2" t="s">
        <v>17</v>
      </c>
      <c r="J166" s="3">
        <v>2.1819999999999999</v>
      </c>
      <c r="K166" s="2" t="s">
        <v>179</v>
      </c>
      <c r="L166" s="2">
        <v>2023</v>
      </c>
      <c r="M166" s="2" t="s">
        <v>180</v>
      </c>
      <c r="N166" s="2" t="s">
        <v>21</v>
      </c>
      <c r="O166">
        <f t="shared" si="4"/>
        <v>5.3379999999999939</v>
      </c>
      <c r="P166">
        <f t="shared" si="5"/>
        <v>40.54999999999999</v>
      </c>
    </row>
    <row r="167" spans="1:16" x14ac:dyDescent="0.35">
      <c r="A167" s="9" t="s">
        <v>201</v>
      </c>
      <c r="B167" s="2">
        <v>182.79900000000001</v>
      </c>
      <c r="C167" s="2">
        <v>185.67500000000001</v>
      </c>
      <c r="D167" s="2">
        <v>182.59899999999999</v>
      </c>
      <c r="E167" s="2">
        <v>185.47499999999999</v>
      </c>
      <c r="F167" s="2">
        <v>61526603</v>
      </c>
      <c r="G167" s="2" t="s">
        <v>15</v>
      </c>
      <c r="H167" s="2" t="s">
        <v>16</v>
      </c>
      <c r="I167" s="2" t="s">
        <v>17</v>
      </c>
      <c r="J167" s="3">
        <v>1.9159999999999999</v>
      </c>
      <c r="K167" s="2" t="s">
        <v>179</v>
      </c>
      <c r="L167" s="2">
        <v>2023</v>
      </c>
      <c r="M167" s="2" t="s">
        <v>180</v>
      </c>
      <c r="N167" s="2" t="s">
        <v>21</v>
      </c>
      <c r="O167">
        <f t="shared" si="4"/>
        <v>3.0760000000000218</v>
      </c>
      <c r="P167">
        <f t="shared" si="5"/>
        <v>42.465999999999987</v>
      </c>
    </row>
    <row r="168" spans="1:16" x14ac:dyDescent="0.35">
      <c r="A168" s="9" t="s">
        <v>202</v>
      </c>
      <c r="B168" s="2">
        <v>185.66499999999999</v>
      </c>
      <c r="C168" s="2">
        <v>186.929</v>
      </c>
      <c r="D168" s="2">
        <v>185.30699999999999</v>
      </c>
      <c r="E168" s="2">
        <v>185.69499999999999</v>
      </c>
      <c r="F168" s="2">
        <v>61506954</v>
      </c>
      <c r="G168" s="2" t="s">
        <v>15</v>
      </c>
      <c r="H168" s="2" t="s">
        <v>16</v>
      </c>
      <c r="I168" s="2" t="s">
        <v>17</v>
      </c>
      <c r="J168" s="3">
        <v>0.11899999999999999</v>
      </c>
      <c r="K168" s="2" t="s">
        <v>179</v>
      </c>
      <c r="L168" s="2">
        <v>2023</v>
      </c>
      <c r="M168" s="2" t="s">
        <v>180</v>
      </c>
      <c r="N168" s="2" t="s">
        <v>21</v>
      </c>
      <c r="O168">
        <f t="shared" si="4"/>
        <v>1.6220000000000141</v>
      </c>
      <c r="P168">
        <f t="shared" si="5"/>
        <v>42.584999999999987</v>
      </c>
    </row>
    <row r="169" spans="1:16" x14ac:dyDescent="0.35">
      <c r="A169" s="9" t="s">
        <v>203</v>
      </c>
      <c r="B169" s="2">
        <v>187.291</v>
      </c>
      <c r="C169" s="2">
        <v>187.71899999999999</v>
      </c>
      <c r="D169" s="2">
        <v>186.09700000000001</v>
      </c>
      <c r="E169" s="2">
        <v>187.26599999999999</v>
      </c>
      <c r="F169" s="2">
        <v>46302868</v>
      </c>
      <c r="G169" s="2" t="s">
        <v>15</v>
      </c>
      <c r="H169" s="2" t="s">
        <v>16</v>
      </c>
      <c r="I169" s="2" t="s">
        <v>17</v>
      </c>
      <c r="J169" s="3">
        <v>0.84599999999999997</v>
      </c>
      <c r="K169" s="2" t="s">
        <v>204</v>
      </c>
      <c r="L169" s="2">
        <v>2023</v>
      </c>
      <c r="M169" s="2" t="s">
        <v>205</v>
      </c>
      <c r="N169" s="2" t="s">
        <v>21</v>
      </c>
      <c r="O169">
        <f t="shared" si="4"/>
        <v>1.6219999999999857</v>
      </c>
      <c r="P169">
        <f t="shared" si="5"/>
        <v>43.430999999999983</v>
      </c>
    </row>
    <row r="170" spans="1:16" x14ac:dyDescent="0.35">
      <c r="A170" s="9" t="s">
        <v>206</v>
      </c>
      <c r="B170" s="2">
        <v>186.09700000000001</v>
      </c>
      <c r="C170" s="2">
        <v>187.77799999999999</v>
      </c>
      <c r="D170" s="2">
        <v>185.43600000000001</v>
      </c>
      <c r="E170" s="2">
        <v>187.50399999999999</v>
      </c>
      <c r="F170" s="2">
        <v>45810691</v>
      </c>
      <c r="G170" s="2" t="s">
        <v>15</v>
      </c>
      <c r="H170" s="2" t="s">
        <v>16</v>
      </c>
      <c r="I170" s="2" t="s">
        <v>17</v>
      </c>
      <c r="J170" s="3">
        <v>0.127</v>
      </c>
      <c r="K170" s="2" t="s">
        <v>204</v>
      </c>
      <c r="L170" s="2">
        <v>2023</v>
      </c>
      <c r="M170" s="2" t="s">
        <v>205</v>
      </c>
      <c r="N170" s="2" t="s">
        <v>21</v>
      </c>
      <c r="O170">
        <f t="shared" si="4"/>
        <v>2.3419999999999845</v>
      </c>
      <c r="P170">
        <f t="shared" si="5"/>
        <v>43.557999999999986</v>
      </c>
    </row>
    <row r="171" spans="1:16" x14ac:dyDescent="0.35">
      <c r="A171" s="9" t="s">
        <v>207</v>
      </c>
      <c r="B171" s="2">
        <v>186.21600000000001</v>
      </c>
      <c r="C171" s="2">
        <v>186.66399999999999</v>
      </c>
      <c r="D171" s="2">
        <v>179.36799999999999</v>
      </c>
      <c r="E171" s="2">
        <v>180.79</v>
      </c>
      <c r="F171" s="2">
        <v>82713962</v>
      </c>
      <c r="G171" s="2" t="s">
        <v>15</v>
      </c>
      <c r="H171" s="2" t="s">
        <v>16</v>
      </c>
      <c r="I171" s="2" t="s">
        <v>17</v>
      </c>
      <c r="J171" s="4">
        <v>-3.581</v>
      </c>
      <c r="K171" s="2" t="s">
        <v>204</v>
      </c>
      <c r="L171" s="2">
        <v>2023</v>
      </c>
      <c r="M171" s="2" t="s">
        <v>205</v>
      </c>
      <c r="N171" s="2" t="s">
        <v>23</v>
      </c>
      <c r="O171">
        <f t="shared" si="4"/>
        <v>7.2959999999999923</v>
      </c>
      <c r="P171">
        <f t="shared" si="5"/>
        <v>39.976999999999983</v>
      </c>
    </row>
    <row r="172" spans="1:16" x14ac:dyDescent="0.35">
      <c r="A172" s="9" t="s">
        <v>208</v>
      </c>
      <c r="B172" s="2">
        <v>173.15</v>
      </c>
      <c r="C172" s="2">
        <v>176.14500000000001</v>
      </c>
      <c r="D172" s="2">
        <v>171.53</v>
      </c>
      <c r="E172" s="2">
        <v>175.50299999999999</v>
      </c>
      <c r="F172" s="2">
        <v>113807128</v>
      </c>
      <c r="G172" s="2" t="s">
        <v>15</v>
      </c>
      <c r="H172" s="2" t="s">
        <v>16</v>
      </c>
      <c r="I172" s="2" t="s">
        <v>17</v>
      </c>
      <c r="J172" s="4">
        <v>-2.9239999999999999</v>
      </c>
      <c r="K172" s="2" t="s">
        <v>204</v>
      </c>
      <c r="L172" s="2">
        <v>2023</v>
      </c>
      <c r="M172" s="2" t="s">
        <v>205</v>
      </c>
      <c r="N172" s="2" t="s">
        <v>23</v>
      </c>
      <c r="O172">
        <f t="shared" si="4"/>
        <v>4.6150000000000091</v>
      </c>
      <c r="P172">
        <f t="shared" si="5"/>
        <v>37.052999999999983</v>
      </c>
    </row>
    <row r="173" spans="1:16" x14ac:dyDescent="0.35">
      <c r="A173" s="9" t="s">
        <v>209</v>
      </c>
      <c r="B173" s="2">
        <v>176.28399999999999</v>
      </c>
      <c r="C173" s="2">
        <v>178.15</v>
      </c>
      <c r="D173" s="2">
        <v>175.73099999999999</v>
      </c>
      <c r="E173" s="2">
        <v>176.11600000000001</v>
      </c>
      <c r="F173" s="2">
        <v>66370896</v>
      </c>
      <c r="G173" s="2" t="s">
        <v>15</v>
      </c>
      <c r="H173" s="2" t="s">
        <v>16</v>
      </c>
      <c r="I173" s="2" t="s">
        <v>17</v>
      </c>
      <c r="J173" s="3">
        <v>0.34899999999999998</v>
      </c>
      <c r="K173" s="2" t="s">
        <v>204</v>
      </c>
      <c r="L173" s="2">
        <v>2023</v>
      </c>
      <c r="M173" s="2" t="s">
        <v>205</v>
      </c>
      <c r="N173" s="2" t="s">
        <v>21</v>
      </c>
      <c r="O173">
        <f t="shared" si="4"/>
        <v>2.4190000000000111</v>
      </c>
      <c r="P173">
        <f t="shared" si="5"/>
        <v>37.40199999999998</v>
      </c>
    </row>
    <row r="174" spans="1:16" x14ac:dyDescent="0.35">
      <c r="A174" s="9" t="s">
        <v>210</v>
      </c>
      <c r="B174" s="2">
        <v>177.98400000000001</v>
      </c>
      <c r="C174" s="2">
        <v>178.21100000000001</v>
      </c>
      <c r="D174" s="2">
        <v>175.285</v>
      </c>
      <c r="E174" s="2">
        <v>177.28200000000001</v>
      </c>
      <c r="F174" s="2">
        <v>59643959</v>
      </c>
      <c r="G174" s="2" t="s">
        <v>15</v>
      </c>
      <c r="H174" s="2" t="s">
        <v>16</v>
      </c>
      <c r="I174" s="2" t="s">
        <v>17</v>
      </c>
      <c r="J174" s="3">
        <v>0.66200000000000003</v>
      </c>
      <c r="K174" s="2" t="s">
        <v>204</v>
      </c>
      <c r="L174" s="2">
        <v>2023</v>
      </c>
      <c r="M174" s="2" t="s">
        <v>205</v>
      </c>
      <c r="N174" s="2" t="s">
        <v>21</v>
      </c>
      <c r="O174">
        <f t="shared" si="4"/>
        <v>2.9260000000000161</v>
      </c>
      <c r="P174">
        <f t="shared" si="5"/>
        <v>38.063999999999979</v>
      </c>
    </row>
    <row r="175" spans="1:16" x14ac:dyDescent="0.35">
      <c r="A175" s="9" t="s">
        <v>211</v>
      </c>
      <c r="B175" s="2">
        <v>177.41200000000001</v>
      </c>
      <c r="C175" s="2">
        <v>178.04400000000001</v>
      </c>
      <c r="D175" s="2">
        <v>172.79499999999999</v>
      </c>
      <c r="E175" s="2">
        <v>174.25899999999999</v>
      </c>
      <c r="F175" s="2">
        <v>91429295</v>
      </c>
      <c r="G175" s="2" t="s">
        <v>15</v>
      </c>
      <c r="H175" s="2" t="s">
        <v>16</v>
      </c>
      <c r="I175" s="2" t="s">
        <v>17</v>
      </c>
      <c r="J175" s="4">
        <v>-1.7050000000000001</v>
      </c>
      <c r="K175" s="2" t="s">
        <v>204</v>
      </c>
      <c r="L175" s="2">
        <v>2023</v>
      </c>
      <c r="M175" s="2" t="s">
        <v>205</v>
      </c>
      <c r="N175" s="2" t="s">
        <v>23</v>
      </c>
      <c r="O175">
        <f t="shared" si="4"/>
        <v>5.2490000000000236</v>
      </c>
      <c r="P175">
        <f t="shared" si="5"/>
        <v>36.35899999999998</v>
      </c>
    </row>
    <row r="176" spans="1:16" x14ac:dyDescent="0.35">
      <c r="A176" s="9" t="s">
        <v>212</v>
      </c>
      <c r="B176" s="2">
        <v>174.46700000000001</v>
      </c>
      <c r="C176" s="2">
        <v>175.245</v>
      </c>
      <c r="D176" s="2">
        <v>171.965</v>
      </c>
      <c r="E176" s="2">
        <v>172.19300000000001</v>
      </c>
      <c r="F176" s="2">
        <v>85255514</v>
      </c>
      <c r="G176" s="2" t="s">
        <v>15</v>
      </c>
      <c r="H176" s="2" t="s">
        <v>16</v>
      </c>
      <c r="I176" s="2" t="s">
        <v>17</v>
      </c>
      <c r="J176" s="4">
        <v>-1.1859999999999999</v>
      </c>
      <c r="K176" s="2" t="s">
        <v>204</v>
      </c>
      <c r="L176" s="2">
        <v>2023</v>
      </c>
      <c r="M176" s="2" t="s">
        <v>205</v>
      </c>
      <c r="N176" s="2" t="s">
        <v>23</v>
      </c>
      <c r="O176">
        <f t="shared" si="4"/>
        <v>3.2800000000000011</v>
      </c>
      <c r="P176">
        <f t="shared" si="5"/>
        <v>35.172999999999981</v>
      </c>
    </row>
    <row r="177" spans="1:16" x14ac:dyDescent="0.35">
      <c r="A177" s="9" t="s">
        <v>213</v>
      </c>
      <c r="B177" s="2">
        <v>171.98500000000001</v>
      </c>
      <c r="C177" s="2">
        <v>174.059</v>
      </c>
      <c r="D177" s="2">
        <v>171.56899999999999</v>
      </c>
      <c r="E177" s="2">
        <v>173.70400000000001</v>
      </c>
      <c r="F177" s="2">
        <v>61609431</v>
      </c>
      <c r="G177" s="2" t="s">
        <v>15</v>
      </c>
      <c r="H177" s="2" t="s">
        <v>16</v>
      </c>
      <c r="I177" s="2" t="s">
        <v>17</v>
      </c>
      <c r="J177" s="3">
        <v>0.878</v>
      </c>
      <c r="K177" s="2" t="s">
        <v>204</v>
      </c>
      <c r="L177" s="2">
        <v>2023</v>
      </c>
      <c r="M177" s="2" t="s">
        <v>205</v>
      </c>
      <c r="N177" s="2" t="s">
        <v>21</v>
      </c>
      <c r="O177">
        <f t="shared" si="4"/>
        <v>2.4900000000000091</v>
      </c>
      <c r="P177">
        <f t="shared" si="5"/>
        <v>36.050999999999981</v>
      </c>
    </row>
    <row r="178" spans="1:16" x14ac:dyDescent="0.35">
      <c r="A178" s="9" t="s">
        <v>214</v>
      </c>
      <c r="B178" s="2">
        <v>174.43700000000001</v>
      </c>
      <c r="C178" s="2">
        <v>174.452</v>
      </c>
      <c r="D178" s="2">
        <v>171.80600000000001</v>
      </c>
      <c r="E178" s="2">
        <v>172.982</v>
      </c>
      <c r="F178" s="2">
        <v>110539940</v>
      </c>
      <c r="G178" s="2" t="s">
        <v>15</v>
      </c>
      <c r="H178" s="2" t="s">
        <v>16</v>
      </c>
      <c r="I178" s="2" t="s">
        <v>17</v>
      </c>
      <c r="J178" s="4">
        <v>-0.41599999999999998</v>
      </c>
      <c r="K178" s="2" t="s">
        <v>204</v>
      </c>
      <c r="L178" s="2">
        <v>2023</v>
      </c>
      <c r="M178" s="2" t="s">
        <v>205</v>
      </c>
      <c r="N178" s="2" t="s">
        <v>23</v>
      </c>
      <c r="O178">
        <f t="shared" si="4"/>
        <v>2.6459999999999866</v>
      </c>
      <c r="P178">
        <f t="shared" si="5"/>
        <v>35.634999999999984</v>
      </c>
    </row>
    <row r="179" spans="1:16" x14ac:dyDescent="0.35">
      <c r="A179" s="9" t="s">
        <v>215</v>
      </c>
      <c r="B179" s="2">
        <v>174.43700000000001</v>
      </c>
      <c r="C179" s="2">
        <v>177.30199999999999</v>
      </c>
      <c r="D179" s="2">
        <v>174.12899999999999</v>
      </c>
      <c r="E179" s="2">
        <v>175.90799999999999</v>
      </c>
      <c r="F179" s="2">
        <v>68045805</v>
      </c>
      <c r="G179" s="2" t="s">
        <v>15</v>
      </c>
      <c r="H179" s="2" t="s">
        <v>16</v>
      </c>
      <c r="I179" s="2" t="s">
        <v>17</v>
      </c>
      <c r="J179" s="3">
        <v>1.6919999999999999</v>
      </c>
      <c r="K179" s="2" t="s">
        <v>204</v>
      </c>
      <c r="L179" s="2">
        <v>2023</v>
      </c>
      <c r="M179" s="2" t="s">
        <v>205</v>
      </c>
      <c r="N179" s="2" t="s">
        <v>21</v>
      </c>
      <c r="O179">
        <f t="shared" si="4"/>
        <v>3.1730000000000018</v>
      </c>
      <c r="P179">
        <f t="shared" si="5"/>
        <v>37.326999999999984</v>
      </c>
    </row>
    <row r="180" spans="1:16" x14ac:dyDescent="0.35">
      <c r="A180" s="9" t="s">
        <v>216</v>
      </c>
      <c r="B180" s="2">
        <v>175.46299999999999</v>
      </c>
      <c r="C180" s="2">
        <v>177.54900000000001</v>
      </c>
      <c r="D180" s="2">
        <v>175.07900000000001</v>
      </c>
      <c r="E180" s="2">
        <v>176.995</v>
      </c>
      <c r="F180" s="2">
        <v>52434333</v>
      </c>
      <c r="G180" s="2" t="s">
        <v>15</v>
      </c>
      <c r="H180" s="2" t="s">
        <v>16</v>
      </c>
      <c r="I180" s="2" t="s">
        <v>17</v>
      </c>
      <c r="J180" s="3">
        <v>0.61799999999999999</v>
      </c>
      <c r="K180" s="2" t="s">
        <v>204</v>
      </c>
      <c r="L180" s="2">
        <v>2023</v>
      </c>
      <c r="M180" s="2" t="s">
        <v>205</v>
      </c>
      <c r="N180" s="2" t="s">
        <v>21</v>
      </c>
      <c r="O180">
        <f t="shared" si="4"/>
        <v>2.4699999999999989</v>
      </c>
      <c r="P180">
        <f t="shared" si="5"/>
        <v>37.944999999999986</v>
      </c>
    </row>
    <row r="181" spans="1:16" x14ac:dyDescent="0.35">
      <c r="A181" s="9" t="s">
        <v>217</v>
      </c>
      <c r="B181" s="2">
        <v>177.184</v>
      </c>
      <c r="C181" s="2">
        <v>177.614</v>
      </c>
      <c r="D181" s="2">
        <v>173.369</v>
      </c>
      <c r="E181" s="2">
        <v>173.458</v>
      </c>
      <c r="F181" s="2">
        <v>59121030</v>
      </c>
      <c r="G181" s="2" t="s">
        <v>15</v>
      </c>
      <c r="H181" s="2" t="s">
        <v>16</v>
      </c>
      <c r="I181" s="2" t="s">
        <v>17</v>
      </c>
      <c r="J181" s="4">
        <v>-1.998</v>
      </c>
      <c r="K181" s="2" t="s">
        <v>204</v>
      </c>
      <c r="L181" s="2">
        <v>2023</v>
      </c>
      <c r="M181" s="2" t="s">
        <v>205</v>
      </c>
      <c r="N181" s="2" t="s">
        <v>23</v>
      </c>
      <c r="O181">
        <f t="shared" si="4"/>
        <v>4.2450000000000045</v>
      </c>
      <c r="P181">
        <f t="shared" si="5"/>
        <v>35.946999999999989</v>
      </c>
    </row>
    <row r="182" spans="1:16" x14ac:dyDescent="0.35">
      <c r="A182" s="9" t="s">
        <v>218</v>
      </c>
      <c r="B182" s="2">
        <v>172.52799999999999</v>
      </c>
      <c r="C182" s="2">
        <v>174.25899999999999</v>
      </c>
      <c r="D182" s="2">
        <v>171.846</v>
      </c>
      <c r="E182" s="2">
        <v>171.916</v>
      </c>
      <c r="F182" s="2">
        <v>63889199</v>
      </c>
      <c r="G182" s="2" t="s">
        <v>15</v>
      </c>
      <c r="H182" s="2" t="s">
        <v>16</v>
      </c>
      <c r="I182" s="2" t="s">
        <v>17</v>
      </c>
      <c r="J182" s="4">
        <v>-0.88900000000000001</v>
      </c>
      <c r="K182" s="2" t="s">
        <v>204</v>
      </c>
      <c r="L182" s="2">
        <v>2023</v>
      </c>
      <c r="M182" s="2" t="s">
        <v>205</v>
      </c>
      <c r="N182" s="2" t="s">
        <v>23</v>
      </c>
      <c r="O182">
        <f t="shared" si="4"/>
        <v>2.4129999999999825</v>
      </c>
      <c r="P182">
        <f t="shared" si="5"/>
        <v>35.057999999999986</v>
      </c>
    </row>
    <row r="183" spans="1:16" x14ac:dyDescent="0.35">
      <c r="A183" s="9" t="s">
        <v>219</v>
      </c>
      <c r="B183" s="2">
        <v>172.64599999999999</v>
      </c>
      <c r="C183" s="2">
        <v>175.02799999999999</v>
      </c>
      <c r="D183" s="2">
        <v>172.03399999999999</v>
      </c>
      <c r="E183" s="2">
        <v>172.76599999999999</v>
      </c>
      <c r="F183" s="2">
        <v>57390184</v>
      </c>
      <c r="G183" s="2" t="s">
        <v>15</v>
      </c>
      <c r="H183" s="2" t="s">
        <v>16</v>
      </c>
      <c r="I183" s="2" t="s">
        <v>17</v>
      </c>
      <c r="J183" s="3">
        <v>0.49399999999999999</v>
      </c>
      <c r="K183" s="2" t="s">
        <v>204</v>
      </c>
      <c r="L183" s="2">
        <v>2023</v>
      </c>
      <c r="M183" s="2" t="s">
        <v>205</v>
      </c>
      <c r="N183" s="2" t="s">
        <v>21</v>
      </c>
      <c r="O183">
        <f t="shared" si="4"/>
        <v>2.9939999999999998</v>
      </c>
      <c r="P183">
        <f t="shared" si="5"/>
        <v>35.551999999999985</v>
      </c>
    </row>
    <row r="184" spans="1:16" x14ac:dyDescent="0.35">
      <c r="A184" s="9" t="s">
        <v>220</v>
      </c>
      <c r="B184" s="2">
        <v>172.18299999999999</v>
      </c>
      <c r="C184" s="2">
        <v>174.92</v>
      </c>
      <c r="D184" s="2">
        <v>172.13300000000001</v>
      </c>
      <c r="E184" s="2">
        <v>174.03899999999999</v>
      </c>
      <c r="F184" s="2">
        <v>46713866</v>
      </c>
      <c r="G184" s="2" t="s">
        <v>15</v>
      </c>
      <c r="H184" s="2" t="s">
        <v>16</v>
      </c>
      <c r="I184" s="2" t="s">
        <v>17</v>
      </c>
      <c r="J184" s="3">
        <v>0.73699999999999999</v>
      </c>
      <c r="K184" s="2" t="s">
        <v>204</v>
      </c>
      <c r="L184" s="2">
        <v>2023</v>
      </c>
      <c r="M184" s="2" t="s">
        <v>205</v>
      </c>
      <c r="N184" s="2" t="s">
        <v>21</v>
      </c>
      <c r="O184">
        <f t="shared" si="4"/>
        <v>2.7869999999999777</v>
      </c>
      <c r="P184">
        <f t="shared" si="5"/>
        <v>36.288999999999987</v>
      </c>
    </row>
    <row r="185" spans="1:16" x14ac:dyDescent="0.35">
      <c r="A185" s="9" t="s">
        <v>221</v>
      </c>
      <c r="B185" s="2">
        <v>172.79499999999999</v>
      </c>
      <c r="C185" s="2">
        <v>173.16900000000001</v>
      </c>
      <c r="D185" s="2">
        <v>169.67099999999999</v>
      </c>
      <c r="E185" s="2">
        <v>169.96799999999999</v>
      </c>
      <c r="F185" s="2">
        <v>65345901</v>
      </c>
      <c r="G185" s="2" t="s">
        <v>15</v>
      </c>
      <c r="H185" s="2" t="s">
        <v>16</v>
      </c>
      <c r="I185" s="2" t="s">
        <v>17</v>
      </c>
      <c r="J185" s="4">
        <v>-2.339</v>
      </c>
      <c r="K185" s="2" t="s">
        <v>204</v>
      </c>
      <c r="L185" s="2">
        <v>2023</v>
      </c>
      <c r="M185" s="2" t="s">
        <v>205</v>
      </c>
      <c r="N185" s="2" t="s">
        <v>23</v>
      </c>
      <c r="O185">
        <f t="shared" si="4"/>
        <v>3.4980000000000189</v>
      </c>
      <c r="P185">
        <f t="shared" si="5"/>
        <v>33.949999999999989</v>
      </c>
    </row>
    <row r="186" spans="1:16" x14ac:dyDescent="0.35">
      <c r="A186" s="9" t="s">
        <v>222</v>
      </c>
      <c r="B186" s="2">
        <v>170.62</v>
      </c>
      <c r="C186" s="2">
        <v>171.036</v>
      </c>
      <c r="D186" s="2">
        <v>167.09200000000001</v>
      </c>
      <c r="E186" s="2">
        <v>168.45599999999999</v>
      </c>
      <c r="F186" s="2">
        <v>67706104</v>
      </c>
      <c r="G186" s="2" t="s">
        <v>15</v>
      </c>
      <c r="H186" s="2" t="s">
        <v>16</v>
      </c>
      <c r="I186" s="2" t="s">
        <v>17</v>
      </c>
      <c r="J186" s="4">
        <v>-0.89</v>
      </c>
      <c r="K186" s="2" t="s">
        <v>204</v>
      </c>
      <c r="L186" s="2">
        <v>2023</v>
      </c>
      <c r="M186" s="2" t="s">
        <v>205</v>
      </c>
      <c r="N186" s="2" t="s">
        <v>23</v>
      </c>
      <c r="O186">
        <f t="shared" si="4"/>
        <v>3.9439999999999884</v>
      </c>
      <c r="P186">
        <f t="shared" si="5"/>
        <v>33.059999999999988</v>
      </c>
    </row>
    <row r="187" spans="1:16" x14ac:dyDescent="0.35">
      <c r="A187" s="9" t="s">
        <v>223</v>
      </c>
      <c r="B187" s="2">
        <v>167.37799999999999</v>
      </c>
      <c r="C187" s="2">
        <v>170.03800000000001</v>
      </c>
      <c r="D187" s="2">
        <v>165.679</v>
      </c>
      <c r="E187" s="2">
        <v>168.71100000000001</v>
      </c>
      <c r="F187" s="2">
        <v>56954167</v>
      </c>
      <c r="G187" s="2" t="s">
        <v>15</v>
      </c>
      <c r="H187" s="2" t="s">
        <v>16</v>
      </c>
      <c r="I187" s="2" t="s">
        <v>17</v>
      </c>
      <c r="J187" s="3">
        <v>0.151</v>
      </c>
      <c r="K187" s="2" t="s">
        <v>204</v>
      </c>
      <c r="L187" s="2">
        <v>2023</v>
      </c>
      <c r="M187" s="2" t="s">
        <v>205</v>
      </c>
      <c r="N187" s="2" t="s">
        <v>21</v>
      </c>
      <c r="O187">
        <f t="shared" si="4"/>
        <v>4.3590000000000089</v>
      </c>
      <c r="P187">
        <f t="shared" si="5"/>
        <v>33.210999999999991</v>
      </c>
    </row>
    <row r="188" spans="1:16" x14ac:dyDescent="0.35">
      <c r="A188" s="9" t="s">
        <v>224</v>
      </c>
      <c r="B188" s="2">
        <v>170.02799999999999</v>
      </c>
      <c r="C188" s="2">
        <v>171.065</v>
      </c>
      <c r="D188" s="2">
        <v>168.369</v>
      </c>
      <c r="E188" s="2">
        <v>169.22800000000001</v>
      </c>
      <c r="F188" s="2">
        <v>52468874</v>
      </c>
      <c r="G188" s="2" t="s">
        <v>15</v>
      </c>
      <c r="H188" s="2" t="s">
        <v>16</v>
      </c>
      <c r="I188" s="2" t="s">
        <v>17</v>
      </c>
      <c r="J188" s="3">
        <v>0.30599999999999999</v>
      </c>
      <c r="K188" s="2" t="s">
        <v>204</v>
      </c>
      <c r="L188" s="2">
        <v>2023</v>
      </c>
      <c r="M188" s="2" t="s">
        <v>205</v>
      </c>
      <c r="N188" s="2" t="s">
        <v>21</v>
      </c>
      <c r="O188">
        <f t="shared" si="4"/>
        <v>2.695999999999998</v>
      </c>
      <c r="P188">
        <f t="shared" si="5"/>
        <v>33.516999999999989</v>
      </c>
    </row>
    <row r="189" spans="1:16" x14ac:dyDescent="0.35">
      <c r="A189" s="9" t="s">
        <v>225</v>
      </c>
      <c r="B189" s="2">
        <v>169.238</v>
      </c>
      <c r="C189" s="2">
        <v>172.28100000000001</v>
      </c>
      <c r="D189" s="2">
        <v>168.94900000000001</v>
      </c>
      <c r="E189" s="2">
        <v>171.73599999999999</v>
      </c>
      <c r="F189" s="2">
        <v>52775882</v>
      </c>
      <c r="G189" s="2" t="s">
        <v>15</v>
      </c>
      <c r="H189" s="2" t="s">
        <v>16</v>
      </c>
      <c r="I189" s="2" t="s">
        <v>17</v>
      </c>
      <c r="J189" s="3">
        <v>1.482</v>
      </c>
      <c r="K189" s="2" t="s">
        <v>226</v>
      </c>
      <c r="L189" s="2">
        <v>2023</v>
      </c>
      <c r="M189" s="2" t="s">
        <v>227</v>
      </c>
      <c r="N189" s="2" t="s">
        <v>21</v>
      </c>
      <c r="O189">
        <f t="shared" si="4"/>
        <v>3.3319999999999936</v>
      </c>
      <c r="P189">
        <f t="shared" si="5"/>
        <v>34.998999999999988</v>
      </c>
    </row>
    <row r="190" spans="1:16" x14ac:dyDescent="0.35">
      <c r="A190" s="9" t="s">
        <v>228</v>
      </c>
      <c r="B190" s="2">
        <v>170.26</v>
      </c>
      <c r="C190" s="2">
        <v>171.61699999999999</v>
      </c>
      <c r="D190" s="2">
        <v>168.84100000000001</v>
      </c>
      <c r="E190" s="2">
        <v>170.40299999999999</v>
      </c>
      <c r="F190" s="2">
        <v>50175841</v>
      </c>
      <c r="G190" s="2" t="s">
        <v>15</v>
      </c>
      <c r="H190" s="2" t="s">
        <v>16</v>
      </c>
      <c r="I190" s="2" t="s">
        <v>17</v>
      </c>
      <c r="J190" s="4">
        <v>-0.77600000000000002</v>
      </c>
      <c r="K190" s="2" t="s">
        <v>226</v>
      </c>
      <c r="L190" s="2">
        <v>2023</v>
      </c>
      <c r="M190" s="2" t="s">
        <v>227</v>
      </c>
      <c r="N190" s="2" t="s">
        <v>23</v>
      </c>
      <c r="O190">
        <f t="shared" si="4"/>
        <v>2.775999999999982</v>
      </c>
      <c r="P190">
        <f t="shared" si="5"/>
        <v>34.222999999999985</v>
      </c>
    </row>
    <row r="191" spans="1:16" x14ac:dyDescent="0.35">
      <c r="A191" s="9" t="s">
        <v>229</v>
      </c>
      <c r="B191" s="2">
        <v>169.10900000000001</v>
      </c>
      <c r="C191" s="2">
        <v>172.19300000000001</v>
      </c>
      <c r="D191" s="2">
        <v>168.989</v>
      </c>
      <c r="E191" s="2">
        <v>171.64699999999999</v>
      </c>
      <c r="F191" s="2">
        <v>53641662</v>
      </c>
      <c r="G191" s="2" t="s">
        <v>15</v>
      </c>
      <c r="H191" s="2" t="s">
        <v>16</v>
      </c>
      <c r="I191" s="2" t="s">
        <v>17</v>
      </c>
      <c r="J191" s="3">
        <v>0.73</v>
      </c>
      <c r="K191" s="2" t="s">
        <v>226</v>
      </c>
      <c r="L191" s="2">
        <v>2023</v>
      </c>
      <c r="M191" s="2" t="s">
        <v>227</v>
      </c>
      <c r="N191" s="2" t="s">
        <v>21</v>
      </c>
      <c r="O191">
        <f t="shared" si="4"/>
        <v>3.2040000000000077</v>
      </c>
      <c r="P191">
        <f t="shared" si="5"/>
        <v>34.952999999999982</v>
      </c>
    </row>
    <row r="192" spans="1:16" x14ac:dyDescent="0.35">
      <c r="A192" s="9" t="s">
        <v>230</v>
      </c>
      <c r="B192" s="2">
        <v>171.77600000000001</v>
      </c>
      <c r="C192" s="2">
        <v>173.41800000000001</v>
      </c>
      <c r="D192" s="2">
        <v>170.679</v>
      </c>
      <c r="E192" s="2">
        <v>172.88399999999999</v>
      </c>
      <c r="F192" s="2">
        <v>49096645</v>
      </c>
      <c r="G192" s="2" t="s">
        <v>15</v>
      </c>
      <c r="H192" s="2" t="s">
        <v>16</v>
      </c>
      <c r="I192" s="2" t="s">
        <v>17</v>
      </c>
      <c r="J192" s="3">
        <v>0.72099999999999997</v>
      </c>
      <c r="K192" s="2" t="s">
        <v>226</v>
      </c>
      <c r="L192" s="2">
        <v>2023</v>
      </c>
      <c r="M192" s="2" t="s">
        <v>227</v>
      </c>
      <c r="N192" s="2" t="s">
        <v>21</v>
      </c>
      <c r="O192">
        <f t="shared" si="4"/>
        <v>2.7390000000000043</v>
      </c>
      <c r="P192">
        <f t="shared" si="5"/>
        <v>35.673999999999978</v>
      </c>
    </row>
    <row r="193" spans="1:16" x14ac:dyDescent="0.35">
      <c r="A193" s="9" t="s">
        <v>231</v>
      </c>
      <c r="B193" s="2">
        <v>171.786</v>
      </c>
      <c r="C193" s="2">
        <v>175.928</v>
      </c>
      <c r="D193" s="2">
        <v>171.17500000000001</v>
      </c>
      <c r="E193" s="2">
        <v>175.434</v>
      </c>
      <c r="F193" s="2">
        <v>57937818</v>
      </c>
      <c r="G193" s="2" t="s">
        <v>15</v>
      </c>
      <c r="H193" s="2" t="s">
        <v>16</v>
      </c>
      <c r="I193" s="2" t="s">
        <v>17</v>
      </c>
      <c r="J193" s="3">
        <v>1.4750000000000001</v>
      </c>
      <c r="K193" s="2" t="s">
        <v>226</v>
      </c>
      <c r="L193" s="2">
        <v>2023</v>
      </c>
      <c r="M193" s="2" t="s">
        <v>227</v>
      </c>
      <c r="N193" s="2" t="s">
        <v>21</v>
      </c>
      <c r="O193">
        <f t="shared" si="4"/>
        <v>4.7529999999999859</v>
      </c>
      <c r="P193">
        <f t="shared" si="5"/>
        <v>37.14899999999998</v>
      </c>
    </row>
    <row r="194" spans="1:16" x14ac:dyDescent="0.35">
      <c r="A194" s="9" t="s">
        <v>232</v>
      </c>
      <c r="B194" s="2">
        <v>174.76</v>
      </c>
      <c r="C194" s="2">
        <v>176.97499999999999</v>
      </c>
      <c r="D194" s="2">
        <v>173.762</v>
      </c>
      <c r="E194" s="2">
        <v>176.91499999999999</v>
      </c>
      <c r="F194" s="2">
        <v>42887575</v>
      </c>
      <c r="G194" s="2" t="s">
        <v>15</v>
      </c>
      <c r="H194" s="2" t="s">
        <v>16</v>
      </c>
      <c r="I194" s="2" t="s">
        <v>17</v>
      </c>
      <c r="J194" s="3">
        <v>0.84399999999999997</v>
      </c>
      <c r="K194" s="2" t="s">
        <v>226</v>
      </c>
      <c r="L194" s="2">
        <v>2023</v>
      </c>
      <c r="M194" s="2" t="s">
        <v>227</v>
      </c>
      <c r="N194" s="2" t="s">
        <v>21</v>
      </c>
      <c r="O194">
        <f t="shared" si="4"/>
        <v>3.2129999999999939</v>
      </c>
      <c r="P194">
        <f t="shared" si="5"/>
        <v>37.992999999999981</v>
      </c>
    </row>
    <row r="195" spans="1:16" x14ac:dyDescent="0.35">
      <c r="A195" s="9" t="s">
        <v>233</v>
      </c>
      <c r="B195" s="2">
        <v>176.036</v>
      </c>
      <c r="C195" s="2">
        <v>177.63800000000001</v>
      </c>
      <c r="D195" s="2">
        <v>175.88900000000001</v>
      </c>
      <c r="E195" s="2">
        <v>176.32400000000001</v>
      </c>
      <c r="F195" s="2">
        <v>44210142</v>
      </c>
      <c r="G195" s="2" t="s">
        <v>15</v>
      </c>
      <c r="H195" s="2" t="s">
        <v>16</v>
      </c>
      <c r="I195" s="2" t="s">
        <v>17</v>
      </c>
      <c r="J195" s="4">
        <v>-0.33400000000000002</v>
      </c>
      <c r="K195" s="2" t="s">
        <v>226</v>
      </c>
      <c r="L195" s="2">
        <v>2023</v>
      </c>
      <c r="M195" s="2" t="s">
        <v>227</v>
      </c>
      <c r="N195" s="2" t="s">
        <v>23</v>
      </c>
      <c r="O195">
        <f t="shared" ref="O195:O258" si="6">C195-D195</f>
        <v>1.7489999999999952</v>
      </c>
      <c r="P195">
        <f t="shared" si="5"/>
        <v>37.658999999999978</v>
      </c>
    </row>
    <row r="196" spans="1:16" x14ac:dyDescent="0.35">
      <c r="A196" s="9" t="s">
        <v>234</v>
      </c>
      <c r="B196" s="2">
        <v>176.13499999999999</v>
      </c>
      <c r="C196" s="2">
        <v>177.767</v>
      </c>
      <c r="D196" s="2">
        <v>175.542</v>
      </c>
      <c r="E196" s="2">
        <v>177.71700000000001</v>
      </c>
      <c r="F196" s="2">
        <v>48108378</v>
      </c>
      <c r="G196" s="2" t="s">
        <v>15</v>
      </c>
      <c r="H196" s="2" t="s">
        <v>16</v>
      </c>
      <c r="I196" s="2" t="s">
        <v>17</v>
      </c>
      <c r="J196" s="3">
        <v>0.79</v>
      </c>
      <c r="K196" s="2" t="s">
        <v>226</v>
      </c>
      <c r="L196" s="2">
        <v>2023</v>
      </c>
      <c r="M196" s="2" t="s">
        <v>227</v>
      </c>
      <c r="N196" s="2" t="s">
        <v>21</v>
      </c>
      <c r="O196">
        <f t="shared" si="6"/>
        <v>2.2249999999999943</v>
      </c>
      <c r="P196">
        <f t="shared" ref="P196:P259" si="7">IF(G196=G195, P195+J196, J196)</f>
        <v>38.448999999999977</v>
      </c>
    </row>
    <row r="197" spans="1:16" x14ac:dyDescent="0.35">
      <c r="A197" s="9" t="s">
        <v>235</v>
      </c>
      <c r="B197" s="2">
        <v>177.98400000000001</v>
      </c>
      <c r="C197" s="2">
        <v>180.22800000000001</v>
      </c>
      <c r="D197" s="2">
        <v>176.965</v>
      </c>
      <c r="E197" s="2">
        <v>178.61699999999999</v>
      </c>
      <c r="F197" s="2">
        <v>57408125</v>
      </c>
      <c r="G197" s="2" t="s">
        <v>15</v>
      </c>
      <c r="H197" s="2" t="s">
        <v>16</v>
      </c>
      <c r="I197" s="2" t="s">
        <v>17</v>
      </c>
      <c r="J197" s="3">
        <v>0.50600000000000001</v>
      </c>
      <c r="K197" s="2" t="s">
        <v>226</v>
      </c>
      <c r="L197" s="2">
        <v>2023</v>
      </c>
      <c r="M197" s="2" t="s">
        <v>227</v>
      </c>
      <c r="N197" s="2" t="s">
        <v>21</v>
      </c>
      <c r="O197">
        <f t="shared" si="6"/>
        <v>3.2630000000000052</v>
      </c>
      <c r="P197">
        <f t="shared" si="7"/>
        <v>38.954999999999977</v>
      </c>
    </row>
    <row r="198" spans="1:16" x14ac:dyDescent="0.35">
      <c r="A198" s="9" t="s">
        <v>236</v>
      </c>
      <c r="B198" s="2">
        <v>179.31800000000001</v>
      </c>
      <c r="C198" s="2">
        <v>179.822</v>
      </c>
      <c r="D198" s="2">
        <v>176.07599999999999</v>
      </c>
      <c r="E198" s="2">
        <v>176.77699999999999</v>
      </c>
      <c r="F198" s="2">
        <v>52059126</v>
      </c>
      <c r="G198" s="2" t="s">
        <v>15</v>
      </c>
      <c r="H198" s="2" t="s">
        <v>16</v>
      </c>
      <c r="I198" s="2" t="s">
        <v>17</v>
      </c>
      <c r="J198" s="4">
        <v>-1.03</v>
      </c>
      <c r="K198" s="2" t="s">
        <v>226</v>
      </c>
      <c r="L198" s="2">
        <v>2023</v>
      </c>
      <c r="M198" s="2" t="s">
        <v>227</v>
      </c>
      <c r="N198" s="2" t="s">
        <v>23</v>
      </c>
      <c r="O198">
        <f t="shared" si="6"/>
        <v>3.7460000000000093</v>
      </c>
      <c r="P198">
        <f t="shared" si="7"/>
        <v>37.924999999999976</v>
      </c>
    </row>
    <row r="199" spans="1:16" x14ac:dyDescent="0.35">
      <c r="A199" s="9" t="s">
        <v>237</v>
      </c>
      <c r="B199" s="2">
        <v>174.70099999999999</v>
      </c>
      <c r="C199" s="2">
        <v>177</v>
      </c>
      <c r="D199" s="2">
        <v>174.46700000000001</v>
      </c>
      <c r="E199" s="2">
        <v>176.65199999999999</v>
      </c>
      <c r="F199" s="2">
        <v>53132462</v>
      </c>
      <c r="G199" s="2" t="s">
        <v>15</v>
      </c>
      <c r="H199" s="2" t="s">
        <v>16</v>
      </c>
      <c r="I199" s="2" t="s">
        <v>17</v>
      </c>
      <c r="J199" s="4">
        <v>-7.0999999999999994E-2</v>
      </c>
      <c r="K199" s="2" t="s">
        <v>226</v>
      </c>
      <c r="L199" s="2">
        <v>2023</v>
      </c>
      <c r="M199" s="2" t="s">
        <v>227</v>
      </c>
      <c r="N199" s="2" t="s">
        <v>23</v>
      </c>
      <c r="O199">
        <f t="shared" si="6"/>
        <v>2.532999999999987</v>
      </c>
      <c r="P199">
        <f t="shared" si="7"/>
        <v>37.853999999999978</v>
      </c>
    </row>
    <row r="200" spans="1:16" x14ac:dyDescent="0.35">
      <c r="A200" s="9" t="s">
        <v>238</v>
      </c>
      <c r="B200" s="2">
        <v>174.59899999999999</v>
      </c>
      <c r="C200" s="2">
        <v>176.35300000000001</v>
      </c>
      <c r="D200" s="2">
        <v>172.77600000000001</v>
      </c>
      <c r="E200" s="2">
        <v>175.09899999999999</v>
      </c>
      <c r="F200" s="2">
        <v>58223805</v>
      </c>
      <c r="G200" s="2" t="s">
        <v>15</v>
      </c>
      <c r="H200" s="2" t="s">
        <v>16</v>
      </c>
      <c r="I200" s="2" t="s">
        <v>17</v>
      </c>
      <c r="J200" s="4">
        <v>-0.879</v>
      </c>
      <c r="K200" s="2" t="s">
        <v>226</v>
      </c>
      <c r="L200" s="2">
        <v>2023</v>
      </c>
      <c r="M200" s="2" t="s">
        <v>227</v>
      </c>
      <c r="N200" s="2" t="s">
        <v>23</v>
      </c>
      <c r="O200">
        <f t="shared" si="6"/>
        <v>3.5769999999999982</v>
      </c>
      <c r="P200">
        <f t="shared" si="7"/>
        <v>36.97499999999998</v>
      </c>
    </row>
    <row r="201" spans="1:16" x14ac:dyDescent="0.35">
      <c r="A201" s="9" t="s">
        <v>239</v>
      </c>
      <c r="B201" s="2">
        <v>173.548</v>
      </c>
      <c r="C201" s="2">
        <v>175.518</v>
      </c>
      <c r="D201" s="2">
        <v>173.08099999999999</v>
      </c>
      <c r="E201" s="2">
        <v>173.80199999999999</v>
      </c>
      <c r="F201" s="2">
        <v>55406192</v>
      </c>
      <c r="G201" s="2" t="s">
        <v>15</v>
      </c>
      <c r="H201" s="2" t="s">
        <v>16</v>
      </c>
      <c r="I201" s="2" t="s">
        <v>17</v>
      </c>
      <c r="J201" s="4">
        <v>-0.74099999999999999</v>
      </c>
      <c r="K201" s="2" t="s">
        <v>226</v>
      </c>
      <c r="L201" s="2">
        <v>2023</v>
      </c>
      <c r="M201" s="2" t="s">
        <v>227</v>
      </c>
      <c r="N201" s="2" t="s">
        <v>23</v>
      </c>
      <c r="O201">
        <f t="shared" si="6"/>
        <v>2.4370000000000118</v>
      </c>
      <c r="P201">
        <f t="shared" si="7"/>
        <v>36.23399999999998</v>
      </c>
    </row>
    <row r="202" spans="1:16" x14ac:dyDescent="0.35">
      <c r="A202" s="9" t="s">
        <v>240</v>
      </c>
      <c r="B202" s="2">
        <v>174</v>
      </c>
      <c r="C202" s="2">
        <v>175.78100000000001</v>
      </c>
      <c r="D202" s="2">
        <v>173.15899999999999</v>
      </c>
      <c r="E202" s="2">
        <v>173.428</v>
      </c>
      <c r="F202" s="2">
        <v>59997868</v>
      </c>
      <c r="G202" s="2" t="s">
        <v>15</v>
      </c>
      <c r="H202" s="2" t="s">
        <v>16</v>
      </c>
      <c r="I202" s="2" t="s">
        <v>17</v>
      </c>
      <c r="J202" s="4">
        <v>-0.215</v>
      </c>
      <c r="K202" s="2" t="s">
        <v>226</v>
      </c>
      <c r="L202" s="2">
        <v>2023</v>
      </c>
      <c r="M202" s="2" t="s">
        <v>227</v>
      </c>
      <c r="N202" s="2" t="s">
        <v>23</v>
      </c>
      <c r="O202">
        <f t="shared" si="6"/>
        <v>2.6220000000000141</v>
      </c>
      <c r="P202">
        <f t="shared" si="7"/>
        <v>36.018999999999977</v>
      </c>
    </row>
    <row r="203" spans="1:16" x14ac:dyDescent="0.35">
      <c r="A203" s="9" t="s">
        <v>241</v>
      </c>
      <c r="B203" s="2">
        <v>173.279</v>
      </c>
      <c r="C203" s="2">
        <v>173.38900000000001</v>
      </c>
      <c r="D203" s="2">
        <v>170.64</v>
      </c>
      <c r="E203" s="2">
        <v>170.87700000000001</v>
      </c>
      <c r="F203" s="2">
        <v>64996942</v>
      </c>
      <c r="G203" s="2" t="s">
        <v>15</v>
      </c>
      <c r="H203" s="2" t="s">
        <v>16</v>
      </c>
      <c r="I203" s="2" t="s">
        <v>17</v>
      </c>
      <c r="J203" s="4">
        <v>-1.4710000000000001</v>
      </c>
      <c r="K203" s="2" t="s">
        <v>226</v>
      </c>
      <c r="L203" s="2">
        <v>2023</v>
      </c>
      <c r="M203" s="2" t="s">
        <v>227</v>
      </c>
      <c r="N203" s="2" t="s">
        <v>23</v>
      </c>
      <c r="O203">
        <f t="shared" si="6"/>
        <v>2.7490000000000236</v>
      </c>
      <c r="P203">
        <f t="shared" si="7"/>
        <v>34.547999999999973</v>
      </c>
    </row>
    <row r="204" spans="1:16" x14ac:dyDescent="0.35">
      <c r="A204" s="9" t="s">
        <v>242</v>
      </c>
      <c r="B204" s="2">
        <v>168.929</v>
      </c>
      <c r="C204" s="2">
        <v>171.995</v>
      </c>
      <c r="D204" s="2">
        <v>167.96100000000001</v>
      </c>
      <c r="E204" s="2">
        <v>170.99600000000001</v>
      </c>
      <c r="F204" s="2">
        <v>56636174</v>
      </c>
      <c r="G204" s="2" t="s">
        <v>15</v>
      </c>
      <c r="H204" s="2" t="s">
        <v>16</v>
      </c>
      <c r="I204" s="2" t="s">
        <v>17</v>
      </c>
      <c r="J204" s="3">
        <v>7.0000000000000007E-2</v>
      </c>
      <c r="K204" s="2" t="s">
        <v>226</v>
      </c>
      <c r="L204" s="2">
        <v>2023</v>
      </c>
      <c r="M204" s="2" t="s">
        <v>227</v>
      </c>
      <c r="N204" s="2" t="s">
        <v>21</v>
      </c>
      <c r="O204">
        <f t="shared" si="6"/>
        <v>4.0339999999999918</v>
      </c>
      <c r="P204">
        <f t="shared" si="7"/>
        <v>34.617999999999974</v>
      </c>
    </row>
    <row r="205" spans="1:16" x14ac:dyDescent="0.35">
      <c r="A205" s="9" t="s">
        <v>243</v>
      </c>
      <c r="B205" s="2">
        <v>171.04599999999999</v>
      </c>
      <c r="C205" s="2">
        <v>171.65600000000001</v>
      </c>
      <c r="D205" s="2">
        <v>169.464</v>
      </c>
      <c r="E205" s="2">
        <v>171.43199999999999</v>
      </c>
      <c r="F205" s="2">
        <v>44330156</v>
      </c>
      <c r="G205" s="2" t="s">
        <v>15</v>
      </c>
      <c r="H205" s="2" t="s">
        <v>16</v>
      </c>
      <c r="I205" s="2" t="s">
        <v>17</v>
      </c>
      <c r="J205" s="3">
        <v>0.255</v>
      </c>
      <c r="K205" s="2" t="s">
        <v>226</v>
      </c>
      <c r="L205" s="2">
        <v>2023</v>
      </c>
      <c r="M205" s="2" t="s">
        <v>227</v>
      </c>
      <c r="N205" s="2" t="s">
        <v>21</v>
      </c>
      <c r="O205">
        <f t="shared" si="6"/>
        <v>2.1920000000000073</v>
      </c>
      <c r="P205">
        <f t="shared" si="7"/>
        <v>34.872999999999976</v>
      </c>
    </row>
    <row r="206" spans="1:16" x14ac:dyDescent="0.35">
      <c r="A206" s="9" t="s">
        <v>244</v>
      </c>
      <c r="B206" s="2">
        <v>169.88900000000001</v>
      </c>
      <c r="C206" s="2">
        <v>171.05500000000001</v>
      </c>
      <c r="D206" s="2">
        <v>168.67099999999999</v>
      </c>
      <c r="E206" s="2">
        <v>169.119</v>
      </c>
      <c r="F206" s="2">
        <v>57826819</v>
      </c>
      <c r="G206" s="2" t="s">
        <v>15</v>
      </c>
      <c r="H206" s="2" t="s">
        <v>16</v>
      </c>
      <c r="I206" s="2" t="s">
        <v>17</v>
      </c>
      <c r="J206" s="4">
        <v>-1.349</v>
      </c>
      <c r="K206" s="2" t="s">
        <v>226</v>
      </c>
      <c r="L206" s="2">
        <v>2023</v>
      </c>
      <c r="M206" s="2" t="s">
        <v>227</v>
      </c>
      <c r="N206" s="2" t="s">
        <v>23</v>
      </c>
      <c r="O206">
        <f t="shared" si="6"/>
        <v>2.3840000000000146</v>
      </c>
      <c r="P206">
        <f t="shared" si="7"/>
        <v>33.52399999999998</v>
      </c>
    </row>
    <row r="207" spans="1:16" x14ac:dyDescent="0.35">
      <c r="A207" s="9" t="s">
        <v>245</v>
      </c>
      <c r="B207" s="2">
        <v>168.398</v>
      </c>
      <c r="C207" s="2">
        <v>169.392</v>
      </c>
      <c r="D207" s="2">
        <v>163.751</v>
      </c>
      <c r="E207" s="2">
        <v>164.958</v>
      </c>
      <c r="F207" s="2">
        <v>71452958</v>
      </c>
      <c r="G207" s="2" t="s">
        <v>15</v>
      </c>
      <c r="H207" s="2" t="s">
        <v>16</v>
      </c>
      <c r="I207" s="2" t="s">
        <v>17</v>
      </c>
      <c r="J207" s="4">
        <v>-2.46</v>
      </c>
      <c r="K207" s="2" t="s">
        <v>226</v>
      </c>
      <c r="L207" s="2">
        <v>2023</v>
      </c>
      <c r="M207" s="2" t="s">
        <v>227</v>
      </c>
      <c r="N207" s="2" t="s">
        <v>23</v>
      </c>
      <c r="O207">
        <f t="shared" si="6"/>
        <v>5.6409999999999911</v>
      </c>
      <c r="P207">
        <f t="shared" si="7"/>
        <v>31.063999999999979</v>
      </c>
    </row>
    <row r="208" spans="1:16" x14ac:dyDescent="0.35">
      <c r="A208" s="9" t="s">
        <v>246</v>
      </c>
      <c r="B208" s="2">
        <v>164.977</v>
      </c>
      <c r="C208" s="2">
        <v>167.00299999999999</v>
      </c>
      <c r="D208" s="2">
        <v>164.898</v>
      </c>
      <c r="E208" s="2">
        <v>166.27099999999999</v>
      </c>
      <c r="F208" s="2">
        <v>59184716</v>
      </c>
      <c r="G208" s="2" t="s">
        <v>15</v>
      </c>
      <c r="H208" s="2" t="s">
        <v>16</v>
      </c>
      <c r="I208" s="2" t="s">
        <v>17</v>
      </c>
      <c r="J208" s="3">
        <v>0.79600000000000004</v>
      </c>
      <c r="K208" s="2" t="s">
        <v>226</v>
      </c>
      <c r="L208" s="2">
        <v>2023</v>
      </c>
      <c r="M208" s="2" t="s">
        <v>227</v>
      </c>
      <c r="N208" s="2" t="s">
        <v>21</v>
      </c>
      <c r="O208">
        <f t="shared" si="6"/>
        <v>2.1049999999999898</v>
      </c>
      <c r="P208">
        <f t="shared" si="7"/>
        <v>31.859999999999978</v>
      </c>
    </row>
    <row r="209" spans="1:16" x14ac:dyDescent="0.35">
      <c r="A209" s="9" t="s">
        <v>247</v>
      </c>
      <c r="B209" s="2">
        <v>167.06299999999999</v>
      </c>
      <c r="C209" s="2">
        <v>169.18799999999999</v>
      </c>
      <c r="D209" s="2">
        <v>166.91399999999999</v>
      </c>
      <c r="E209" s="2">
        <v>168.31899999999999</v>
      </c>
      <c r="F209" s="2">
        <v>51730189</v>
      </c>
      <c r="G209" s="2" t="s">
        <v>15</v>
      </c>
      <c r="H209" s="2" t="s">
        <v>16</v>
      </c>
      <c r="I209" s="2" t="s">
        <v>17</v>
      </c>
      <c r="J209" s="3">
        <v>1.232</v>
      </c>
      <c r="K209" s="2" t="s">
        <v>226</v>
      </c>
      <c r="L209" s="2">
        <v>2023</v>
      </c>
      <c r="M209" s="2" t="s">
        <v>227</v>
      </c>
      <c r="N209" s="2" t="s">
        <v>21</v>
      </c>
      <c r="O209">
        <f t="shared" si="6"/>
        <v>2.2740000000000009</v>
      </c>
      <c r="P209">
        <f t="shared" si="7"/>
        <v>33.091999999999977</v>
      </c>
    </row>
    <row r="210" spans="1:16" x14ac:dyDescent="0.35">
      <c r="A210" s="9" t="s">
        <v>248</v>
      </c>
      <c r="B210" s="2">
        <v>167.38800000000001</v>
      </c>
      <c r="C210" s="2">
        <v>168.91900000000001</v>
      </c>
      <c r="D210" s="2">
        <v>165.95500000000001</v>
      </c>
      <c r="E210" s="2">
        <v>168.791</v>
      </c>
      <c r="F210" s="2">
        <v>45371594</v>
      </c>
      <c r="G210" s="2" t="s">
        <v>15</v>
      </c>
      <c r="H210" s="2" t="s">
        <v>16</v>
      </c>
      <c r="I210" s="2" t="s">
        <v>17</v>
      </c>
      <c r="J210" s="3">
        <v>0.28000000000000003</v>
      </c>
      <c r="K210" s="2" t="s">
        <v>226</v>
      </c>
      <c r="L210" s="2">
        <v>2023</v>
      </c>
      <c r="M210" s="2" t="s">
        <v>227</v>
      </c>
      <c r="N210" s="2" t="s">
        <v>21</v>
      </c>
      <c r="O210">
        <f t="shared" si="6"/>
        <v>2.9639999999999986</v>
      </c>
      <c r="P210">
        <f t="shared" si="7"/>
        <v>33.371999999999979</v>
      </c>
    </row>
    <row r="211" spans="1:16" x14ac:dyDescent="0.35">
      <c r="A211" s="9" t="s">
        <v>249</v>
      </c>
      <c r="B211" s="2">
        <v>169.01900000000001</v>
      </c>
      <c r="C211" s="2">
        <v>172.21100000000001</v>
      </c>
      <c r="D211" s="2">
        <v>168.149</v>
      </c>
      <c r="E211" s="2">
        <v>171.95500000000001</v>
      </c>
      <c r="F211" s="2">
        <v>57602160</v>
      </c>
      <c r="G211" s="2" t="s">
        <v>15</v>
      </c>
      <c r="H211" s="2" t="s">
        <v>16</v>
      </c>
      <c r="I211" s="2" t="s">
        <v>17</v>
      </c>
      <c r="J211" s="3">
        <v>1.875</v>
      </c>
      <c r="K211" s="2" t="s">
        <v>250</v>
      </c>
      <c r="L211" s="2">
        <v>2023</v>
      </c>
      <c r="M211" s="2" t="s">
        <v>251</v>
      </c>
      <c r="N211" s="2" t="s">
        <v>21</v>
      </c>
      <c r="O211">
        <f t="shared" si="6"/>
        <v>4.0620000000000118</v>
      </c>
      <c r="P211">
        <f t="shared" si="7"/>
        <v>35.246999999999979</v>
      </c>
    </row>
    <row r="212" spans="1:16" x14ac:dyDescent="0.35">
      <c r="A212" s="9" t="s">
        <v>252</v>
      </c>
      <c r="B212" s="2">
        <v>173.488</v>
      </c>
      <c r="C212" s="2">
        <v>175.721</v>
      </c>
      <c r="D212" s="2">
        <v>173.428</v>
      </c>
      <c r="E212" s="2">
        <v>175.51300000000001</v>
      </c>
      <c r="F212" s="2">
        <v>78241084</v>
      </c>
      <c r="G212" s="2" t="s">
        <v>15</v>
      </c>
      <c r="H212" s="2" t="s">
        <v>16</v>
      </c>
      <c r="I212" s="2" t="s">
        <v>17</v>
      </c>
      <c r="J212" s="3">
        <v>2.069</v>
      </c>
      <c r="K212" s="2" t="s">
        <v>250</v>
      </c>
      <c r="L212" s="2">
        <v>2023</v>
      </c>
      <c r="M212" s="2" t="s">
        <v>251</v>
      </c>
      <c r="N212" s="2" t="s">
        <v>21</v>
      </c>
      <c r="O212">
        <f t="shared" si="6"/>
        <v>2.2930000000000064</v>
      </c>
      <c r="P212">
        <f t="shared" si="7"/>
        <v>37.315999999999981</v>
      </c>
    </row>
    <row r="213" spans="1:16" x14ac:dyDescent="0.35">
      <c r="A213" s="9" t="s">
        <v>253</v>
      </c>
      <c r="B213" s="2">
        <v>172.221</v>
      </c>
      <c r="C213" s="2">
        <v>174.77</v>
      </c>
      <c r="D213" s="2">
        <v>171.34200000000001</v>
      </c>
      <c r="E213" s="2">
        <v>174.60400000000001</v>
      </c>
      <c r="F213" s="2">
        <v>80764813</v>
      </c>
      <c r="G213" s="2" t="s">
        <v>15</v>
      </c>
      <c r="H213" s="2" t="s">
        <v>16</v>
      </c>
      <c r="I213" s="2" t="s">
        <v>17</v>
      </c>
      <c r="J213" s="4">
        <v>-0.51800000000000002</v>
      </c>
      <c r="K213" s="2" t="s">
        <v>250</v>
      </c>
      <c r="L213" s="2">
        <v>2023</v>
      </c>
      <c r="M213" s="2" t="s">
        <v>251</v>
      </c>
      <c r="N213" s="2" t="s">
        <v>23</v>
      </c>
      <c r="O213">
        <f t="shared" si="6"/>
        <v>3.4279999999999973</v>
      </c>
      <c r="P213">
        <f t="shared" si="7"/>
        <v>36.797999999999981</v>
      </c>
    </row>
    <row r="214" spans="1:16" x14ac:dyDescent="0.35">
      <c r="A214" s="9" t="s">
        <v>254</v>
      </c>
      <c r="B214" s="2">
        <v>174.33799999999999</v>
      </c>
      <c r="C214" s="2">
        <v>177.352</v>
      </c>
      <c r="D214" s="2">
        <v>174.16900000000001</v>
      </c>
      <c r="E214" s="2">
        <v>177.154</v>
      </c>
      <c r="F214" s="2">
        <v>64589505</v>
      </c>
      <c r="G214" s="2" t="s">
        <v>15</v>
      </c>
      <c r="H214" s="2" t="s">
        <v>16</v>
      </c>
      <c r="I214" s="2" t="s">
        <v>17</v>
      </c>
      <c r="J214" s="3">
        <v>1.46</v>
      </c>
      <c r="K214" s="2" t="s">
        <v>250</v>
      </c>
      <c r="L214" s="2">
        <v>2023</v>
      </c>
      <c r="M214" s="2" t="s">
        <v>251</v>
      </c>
      <c r="N214" s="2" t="s">
        <v>21</v>
      </c>
      <c r="O214">
        <f t="shared" si="6"/>
        <v>3.1829999999999927</v>
      </c>
      <c r="P214">
        <f t="shared" si="7"/>
        <v>38.257999999999981</v>
      </c>
    </row>
    <row r="215" spans="1:16" x14ac:dyDescent="0.35">
      <c r="A215" s="9" t="s">
        <v>255</v>
      </c>
      <c r="B215" s="2">
        <v>177.10400000000001</v>
      </c>
      <c r="C215" s="2">
        <v>180.328</v>
      </c>
      <c r="D215" s="2">
        <v>176.89599999999999</v>
      </c>
      <c r="E215" s="2">
        <v>179.71600000000001</v>
      </c>
      <c r="F215" s="2">
        <v>71356550</v>
      </c>
      <c r="G215" s="2" t="s">
        <v>15</v>
      </c>
      <c r="H215" s="2" t="s">
        <v>16</v>
      </c>
      <c r="I215" s="2" t="s">
        <v>17</v>
      </c>
      <c r="J215" s="3">
        <v>1.446</v>
      </c>
      <c r="K215" s="2" t="s">
        <v>250</v>
      </c>
      <c r="L215" s="2">
        <v>2023</v>
      </c>
      <c r="M215" s="2" t="s">
        <v>251</v>
      </c>
      <c r="N215" s="2" t="s">
        <v>21</v>
      </c>
      <c r="O215">
        <f t="shared" si="6"/>
        <v>3.4320000000000164</v>
      </c>
      <c r="P215">
        <f t="shared" si="7"/>
        <v>39.703999999999979</v>
      </c>
    </row>
    <row r="216" spans="1:16" x14ac:dyDescent="0.35">
      <c r="A216" s="9" t="s">
        <v>256</v>
      </c>
      <c r="B216" s="2">
        <v>180.238</v>
      </c>
      <c r="C216" s="2">
        <v>181.32499999999999</v>
      </c>
      <c r="D216" s="2">
        <v>179.48699999999999</v>
      </c>
      <c r="E216" s="2">
        <v>180.77</v>
      </c>
      <c r="F216" s="2">
        <v>49918530</v>
      </c>
      <c r="G216" s="2" t="s">
        <v>15</v>
      </c>
      <c r="H216" s="2" t="s">
        <v>16</v>
      </c>
      <c r="I216" s="2" t="s">
        <v>17</v>
      </c>
      <c r="J216" s="3">
        <v>0.58599999999999997</v>
      </c>
      <c r="K216" s="2" t="s">
        <v>250</v>
      </c>
      <c r="L216" s="2">
        <v>2023</v>
      </c>
      <c r="M216" s="2" t="s">
        <v>251</v>
      </c>
      <c r="N216" s="2" t="s">
        <v>21</v>
      </c>
      <c r="O216">
        <f t="shared" si="6"/>
        <v>1.8379999999999939</v>
      </c>
      <c r="P216">
        <f t="shared" si="7"/>
        <v>40.289999999999978</v>
      </c>
    </row>
    <row r="217" spans="1:16" x14ac:dyDescent="0.35">
      <c r="A217" s="9" t="s">
        <v>257</v>
      </c>
      <c r="B217" s="2">
        <v>180.84</v>
      </c>
      <c r="C217" s="2">
        <v>181.988</v>
      </c>
      <c r="D217" s="2">
        <v>179.70599999999999</v>
      </c>
      <c r="E217" s="2">
        <v>180.298</v>
      </c>
      <c r="F217" s="2">
        <v>54393626</v>
      </c>
      <c r="G217" s="2" t="s">
        <v>15</v>
      </c>
      <c r="H217" s="2" t="s">
        <v>16</v>
      </c>
      <c r="I217" s="2" t="s">
        <v>17</v>
      </c>
      <c r="J217" s="4">
        <v>-0.26100000000000001</v>
      </c>
      <c r="K217" s="2" t="s">
        <v>250</v>
      </c>
      <c r="L217" s="2">
        <v>2023</v>
      </c>
      <c r="M217" s="2" t="s">
        <v>251</v>
      </c>
      <c r="N217" s="2" t="s">
        <v>23</v>
      </c>
      <c r="O217">
        <f t="shared" si="6"/>
        <v>2.2820000000000107</v>
      </c>
      <c r="P217">
        <f t="shared" si="7"/>
        <v>40.028999999999975</v>
      </c>
    </row>
    <row r="218" spans="1:16" x14ac:dyDescent="0.35">
      <c r="A218" s="9" t="s">
        <v>258</v>
      </c>
      <c r="B218" s="2">
        <v>182.08</v>
      </c>
      <c r="C218" s="2">
        <v>184.64699999999999</v>
      </c>
      <c r="D218" s="2">
        <v>181.642</v>
      </c>
      <c r="E218" s="2">
        <v>184.482</v>
      </c>
      <c r="F218" s="2">
        <v>66865410</v>
      </c>
      <c r="G218" s="2" t="s">
        <v>15</v>
      </c>
      <c r="H218" s="2" t="s">
        <v>16</v>
      </c>
      <c r="I218" s="2" t="s">
        <v>17</v>
      </c>
      <c r="J218" s="3">
        <v>2.3210000000000002</v>
      </c>
      <c r="K218" s="2" t="s">
        <v>250</v>
      </c>
      <c r="L218" s="2">
        <v>2023</v>
      </c>
      <c r="M218" s="2" t="s">
        <v>251</v>
      </c>
      <c r="N218" s="2" t="s">
        <v>21</v>
      </c>
      <c r="O218">
        <f t="shared" si="6"/>
        <v>3.0049999999999955</v>
      </c>
      <c r="P218">
        <f t="shared" si="7"/>
        <v>42.349999999999973</v>
      </c>
    </row>
    <row r="219" spans="1:16" x14ac:dyDescent="0.35">
      <c r="A219" s="9" t="s">
        <v>259</v>
      </c>
      <c r="B219" s="2">
        <v>183.911</v>
      </c>
      <c r="C219" s="2">
        <v>184.11699999999999</v>
      </c>
      <c r="D219" s="2">
        <v>182.316</v>
      </c>
      <c r="E219" s="2">
        <v>182.9</v>
      </c>
      <c r="F219" s="2">
        <v>44080741</v>
      </c>
      <c r="G219" s="2" t="s">
        <v>15</v>
      </c>
      <c r="H219" s="2" t="s">
        <v>16</v>
      </c>
      <c r="I219" s="2" t="s">
        <v>17</v>
      </c>
      <c r="J219" s="4">
        <v>-0.85799999999999998</v>
      </c>
      <c r="K219" s="2" t="s">
        <v>250</v>
      </c>
      <c r="L219" s="2">
        <v>2023</v>
      </c>
      <c r="M219" s="2" t="s">
        <v>251</v>
      </c>
      <c r="N219" s="2" t="s">
        <v>23</v>
      </c>
      <c r="O219">
        <f t="shared" si="6"/>
        <v>1.8009999999999877</v>
      </c>
      <c r="P219">
        <f t="shared" si="7"/>
        <v>41.491999999999976</v>
      </c>
    </row>
    <row r="220" spans="1:16" x14ac:dyDescent="0.35">
      <c r="A220" s="9" t="s">
        <v>260</v>
      </c>
      <c r="B220" s="2">
        <v>185.77099999999999</v>
      </c>
      <c r="C220" s="2">
        <v>186.17500000000001</v>
      </c>
      <c r="D220" s="2">
        <v>184.38300000000001</v>
      </c>
      <c r="E220" s="2">
        <v>185.512</v>
      </c>
      <c r="F220" s="2">
        <v>60732811</v>
      </c>
      <c r="G220" s="2" t="s">
        <v>15</v>
      </c>
      <c r="H220" s="2" t="s">
        <v>16</v>
      </c>
      <c r="I220" s="2" t="s">
        <v>17</v>
      </c>
      <c r="J220" s="3">
        <v>1.4279999999999999</v>
      </c>
      <c r="K220" s="2" t="s">
        <v>250</v>
      </c>
      <c r="L220" s="2">
        <v>2023</v>
      </c>
      <c r="M220" s="2" t="s">
        <v>251</v>
      </c>
      <c r="N220" s="2" t="s">
        <v>21</v>
      </c>
      <c r="O220">
        <f t="shared" si="6"/>
        <v>1.7920000000000016</v>
      </c>
      <c r="P220">
        <f t="shared" si="7"/>
        <v>42.919999999999973</v>
      </c>
    </row>
    <row r="221" spans="1:16" x14ac:dyDescent="0.35">
      <c r="A221" s="9" t="s">
        <v>261</v>
      </c>
      <c r="B221" s="2">
        <v>185.91399999999999</v>
      </c>
      <c r="C221" s="2">
        <v>187.55199999999999</v>
      </c>
      <c r="D221" s="2">
        <v>185.85</v>
      </c>
      <c r="E221" s="2">
        <v>186.07599999999999</v>
      </c>
      <c r="F221" s="2">
        <v>54349299</v>
      </c>
      <c r="G221" s="2" t="s">
        <v>15</v>
      </c>
      <c r="H221" s="2" t="s">
        <v>16</v>
      </c>
      <c r="I221" s="2" t="s">
        <v>17</v>
      </c>
      <c r="J221" s="3">
        <v>0.30399999999999999</v>
      </c>
      <c r="K221" s="2" t="s">
        <v>250</v>
      </c>
      <c r="L221" s="2">
        <v>2023</v>
      </c>
      <c r="M221" s="2" t="s">
        <v>251</v>
      </c>
      <c r="N221" s="2" t="s">
        <v>21</v>
      </c>
      <c r="O221">
        <f t="shared" si="6"/>
        <v>1.7019999999999982</v>
      </c>
      <c r="P221">
        <f t="shared" si="7"/>
        <v>43.223999999999975</v>
      </c>
    </row>
    <row r="222" spans="1:16" x14ac:dyDescent="0.35">
      <c r="A222" s="9" t="s">
        <v>262</v>
      </c>
      <c r="B222" s="2">
        <v>187.62</v>
      </c>
      <c r="C222" s="2">
        <v>188.99700000000001</v>
      </c>
      <c r="D222" s="2">
        <v>186.71</v>
      </c>
      <c r="E222" s="2">
        <v>187.75899999999999</v>
      </c>
      <c r="F222" s="2">
        <v>54978182</v>
      </c>
      <c r="G222" s="2" t="s">
        <v>15</v>
      </c>
      <c r="H222" s="2" t="s">
        <v>16</v>
      </c>
      <c r="I222" s="2" t="s">
        <v>17</v>
      </c>
      <c r="J222" s="3">
        <v>0.90400000000000003</v>
      </c>
      <c r="K222" s="2" t="s">
        <v>250</v>
      </c>
      <c r="L222" s="2">
        <v>2023</v>
      </c>
      <c r="M222" s="2" t="s">
        <v>251</v>
      </c>
      <c r="N222" s="2" t="s">
        <v>21</v>
      </c>
      <c r="O222">
        <f t="shared" si="6"/>
        <v>2.2870000000000061</v>
      </c>
      <c r="P222">
        <f t="shared" si="7"/>
        <v>44.127999999999979</v>
      </c>
    </row>
    <row r="223" spans="1:16" x14ac:dyDescent="0.35">
      <c r="A223" s="9" t="s">
        <v>263</v>
      </c>
      <c r="B223" s="2">
        <v>188.29499999999999</v>
      </c>
      <c r="C223" s="2">
        <v>188.422</v>
      </c>
      <c r="D223" s="2">
        <v>186.63300000000001</v>
      </c>
      <c r="E223" s="2">
        <v>187.739</v>
      </c>
      <c r="F223" s="2">
        <v>51470607</v>
      </c>
      <c r="G223" s="2" t="s">
        <v>15</v>
      </c>
      <c r="H223" s="2" t="s">
        <v>16</v>
      </c>
      <c r="I223" s="2" t="s">
        <v>17</v>
      </c>
      <c r="J223" s="4">
        <v>-1.0999999999999999E-2</v>
      </c>
      <c r="K223" s="2" t="s">
        <v>250</v>
      </c>
      <c r="L223" s="2">
        <v>2023</v>
      </c>
      <c r="M223" s="2" t="s">
        <v>251</v>
      </c>
      <c r="N223" s="2" t="s">
        <v>23</v>
      </c>
      <c r="O223">
        <f t="shared" si="6"/>
        <v>1.7889999999999873</v>
      </c>
      <c r="P223">
        <f t="shared" si="7"/>
        <v>44.116999999999976</v>
      </c>
    </row>
    <row r="224" spans="1:16" x14ac:dyDescent="0.35">
      <c r="A224" s="9" t="s">
        <v>264</v>
      </c>
      <c r="B224" s="2">
        <v>187.93700000000001</v>
      </c>
      <c r="C224" s="2">
        <v>189.93100000000001</v>
      </c>
      <c r="D224" s="2">
        <v>187.92699999999999</v>
      </c>
      <c r="E224" s="2">
        <v>189.482</v>
      </c>
      <c r="F224" s="2">
        <v>47022079</v>
      </c>
      <c r="G224" s="2" t="s">
        <v>15</v>
      </c>
      <c r="H224" s="2" t="s">
        <v>16</v>
      </c>
      <c r="I224" s="2" t="s">
        <v>17</v>
      </c>
      <c r="J224" s="3">
        <v>0.92800000000000005</v>
      </c>
      <c r="K224" s="2" t="s">
        <v>250</v>
      </c>
      <c r="L224" s="2">
        <v>2023</v>
      </c>
      <c r="M224" s="2" t="s">
        <v>251</v>
      </c>
      <c r="N224" s="2" t="s">
        <v>21</v>
      </c>
      <c r="O224">
        <f t="shared" si="6"/>
        <v>2.0040000000000191</v>
      </c>
      <c r="P224">
        <f t="shared" si="7"/>
        <v>45.044999999999973</v>
      </c>
    </row>
    <row r="225" spans="1:16" x14ac:dyDescent="0.35">
      <c r="A225" s="9" t="s">
        <v>265</v>
      </c>
      <c r="B225" s="2">
        <v>189.44200000000001</v>
      </c>
      <c r="C225" s="2">
        <v>189.55099999999999</v>
      </c>
      <c r="D225" s="2">
        <v>187.78800000000001</v>
      </c>
      <c r="E225" s="2">
        <v>188.679</v>
      </c>
      <c r="F225" s="2">
        <v>38530643</v>
      </c>
      <c r="G225" s="2" t="s">
        <v>15</v>
      </c>
      <c r="H225" s="2" t="s">
        <v>16</v>
      </c>
      <c r="I225" s="2" t="s">
        <v>17</v>
      </c>
      <c r="J225" s="4">
        <v>-0.42399999999999999</v>
      </c>
      <c r="K225" s="2" t="s">
        <v>250</v>
      </c>
      <c r="L225" s="2">
        <v>2023</v>
      </c>
      <c r="M225" s="2" t="s">
        <v>251</v>
      </c>
      <c r="N225" s="2" t="s">
        <v>23</v>
      </c>
      <c r="O225">
        <f t="shared" si="6"/>
        <v>1.7629999999999768</v>
      </c>
      <c r="P225">
        <f t="shared" si="7"/>
        <v>44.620999999999974</v>
      </c>
    </row>
    <row r="226" spans="1:16" x14ac:dyDescent="0.35">
      <c r="A226" s="9" t="s">
        <v>266</v>
      </c>
      <c r="B226" s="2">
        <v>189.52099999999999</v>
      </c>
      <c r="C226" s="2">
        <v>190.947</v>
      </c>
      <c r="D226" s="2">
        <v>188.863</v>
      </c>
      <c r="E226" s="2">
        <v>189.34299999999999</v>
      </c>
      <c r="F226" s="2">
        <v>40041705</v>
      </c>
      <c r="G226" s="2" t="s">
        <v>15</v>
      </c>
      <c r="H226" s="2" t="s">
        <v>16</v>
      </c>
      <c r="I226" s="2" t="s">
        <v>17</v>
      </c>
      <c r="J226" s="3">
        <v>0.35199999999999998</v>
      </c>
      <c r="K226" s="2" t="s">
        <v>250</v>
      </c>
      <c r="L226" s="2">
        <v>2023</v>
      </c>
      <c r="M226" s="2" t="s">
        <v>251</v>
      </c>
      <c r="N226" s="2" t="s">
        <v>21</v>
      </c>
      <c r="O226">
        <f t="shared" si="6"/>
        <v>2.0840000000000032</v>
      </c>
      <c r="P226">
        <f t="shared" si="7"/>
        <v>44.972999999999971</v>
      </c>
    </row>
    <row r="227" spans="1:16" x14ac:dyDescent="0.35">
      <c r="A227" s="9" t="s">
        <v>267</v>
      </c>
      <c r="B227" s="2">
        <v>188.90799999999999</v>
      </c>
      <c r="C227" s="2">
        <v>188.93700000000001</v>
      </c>
      <c r="D227" s="2">
        <v>187.30500000000001</v>
      </c>
      <c r="E227" s="2">
        <v>188.017</v>
      </c>
      <c r="F227" s="2">
        <v>24298169</v>
      </c>
      <c r="G227" s="2" t="s">
        <v>15</v>
      </c>
      <c r="H227" s="2" t="s">
        <v>16</v>
      </c>
      <c r="I227" s="2" t="s">
        <v>17</v>
      </c>
      <c r="J227" s="4">
        <v>-0.7</v>
      </c>
      <c r="K227" s="2" t="s">
        <v>250</v>
      </c>
      <c r="L227" s="2">
        <v>2023</v>
      </c>
      <c r="M227" s="2" t="s">
        <v>251</v>
      </c>
      <c r="N227" s="2" t="s">
        <v>23</v>
      </c>
      <c r="O227">
        <f t="shared" si="6"/>
        <v>1.632000000000005</v>
      </c>
      <c r="P227">
        <f t="shared" si="7"/>
        <v>44.272999999999968</v>
      </c>
    </row>
    <row r="228" spans="1:16" x14ac:dyDescent="0.35">
      <c r="A228" s="9" t="s">
        <v>268</v>
      </c>
      <c r="B228" s="2">
        <v>187.96700000000001</v>
      </c>
      <c r="C228" s="2">
        <v>188.709</v>
      </c>
      <c r="D228" s="2">
        <v>186.95699999999999</v>
      </c>
      <c r="E228" s="2">
        <v>187.83799999999999</v>
      </c>
      <c r="F228" s="2">
        <v>40973887</v>
      </c>
      <c r="G228" s="2" t="s">
        <v>15</v>
      </c>
      <c r="H228" s="2" t="s">
        <v>16</v>
      </c>
      <c r="I228" s="2" t="s">
        <v>17</v>
      </c>
      <c r="J228" s="4">
        <v>-9.5000000000000001E-2</v>
      </c>
      <c r="K228" s="2" t="s">
        <v>250</v>
      </c>
      <c r="L228" s="2">
        <v>2023</v>
      </c>
      <c r="M228" s="2" t="s">
        <v>251</v>
      </c>
      <c r="N228" s="2" t="s">
        <v>23</v>
      </c>
      <c r="O228">
        <f t="shared" si="6"/>
        <v>1.7520000000000095</v>
      </c>
      <c r="P228">
        <f t="shared" si="7"/>
        <v>44.177999999999969</v>
      </c>
    </row>
    <row r="229" spans="1:16" x14ac:dyDescent="0.35">
      <c r="A229" s="9" t="s">
        <v>269</v>
      </c>
      <c r="B229" s="2">
        <v>187.828</v>
      </c>
      <c r="C229" s="2">
        <v>189.11600000000001</v>
      </c>
      <c r="D229" s="2">
        <v>187.45400000000001</v>
      </c>
      <c r="E229" s="2">
        <v>188.44200000000001</v>
      </c>
      <c r="F229" s="2">
        <v>38814495</v>
      </c>
      <c r="G229" s="2" t="s">
        <v>15</v>
      </c>
      <c r="H229" s="2" t="s">
        <v>16</v>
      </c>
      <c r="I229" s="2" t="s">
        <v>17</v>
      </c>
      <c r="J229" s="3">
        <v>0.32200000000000001</v>
      </c>
      <c r="K229" s="2" t="s">
        <v>250</v>
      </c>
      <c r="L229" s="2">
        <v>2023</v>
      </c>
      <c r="M229" s="2" t="s">
        <v>251</v>
      </c>
      <c r="N229" s="2" t="s">
        <v>21</v>
      </c>
      <c r="O229">
        <f t="shared" si="6"/>
        <v>1.6620000000000061</v>
      </c>
      <c r="P229">
        <f t="shared" si="7"/>
        <v>44.499999999999972</v>
      </c>
    </row>
    <row r="230" spans="1:16" x14ac:dyDescent="0.35">
      <c r="A230" s="9" t="s">
        <v>270</v>
      </c>
      <c r="B230" s="2">
        <v>188.93700000000001</v>
      </c>
      <c r="C230" s="2">
        <v>190.11600000000001</v>
      </c>
      <c r="D230" s="2">
        <v>187.02600000000001</v>
      </c>
      <c r="E230" s="2">
        <v>187.42400000000001</v>
      </c>
      <c r="F230" s="2">
        <v>43461076</v>
      </c>
      <c r="G230" s="2" t="s">
        <v>15</v>
      </c>
      <c r="H230" s="2" t="s">
        <v>16</v>
      </c>
      <c r="I230" s="2" t="s">
        <v>17</v>
      </c>
      <c r="J230" s="4">
        <v>-0.54</v>
      </c>
      <c r="K230" s="2" t="s">
        <v>250</v>
      </c>
      <c r="L230" s="2">
        <v>2023</v>
      </c>
      <c r="M230" s="2" t="s">
        <v>251</v>
      </c>
      <c r="N230" s="2" t="s">
        <v>23</v>
      </c>
      <c r="O230">
        <f t="shared" si="6"/>
        <v>3.0900000000000034</v>
      </c>
      <c r="P230">
        <f t="shared" si="7"/>
        <v>43.959999999999972</v>
      </c>
    </row>
    <row r="231" spans="1:16" x14ac:dyDescent="0.35">
      <c r="A231" s="9" t="s">
        <v>271</v>
      </c>
      <c r="B231" s="2">
        <v>187.88800000000001</v>
      </c>
      <c r="C231" s="2">
        <v>188.364</v>
      </c>
      <c r="D231" s="2">
        <v>186.25399999999999</v>
      </c>
      <c r="E231" s="2">
        <v>187.99700000000001</v>
      </c>
      <c r="F231" s="2">
        <v>49301265</v>
      </c>
      <c r="G231" s="2" t="s">
        <v>15</v>
      </c>
      <c r="H231" s="2" t="s">
        <v>16</v>
      </c>
      <c r="I231" s="2" t="s">
        <v>17</v>
      </c>
      <c r="J231" s="3">
        <v>0.30599999999999999</v>
      </c>
      <c r="K231" s="2" t="s">
        <v>250</v>
      </c>
      <c r="L231" s="2">
        <v>2023</v>
      </c>
      <c r="M231" s="2" t="s">
        <v>251</v>
      </c>
      <c r="N231" s="2" t="s">
        <v>21</v>
      </c>
      <c r="O231">
        <f t="shared" si="6"/>
        <v>2.1100000000000136</v>
      </c>
      <c r="P231">
        <f t="shared" si="7"/>
        <v>44.26599999999997</v>
      </c>
    </row>
    <row r="232" spans="1:16" x14ac:dyDescent="0.35">
      <c r="A232" s="9" t="s">
        <v>272</v>
      </c>
      <c r="B232" s="2">
        <v>188.374</v>
      </c>
      <c r="C232" s="2">
        <v>189.59100000000001</v>
      </c>
      <c r="D232" s="2">
        <v>187.285</v>
      </c>
      <c r="E232" s="2">
        <v>189.273</v>
      </c>
      <c r="F232" s="2">
        <v>46179625</v>
      </c>
      <c r="G232" s="2" t="s">
        <v>15</v>
      </c>
      <c r="H232" s="2" t="s">
        <v>16</v>
      </c>
      <c r="I232" s="2" t="s">
        <v>17</v>
      </c>
      <c r="J232" s="3">
        <v>0.67900000000000005</v>
      </c>
      <c r="K232" s="2" t="s">
        <v>273</v>
      </c>
      <c r="L232" s="2">
        <v>2023</v>
      </c>
      <c r="M232" s="2" t="s">
        <v>274</v>
      </c>
      <c r="N232" s="2" t="s">
        <v>21</v>
      </c>
      <c r="O232">
        <f t="shared" si="6"/>
        <v>2.3060000000000116</v>
      </c>
      <c r="P232">
        <f t="shared" si="7"/>
        <v>44.944999999999972</v>
      </c>
    </row>
    <row r="233" spans="1:16" x14ac:dyDescent="0.35">
      <c r="A233" s="9" t="s">
        <v>275</v>
      </c>
      <c r="B233" s="2">
        <v>188.02699999999999</v>
      </c>
      <c r="C233" s="2">
        <v>188.096</v>
      </c>
      <c r="D233" s="2">
        <v>185.523</v>
      </c>
      <c r="E233" s="2">
        <v>187.48400000000001</v>
      </c>
      <c r="F233" s="2">
        <v>43840269</v>
      </c>
      <c r="G233" s="2" t="s">
        <v>15</v>
      </c>
      <c r="H233" s="2" t="s">
        <v>16</v>
      </c>
      <c r="I233" s="2" t="s">
        <v>17</v>
      </c>
      <c r="J233" s="4">
        <v>-0.94499999999999995</v>
      </c>
      <c r="K233" s="2" t="s">
        <v>273</v>
      </c>
      <c r="L233" s="2">
        <v>2023</v>
      </c>
      <c r="M233" s="2" t="s">
        <v>274</v>
      </c>
      <c r="N233" s="2" t="s">
        <v>23</v>
      </c>
      <c r="O233">
        <f t="shared" si="6"/>
        <v>2.5730000000000075</v>
      </c>
      <c r="P233">
        <f t="shared" si="7"/>
        <v>43.999999999999972</v>
      </c>
    </row>
    <row r="234" spans="1:16" x14ac:dyDescent="0.35">
      <c r="A234" s="9" t="s">
        <v>276</v>
      </c>
      <c r="B234" s="2">
        <v>188.255</v>
      </c>
      <c r="C234" s="2">
        <v>192.40100000000001</v>
      </c>
      <c r="D234" s="2">
        <v>188.22499999999999</v>
      </c>
      <c r="E234" s="2">
        <v>191.43100000000001</v>
      </c>
      <c r="F234" s="2">
        <v>67320564</v>
      </c>
      <c r="G234" s="2" t="s">
        <v>15</v>
      </c>
      <c r="H234" s="2" t="s">
        <v>16</v>
      </c>
      <c r="I234" s="2" t="s">
        <v>17</v>
      </c>
      <c r="J234" s="3">
        <v>2.105</v>
      </c>
      <c r="K234" s="2" t="s">
        <v>273</v>
      </c>
      <c r="L234" s="2">
        <v>2023</v>
      </c>
      <c r="M234" s="2" t="s">
        <v>274</v>
      </c>
      <c r="N234" s="2" t="s">
        <v>21</v>
      </c>
      <c r="O234">
        <f t="shared" si="6"/>
        <v>4.1760000000000161</v>
      </c>
      <c r="P234">
        <f t="shared" si="7"/>
        <v>46.104999999999968</v>
      </c>
    </row>
    <row r="235" spans="1:16" x14ac:dyDescent="0.35">
      <c r="A235" s="9" t="s">
        <v>277</v>
      </c>
      <c r="B235" s="2">
        <v>192.45</v>
      </c>
      <c r="C235" s="2">
        <v>192.75800000000001</v>
      </c>
      <c r="D235" s="2">
        <v>190.13499999999999</v>
      </c>
      <c r="E235" s="2">
        <v>190.34299999999999</v>
      </c>
      <c r="F235" s="2">
        <v>41516595</v>
      </c>
      <c r="G235" s="2" t="s">
        <v>15</v>
      </c>
      <c r="H235" s="2" t="s">
        <v>16</v>
      </c>
      <c r="I235" s="2" t="s">
        <v>17</v>
      </c>
      <c r="J235" s="4">
        <v>-0.56799999999999995</v>
      </c>
      <c r="K235" s="2" t="s">
        <v>273</v>
      </c>
      <c r="L235" s="2">
        <v>2023</v>
      </c>
      <c r="M235" s="2" t="s">
        <v>274</v>
      </c>
      <c r="N235" s="2" t="s">
        <v>23</v>
      </c>
      <c r="O235">
        <f t="shared" si="6"/>
        <v>2.6230000000000189</v>
      </c>
      <c r="P235">
        <f t="shared" si="7"/>
        <v>45.536999999999971</v>
      </c>
    </row>
    <row r="236" spans="1:16" x14ac:dyDescent="0.35">
      <c r="A236" s="9" t="s">
        <v>278</v>
      </c>
      <c r="B236" s="2">
        <v>191.63900000000001</v>
      </c>
      <c r="C236" s="2">
        <v>192.995</v>
      </c>
      <c r="D236" s="2">
        <v>191.59899999999999</v>
      </c>
      <c r="E236" s="2">
        <v>192.27099999999999</v>
      </c>
      <c r="F236" s="2">
        <v>47970875</v>
      </c>
      <c r="G236" s="2" t="s">
        <v>15</v>
      </c>
      <c r="H236" s="2" t="s">
        <v>16</v>
      </c>
      <c r="I236" s="2" t="s">
        <v>17</v>
      </c>
      <c r="J236" s="3">
        <v>1.0129999999999999</v>
      </c>
      <c r="K236" s="2" t="s">
        <v>273</v>
      </c>
      <c r="L236" s="2">
        <v>2023</v>
      </c>
      <c r="M236" s="2" t="s">
        <v>274</v>
      </c>
      <c r="N236" s="2" t="s">
        <v>21</v>
      </c>
      <c r="O236">
        <f t="shared" si="6"/>
        <v>1.396000000000015</v>
      </c>
      <c r="P236">
        <f t="shared" si="7"/>
        <v>46.549999999999969</v>
      </c>
    </row>
    <row r="237" spans="1:16" x14ac:dyDescent="0.35">
      <c r="A237" s="9" t="s">
        <v>279</v>
      </c>
      <c r="B237" s="2">
        <v>192.203</v>
      </c>
      <c r="C237" s="2">
        <v>193.97399999999999</v>
      </c>
      <c r="D237" s="2">
        <v>191.679</v>
      </c>
      <c r="E237" s="2">
        <v>193.69800000000001</v>
      </c>
      <c r="F237" s="2">
        <v>53961168</v>
      </c>
      <c r="G237" s="2" t="s">
        <v>15</v>
      </c>
      <c r="H237" s="2" t="s">
        <v>16</v>
      </c>
      <c r="I237" s="2" t="s">
        <v>17</v>
      </c>
      <c r="J237" s="3">
        <v>0.74199999999999999</v>
      </c>
      <c r="K237" s="2" t="s">
        <v>273</v>
      </c>
      <c r="L237" s="2">
        <v>2023</v>
      </c>
      <c r="M237" s="2" t="s">
        <v>274</v>
      </c>
      <c r="N237" s="2" t="s">
        <v>21</v>
      </c>
      <c r="O237">
        <f t="shared" si="6"/>
        <v>2.2949999999999875</v>
      </c>
      <c r="P237">
        <f t="shared" si="7"/>
        <v>47.291999999999966</v>
      </c>
    </row>
    <row r="238" spans="1:16" x14ac:dyDescent="0.35">
      <c r="A238" s="9" t="s">
        <v>280</v>
      </c>
      <c r="B238" s="2">
        <v>191.126</v>
      </c>
      <c r="C238" s="2">
        <v>191.5</v>
      </c>
      <c r="D238" s="2">
        <v>189.452</v>
      </c>
      <c r="E238" s="2">
        <v>191.19399999999999</v>
      </c>
      <c r="F238" s="2">
        <v>61576810</v>
      </c>
      <c r="G238" s="2" t="s">
        <v>15</v>
      </c>
      <c r="H238" s="2" t="s">
        <v>16</v>
      </c>
      <c r="I238" s="2" t="s">
        <v>17</v>
      </c>
      <c r="J238" s="4">
        <v>-1.2929999999999999</v>
      </c>
      <c r="K238" s="2" t="s">
        <v>273</v>
      </c>
      <c r="L238" s="2">
        <v>2023</v>
      </c>
      <c r="M238" s="2" t="s">
        <v>274</v>
      </c>
      <c r="N238" s="2" t="s">
        <v>23</v>
      </c>
      <c r="O238">
        <f t="shared" si="6"/>
        <v>2.0480000000000018</v>
      </c>
      <c r="P238">
        <f t="shared" si="7"/>
        <v>45.998999999999967</v>
      </c>
    </row>
    <row r="239" spans="1:16" x14ac:dyDescent="0.35">
      <c r="A239" s="9" t="s">
        <v>281</v>
      </c>
      <c r="B239" s="2">
        <v>191.096</v>
      </c>
      <c r="C239" s="2">
        <v>192.71899999999999</v>
      </c>
      <c r="D239" s="2">
        <v>189.749</v>
      </c>
      <c r="E239" s="2">
        <v>192.709</v>
      </c>
      <c r="F239" s="2">
        <v>53244339</v>
      </c>
      <c r="G239" s="2" t="s">
        <v>15</v>
      </c>
      <c r="H239" s="2" t="s">
        <v>16</v>
      </c>
      <c r="I239" s="2" t="s">
        <v>17</v>
      </c>
      <c r="J239" s="3">
        <v>0.79200000000000004</v>
      </c>
      <c r="K239" s="2" t="s">
        <v>273</v>
      </c>
      <c r="L239" s="2">
        <v>2023</v>
      </c>
      <c r="M239" s="2" t="s">
        <v>274</v>
      </c>
      <c r="N239" s="2" t="s">
        <v>21</v>
      </c>
      <c r="O239">
        <f t="shared" si="6"/>
        <v>2.9699999999999989</v>
      </c>
      <c r="P239">
        <f t="shared" si="7"/>
        <v>46.790999999999968</v>
      </c>
    </row>
    <row r="240" spans="1:16" x14ac:dyDescent="0.35">
      <c r="A240" s="9" t="s">
        <v>282</v>
      </c>
      <c r="B240" s="2">
        <v>193.083</v>
      </c>
      <c r="C240" s="2">
        <v>195.965</v>
      </c>
      <c r="D240" s="2">
        <v>192.84700000000001</v>
      </c>
      <c r="E240" s="2">
        <v>195.92500000000001</v>
      </c>
      <c r="F240" s="2">
        <v>71135574</v>
      </c>
      <c r="G240" s="2" t="s">
        <v>15</v>
      </c>
      <c r="H240" s="2" t="s">
        <v>16</v>
      </c>
      <c r="I240" s="2" t="s">
        <v>17</v>
      </c>
      <c r="J240" s="3">
        <v>1.669</v>
      </c>
      <c r="K240" s="2" t="s">
        <v>273</v>
      </c>
      <c r="L240" s="2">
        <v>2023</v>
      </c>
      <c r="M240" s="2" t="s">
        <v>274</v>
      </c>
      <c r="N240" s="2" t="s">
        <v>21</v>
      </c>
      <c r="O240">
        <f t="shared" si="6"/>
        <v>3.117999999999995</v>
      </c>
      <c r="P240">
        <f t="shared" si="7"/>
        <v>48.459999999999965</v>
      </c>
    </row>
    <row r="241" spans="1:16" x14ac:dyDescent="0.35">
      <c r="A241" s="9" t="s">
        <v>283</v>
      </c>
      <c r="B241" s="2">
        <v>195.98500000000001</v>
      </c>
      <c r="C241" s="2">
        <v>197.56700000000001</v>
      </c>
      <c r="D241" s="2">
        <v>194.14400000000001</v>
      </c>
      <c r="E241" s="2">
        <v>196.07400000000001</v>
      </c>
      <c r="F241" s="2">
        <v>67525849</v>
      </c>
      <c r="G241" s="2" t="s">
        <v>15</v>
      </c>
      <c r="H241" s="2" t="s">
        <v>16</v>
      </c>
      <c r="I241" s="2" t="s">
        <v>17</v>
      </c>
      <c r="J241" s="3">
        <v>7.5999999999999998E-2</v>
      </c>
      <c r="K241" s="2" t="s">
        <v>273</v>
      </c>
      <c r="L241" s="2">
        <v>2023</v>
      </c>
      <c r="M241" s="2" t="s">
        <v>274</v>
      </c>
      <c r="N241" s="2" t="s">
        <v>21</v>
      </c>
      <c r="O241">
        <f t="shared" si="6"/>
        <v>3.4230000000000018</v>
      </c>
      <c r="P241">
        <f t="shared" si="7"/>
        <v>48.535999999999966</v>
      </c>
    </row>
    <row r="242" spans="1:16" x14ac:dyDescent="0.35">
      <c r="A242" s="9" t="s">
        <v>284</v>
      </c>
      <c r="B242" s="2">
        <v>195.499</v>
      </c>
      <c r="C242" s="2">
        <v>196.36</v>
      </c>
      <c r="D242" s="2">
        <v>194.976</v>
      </c>
      <c r="E242" s="2">
        <v>195.53899999999999</v>
      </c>
      <c r="F242" s="2">
        <v>129873720</v>
      </c>
      <c r="G242" s="2" t="s">
        <v>15</v>
      </c>
      <c r="H242" s="2" t="s">
        <v>16</v>
      </c>
      <c r="I242" s="2" t="s">
        <v>17</v>
      </c>
      <c r="J242" s="4">
        <v>-0.27300000000000002</v>
      </c>
      <c r="K242" s="2" t="s">
        <v>273</v>
      </c>
      <c r="L242" s="2">
        <v>2023</v>
      </c>
      <c r="M242" s="2" t="s">
        <v>274</v>
      </c>
      <c r="N242" s="2" t="s">
        <v>23</v>
      </c>
      <c r="O242">
        <f t="shared" si="6"/>
        <v>1.3840000000000146</v>
      </c>
      <c r="P242">
        <f t="shared" si="7"/>
        <v>48.262999999999963</v>
      </c>
    </row>
    <row r="243" spans="1:16" x14ac:dyDescent="0.35">
      <c r="A243" s="9" t="s">
        <v>285</v>
      </c>
      <c r="B243" s="2">
        <v>194.07400000000001</v>
      </c>
      <c r="C243" s="2">
        <v>194.608</v>
      </c>
      <c r="D243" s="2">
        <v>192.39099999999999</v>
      </c>
      <c r="E243" s="2">
        <v>193.87700000000001</v>
      </c>
      <c r="F243" s="2">
        <v>56331037</v>
      </c>
      <c r="G243" s="2" t="s">
        <v>15</v>
      </c>
      <c r="H243" s="2" t="s">
        <v>16</v>
      </c>
      <c r="I243" s="2" t="s">
        <v>17</v>
      </c>
      <c r="J243" s="4">
        <v>-0.85</v>
      </c>
      <c r="K243" s="2" t="s">
        <v>273</v>
      </c>
      <c r="L243" s="2">
        <v>2023</v>
      </c>
      <c r="M243" s="2" t="s">
        <v>274</v>
      </c>
      <c r="N243" s="2" t="s">
        <v>23</v>
      </c>
      <c r="O243">
        <f t="shared" si="6"/>
        <v>2.217000000000013</v>
      </c>
      <c r="P243">
        <f t="shared" si="7"/>
        <v>47.412999999999961</v>
      </c>
    </row>
    <row r="244" spans="1:16" x14ac:dyDescent="0.35">
      <c r="A244" s="9" t="s">
        <v>286</v>
      </c>
      <c r="B244" s="2">
        <v>194.14400000000001</v>
      </c>
      <c r="C244" s="2">
        <v>194.92599999999999</v>
      </c>
      <c r="D244" s="2">
        <v>193.87700000000001</v>
      </c>
      <c r="E244" s="2">
        <v>194.916</v>
      </c>
      <c r="F244" s="2">
        <v>41137007</v>
      </c>
      <c r="G244" s="2" t="s">
        <v>15</v>
      </c>
      <c r="H244" s="2" t="s">
        <v>16</v>
      </c>
      <c r="I244" s="2" t="s">
        <v>17</v>
      </c>
      <c r="J244" s="3">
        <v>0.53600000000000003</v>
      </c>
      <c r="K244" s="2" t="s">
        <v>273</v>
      </c>
      <c r="L244" s="2">
        <v>2023</v>
      </c>
      <c r="M244" s="2" t="s">
        <v>274</v>
      </c>
      <c r="N244" s="2" t="s">
        <v>21</v>
      </c>
      <c r="O244">
        <f t="shared" si="6"/>
        <v>1.0489999999999782</v>
      </c>
      <c r="P244">
        <f t="shared" si="7"/>
        <v>47.948999999999963</v>
      </c>
    </row>
    <row r="245" spans="1:16" x14ac:dyDescent="0.35">
      <c r="A245" s="9" t="s">
        <v>287</v>
      </c>
      <c r="B245" s="2">
        <v>194.876</v>
      </c>
      <c r="C245" s="2">
        <v>195.649</v>
      </c>
      <c r="D245" s="2">
        <v>192.827</v>
      </c>
      <c r="E245" s="2">
        <v>192.827</v>
      </c>
      <c r="F245" s="2">
        <v>52785537</v>
      </c>
      <c r="G245" s="2" t="s">
        <v>15</v>
      </c>
      <c r="H245" s="2" t="s">
        <v>16</v>
      </c>
      <c r="I245" s="2" t="s">
        <v>17</v>
      </c>
      <c r="J245" s="4">
        <v>-1.0720000000000001</v>
      </c>
      <c r="K245" s="2" t="s">
        <v>273</v>
      </c>
      <c r="L245" s="2">
        <v>2023</v>
      </c>
      <c r="M245" s="2" t="s">
        <v>274</v>
      </c>
      <c r="N245" s="2" t="s">
        <v>23</v>
      </c>
      <c r="O245">
        <f t="shared" si="6"/>
        <v>2.8220000000000027</v>
      </c>
      <c r="P245">
        <f t="shared" si="7"/>
        <v>46.87699999999996</v>
      </c>
    </row>
    <row r="246" spans="1:16" x14ac:dyDescent="0.35">
      <c r="A246" s="9" t="s">
        <v>288</v>
      </c>
      <c r="B246" s="2">
        <v>194.084</v>
      </c>
      <c r="C246" s="2">
        <v>195.053</v>
      </c>
      <c r="D246" s="2">
        <v>191.51</v>
      </c>
      <c r="E246" s="2">
        <v>192.68</v>
      </c>
      <c r="F246" s="2">
        <v>46965431</v>
      </c>
      <c r="G246" s="2" t="s">
        <v>15</v>
      </c>
      <c r="H246" s="2" t="s">
        <v>16</v>
      </c>
      <c r="I246" s="2" t="s">
        <v>17</v>
      </c>
      <c r="J246" s="4">
        <v>-7.5999999999999998E-2</v>
      </c>
      <c r="K246" s="2" t="s">
        <v>273</v>
      </c>
      <c r="L246" s="2">
        <v>2023</v>
      </c>
      <c r="M246" s="2" t="s">
        <v>274</v>
      </c>
      <c r="N246" s="2" t="s">
        <v>23</v>
      </c>
      <c r="O246">
        <f t="shared" si="6"/>
        <v>3.5430000000000064</v>
      </c>
      <c r="P246">
        <f t="shared" si="7"/>
        <v>46.800999999999959</v>
      </c>
    </row>
    <row r="247" spans="1:16" x14ac:dyDescent="0.35">
      <c r="A247" s="9" t="s">
        <v>289</v>
      </c>
      <c r="B247" s="2">
        <v>193.173</v>
      </c>
      <c r="C247" s="2">
        <v>193.40100000000001</v>
      </c>
      <c r="D247" s="2">
        <v>190.98599999999999</v>
      </c>
      <c r="E247" s="2">
        <v>191.60900000000001</v>
      </c>
      <c r="F247" s="2">
        <v>37535496</v>
      </c>
      <c r="G247" s="2" t="s">
        <v>15</v>
      </c>
      <c r="H247" s="2" t="s">
        <v>16</v>
      </c>
      <c r="I247" s="2" t="s">
        <v>17</v>
      </c>
      <c r="J247" s="4">
        <v>-0.55600000000000005</v>
      </c>
      <c r="K247" s="2" t="s">
        <v>273</v>
      </c>
      <c r="L247" s="2">
        <v>2023</v>
      </c>
      <c r="M247" s="2" t="s">
        <v>274</v>
      </c>
      <c r="N247" s="2" t="s">
        <v>23</v>
      </c>
      <c r="O247">
        <f t="shared" si="6"/>
        <v>2.4150000000000205</v>
      </c>
      <c r="P247">
        <f t="shared" si="7"/>
        <v>46.244999999999962</v>
      </c>
    </row>
    <row r="248" spans="1:16" x14ac:dyDescent="0.35">
      <c r="A248" s="9" t="s">
        <v>290</v>
      </c>
      <c r="B248" s="2">
        <v>191.619</v>
      </c>
      <c r="C248" s="2">
        <v>191.89699999999999</v>
      </c>
      <c r="D248" s="2">
        <v>190.84700000000001</v>
      </c>
      <c r="E248" s="2">
        <v>191.066</v>
      </c>
      <c r="F248" s="2">
        <v>29219737</v>
      </c>
      <c r="G248" s="2" t="s">
        <v>15</v>
      </c>
      <c r="H248" s="2" t="s">
        <v>16</v>
      </c>
      <c r="I248" s="2" t="s">
        <v>17</v>
      </c>
      <c r="J248" s="4">
        <v>-0.28299999999999997</v>
      </c>
      <c r="K248" s="2" t="s">
        <v>273</v>
      </c>
      <c r="L248" s="2">
        <v>2023</v>
      </c>
      <c r="M248" s="2" t="s">
        <v>274</v>
      </c>
      <c r="N248" s="2" t="s">
        <v>23</v>
      </c>
      <c r="O248">
        <f t="shared" si="6"/>
        <v>1.0499999999999829</v>
      </c>
      <c r="P248">
        <f t="shared" si="7"/>
        <v>45.961999999999961</v>
      </c>
    </row>
    <row r="249" spans="1:16" x14ac:dyDescent="0.35">
      <c r="A249" s="9" t="s">
        <v>291</v>
      </c>
      <c r="B249" s="2">
        <v>190.511</v>
      </c>
      <c r="C249" s="2">
        <v>191.51</v>
      </c>
      <c r="D249" s="2">
        <v>189.124</v>
      </c>
      <c r="E249" s="2">
        <v>191.166</v>
      </c>
      <c r="F249" s="2">
        <v>48587237</v>
      </c>
      <c r="G249" s="2" t="s">
        <v>15</v>
      </c>
      <c r="H249" s="2" t="s">
        <v>16</v>
      </c>
      <c r="I249" s="2" t="s">
        <v>17</v>
      </c>
      <c r="J249" s="3">
        <v>5.1999999999999998E-2</v>
      </c>
      <c r="K249" s="2" t="s">
        <v>273</v>
      </c>
      <c r="L249" s="2">
        <v>2023</v>
      </c>
      <c r="M249" s="2" t="s">
        <v>274</v>
      </c>
      <c r="N249" s="2" t="s">
        <v>21</v>
      </c>
      <c r="O249">
        <f t="shared" si="6"/>
        <v>2.3859999999999957</v>
      </c>
      <c r="P249">
        <f t="shared" si="7"/>
        <v>46.01399999999996</v>
      </c>
    </row>
    <row r="250" spans="1:16" x14ac:dyDescent="0.35">
      <c r="A250" s="9" t="s">
        <v>292</v>
      </c>
      <c r="B250" s="2">
        <v>192.14400000000001</v>
      </c>
      <c r="C250" s="2">
        <v>192.66</v>
      </c>
      <c r="D250" s="2">
        <v>191.185</v>
      </c>
      <c r="E250" s="2">
        <v>191.589</v>
      </c>
      <c r="F250" s="2">
        <v>34403624</v>
      </c>
      <c r="G250" s="2" t="s">
        <v>15</v>
      </c>
      <c r="H250" s="2" t="s">
        <v>16</v>
      </c>
      <c r="I250" s="2" t="s">
        <v>17</v>
      </c>
      <c r="J250" s="3">
        <v>0.221</v>
      </c>
      <c r="K250" s="2" t="s">
        <v>273</v>
      </c>
      <c r="L250" s="2">
        <v>2023</v>
      </c>
      <c r="M250" s="2" t="s">
        <v>274</v>
      </c>
      <c r="N250" s="2" t="s">
        <v>21</v>
      </c>
      <c r="O250">
        <f t="shared" si="6"/>
        <v>1.4749999999999943</v>
      </c>
      <c r="P250">
        <f t="shared" si="7"/>
        <v>46.234999999999957</v>
      </c>
    </row>
    <row r="251" spans="1:16" x14ac:dyDescent="0.35">
      <c r="A251" s="9" t="s">
        <v>293</v>
      </c>
      <c r="B251" s="2">
        <v>191.90700000000001</v>
      </c>
      <c r="C251" s="2">
        <v>192.40100000000001</v>
      </c>
      <c r="D251" s="2">
        <v>189.75299999999999</v>
      </c>
      <c r="E251" s="2">
        <v>190.55099999999999</v>
      </c>
      <c r="F251" s="2">
        <v>43115446</v>
      </c>
      <c r="G251" s="2" t="s">
        <v>15</v>
      </c>
      <c r="H251" s="2" t="s">
        <v>16</v>
      </c>
      <c r="I251" s="2" t="s">
        <v>17</v>
      </c>
      <c r="J251" s="4">
        <v>-0.54200000000000004</v>
      </c>
      <c r="K251" s="2" t="s">
        <v>273</v>
      </c>
      <c r="L251" s="2">
        <v>2023</v>
      </c>
      <c r="M251" s="2" t="s">
        <v>274</v>
      </c>
      <c r="N251" s="2" t="s">
        <v>23</v>
      </c>
      <c r="O251">
        <f t="shared" si="6"/>
        <v>2.6480000000000246</v>
      </c>
      <c r="P251">
        <f t="shared" si="7"/>
        <v>45.692999999999955</v>
      </c>
    </row>
    <row r="252" spans="1:16" x14ac:dyDescent="0.35">
      <c r="A252" s="9" t="s">
        <v>294</v>
      </c>
      <c r="B252" s="2">
        <v>185.22399999999999</v>
      </c>
      <c r="C252" s="2">
        <v>186.50299999999999</v>
      </c>
      <c r="D252" s="2">
        <v>181.995</v>
      </c>
      <c r="E252" s="2">
        <v>183.73099999999999</v>
      </c>
      <c r="F252" s="2">
        <v>83345606</v>
      </c>
      <c r="G252" s="2" t="s">
        <v>15</v>
      </c>
      <c r="H252" s="2" t="s">
        <v>16</v>
      </c>
      <c r="I252" s="2" t="s">
        <v>17</v>
      </c>
      <c r="J252" s="4">
        <v>-3.5790000000000002</v>
      </c>
      <c r="K252" s="2" t="s">
        <v>295</v>
      </c>
      <c r="L252" s="2">
        <v>2024</v>
      </c>
      <c r="M252" s="2" t="s">
        <v>19</v>
      </c>
      <c r="N252" s="2" t="s">
        <v>23</v>
      </c>
      <c r="O252">
        <f t="shared" si="6"/>
        <v>4.5079999999999814</v>
      </c>
      <c r="P252">
        <f t="shared" si="7"/>
        <v>42.113999999999955</v>
      </c>
    </row>
    <row r="253" spans="1:16" x14ac:dyDescent="0.35">
      <c r="A253" s="9" t="s">
        <v>296</v>
      </c>
      <c r="B253" s="2">
        <v>182.32599999999999</v>
      </c>
      <c r="C253" s="2">
        <v>183.96899999999999</v>
      </c>
      <c r="D253" s="2">
        <v>181.54400000000001</v>
      </c>
      <c r="E253" s="2">
        <v>182.35599999999999</v>
      </c>
      <c r="F253" s="2">
        <v>59021296</v>
      </c>
      <c r="G253" s="2" t="s">
        <v>15</v>
      </c>
      <c r="H253" s="2" t="s">
        <v>16</v>
      </c>
      <c r="I253" s="2" t="s">
        <v>17</v>
      </c>
      <c r="J253" s="4">
        <v>-0.748</v>
      </c>
      <c r="K253" s="2" t="s">
        <v>295</v>
      </c>
      <c r="L253" s="2">
        <v>2024</v>
      </c>
      <c r="M253" s="2" t="s">
        <v>19</v>
      </c>
      <c r="N253" s="2" t="s">
        <v>23</v>
      </c>
      <c r="O253">
        <f t="shared" si="6"/>
        <v>2.4249999999999829</v>
      </c>
      <c r="P253">
        <f t="shared" si="7"/>
        <v>41.365999999999957</v>
      </c>
    </row>
    <row r="254" spans="1:16" x14ac:dyDescent="0.35">
      <c r="A254" s="9" t="s">
        <v>297</v>
      </c>
      <c r="B254" s="2">
        <v>180.27799999999999</v>
      </c>
      <c r="C254" s="2">
        <v>181.20500000000001</v>
      </c>
      <c r="D254" s="2">
        <v>179.018</v>
      </c>
      <c r="E254" s="2">
        <v>180.03899999999999</v>
      </c>
      <c r="F254" s="2">
        <v>72731369</v>
      </c>
      <c r="G254" s="2" t="s">
        <v>15</v>
      </c>
      <c r="H254" s="2" t="s">
        <v>16</v>
      </c>
      <c r="I254" s="2" t="s">
        <v>17</v>
      </c>
      <c r="J254" s="4">
        <v>-1.2709999999999999</v>
      </c>
      <c r="K254" s="2" t="s">
        <v>295</v>
      </c>
      <c r="L254" s="2">
        <v>2024</v>
      </c>
      <c r="M254" s="2" t="s">
        <v>19</v>
      </c>
      <c r="N254" s="2" t="s">
        <v>23</v>
      </c>
      <c r="O254">
        <f t="shared" si="6"/>
        <v>2.1870000000000118</v>
      </c>
      <c r="P254">
        <f t="shared" si="7"/>
        <v>40.094999999999956</v>
      </c>
    </row>
    <row r="255" spans="1:16" x14ac:dyDescent="0.35">
      <c r="A255" s="9" t="s">
        <v>298</v>
      </c>
      <c r="B255" s="2">
        <v>180.11799999999999</v>
      </c>
      <c r="C255" s="2">
        <v>180.88</v>
      </c>
      <c r="D255" s="2">
        <v>178.316</v>
      </c>
      <c r="E255" s="2">
        <v>179.31700000000001</v>
      </c>
      <c r="F255" s="2">
        <v>63027690</v>
      </c>
      <c r="G255" s="2" t="s">
        <v>15</v>
      </c>
      <c r="H255" s="2" t="s">
        <v>16</v>
      </c>
      <c r="I255" s="2" t="s">
        <v>17</v>
      </c>
      <c r="J255" s="4">
        <v>-0.40100000000000002</v>
      </c>
      <c r="K255" s="2" t="s">
        <v>295</v>
      </c>
      <c r="L255" s="2">
        <v>2024</v>
      </c>
      <c r="M255" s="2" t="s">
        <v>19</v>
      </c>
      <c r="N255" s="2" t="s">
        <v>23</v>
      </c>
      <c r="O255">
        <f t="shared" si="6"/>
        <v>2.563999999999993</v>
      </c>
      <c r="P255">
        <f t="shared" si="7"/>
        <v>39.693999999999953</v>
      </c>
    </row>
    <row r="256" spans="1:16" x14ac:dyDescent="0.35">
      <c r="A256" s="9" t="s">
        <v>299</v>
      </c>
      <c r="B256" s="2">
        <v>180.21299999999999</v>
      </c>
      <c r="C256" s="2">
        <v>183.691</v>
      </c>
      <c r="D256" s="2">
        <v>179.63499999999999</v>
      </c>
      <c r="E256" s="2">
        <v>183.65199999999999</v>
      </c>
      <c r="F256" s="2">
        <v>59758890</v>
      </c>
      <c r="G256" s="2" t="s">
        <v>15</v>
      </c>
      <c r="H256" s="2" t="s">
        <v>16</v>
      </c>
      <c r="I256" s="2" t="s">
        <v>17</v>
      </c>
      <c r="J256" s="3">
        <v>2.4180000000000001</v>
      </c>
      <c r="K256" s="2" t="s">
        <v>295</v>
      </c>
      <c r="L256" s="2">
        <v>2024</v>
      </c>
      <c r="M256" s="2" t="s">
        <v>19</v>
      </c>
      <c r="N256" s="2" t="s">
        <v>21</v>
      </c>
      <c r="O256">
        <f t="shared" si="6"/>
        <v>4.0560000000000116</v>
      </c>
      <c r="P256">
        <f t="shared" si="7"/>
        <v>42.111999999999952</v>
      </c>
    </row>
    <row r="257" spans="1:16" x14ac:dyDescent="0.35">
      <c r="A257" s="9" t="s">
        <v>300</v>
      </c>
      <c r="B257" s="2">
        <v>182.03</v>
      </c>
      <c r="C257" s="2">
        <v>183.24799999999999</v>
      </c>
      <c r="D257" s="2">
        <v>180.851</v>
      </c>
      <c r="E257" s="2">
        <v>183.238</v>
      </c>
      <c r="F257" s="2">
        <v>43286869</v>
      </c>
      <c r="G257" s="2" t="s">
        <v>15</v>
      </c>
      <c r="H257" s="2" t="s">
        <v>16</v>
      </c>
      <c r="I257" s="2" t="s">
        <v>17</v>
      </c>
      <c r="J257" s="4">
        <v>-0.22500000000000001</v>
      </c>
      <c r="K257" s="2" t="s">
        <v>295</v>
      </c>
      <c r="L257" s="2">
        <v>2024</v>
      </c>
      <c r="M257" s="2" t="s">
        <v>19</v>
      </c>
      <c r="N257" s="2" t="s">
        <v>23</v>
      </c>
      <c r="O257">
        <f t="shared" si="6"/>
        <v>2.3969999999999914</v>
      </c>
      <c r="P257">
        <f t="shared" si="7"/>
        <v>41.886999999999951</v>
      </c>
    </row>
    <row r="258" spans="1:16" x14ac:dyDescent="0.35">
      <c r="A258" s="9" t="s">
        <v>301</v>
      </c>
      <c r="B258" s="2">
        <v>182.45500000000001</v>
      </c>
      <c r="C258" s="2">
        <v>184.482</v>
      </c>
      <c r="D258" s="2">
        <v>182.03</v>
      </c>
      <c r="E258" s="2">
        <v>184.27600000000001</v>
      </c>
      <c r="F258" s="2">
        <v>47279013</v>
      </c>
      <c r="G258" s="2" t="s">
        <v>15</v>
      </c>
      <c r="H258" s="2" t="s">
        <v>16</v>
      </c>
      <c r="I258" s="2" t="s">
        <v>17</v>
      </c>
      <c r="J258" s="3">
        <v>0.56599999999999995</v>
      </c>
      <c r="K258" s="2" t="s">
        <v>295</v>
      </c>
      <c r="L258" s="2">
        <v>2024</v>
      </c>
      <c r="M258" s="2" t="s">
        <v>19</v>
      </c>
      <c r="N258" s="2" t="s">
        <v>21</v>
      </c>
      <c r="O258">
        <f t="shared" si="6"/>
        <v>2.4519999999999982</v>
      </c>
      <c r="P258">
        <f t="shared" si="7"/>
        <v>42.452999999999953</v>
      </c>
    </row>
    <row r="259" spans="1:16" x14ac:dyDescent="0.35">
      <c r="A259" s="9" t="s">
        <v>302</v>
      </c>
      <c r="B259" s="2">
        <v>184.62200000000001</v>
      </c>
      <c r="C259" s="2">
        <v>185.126</v>
      </c>
      <c r="D259" s="2">
        <v>181.732</v>
      </c>
      <c r="E259" s="2">
        <v>183.68100000000001</v>
      </c>
      <c r="F259" s="2">
        <v>49638777</v>
      </c>
      <c r="G259" s="2" t="s">
        <v>15</v>
      </c>
      <c r="H259" s="2" t="s">
        <v>16</v>
      </c>
      <c r="I259" s="2" t="s">
        <v>17</v>
      </c>
      <c r="J259" s="4">
        <v>-0.32300000000000001</v>
      </c>
      <c r="K259" s="2" t="s">
        <v>295</v>
      </c>
      <c r="L259" s="2">
        <v>2024</v>
      </c>
      <c r="M259" s="2" t="s">
        <v>19</v>
      </c>
      <c r="N259" s="2" t="s">
        <v>23</v>
      </c>
      <c r="O259">
        <f t="shared" ref="O259:O322" si="8">C259-D259</f>
        <v>3.3940000000000055</v>
      </c>
      <c r="P259">
        <f t="shared" si="7"/>
        <v>42.129999999999953</v>
      </c>
    </row>
    <row r="260" spans="1:16" x14ac:dyDescent="0.35">
      <c r="A260" s="9" t="s">
        <v>303</v>
      </c>
      <c r="B260" s="2">
        <v>184.14699999999999</v>
      </c>
      <c r="C260" s="2">
        <v>184.821</v>
      </c>
      <c r="D260" s="2">
        <v>183.285</v>
      </c>
      <c r="E260" s="2">
        <v>184.00800000000001</v>
      </c>
      <c r="F260" s="2">
        <v>40898283</v>
      </c>
      <c r="G260" s="2" t="s">
        <v>15</v>
      </c>
      <c r="H260" s="2" t="s">
        <v>16</v>
      </c>
      <c r="I260" s="2" t="s">
        <v>17</v>
      </c>
      <c r="J260" s="3">
        <v>0.17799999999999999</v>
      </c>
      <c r="K260" s="2" t="s">
        <v>295</v>
      </c>
      <c r="L260" s="2">
        <v>2024</v>
      </c>
      <c r="M260" s="2" t="s">
        <v>19</v>
      </c>
      <c r="N260" s="2" t="s">
        <v>21</v>
      </c>
      <c r="O260">
        <f t="shared" si="8"/>
        <v>1.5360000000000014</v>
      </c>
      <c r="P260">
        <f t="shared" ref="P260:P323" si="9">IF(G260=G259, P259+J260, J260)</f>
        <v>42.30799999999995</v>
      </c>
    </row>
    <row r="261" spans="1:16" x14ac:dyDescent="0.35">
      <c r="A261" s="9" t="s">
        <v>304</v>
      </c>
      <c r="B261" s="2">
        <v>180.28800000000001</v>
      </c>
      <c r="C261" s="2">
        <v>182.36600000000001</v>
      </c>
      <c r="D261" s="2">
        <v>179.071</v>
      </c>
      <c r="E261" s="2">
        <v>181.74199999999999</v>
      </c>
      <c r="F261" s="2">
        <v>66284556</v>
      </c>
      <c r="G261" s="2" t="s">
        <v>15</v>
      </c>
      <c r="H261" s="2" t="s">
        <v>16</v>
      </c>
      <c r="I261" s="2" t="s">
        <v>17</v>
      </c>
      <c r="J261" s="4">
        <v>-1.2310000000000001</v>
      </c>
      <c r="K261" s="2" t="s">
        <v>295</v>
      </c>
      <c r="L261" s="2">
        <v>2024</v>
      </c>
      <c r="M261" s="2" t="s">
        <v>19</v>
      </c>
      <c r="N261" s="2" t="s">
        <v>23</v>
      </c>
      <c r="O261">
        <f t="shared" si="8"/>
        <v>3.2950000000000159</v>
      </c>
      <c r="P261">
        <f t="shared" si="9"/>
        <v>41.076999999999948</v>
      </c>
    </row>
    <row r="262" spans="1:16" x14ac:dyDescent="0.35">
      <c r="A262" s="9" t="s">
        <v>305</v>
      </c>
      <c r="B262" s="2">
        <v>179.40700000000001</v>
      </c>
      <c r="C262" s="2">
        <v>181.05</v>
      </c>
      <c r="D262" s="2">
        <v>178.446</v>
      </c>
      <c r="E262" s="2">
        <v>180.80099999999999</v>
      </c>
      <c r="F262" s="2">
        <v>47808989</v>
      </c>
      <c r="G262" s="2" t="s">
        <v>15</v>
      </c>
      <c r="H262" s="2" t="s">
        <v>16</v>
      </c>
      <c r="I262" s="2" t="s">
        <v>17</v>
      </c>
      <c r="J262" s="4">
        <v>-0.51800000000000002</v>
      </c>
      <c r="K262" s="2" t="s">
        <v>295</v>
      </c>
      <c r="L262" s="2">
        <v>2024</v>
      </c>
      <c r="M262" s="2" t="s">
        <v>19</v>
      </c>
      <c r="N262" s="2" t="s">
        <v>23</v>
      </c>
      <c r="O262">
        <f t="shared" si="8"/>
        <v>2.6040000000000134</v>
      </c>
      <c r="P262">
        <f t="shared" si="9"/>
        <v>40.558999999999948</v>
      </c>
    </row>
    <row r="263" spans="1:16" x14ac:dyDescent="0.35">
      <c r="A263" s="9" t="s">
        <v>306</v>
      </c>
      <c r="B263" s="2">
        <v>184.17699999999999</v>
      </c>
      <c r="C263" s="2">
        <v>187.19499999999999</v>
      </c>
      <c r="D263" s="2">
        <v>183.92099999999999</v>
      </c>
      <c r="E263" s="2">
        <v>186.69</v>
      </c>
      <c r="F263" s="2">
        <v>78816115</v>
      </c>
      <c r="G263" s="2" t="s">
        <v>15</v>
      </c>
      <c r="H263" s="2" t="s">
        <v>16</v>
      </c>
      <c r="I263" s="2" t="s">
        <v>17</v>
      </c>
      <c r="J263" s="3">
        <v>3.2570000000000001</v>
      </c>
      <c r="K263" s="2" t="s">
        <v>295</v>
      </c>
      <c r="L263" s="2">
        <v>2024</v>
      </c>
      <c r="M263" s="2" t="s">
        <v>19</v>
      </c>
      <c r="N263" s="2" t="s">
        <v>21</v>
      </c>
      <c r="O263">
        <f t="shared" si="8"/>
        <v>3.2740000000000009</v>
      </c>
      <c r="P263">
        <f t="shared" si="9"/>
        <v>43.815999999999946</v>
      </c>
    </row>
    <row r="264" spans="1:16" x14ac:dyDescent="0.35">
      <c r="A264" s="9" t="s">
        <v>307</v>
      </c>
      <c r="B264" s="2">
        <v>187.38499999999999</v>
      </c>
      <c r="C264" s="2">
        <v>189.976</v>
      </c>
      <c r="D264" s="2">
        <v>186.87899999999999</v>
      </c>
      <c r="E264" s="2">
        <v>189.59100000000001</v>
      </c>
      <c r="F264" s="2">
        <v>69618781</v>
      </c>
      <c r="G264" s="2" t="s">
        <v>15</v>
      </c>
      <c r="H264" s="2" t="s">
        <v>16</v>
      </c>
      <c r="I264" s="2" t="s">
        <v>17</v>
      </c>
      <c r="J264" s="3">
        <v>1.554</v>
      </c>
      <c r="K264" s="2" t="s">
        <v>295</v>
      </c>
      <c r="L264" s="2">
        <v>2024</v>
      </c>
      <c r="M264" s="2" t="s">
        <v>19</v>
      </c>
      <c r="N264" s="2" t="s">
        <v>21</v>
      </c>
      <c r="O264">
        <f t="shared" si="8"/>
        <v>3.0970000000000084</v>
      </c>
      <c r="P264">
        <f t="shared" si="9"/>
        <v>45.369999999999948</v>
      </c>
    </row>
    <row r="265" spans="1:16" x14ac:dyDescent="0.35">
      <c r="A265" s="9" t="s">
        <v>308</v>
      </c>
      <c r="B265" s="2">
        <v>190.32300000000001</v>
      </c>
      <c r="C265" s="2">
        <v>193.322</v>
      </c>
      <c r="D265" s="2">
        <v>190.28399999999999</v>
      </c>
      <c r="E265" s="2">
        <v>191.89699999999999</v>
      </c>
      <c r="F265" s="2">
        <v>60758551</v>
      </c>
      <c r="G265" s="2" t="s">
        <v>15</v>
      </c>
      <c r="H265" s="2" t="s">
        <v>16</v>
      </c>
      <c r="I265" s="2" t="s">
        <v>17</v>
      </c>
      <c r="J265" s="3">
        <v>1.216</v>
      </c>
      <c r="K265" s="2" t="s">
        <v>295</v>
      </c>
      <c r="L265" s="2">
        <v>2024</v>
      </c>
      <c r="M265" s="2" t="s">
        <v>19</v>
      </c>
      <c r="N265" s="2" t="s">
        <v>21</v>
      </c>
      <c r="O265">
        <f t="shared" si="8"/>
        <v>3.0380000000000109</v>
      </c>
      <c r="P265">
        <f t="shared" si="9"/>
        <v>46.585999999999949</v>
      </c>
    </row>
    <row r="266" spans="1:16" x14ac:dyDescent="0.35">
      <c r="A266" s="9" t="s">
        <v>309</v>
      </c>
      <c r="B266" s="2">
        <v>193.01400000000001</v>
      </c>
      <c r="C266" s="2">
        <v>193.738</v>
      </c>
      <c r="D266" s="2">
        <v>191.83699999999999</v>
      </c>
      <c r="E266" s="2">
        <v>193.173</v>
      </c>
      <c r="F266" s="2">
        <v>42795599</v>
      </c>
      <c r="G266" s="2" t="s">
        <v>15</v>
      </c>
      <c r="H266" s="2" t="s">
        <v>16</v>
      </c>
      <c r="I266" s="2" t="s">
        <v>17</v>
      </c>
      <c r="J266" s="3">
        <v>0.66500000000000004</v>
      </c>
      <c r="K266" s="2" t="s">
        <v>295</v>
      </c>
      <c r="L266" s="2">
        <v>2024</v>
      </c>
      <c r="M266" s="2" t="s">
        <v>19</v>
      </c>
      <c r="N266" s="2" t="s">
        <v>21</v>
      </c>
      <c r="O266">
        <f t="shared" si="8"/>
        <v>1.9010000000000105</v>
      </c>
      <c r="P266">
        <f t="shared" si="9"/>
        <v>47.250999999999948</v>
      </c>
    </row>
    <row r="267" spans="1:16" x14ac:dyDescent="0.35">
      <c r="A267" s="9" t="s">
        <v>310</v>
      </c>
      <c r="B267" s="2">
        <v>193.411</v>
      </c>
      <c r="C267" s="2">
        <v>194.36</v>
      </c>
      <c r="D267" s="2">
        <v>192.34100000000001</v>
      </c>
      <c r="E267" s="2">
        <v>192.5</v>
      </c>
      <c r="F267" s="2">
        <v>54188462</v>
      </c>
      <c r="G267" s="2" t="s">
        <v>15</v>
      </c>
      <c r="H267" s="2" t="s">
        <v>16</v>
      </c>
      <c r="I267" s="2" t="s">
        <v>17</v>
      </c>
      <c r="J267" s="4">
        <v>-0.34799999999999998</v>
      </c>
      <c r="K267" s="2" t="s">
        <v>295</v>
      </c>
      <c r="L267" s="2">
        <v>2024</v>
      </c>
      <c r="M267" s="2" t="s">
        <v>19</v>
      </c>
      <c r="N267" s="2" t="s">
        <v>23</v>
      </c>
      <c r="O267">
        <f t="shared" si="8"/>
        <v>2.0190000000000055</v>
      </c>
      <c r="P267">
        <f t="shared" si="9"/>
        <v>46.902999999999949</v>
      </c>
    </row>
    <row r="268" spans="1:16" x14ac:dyDescent="0.35">
      <c r="A268" s="9" t="s">
        <v>311</v>
      </c>
      <c r="B268" s="2">
        <v>193.21299999999999</v>
      </c>
      <c r="C268" s="2">
        <v>194.24799999999999</v>
      </c>
      <c r="D268" s="2">
        <v>191.12799999999999</v>
      </c>
      <c r="E268" s="2">
        <v>192.173</v>
      </c>
      <c r="F268" s="2">
        <v>55391643</v>
      </c>
      <c r="G268" s="2" t="s">
        <v>15</v>
      </c>
      <c r="H268" s="2" t="s">
        <v>16</v>
      </c>
      <c r="I268" s="2" t="s">
        <v>17</v>
      </c>
      <c r="J268" s="4">
        <v>-0.17</v>
      </c>
      <c r="K268" s="2" t="s">
        <v>295</v>
      </c>
      <c r="L268" s="2">
        <v>2024</v>
      </c>
      <c r="M268" s="2" t="s">
        <v>19</v>
      </c>
      <c r="N268" s="2" t="s">
        <v>23</v>
      </c>
      <c r="O268">
        <f t="shared" si="8"/>
        <v>3.1200000000000045</v>
      </c>
      <c r="P268">
        <f t="shared" si="9"/>
        <v>46.732999999999947</v>
      </c>
    </row>
    <row r="269" spans="1:16" x14ac:dyDescent="0.35">
      <c r="A269" s="9" t="s">
        <v>312</v>
      </c>
      <c r="B269" s="2">
        <v>192.27099999999999</v>
      </c>
      <c r="C269" s="2">
        <v>192.75800000000001</v>
      </c>
      <c r="D269" s="2">
        <v>189.96600000000001</v>
      </c>
      <c r="E269" s="2">
        <v>190.44200000000001</v>
      </c>
      <c r="F269" s="2">
        <v>45057274</v>
      </c>
      <c r="G269" s="2" t="s">
        <v>15</v>
      </c>
      <c r="H269" s="2" t="s">
        <v>16</v>
      </c>
      <c r="I269" s="2" t="s">
        <v>17</v>
      </c>
      <c r="J269" s="4">
        <v>-0.90100000000000002</v>
      </c>
      <c r="K269" s="2" t="s">
        <v>295</v>
      </c>
      <c r="L269" s="2">
        <v>2024</v>
      </c>
      <c r="M269" s="2" t="s">
        <v>19</v>
      </c>
      <c r="N269" s="2" t="s">
        <v>23</v>
      </c>
      <c r="O269">
        <f t="shared" si="8"/>
        <v>2.7920000000000016</v>
      </c>
      <c r="P269">
        <f t="shared" si="9"/>
        <v>45.831999999999944</v>
      </c>
    </row>
    <row r="270" spans="1:16" x14ac:dyDescent="0.35">
      <c r="A270" s="9" t="s">
        <v>313</v>
      </c>
      <c r="B270" s="2">
        <v>190.036</v>
      </c>
      <c r="C270" s="2">
        <v>190.22399999999999</v>
      </c>
      <c r="D270" s="2">
        <v>187.63</v>
      </c>
      <c r="E270" s="2">
        <v>189.75800000000001</v>
      </c>
      <c r="F270" s="2">
        <v>47635392</v>
      </c>
      <c r="G270" s="2" t="s">
        <v>15</v>
      </c>
      <c r="H270" s="2" t="s">
        <v>16</v>
      </c>
      <c r="I270" s="2" t="s">
        <v>17</v>
      </c>
      <c r="J270" s="4">
        <v>-0.35899999999999999</v>
      </c>
      <c r="K270" s="2" t="s">
        <v>295</v>
      </c>
      <c r="L270" s="2">
        <v>2024</v>
      </c>
      <c r="M270" s="2" t="s">
        <v>19</v>
      </c>
      <c r="N270" s="2" t="s">
        <v>23</v>
      </c>
      <c r="O270">
        <f t="shared" si="8"/>
        <v>2.5939999999999941</v>
      </c>
      <c r="P270">
        <f t="shared" si="9"/>
        <v>45.472999999999942</v>
      </c>
    </row>
    <row r="271" spans="1:16" x14ac:dyDescent="0.35">
      <c r="A271" s="9" t="s">
        <v>314</v>
      </c>
      <c r="B271" s="2">
        <v>188.977</v>
      </c>
      <c r="C271" s="2">
        <v>189.828</v>
      </c>
      <c r="D271" s="2">
        <v>185.542</v>
      </c>
      <c r="E271" s="2">
        <v>186.10499999999999</v>
      </c>
      <c r="F271" s="2">
        <v>56439662</v>
      </c>
      <c r="G271" s="2" t="s">
        <v>15</v>
      </c>
      <c r="H271" s="2" t="s">
        <v>16</v>
      </c>
      <c r="I271" s="2" t="s">
        <v>17</v>
      </c>
      <c r="J271" s="4">
        <v>-1.925</v>
      </c>
      <c r="K271" s="2" t="s">
        <v>295</v>
      </c>
      <c r="L271" s="2">
        <v>2024</v>
      </c>
      <c r="M271" s="2" t="s">
        <v>19</v>
      </c>
      <c r="N271" s="2" t="s">
        <v>23</v>
      </c>
      <c r="O271">
        <f t="shared" si="8"/>
        <v>4.2860000000000014</v>
      </c>
      <c r="P271">
        <f t="shared" si="9"/>
        <v>43.547999999999945</v>
      </c>
    </row>
    <row r="272" spans="1:16" x14ac:dyDescent="0.35">
      <c r="A272" s="9" t="s">
        <v>315</v>
      </c>
      <c r="B272" s="2">
        <v>185.11799999999999</v>
      </c>
      <c r="C272" s="2">
        <v>185.17099999999999</v>
      </c>
      <c r="D272" s="2">
        <v>182.45500000000001</v>
      </c>
      <c r="E272" s="2">
        <v>182.50299999999999</v>
      </c>
      <c r="F272" s="2">
        <v>56044027</v>
      </c>
      <c r="G272" s="2" t="s">
        <v>15</v>
      </c>
      <c r="H272" s="2" t="s">
        <v>16</v>
      </c>
      <c r="I272" s="2" t="s">
        <v>17</v>
      </c>
      <c r="J272" s="4">
        <v>-1.9350000000000001</v>
      </c>
      <c r="K272" s="2" t="s">
        <v>295</v>
      </c>
      <c r="L272" s="2">
        <v>2024</v>
      </c>
      <c r="M272" s="2" t="s">
        <v>19</v>
      </c>
      <c r="N272" s="2" t="s">
        <v>23</v>
      </c>
      <c r="O272">
        <f t="shared" si="8"/>
        <v>2.7159999999999798</v>
      </c>
      <c r="P272">
        <f t="shared" si="9"/>
        <v>41.612999999999943</v>
      </c>
    </row>
    <row r="273" spans="1:16" x14ac:dyDescent="0.35">
      <c r="A273" s="9" t="s">
        <v>316</v>
      </c>
      <c r="B273" s="2">
        <v>182.09399999999999</v>
      </c>
      <c r="C273" s="2">
        <v>185.02799999999999</v>
      </c>
      <c r="D273" s="2">
        <v>181.93</v>
      </c>
      <c r="E273" s="2">
        <v>184.94</v>
      </c>
      <c r="F273" s="2">
        <v>65559469</v>
      </c>
      <c r="G273" s="2" t="s">
        <v>15</v>
      </c>
      <c r="H273" s="2" t="s">
        <v>16</v>
      </c>
      <c r="I273" s="2" t="s">
        <v>17</v>
      </c>
      <c r="J273" s="3">
        <v>1.335</v>
      </c>
      <c r="K273" s="2" t="s">
        <v>317</v>
      </c>
      <c r="L273" s="2">
        <v>2024</v>
      </c>
      <c r="M273" s="2" t="s">
        <v>43</v>
      </c>
      <c r="N273" s="2" t="s">
        <v>21</v>
      </c>
      <c r="O273">
        <f t="shared" si="8"/>
        <v>3.0979999999999848</v>
      </c>
      <c r="P273">
        <f t="shared" si="9"/>
        <v>42.947999999999944</v>
      </c>
    </row>
    <row r="274" spans="1:16" x14ac:dyDescent="0.35">
      <c r="A274" s="9" t="s">
        <v>318</v>
      </c>
      <c r="B274" s="2">
        <v>178.011</v>
      </c>
      <c r="C274" s="2">
        <v>185.404</v>
      </c>
      <c r="D274" s="2">
        <v>177.40799999999999</v>
      </c>
      <c r="E274" s="2">
        <v>183.941</v>
      </c>
      <c r="F274" s="2">
        <v>103617035</v>
      </c>
      <c r="G274" s="2" t="s">
        <v>15</v>
      </c>
      <c r="H274" s="2" t="s">
        <v>16</v>
      </c>
      <c r="I274" s="2" t="s">
        <v>17</v>
      </c>
      <c r="J274" s="4">
        <v>-0.54</v>
      </c>
      <c r="K274" s="2" t="s">
        <v>317</v>
      </c>
      <c r="L274" s="2">
        <v>2024</v>
      </c>
      <c r="M274" s="2" t="s">
        <v>43</v>
      </c>
      <c r="N274" s="2" t="s">
        <v>23</v>
      </c>
      <c r="O274">
        <f t="shared" si="8"/>
        <v>7.9960000000000093</v>
      </c>
      <c r="P274">
        <f t="shared" si="9"/>
        <v>42.407999999999944</v>
      </c>
    </row>
    <row r="275" spans="1:16" x14ac:dyDescent="0.35">
      <c r="A275" s="9" t="s">
        <v>319</v>
      </c>
      <c r="B275" s="2">
        <v>186.214</v>
      </c>
      <c r="C275" s="2">
        <v>187.30500000000001</v>
      </c>
      <c r="D275" s="2">
        <v>183.93100000000001</v>
      </c>
      <c r="E275" s="2">
        <v>185.75200000000001</v>
      </c>
      <c r="F275" s="2">
        <v>70392573</v>
      </c>
      <c r="G275" s="2" t="s">
        <v>15</v>
      </c>
      <c r="H275" s="2" t="s">
        <v>16</v>
      </c>
      <c r="I275" s="2" t="s">
        <v>17</v>
      </c>
      <c r="J275" s="3">
        <v>0.98499999999999999</v>
      </c>
      <c r="K275" s="2" t="s">
        <v>317</v>
      </c>
      <c r="L275" s="2">
        <v>2024</v>
      </c>
      <c r="M275" s="2" t="s">
        <v>43</v>
      </c>
      <c r="N275" s="2" t="s">
        <v>21</v>
      </c>
      <c r="O275">
        <f t="shared" si="8"/>
        <v>3.3739999999999952</v>
      </c>
      <c r="P275">
        <f t="shared" si="9"/>
        <v>43.392999999999944</v>
      </c>
    </row>
    <row r="276" spans="1:16" x14ac:dyDescent="0.35">
      <c r="A276" s="9" t="s">
        <v>320</v>
      </c>
      <c r="B276" s="2">
        <v>184.94</v>
      </c>
      <c r="C276" s="2">
        <v>187.36500000000001</v>
      </c>
      <c r="D276" s="2">
        <v>184.85</v>
      </c>
      <c r="E276" s="2">
        <v>187.35499999999999</v>
      </c>
      <c r="F276" s="2">
        <v>43942561</v>
      </c>
      <c r="G276" s="2" t="s">
        <v>15</v>
      </c>
      <c r="H276" s="2" t="s">
        <v>16</v>
      </c>
      <c r="I276" s="2" t="s">
        <v>17</v>
      </c>
      <c r="J276" s="3">
        <v>0.86299999999999999</v>
      </c>
      <c r="K276" s="2" t="s">
        <v>317</v>
      </c>
      <c r="L276" s="2">
        <v>2024</v>
      </c>
      <c r="M276" s="2" t="s">
        <v>43</v>
      </c>
      <c r="N276" s="2" t="s">
        <v>21</v>
      </c>
      <c r="O276">
        <f t="shared" si="8"/>
        <v>2.5150000000000148</v>
      </c>
      <c r="P276">
        <f t="shared" si="9"/>
        <v>44.255999999999943</v>
      </c>
    </row>
    <row r="277" spans="1:16" x14ac:dyDescent="0.35">
      <c r="A277" s="9" t="s">
        <v>321</v>
      </c>
      <c r="B277" s="2">
        <v>188.679</v>
      </c>
      <c r="C277" s="2">
        <v>189.08699999999999</v>
      </c>
      <c r="D277" s="2">
        <v>186.672</v>
      </c>
      <c r="E277" s="2">
        <v>187.464</v>
      </c>
      <c r="F277" s="2">
        <v>53994104</v>
      </c>
      <c r="G277" s="2" t="s">
        <v>15</v>
      </c>
      <c r="H277" s="2" t="s">
        <v>16</v>
      </c>
      <c r="I277" s="2" t="s">
        <v>17</v>
      </c>
      <c r="J277" s="3">
        <v>5.8000000000000003E-2</v>
      </c>
      <c r="K277" s="2" t="s">
        <v>317</v>
      </c>
      <c r="L277" s="2">
        <v>2024</v>
      </c>
      <c r="M277" s="2" t="s">
        <v>43</v>
      </c>
      <c r="N277" s="2" t="s">
        <v>21</v>
      </c>
      <c r="O277">
        <f t="shared" si="8"/>
        <v>2.414999999999992</v>
      </c>
      <c r="P277">
        <f t="shared" si="9"/>
        <v>44.313999999999943</v>
      </c>
    </row>
    <row r="278" spans="1:16" x14ac:dyDescent="0.35">
      <c r="A278" s="9" t="s">
        <v>322</v>
      </c>
      <c r="B278" s="2">
        <v>187.43899999999999</v>
      </c>
      <c r="C278" s="2">
        <v>187.58500000000001</v>
      </c>
      <c r="D278" s="2">
        <v>185.423</v>
      </c>
      <c r="E278" s="2">
        <v>186.38399999999999</v>
      </c>
      <c r="F278" s="2">
        <v>41387579</v>
      </c>
      <c r="G278" s="2" t="s">
        <v>15</v>
      </c>
      <c r="H278" s="2" t="s">
        <v>16</v>
      </c>
      <c r="I278" s="2" t="s">
        <v>17</v>
      </c>
      <c r="J278" s="4">
        <v>-0.57599999999999996</v>
      </c>
      <c r="K278" s="2" t="s">
        <v>317</v>
      </c>
      <c r="L278" s="2">
        <v>2024</v>
      </c>
      <c r="M278" s="2" t="s">
        <v>43</v>
      </c>
      <c r="N278" s="2" t="s">
        <v>23</v>
      </c>
      <c r="O278">
        <f t="shared" si="8"/>
        <v>2.1620000000000061</v>
      </c>
      <c r="P278">
        <f t="shared" si="9"/>
        <v>43.737999999999943</v>
      </c>
    </row>
    <row r="279" spans="1:16" x14ac:dyDescent="0.35">
      <c r="A279" s="9" t="s">
        <v>323</v>
      </c>
      <c r="B279" s="2">
        <v>186.94800000000001</v>
      </c>
      <c r="C279" s="2">
        <v>188.27699999999999</v>
      </c>
      <c r="D279" s="2">
        <v>186.304</v>
      </c>
      <c r="E279" s="2">
        <v>187.14599999999999</v>
      </c>
      <c r="F279" s="2">
        <v>45566164</v>
      </c>
      <c r="G279" s="2" t="s">
        <v>15</v>
      </c>
      <c r="H279" s="2" t="s">
        <v>16</v>
      </c>
      <c r="I279" s="2" t="s">
        <v>17</v>
      </c>
      <c r="J279" s="3">
        <v>0.40899999999999997</v>
      </c>
      <c r="K279" s="2" t="s">
        <v>317</v>
      </c>
      <c r="L279" s="2">
        <v>2024</v>
      </c>
      <c r="M279" s="2" t="s">
        <v>43</v>
      </c>
      <c r="N279" s="2" t="s">
        <v>21</v>
      </c>
      <c r="O279">
        <f t="shared" si="8"/>
        <v>1.9729999999999848</v>
      </c>
      <c r="P279">
        <f t="shared" si="9"/>
        <v>44.146999999999942</v>
      </c>
    </row>
    <row r="280" spans="1:16" x14ac:dyDescent="0.35">
      <c r="A280" s="9" t="s">
        <v>324</v>
      </c>
      <c r="B280" s="2">
        <v>186.715</v>
      </c>
      <c r="C280" s="2">
        <v>186.96799999999999</v>
      </c>
      <c r="D280" s="2">
        <v>185.10599999999999</v>
      </c>
      <c r="E280" s="2">
        <v>185.46199999999999</v>
      </c>
      <c r="F280" s="2">
        <v>42162182</v>
      </c>
      <c r="G280" s="2" t="s">
        <v>15</v>
      </c>
      <c r="H280" s="2" t="s">
        <v>16</v>
      </c>
      <c r="I280" s="2" t="s">
        <v>17</v>
      </c>
      <c r="J280" s="4">
        <v>-0.9</v>
      </c>
      <c r="K280" s="2" t="s">
        <v>317</v>
      </c>
      <c r="L280" s="2">
        <v>2024</v>
      </c>
      <c r="M280" s="2" t="s">
        <v>43</v>
      </c>
      <c r="N280" s="2" t="s">
        <v>23</v>
      </c>
      <c r="O280">
        <f t="shared" si="8"/>
        <v>1.8619999999999948</v>
      </c>
      <c r="P280">
        <f t="shared" si="9"/>
        <v>43.246999999999943</v>
      </c>
    </row>
    <row r="281" spans="1:16" x14ac:dyDescent="0.35">
      <c r="A281" s="9" t="s">
        <v>325</v>
      </c>
      <c r="B281" s="2">
        <v>184.095</v>
      </c>
      <c r="C281" s="2">
        <v>184.53</v>
      </c>
      <c r="D281" s="2">
        <v>181.858</v>
      </c>
      <c r="E281" s="2">
        <v>183.37</v>
      </c>
      <c r="F281" s="2">
        <v>57043993</v>
      </c>
      <c r="G281" s="2" t="s">
        <v>15</v>
      </c>
      <c r="H281" s="2" t="s">
        <v>16</v>
      </c>
      <c r="I281" s="2" t="s">
        <v>17</v>
      </c>
      <c r="J281" s="4">
        <v>-1.1279999999999999</v>
      </c>
      <c r="K281" s="2" t="s">
        <v>317</v>
      </c>
      <c r="L281" s="2">
        <v>2024</v>
      </c>
      <c r="M281" s="2" t="s">
        <v>43</v>
      </c>
      <c r="N281" s="2" t="s">
        <v>23</v>
      </c>
      <c r="O281">
        <f t="shared" si="8"/>
        <v>2.671999999999997</v>
      </c>
      <c r="P281">
        <f t="shared" si="9"/>
        <v>42.118999999999943</v>
      </c>
    </row>
    <row r="282" spans="1:16" x14ac:dyDescent="0.35">
      <c r="A282" s="9" t="s">
        <v>326</v>
      </c>
      <c r="B282" s="2">
        <v>183.648</v>
      </c>
      <c r="C282" s="2">
        <v>183.858</v>
      </c>
      <c r="D282" s="2">
        <v>180.79400000000001</v>
      </c>
      <c r="E282" s="2">
        <v>182.488</v>
      </c>
      <c r="F282" s="2">
        <v>55127699</v>
      </c>
      <c r="G282" s="2" t="s">
        <v>15</v>
      </c>
      <c r="H282" s="2" t="s">
        <v>16</v>
      </c>
      <c r="I282" s="2" t="s">
        <v>17</v>
      </c>
      <c r="J282" s="4">
        <v>-0.48099999999999998</v>
      </c>
      <c r="K282" s="2" t="s">
        <v>317</v>
      </c>
      <c r="L282" s="2">
        <v>2024</v>
      </c>
      <c r="M282" s="2" t="s">
        <v>43</v>
      </c>
      <c r="N282" s="2" t="s">
        <v>23</v>
      </c>
      <c r="O282">
        <f t="shared" si="8"/>
        <v>3.063999999999993</v>
      </c>
      <c r="P282">
        <f t="shared" si="9"/>
        <v>41.637999999999941</v>
      </c>
    </row>
    <row r="283" spans="1:16" x14ac:dyDescent="0.35">
      <c r="A283" s="9" t="s">
        <v>327</v>
      </c>
      <c r="B283" s="2">
        <v>181.89500000000001</v>
      </c>
      <c r="C283" s="2">
        <v>182.827</v>
      </c>
      <c r="D283" s="2">
        <v>179.71600000000001</v>
      </c>
      <c r="E283" s="2">
        <v>182.202</v>
      </c>
      <c r="F283" s="2">
        <v>66030003</v>
      </c>
      <c r="G283" s="2" t="s">
        <v>15</v>
      </c>
      <c r="H283" s="2" t="s">
        <v>16</v>
      </c>
      <c r="I283" s="2" t="s">
        <v>17</v>
      </c>
      <c r="J283" s="4">
        <v>-0.157</v>
      </c>
      <c r="K283" s="2" t="s">
        <v>317</v>
      </c>
      <c r="L283" s="2">
        <v>2024</v>
      </c>
      <c r="M283" s="2" t="s">
        <v>43</v>
      </c>
      <c r="N283" s="2" t="s">
        <v>23</v>
      </c>
      <c r="O283">
        <f t="shared" si="8"/>
        <v>3.11099999999999</v>
      </c>
      <c r="P283">
        <f t="shared" si="9"/>
        <v>41.480999999999945</v>
      </c>
    </row>
    <row r="284" spans="1:16" x14ac:dyDescent="0.35">
      <c r="A284" s="9" t="s">
        <v>328</v>
      </c>
      <c r="B284" s="2">
        <v>181.76599999999999</v>
      </c>
      <c r="C284" s="2">
        <v>183.184</v>
      </c>
      <c r="D284" s="2">
        <v>180.02600000000001</v>
      </c>
      <c r="E284" s="2">
        <v>180.666</v>
      </c>
      <c r="F284" s="2">
        <v>50205252</v>
      </c>
      <c r="G284" s="2" t="s">
        <v>15</v>
      </c>
      <c r="H284" s="2" t="s">
        <v>16</v>
      </c>
      <c r="I284" s="2" t="s">
        <v>17</v>
      </c>
      <c r="J284" s="4">
        <v>-0.84299999999999997</v>
      </c>
      <c r="K284" s="2" t="s">
        <v>317</v>
      </c>
      <c r="L284" s="2">
        <v>2024</v>
      </c>
      <c r="M284" s="2" t="s">
        <v>43</v>
      </c>
      <c r="N284" s="2" t="s">
        <v>23</v>
      </c>
      <c r="O284">
        <f t="shared" si="8"/>
        <v>3.157999999999987</v>
      </c>
      <c r="P284">
        <f t="shared" si="9"/>
        <v>40.637999999999948</v>
      </c>
    </row>
    <row r="285" spans="1:16" x14ac:dyDescent="0.35">
      <c r="A285" s="9" t="s">
        <v>329</v>
      </c>
      <c r="B285" s="2">
        <v>180.15</v>
      </c>
      <c r="C285" s="2">
        <v>180.78399999999999</v>
      </c>
      <c r="D285" s="2">
        <v>178.376</v>
      </c>
      <c r="E285" s="2">
        <v>179.92099999999999</v>
      </c>
      <c r="F285" s="2">
        <v>54153952</v>
      </c>
      <c r="G285" s="2" t="s">
        <v>15</v>
      </c>
      <c r="H285" s="2" t="s">
        <v>16</v>
      </c>
      <c r="I285" s="2" t="s">
        <v>17</v>
      </c>
      <c r="J285" s="4">
        <v>-0.41199999999999998</v>
      </c>
      <c r="K285" s="2" t="s">
        <v>317</v>
      </c>
      <c r="L285" s="2">
        <v>2024</v>
      </c>
      <c r="M285" s="2" t="s">
        <v>43</v>
      </c>
      <c r="N285" s="2" t="s">
        <v>23</v>
      </c>
      <c r="O285">
        <f t="shared" si="8"/>
        <v>2.407999999999987</v>
      </c>
      <c r="P285">
        <f t="shared" si="9"/>
        <v>40.225999999999949</v>
      </c>
    </row>
    <row r="286" spans="1:16" x14ac:dyDescent="0.35">
      <c r="A286" s="9" t="s">
        <v>330</v>
      </c>
      <c r="B286" s="2">
        <v>180.3</v>
      </c>
      <c r="C286" s="2">
        <v>181.24</v>
      </c>
      <c r="D286" s="2">
        <v>179.029</v>
      </c>
      <c r="E286" s="2">
        <v>180.67599999999999</v>
      </c>
      <c r="F286" s="2">
        <v>41907627</v>
      </c>
      <c r="G286" s="2" t="s">
        <v>15</v>
      </c>
      <c r="H286" s="2" t="s">
        <v>16</v>
      </c>
      <c r="I286" s="2" t="s">
        <v>17</v>
      </c>
      <c r="J286" s="3">
        <v>0.42</v>
      </c>
      <c r="K286" s="2" t="s">
        <v>317</v>
      </c>
      <c r="L286" s="2">
        <v>2024</v>
      </c>
      <c r="M286" s="2" t="s">
        <v>43</v>
      </c>
      <c r="N286" s="2" t="s">
        <v>21</v>
      </c>
      <c r="O286">
        <f t="shared" si="8"/>
        <v>2.2110000000000127</v>
      </c>
      <c r="P286">
        <f t="shared" si="9"/>
        <v>40.645999999999951</v>
      </c>
    </row>
    <row r="287" spans="1:16" x14ac:dyDescent="0.35">
      <c r="A287" s="9" t="s">
        <v>331</v>
      </c>
      <c r="B287" s="2">
        <v>181.82499999999999</v>
      </c>
      <c r="C287" s="2">
        <v>183.286</v>
      </c>
      <c r="D287" s="2">
        <v>180.81399999999999</v>
      </c>
      <c r="E287" s="2">
        <v>182.70699999999999</v>
      </c>
      <c r="F287" s="2">
        <v>52768109</v>
      </c>
      <c r="G287" s="2" t="s">
        <v>15</v>
      </c>
      <c r="H287" s="2" t="s">
        <v>16</v>
      </c>
      <c r="I287" s="2" t="s">
        <v>17</v>
      </c>
      <c r="J287" s="3">
        <v>1.1240000000000001</v>
      </c>
      <c r="K287" s="2" t="s">
        <v>317</v>
      </c>
      <c r="L287" s="2">
        <v>2024</v>
      </c>
      <c r="M287" s="2" t="s">
        <v>43</v>
      </c>
      <c r="N287" s="2" t="s">
        <v>21</v>
      </c>
      <c r="O287">
        <f t="shared" si="8"/>
        <v>2.4720000000000084</v>
      </c>
      <c r="P287">
        <f t="shared" si="9"/>
        <v>41.769999999999953</v>
      </c>
    </row>
    <row r="288" spans="1:16" x14ac:dyDescent="0.35">
      <c r="A288" s="9" t="s">
        <v>332</v>
      </c>
      <c r="B288" s="2">
        <v>183.34100000000001</v>
      </c>
      <c r="C288" s="2">
        <v>183.37</v>
      </c>
      <c r="D288" s="2">
        <v>180.58699999999999</v>
      </c>
      <c r="E288" s="2">
        <v>180.87299999999999</v>
      </c>
      <c r="F288" s="2">
        <v>45530302</v>
      </c>
      <c r="G288" s="2" t="s">
        <v>15</v>
      </c>
      <c r="H288" s="2" t="s">
        <v>16</v>
      </c>
      <c r="I288" s="2" t="s">
        <v>17</v>
      </c>
      <c r="J288" s="4">
        <v>-1.004</v>
      </c>
      <c r="K288" s="2" t="s">
        <v>317</v>
      </c>
      <c r="L288" s="2">
        <v>2024</v>
      </c>
      <c r="M288" s="2" t="s">
        <v>43</v>
      </c>
      <c r="N288" s="2" t="s">
        <v>23</v>
      </c>
      <c r="O288">
        <f t="shared" si="8"/>
        <v>2.7830000000000155</v>
      </c>
      <c r="P288">
        <f t="shared" si="9"/>
        <v>40.765999999999956</v>
      </c>
    </row>
    <row r="289" spans="1:16" x14ac:dyDescent="0.35">
      <c r="A289" s="9" t="s">
        <v>333</v>
      </c>
      <c r="B289" s="2">
        <v>180.59700000000001</v>
      </c>
      <c r="C289" s="2">
        <v>181.11199999999999</v>
      </c>
      <c r="D289" s="2">
        <v>179.01900000000001</v>
      </c>
      <c r="E289" s="2">
        <v>179.52699999999999</v>
      </c>
      <c r="F289" s="2">
        <v>41239346</v>
      </c>
      <c r="G289" s="2" t="s">
        <v>15</v>
      </c>
      <c r="H289" s="2" t="s">
        <v>16</v>
      </c>
      <c r="I289" s="2" t="s">
        <v>17</v>
      </c>
      <c r="J289" s="4">
        <v>-0.74399999999999999</v>
      </c>
      <c r="K289" s="2" t="s">
        <v>317</v>
      </c>
      <c r="L289" s="2">
        <v>2024</v>
      </c>
      <c r="M289" s="2" t="s">
        <v>43</v>
      </c>
      <c r="N289" s="2" t="s">
        <v>23</v>
      </c>
      <c r="O289">
        <f t="shared" si="8"/>
        <v>2.0929999999999893</v>
      </c>
      <c r="P289">
        <f t="shared" si="9"/>
        <v>40.021999999999956</v>
      </c>
    </row>
    <row r="290" spans="1:16" x14ac:dyDescent="0.35">
      <c r="A290" s="9" t="s">
        <v>334</v>
      </c>
      <c r="B290" s="2">
        <v>179.46700000000001</v>
      </c>
      <c r="C290" s="2">
        <v>182.26300000000001</v>
      </c>
      <c r="D290" s="2">
        <v>177.941</v>
      </c>
      <c r="E290" s="2">
        <v>180.983</v>
      </c>
      <c r="F290" s="2">
        <v>54813196</v>
      </c>
      <c r="G290" s="2" t="s">
        <v>15</v>
      </c>
      <c r="H290" s="2" t="s">
        <v>16</v>
      </c>
      <c r="I290" s="2" t="s">
        <v>17</v>
      </c>
      <c r="J290" s="3">
        <v>0.81100000000000005</v>
      </c>
      <c r="K290" s="2" t="s">
        <v>317</v>
      </c>
      <c r="L290" s="2">
        <v>2024</v>
      </c>
      <c r="M290" s="2" t="s">
        <v>43</v>
      </c>
      <c r="N290" s="2" t="s">
        <v>21</v>
      </c>
      <c r="O290">
        <f t="shared" si="8"/>
        <v>4.3220000000000027</v>
      </c>
      <c r="P290">
        <f t="shared" si="9"/>
        <v>40.832999999999956</v>
      </c>
    </row>
    <row r="291" spans="1:16" x14ac:dyDescent="0.35">
      <c r="A291" s="9" t="s">
        <v>335</v>
      </c>
      <c r="B291" s="2">
        <v>180.864</v>
      </c>
      <c r="C291" s="2">
        <v>181.46899999999999</v>
      </c>
      <c r="D291" s="2">
        <v>178.506</v>
      </c>
      <c r="E291" s="2">
        <v>179.785</v>
      </c>
      <c r="F291" s="2">
        <v>49399458</v>
      </c>
      <c r="G291" s="2" t="s">
        <v>15</v>
      </c>
      <c r="H291" s="2" t="s">
        <v>16</v>
      </c>
      <c r="I291" s="2" t="s">
        <v>17</v>
      </c>
      <c r="J291" s="4">
        <v>-0.66200000000000003</v>
      </c>
      <c r="K291" s="2" t="s">
        <v>317</v>
      </c>
      <c r="L291" s="2">
        <v>2024</v>
      </c>
      <c r="M291" s="2" t="s">
        <v>43</v>
      </c>
      <c r="N291" s="2" t="s">
        <v>23</v>
      </c>
      <c r="O291">
        <f t="shared" si="8"/>
        <v>2.9629999999999939</v>
      </c>
      <c r="P291">
        <f t="shared" si="9"/>
        <v>40.170999999999957</v>
      </c>
    </row>
    <row r="292" spans="1:16" x14ac:dyDescent="0.35">
      <c r="A292" s="9" t="s">
        <v>336</v>
      </c>
      <c r="B292" s="2">
        <v>179.636</v>
      </c>
      <c r="C292" s="2">
        <v>180.923</v>
      </c>
      <c r="D292" s="2">
        <v>177.91200000000001</v>
      </c>
      <c r="E292" s="2">
        <v>179.11799999999999</v>
      </c>
      <c r="F292" s="2">
        <v>137926520</v>
      </c>
      <c r="G292" s="2" t="s">
        <v>15</v>
      </c>
      <c r="H292" s="2" t="s">
        <v>16</v>
      </c>
      <c r="I292" s="2" t="s">
        <v>17</v>
      </c>
      <c r="J292" s="4">
        <v>-0.371</v>
      </c>
      <c r="K292" s="2" t="s">
        <v>317</v>
      </c>
      <c r="L292" s="2">
        <v>2024</v>
      </c>
      <c r="M292" s="2" t="s">
        <v>43</v>
      </c>
      <c r="N292" s="2" t="s">
        <v>23</v>
      </c>
      <c r="O292">
        <f t="shared" si="8"/>
        <v>3.0109999999999957</v>
      </c>
      <c r="P292">
        <f t="shared" si="9"/>
        <v>39.799999999999955</v>
      </c>
    </row>
    <row r="293" spans="1:16" x14ac:dyDescent="0.35">
      <c r="A293" s="9" t="s">
        <v>337</v>
      </c>
      <c r="B293" s="2">
        <v>177.93199999999999</v>
      </c>
      <c r="C293" s="2">
        <v>178.90199999999999</v>
      </c>
      <c r="D293" s="2">
        <v>175.78100000000001</v>
      </c>
      <c r="E293" s="2">
        <v>178.04</v>
      </c>
      <c r="F293" s="2">
        <v>74232566</v>
      </c>
      <c r="G293" s="2" t="s">
        <v>15</v>
      </c>
      <c r="H293" s="2" t="s">
        <v>16</v>
      </c>
      <c r="I293" s="2" t="s">
        <v>17</v>
      </c>
      <c r="J293" s="4">
        <v>-0.60199999999999998</v>
      </c>
      <c r="K293" s="2" t="s">
        <v>338</v>
      </c>
      <c r="L293" s="2">
        <v>2024</v>
      </c>
      <c r="M293" s="2" t="s">
        <v>64</v>
      </c>
      <c r="N293" s="2" t="s">
        <v>23</v>
      </c>
      <c r="O293">
        <f t="shared" si="8"/>
        <v>3.1209999999999809</v>
      </c>
      <c r="P293">
        <f t="shared" si="9"/>
        <v>39.197999999999958</v>
      </c>
    </row>
    <row r="294" spans="1:16" x14ac:dyDescent="0.35">
      <c r="A294" s="9" t="s">
        <v>339</v>
      </c>
      <c r="B294" s="2">
        <v>174.56200000000001</v>
      </c>
      <c r="C294" s="2">
        <v>175.304</v>
      </c>
      <c r="D294" s="2">
        <v>172.22200000000001</v>
      </c>
      <c r="E294" s="2">
        <v>173.52199999999999</v>
      </c>
      <c r="F294" s="2">
        <v>82251909</v>
      </c>
      <c r="G294" s="2" t="s">
        <v>15</v>
      </c>
      <c r="H294" s="2" t="s">
        <v>16</v>
      </c>
      <c r="I294" s="2" t="s">
        <v>17</v>
      </c>
      <c r="J294" s="4">
        <v>-2.5379999999999998</v>
      </c>
      <c r="K294" s="2" t="s">
        <v>338</v>
      </c>
      <c r="L294" s="2">
        <v>2024</v>
      </c>
      <c r="M294" s="2" t="s">
        <v>64</v>
      </c>
      <c r="N294" s="2" t="s">
        <v>23</v>
      </c>
      <c r="O294">
        <f t="shared" si="8"/>
        <v>3.0819999999999936</v>
      </c>
      <c r="P294">
        <f t="shared" si="9"/>
        <v>36.659999999999961</v>
      </c>
    </row>
    <row r="295" spans="1:16" x14ac:dyDescent="0.35">
      <c r="A295" s="9" t="s">
        <v>340</v>
      </c>
      <c r="B295" s="2">
        <v>169.221</v>
      </c>
      <c r="C295" s="2">
        <v>170.488</v>
      </c>
      <c r="D295" s="2">
        <v>168.09</v>
      </c>
      <c r="E295" s="2">
        <v>168.58600000000001</v>
      </c>
      <c r="F295" s="2">
        <v>95998136</v>
      </c>
      <c r="G295" s="2" t="s">
        <v>15</v>
      </c>
      <c r="H295" s="2" t="s">
        <v>16</v>
      </c>
      <c r="I295" s="2" t="s">
        <v>17</v>
      </c>
      <c r="J295" s="4">
        <v>-2.8450000000000002</v>
      </c>
      <c r="K295" s="2" t="s">
        <v>338</v>
      </c>
      <c r="L295" s="2">
        <v>2024</v>
      </c>
      <c r="M295" s="2" t="s">
        <v>64</v>
      </c>
      <c r="N295" s="2" t="s">
        <v>23</v>
      </c>
      <c r="O295">
        <f t="shared" si="8"/>
        <v>2.3979999999999961</v>
      </c>
      <c r="P295">
        <f t="shared" si="9"/>
        <v>33.814999999999962</v>
      </c>
    </row>
    <row r="296" spans="1:16" x14ac:dyDescent="0.35">
      <c r="A296" s="9" t="s">
        <v>341</v>
      </c>
      <c r="B296" s="2">
        <v>169.517</v>
      </c>
      <c r="C296" s="2">
        <v>169.69499999999999</v>
      </c>
      <c r="D296" s="2">
        <v>167.15899999999999</v>
      </c>
      <c r="E296" s="2">
        <v>167.595</v>
      </c>
      <c r="F296" s="2">
        <v>69211910</v>
      </c>
      <c r="G296" s="2" t="s">
        <v>15</v>
      </c>
      <c r="H296" s="2" t="s">
        <v>16</v>
      </c>
      <c r="I296" s="2" t="s">
        <v>17</v>
      </c>
      <c r="J296" s="4">
        <v>-0.58799999999999997</v>
      </c>
      <c r="K296" s="2" t="s">
        <v>338</v>
      </c>
      <c r="L296" s="2">
        <v>2024</v>
      </c>
      <c r="M296" s="2" t="s">
        <v>64</v>
      </c>
      <c r="N296" s="2" t="s">
        <v>23</v>
      </c>
      <c r="O296">
        <f t="shared" si="8"/>
        <v>2.5360000000000014</v>
      </c>
      <c r="P296">
        <f t="shared" si="9"/>
        <v>33.226999999999961</v>
      </c>
    </row>
    <row r="297" spans="1:16" x14ac:dyDescent="0.35">
      <c r="A297" s="9" t="s">
        <v>342</v>
      </c>
      <c r="B297" s="2">
        <v>167.625</v>
      </c>
      <c r="C297" s="2">
        <v>169.191</v>
      </c>
      <c r="D297" s="2">
        <v>166.97</v>
      </c>
      <c r="E297" s="2">
        <v>167.476</v>
      </c>
      <c r="F297" s="2">
        <v>72418181</v>
      </c>
      <c r="G297" s="2" t="s">
        <v>15</v>
      </c>
      <c r="H297" s="2" t="s">
        <v>16</v>
      </c>
      <c r="I297" s="2" t="s">
        <v>17</v>
      </c>
      <c r="J297" s="4">
        <v>-7.0999999999999994E-2</v>
      </c>
      <c r="K297" s="2" t="s">
        <v>338</v>
      </c>
      <c r="L297" s="2">
        <v>2024</v>
      </c>
      <c r="M297" s="2" t="s">
        <v>64</v>
      </c>
      <c r="N297" s="2" t="s">
        <v>23</v>
      </c>
      <c r="O297">
        <f t="shared" si="8"/>
        <v>2.2210000000000036</v>
      </c>
      <c r="P297">
        <f t="shared" si="9"/>
        <v>33.155999999999963</v>
      </c>
    </row>
    <row r="298" spans="1:16" x14ac:dyDescent="0.35">
      <c r="A298" s="9" t="s">
        <v>343</v>
      </c>
      <c r="B298" s="2">
        <v>167.476</v>
      </c>
      <c r="C298" s="2">
        <v>172.13399999999999</v>
      </c>
      <c r="D298" s="2">
        <v>167.417</v>
      </c>
      <c r="E298" s="2">
        <v>169.191</v>
      </c>
      <c r="F298" s="2">
        <v>76961132</v>
      </c>
      <c r="G298" s="2" t="s">
        <v>15</v>
      </c>
      <c r="H298" s="2" t="s">
        <v>16</v>
      </c>
      <c r="I298" s="2" t="s">
        <v>17</v>
      </c>
      <c r="J298" s="3">
        <v>1.024</v>
      </c>
      <c r="K298" s="2" t="s">
        <v>338</v>
      </c>
      <c r="L298" s="2">
        <v>2024</v>
      </c>
      <c r="M298" s="2" t="s">
        <v>64</v>
      </c>
      <c r="N298" s="2" t="s">
        <v>21</v>
      </c>
      <c r="O298">
        <f t="shared" si="8"/>
        <v>4.7169999999999845</v>
      </c>
      <c r="P298">
        <f t="shared" si="9"/>
        <v>34.179999999999964</v>
      </c>
    </row>
    <row r="299" spans="1:16" x14ac:dyDescent="0.35">
      <c r="A299" s="9" t="s">
        <v>344</v>
      </c>
      <c r="B299" s="2">
        <v>171.381</v>
      </c>
      <c r="C299" s="2">
        <v>172.80799999999999</v>
      </c>
      <c r="D299" s="2">
        <v>170.49799999999999</v>
      </c>
      <c r="E299" s="2">
        <v>171.19300000000001</v>
      </c>
      <c r="F299" s="2">
        <v>60686790</v>
      </c>
      <c r="G299" s="2" t="s">
        <v>15</v>
      </c>
      <c r="H299" s="2" t="s">
        <v>16</v>
      </c>
      <c r="I299" s="2" t="s">
        <v>17</v>
      </c>
      <c r="J299" s="3">
        <v>1.1830000000000001</v>
      </c>
      <c r="K299" s="2" t="s">
        <v>338</v>
      </c>
      <c r="L299" s="2">
        <v>2024</v>
      </c>
      <c r="M299" s="2" t="s">
        <v>64</v>
      </c>
      <c r="N299" s="2" t="s">
        <v>21</v>
      </c>
      <c r="O299">
        <f t="shared" si="8"/>
        <v>2.3100000000000023</v>
      </c>
      <c r="P299">
        <f t="shared" si="9"/>
        <v>35.362999999999964</v>
      </c>
    </row>
    <row r="300" spans="1:16" x14ac:dyDescent="0.35">
      <c r="A300" s="9" t="s">
        <v>345</v>
      </c>
      <c r="B300" s="2">
        <v>171.58799999999999</v>
      </c>
      <c r="C300" s="2">
        <v>172.46100000000001</v>
      </c>
      <c r="D300" s="2">
        <v>169.46799999999999</v>
      </c>
      <c r="E300" s="2">
        <v>171.666</v>
      </c>
      <c r="F300" s="2">
        <v>60369830</v>
      </c>
      <c r="G300" s="2" t="s">
        <v>15</v>
      </c>
      <c r="H300" s="2" t="s">
        <v>16</v>
      </c>
      <c r="I300" s="2" t="s">
        <v>17</v>
      </c>
      <c r="J300" s="3">
        <v>0.27600000000000002</v>
      </c>
      <c r="K300" s="2" t="s">
        <v>338</v>
      </c>
      <c r="L300" s="2">
        <v>2024</v>
      </c>
      <c r="M300" s="2" t="s">
        <v>64</v>
      </c>
      <c r="N300" s="2" t="s">
        <v>21</v>
      </c>
      <c r="O300">
        <f t="shared" si="8"/>
        <v>2.9930000000000234</v>
      </c>
      <c r="P300">
        <f t="shared" si="9"/>
        <v>35.638999999999967</v>
      </c>
    </row>
    <row r="301" spans="1:16" x14ac:dyDescent="0.35">
      <c r="A301" s="9" t="s">
        <v>346</v>
      </c>
      <c r="B301" s="2">
        <v>171.21299999999999</v>
      </c>
      <c r="C301" s="2">
        <v>171.62100000000001</v>
      </c>
      <c r="D301" s="2">
        <v>169.221</v>
      </c>
      <c r="E301" s="2">
        <v>169.58500000000001</v>
      </c>
      <c r="F301" s="2">
        <v>52966381</v>
      </c>
      <c r="G301" s="2" t="s">
        <v>15</v>
      </c>
      <c r="H301" s="2" t="s">
        <v>16</v>
      </c>
      <c r="I301" s="2" t="s">
        <v>17</v>
      </c>
      <c r="J301" s="4">
        <v>-1.212</v>
      </c>
      <c r="K301" s="2" t="s">
        <v>338</v>
      </c>
      <c r="L301" s="2">
        <v>2024</v>
      </c>
      <c r="M301" s="2" t="s">
        <v>64</v>
      </c>
      <c r="N301" s="2" t="s">
        <v>23</v>
      </c>
      <c r="O301">
        <f t="shared" si="8"/>
        <v>2.4000000000000057</v>
      </c>
      <c r="P301">
        <f t="shared" si="9"/>
        <v>34.426999999999964</v>
      </c>
    </row>
    <row r="302" spans="1:16" x14ac:dyDescent="0.35">
      <c r="A302" s="9" t="s">
        <v>347</v>
      </c>
      <c r="B302" s="2">
        <v>171.351</v>
      </c>
      <c r="C302" s="2">
        <v>172.73599999999999</v>
      </c>
      <c r="D302" s="2">
        <v>170.49799999999999</v>
      </c>
      <c r="E302" s="2">
        <v>171.44</v>
      </c>
      <c r="F302" s="2">
        <v>73577079</v>
      </c>
      <c r="G302" s="2" t="s">
        <v>15</v>
      </c>
      <c r="H302" s="2" t="s">
        <v>16</v>
      </c>
      <c r="I302" s="2" t="s">
        <v>17</v>
      </c>
      <c r="J302" s="3">
        <v>1.0940000000000001</v>
      </c>
      <c r="K302" s="2" t="s">
        <v>338</v>
      </c>
      <c r="L302" s="2">
        <v>2024</v>
      </c>
      <c r="M302" s="2" t="s">
        <v>64</v>
      </c>
      <c r="N302" s="2" t="s">
        <v>21</v>
      </c>
      <c r="O302">
        <f t="shared" si="8"/>
        <v>2.2379999999999995</v>
      </c>
      <c r="P302">
        <f t="shared" si="9"/>
        <v>35.520999999999965</v>
      </c>
    </row>
    <row r="303" spans="1:16" x14ac:dyDescent="0.35">
      <c r="A303" s="9" t="s">
        <v>348</v>
      </c>
      <c r="B303" s="2">
        <v>169.625</v>
      </c>
      <c r="C303" s="2">
        <v>171.06299999999999</v>
      </c>
      <c r="D303" s="2">
        <v>168.74799999999999</v>
      </c>
      <c r="E303" s="2">
        <v>171.06299999999999</v>
      </c>
      <c r="F303" s="2">
        <v>122860748</v>
      </c>
      <c r="G303" s="2" t="s">
        <v>15</v>
      </c>
      <c r="H303" s="2" t="s">
        <v>16</v>
      </c>
      <c r="I303" s="2" t="s">
        <v>17</v>
      </c>
      <c r="J303" s="4">
        <v>-0.22</v>
      </c>
      <c r="K303" s="2" t="s">
        <v>338</v>
      </c>
      <c r="L303" s="2">
        <v>2024</v>
      </c>
      <c r="M303" s="2" t="s">
        <v>64</v>
      </c>
      <c r="N303" s="2" t="s">
        <v>23</v>
      </c>
      <c r="O303">
        <f t="shared" si="8"/>
        <v>2.3149999999999977</v>
      </c>
      <c r="P303">
        <f t="shared" si="9"/>
        <v>35.300999999999966</v>
      </c>
    </row>
    <row r="304" spans="1:16" x14ac:dyDescent="0.35">
      <c r="A304" s="9" t="s">
        <v>349</v>
      </c>
      <c r="B304" s="2">
        <v>173.98599999999999</v>
      </c>
      <c r="C304" s="2">
        <v>176.107</v>
      </c>
      <c r="D304" s="2">
        <v>171.95500000000001</v>
      </c>
      <c r="E304" s="2">
        <v>172.154</v>
      </c>
      <c r="F304" s="2">
        <v>76292242</v>
      </c>
      <c r="G304" s="2" t="s">
        <v>15</v>
      </c>
      <c r="H304" s="2" t="s">
        <v>16</v>
      </c>
      <c r="I304" s="2" t="s">
        <v>17</v>
      </c>
      <c r="J304" s="3">
        <v>0.63800000000000001</v>
      </c>
      <c r="K304" s="2" t="s">
        <v>338</v>
      </c>
      <c r="L304" s="2">
        <v>2024</v>
      </c>
      <c r="M304" s="2" t="s">
        <v>64</v>
      </c>
      <c r="N304" s="2" t="s">
        <v>21</v>
      </c>
      <c r="O304">
        <f t="shared" si="8"/>
        <v>4.1519999999999868</v>
      </c>
      <c r="P304">
        <f t="shared" si="9"/>
        <v>35.938999999999965</v>
      </c>
    </row>
    <row r="305" spans="1:16" x14ac:dyDescent="0.35">
      <c r="A305" s="9" t="s">
        <v>350</v>
      </c>
      <c r="B305" s="2">
        <v>172.768</v>
      </c>
      <c r="C305" s="2">
        <v>175.012</v>
      </c>
      <c r="D305" s="2">
        <v>171.47</v>
      </c>
      <c r="E305" s="2">
        <v>174.49199999999999</v>
      </c>
      <c r="F305" s="2">
        <v>55717747</v>
      </c>
      <c r="G305" s="2" t="s">
        <v>15</v>
      </c>
      <c r="H305" s="2" t="s">
        <v>16</v>
      </c>
      <c r="I305" s="2" t="s">
        <v>17</v>
      </c>
      <c r="J305" s="3">
        <v>1.3580000000000001</v>
      </c>
      <c r="K305" s="2" t="s">
        <v>338</v>
      </c>
      <c r="L305" s="2">
        <v>2024</v>
      </c>
      <c r="M305" s="2" t="s">
        <v>64</v>
      </c>
      <c r="N305" s="2" t="s">
        <v>21</v>
      </c>
      <c r="O305">
        <f t="shared" si="8"/>
        <v>3.5420000000000016</v>
      </c>
      <c r="P305">
        <f t="shared" si="9"/>
        <v>37.296999999999962</v>
      </c>
    </row>
    <row r="306" spans="1:16" x14ac:dyDescent="0.35">
      <c r="A306" s="9" t="s">
        <v>351</v>
      </c>
      <c r="B306" s="2">
        <v>174.13499999999999</v>
      </c>
      <c r="C306" s="2">
        <v>177.05799999999999</v>
      </c>
      <c r="D306" s="2">
        <v>173.512</v>
      </c>
      <c r="E306" s="2">
        <v>177.05799999999999</v>
      </c>
      <c r="F306" s="2">
        <v>53909295</v>
      </c>
      <c r="G306" s="2" t="s">
        <v>15</v>
      </c>
      <c r="H306" s="2" t="s">
        <v>16</v>
      </c>
      <c r="I306" s="2" t="s">
        <v>17</v>
      </c>
      <c r="J306" s="3">
        <v>1.4710000000000001</v>
      </c>
      <c r="K306" s="2" t="s">
        <v>338</v>
      </c>
      <c r="L306" s="2">
        <v>2024</v>
      </c>
      <c r="M306" s="2" t="s">
        <v>64</v>
      </c>
      <c r="N306" s="2" t="s">
        <v>21</v>
      </c>
      <c r="O306">
        <f t="shared" si="8"/>
        <v>3.5459999999999923</v>
      </c>
      <c r="P306">
        <f t="shared" si="9"/>
        <v>38.767999999999958</v>
      </c>
    </row>
    <row r="307" spans="1:16" x14ac:dyDescent="0.35">
      <c r="A307" s="9" t="s">
        <v>352</v>
      </c>
      <c r="B307" s="2">
        <v>175.453</v>
      </c>
      <c r="C307" s="2">
        <v>175.88900000000001</v>
      </c>
      <c r="D307" s="2">
        <v>169.3</v>
      </c>
      <c r="E307" s="2">
        <v>169.82400000000001</v>
      </c>
      <c r="F307" s="2">
        <v>107147605</v>
      </c>
      <c r="G307" s="2" t="s">
        <v>15</v>
      </c>
      <c r="H307" s="2" t="s">
        <v>16</v>
      </c>
      <c r="I307" s="2" t="s">
        <v>17</v>
      </c>
      <c r="J307" s="4">
        <v>-4.0860000000000003</v>
      </c>
      <c r="K307" s="2" t="s">
        <v>338</v>
      </c>
      <c r="L307" s="2">
        <v>2024</v>
      </c>
      <c r="M307" s="2" t="s">
        <v>64</v>
      </c>
      <c r="N307" s="2" t="s">
        <v>23</v>
      </c>
      <c r="O307">
        <f t="shared" si="8"/>
        <v>6.5889999999999986</v>
      </c>
      <c r="P307">
        <f t="shared" si="9"/>
        <v>34.68199999999996</v>
      </c>
    </row>
    <row r="308" spans="1:16" x14ac:dyDescent="0.35">
      <c r="A308" s="9" t="s">
        <v>353</v>
      </c>
      <c r="B308" s="2">
        <v>170.21100000000001</v>
      </c>
      <c r="C308" s="2">
        <v>171.49</v>
      </c>
      <c r="D308" s="2">
        <v>168.52600000000001</v>
      </c>
      <c r="E308" s="2">
        <v>170.72499999999999</v>
      </c>
      <c r="F308" s="2">
        <v>71807753</v>
      </c>
      <c r="G308" s="2" t="s">
        <v>15</v>
      </c>
      <c r="H308" s="2" t="s">
        <v>16</v>
      </c>
      <c r="I308" s="2" t="s">
        <v>17</v>
      </c>
      <c r="J308" s="3">
        <v>0.53100000000000003</v>
      </c>
      <c r="K308" s="2" t="s">
        <v>338</v>
      </c>
      <c r="L308" s="2">
        <v>2024</v>
      </c>
      <c r="M308" s="2" t="s">
        <v>64</v>
      </c>
      <c r="N308" s="2" t="s">
        <v>21</v>
      </c>
      <c r="O308">
        <f t="shared" si="8"/>
        <v>2.9639999999999986</v>
      </c>
      <c r="P308">
        <f t="shared" si="9"/>
        <v>35.212999999999958</v>
      </c>
    </row>
    <row r="309" spans="1:16" x14ac:dyDescent="0.35">
      <c r="A309" s="9" t="s">
        <v>354</v>
      </c>
      <c r="B309" s="2">
        <v>169.02699999999999</v>
      </c>
      <c r="C309" s="2">
        <v>170.39</v>
      </c>
      <c r="D309" s="2">
        <v>167.92099999999999</v>
      </c>
      <c r="E309" s="2">
        <v>169.31</v>
      </c>
      <c r="F309" s="2">
        <v>54782395</v>
      </c>
      <c r="G309" s="2" t="s">
        <v>15</v>
      </c>
      <c r="H309" s="2" t="s">
        <v>16</v>
      </c>
      <c r="I309" s="2" t="s">
        <v>17</v>
      </c>
      <c r="J309" s="4">
        <v>-0.82899999999999996</v>
      </c>
      <c r="K309" s="2" t="s">
        <v>338</v>
      </c>
      <c r="L309" s="2">
        <v>2024</v>
      </c>
      <c r="M309" s="2" t="s">
        <v>64</v>
      </c>
      <c r="N309" s="2" t="s">
        <v>23</v>
      </c>
      <c r="O309">
        <f t="shared" si="8"/>
        <v>2.4689999999999941</v>
      </c>
      <c r="P309">
        <f t="shared" si="9"/>
        <v>34.383999999999958</v>
      </c>
    </row>
    <row r="310" spans="1:16" x14ac:dyDescent="0.35">
      <c r="A310" s="9" t="s">
        <v>355</v>
      </c>
      <c r="B310" s="2">
        <v>168.46700000000001</v>
      </c>
      <c r="C310" s="2">
        <v>169.874</v>
      </c>
      <c r="D310" s="2">
        <v>168.05</v>
      </c>
      <c r="E310" s="2">
        <v>168.18</v>
      </c>
      <c r="F310" s="2">
        <v>57910729</v>
      </c>
      <c r="G310" s="2" t="s">
        <v>15</v>
      </c>
      <c r="H310" s="2" t="s">
        <v>16</v>
      </c>
      <c r="I310" s="2" t="s">
        <v>17</v>
      </c>
      <c r="J310" s="4">
        <v>-0.66700000000000004</v>
      </c>
      <c r="K310" s="2" t="s">
        <v>338</v>
      </c>
      <c r="L310" s="2">
        <v>2024</v>
      </c>
      <c r="M310" s="2" t="s">
        <v>64</v>
      </c>
      <c r="N310" s="2" t="s">
        <v>23</v>
      </c>
      <c r="O310">
        <f t="shared" si="8"/>
        <v>1.8239999999999839</v>
      </c>
      <c r="P310">
        <f t="shared" si="9"/>
        <v>33.716999999999956</v>
      </c>
    </row>
    <row r="311" spans="1:16" x14ac:dyDescent="0.35">
      <c r="A311" s="9" t="s">
        <v>356</v>
      </c>
      <c r="B311" s="2">
        <v>168.87299999999999</v>
      </c>
      <c r="C311" s="2">
        <v>172.035</v>
      </c>
      <c r="D311" s="2">
        <v>168.57599999999999</v>
      </c>
      <c r="E311" s="2">
        <v>171.74600000000001</v>
      </c>
      <c r="F311" s="2">
        <v>60821800</v>
      </c>
      <c r="G311" s="2" t="s">
        <v>15</v>
      </c>
      <c r="H311" s="2" t="s">
        <v>16</v>
      </c>
      <c r="I311" s="2" t="s">
        <v>17</v>
      </c>
      <c r="J311" s="3">
        <v>2.12</v>
      </c>
      <c r="K311" s="2" t="s">
        <v>338</v>
      </c>
      <c r="L311" s="2">
        <v>2024</v>
      </c>
      <c r="M311" s="2" t="s">
        <v>64</v>
      </c>
      <c r="N311" s="2" t="s">
        <v>21</v>
      </c>
      <c r="O311">
        <f t="shared" si="8"/>
        <v>3.4590000000000032</v>
      </c>
      <c r="P311">
        <f t="shared" si="9"/>
        <v>35.836999999999954</v>
      </c>
    </row>
    <row r="312" spans="1:16" x14ac:dyDescent="0.35">
      <c r="A312" s="9" t="s">
        <v>357</v>
      </c>
      <c r="B312" s="2">
        <v>170.20099999999999</v>
      </c>
      <c r="C312" s="2">
        <v>170.67699999999999</v>
      </c>
      <c r="D312" s="2">
        <v>168.97200000000001</v>
      </c>
      <c r="E312" s="2">
        <v>169.93299999999999</v>
      </c>
      <c r="F312" s="2">
        <v>66270364</v>
      </c>
      <c r="G312" s="2" t="s">
        <v>15</v>
      </c>
      <c r="H312" s="2" t="s">
        <v>16</v>
      </c>
      <c r="I312" s="2" t="s">
        <v>17</v>
      </c>
      <c r="J312" s="4">
        <v>-1.056</v>
      </c>
      <c r="K312" s="2" t="s">
        <v>338</v>
      </c>
      <c r="L312" s="2">
        <v>2024</v>
      </c>
      <c r="M312" s="2" t="s">
        <v>64</v>
      </c>
      <c r="N312" s="2" t="s">
        <v>23</v>
      </c>
      <c r="O312">
        <f t="shared" si="8"/>
        <v>1.7049999999999841</v>
      </c>
      <c r="P312">
        <f t="shared" si="9"/>
        <v>34.780999999999956</v>
      </c>
    </row>
    <row r="313" spans="1:16" x14ac:dyDescent="0.35">
      <c r="A313" s="9" t="s">
        <v>358</v>
      </c>
      <c r="B313" s="2">
        <v>169.64500000000001</v>
      </c>
      <c r="C313" s="2">
        <v>169.70500000000001</v>
      </c>
      <c r="D313" s="2">
        <v>167.946</v>
      </c>
      <c r="E313" s="2">
        <v>168.49700000000001</v>
      </c>
      <c r="F313" s="2">
        <v>46661325</v>
      </c>
      <c r="G313" s="2" t="s">
        <v>15</v>
      </c>
      <c r="H313" s="2" t="s">
        <v>16</v>
      </c>
      <c r="I313" s="2" t="s">
        <v>17</v>
      </c>
      <c r="J313" s="4">
        <v>-0.84499999999999997</v>
      </c>
      <c r="K313" s="2" t="s">
        <v>359</v>
      </c>
      <c r="L313" s="2">
        <v>2024</v>
      </c>
      <c r="M313" s="2" t="s">
        <v>89</v>
      </c>
      <c r="N313" s="2" t="s">
        <v>23</v>
      </c>
      <c r="O313">
        <f t="shared" si="8"/>
        <v>1.7590000000000146</v>
      </c>
      <c r="P313">
        <f t="shared" si="9"/>
        <v>33.935999999999957</v>
      </c>
    </row>
    <row r="314" spans="1:16" x14ac:dyDescent="0.35">
      <c r="A314" s="9" t="s">
        <v>360</v>
      </c>
      <c r="B314" s="2">
        <v>167.55500000000001</v>
      </c>
      <c r="C314" s="2">
        <v>167.81200000000001</v>
      </c>
      <c r="D314" s="2">
        <v>166.71299999999999</v>
      </c>
      <c r="E314" s="2">
        <v>167.31700000000001</v>
      </c>
      <c r="F314" s="2">
        <v>49778419</v>
      </c>
      <c r="G314" s="2" t="s">
        <v>15</v>
      </c>
      <c r="H314" s="2" t="s">
        <v>16</v>
      </c>
      <c r="I314" s="2" t="s">
        <v>17</v>
      </c>
      <c r="J314" s="4">
        <v>-0.7</v>
      </c>
      <c r="K314" s="2" t="s">
        <v>359</v>
      </c>
      <c r="L314" s="2">
        <v>2024</v>
      </c>
      <c r="M314" s="2" t="s">
        <v>89</v>
      </c>
      <c r="N314" s="2" t="s">
        <v>23</v>
      </c>
      <c r="O314">
        <f t="shared" si="8"/>
        <v>1.099000000000018</v>
      </c>
      <c r="P314">
        <f t="shared" si="9"/>
        <v>33.235999999999954</v>
      </c>
    </row>
    <row r="315" spans="1:16" x14ac:dyDescent="0.35">
      <c r="A315" s="9" t="s">
        <v>361</v>
      </c>
      <c r="B315" s="2">
        <v>167.267</v>
      </c>
      <c r="C315" s="2">
        <v>169.142</v>
      </c>
      <c r="D315" s="2">
        <v>167.06</v>
      </c>
      <c r="E315" s="2">
        <v>168.12</v>
      </c>
      <c r="F315" s="2">
        <v>48125747</v>
      </c>
      <c r="G315" s="2" t="s">
        <v>15</v>
      </c>
      <c r="H315" s="2" t="s">
        <v>16</v>
      </c>
      <c r="I315" s="2" t="s">
        <v>17</v>
      </c>
      <c r="J315" s="3">
        <v>0.48</v>
      </c>
      <c r="K315" s="2" t="s">
        <v>359</v>
      </c>
      <c r="L315" s="2">
        <v>2024</v>
      </c>
      <c r="M315" s="2" t="s">
        <v>89</v>
      </c>
      <c r="N315" s="2" t="s">
        <v>21</v>
      </c>
      <c r="O315">
        <f t="shared" si="8"/>
        <v>2.0819999999999936</v>
      </c>
      <c r="P315">
        <f t="shared" si="9"/>
        <v>33.715999999999951</v>
      </c>
    </row>
    <row r="316" spans="1:16" x14ac:dyDescent="0.35">
      <c r="A316" s="9" t="s">
        <v>362</v>
      </c>
      <c r="B316" s="2">
        <v>168.75299999999999</v>
      </c>
      <c r="C316" s="2">
        <v>170.37100000000001</v>
      </c>
      <c r="D316" s="2">
        <v>167.297</v>
      </c>
      <c r="E316" s="2">
        <v>167.297</v>
      </c>
      <c r="F316" s="2">
        <v>54193139</v>
      </c>
      <c r="G316" s="2" t="s">
        <v>15</v>
      </c>
      <c r="H316" s="2" t="s">
        <v>16</v>
      </c>
      <c r="I316" s="2" t="s">
        <v>17</v>
      </c>
      <c r="J316" s="4">
        <v>-0.49</v>
      </c>
      <c r="K316" s="2" t="s">
        <v>359</v>
      </c>
      <c r="L316" s="2">
        <v>2024</v>
      </c>
      <c r="M316" s="2" t="s">
        <v>89</v>
      </c>
      <c r="N316" s="2" t="s">
        <v>23</v>
      </c>
      <c r="O316">
        <f t="shared" si="8"/>
        <v>3.0740000000000123</v>
      </c>
      <c r="P316">
        <f t="shared" si="9"/>
        <v>33.225999999999949</v>
      </c>
    </row>
    <row r="317" spans="1:16" x14ac:dyDescent="0.35">
      <c r="A317" s="9" t="s">
        <v>363</v>
      </c>
      <c r="B317" s="2">
        <v>168.06</v>
      </c>
      <c r="C317" s="2">
        <v>168.85300000000001</v>
      </c>
      <c r="D317" s="2">
        <v>167.42699999999999</v>
      </c>
      <c r="E317" s="2">
        <v>168.05</v>
      </c>
      <c r="F317" s="2">
        <v>42488013</v>
      </c>
      <c r="G317" s="2" t="s">
        <v>15</v>
      </c>
      <c r="H317" s="2" t="s">
        <v>16</v>
      </c>
      <c r="I317" s="2" t="s">
        <v>17</v>
      </c>
      <c r="J317" s="3">
        <v>0.45</v>
      </c>
      <c r="K317" s="2" t="s">
        <v>359</v>
      </c>
      <c r="L317" s="2">
        <v>2024</v>
      </c>
      <c r="M317" s="2" t="s">
        <v>89</v>
      </c>
      <c r="N317" s="2" t="s">
        <v>21</v>
      </c>
      <c r="O317">
        <f t="shared" si="8"/>
        <v>1.4260000000000161</v>
      </c>
      <c r="P317">
        <f t="shared" si="9"/>
        <v>33.675999999999952</v>
      </c>
    </row>
    <row r="318" spans="1:16" x14ac:dyDescent="0.35">
      <c r="A318" s="9" t="s">
        <v>364</v>
      </c>
      <c r="B318" s="2">
        <v>167.506</v>
      </c>
      <c r="C318" s="2">
        <v>167.67400000000001</v>
      </c>
      <c r="D318" s="2">
        <v>166.72300000000001</v>
      </c>
      <c r="E318" s="2">
        <v>166.93100000000001</v>
      </c>
      <c r="F318" s="2">
        <v>37766114</v>
      </c>
      <c r="G318" s="2" t="s">
        <v>15</v>
      </c>
      <c r="H318" s="2" t="s">
        <v>16</v>
      </c>
      <c r="I318" s="2" t="s">
        <v>17</v>
      </c>
      <c r="J318" s="4">
        <v>-0.66600000000000004</v>
      </c>
      <c r="K318" s="2" t="s">
        <v>359</v>
      </c>
      <c r="L318" s="2">
        <v>2024</v>
      </c>
      <c r="M318" s="2" t="s">
        <v>89</v>
      </c>
      <c r="N318" s="2" t="s">
        <v>23</v>
      </c>
      <c r="O318">
        <f t="shared" si="8"/>
        <v>0.95099999999999341</v>
      </c>
      <c r="P318">
        <f t="shared" si="9"/>
        <v>33.009999999999955</v>
      </c>
    </row>
    <row r="319" spans="1:16" x14ac:dyDescent="0.35">
      <c r="A319" s="9" t="s">
        <v>365</v>
      </c>
      <c r="B319" s="2">
        <v>167.178</v>
      </c>
      <c r="C319" s="2">
        <v>168.54599999999999</v>
      </c>
      <c r="D319" s="2">
        <v>166.83199999999999</v>
      </c>
      <c r="E319" s="2">
        <v>168.14</v>
      </c>
      <c r="F319" s="2">
        <v>42837549</v>
      </c>
      <c r="G319" s="2" t="s">
        <v>15</v>
      </c>
      <c r="H319" s="2" t="s">
        <v>16</v>
      </c>
      <c r="I319" s="2" t="s">
        <v>17</v>
      </c>
      <c r="J319" s="3">
        <v>0.72399999999999998</v>
      </c>
      <c r="K319" s="2" t="s">
        <v>359</v>
      </c>
      <c r="L319" s="2">
        <v>2024</v>
      </c>
      <c r="M319" s="2" t="s">
        <v>89</v>
      </c>
      <c r="N319" s="2" t="s">
        <v>21</v>
      </c>
      <c r="O319">
        <f t="shared" si="8"/>
        <v>1.7139999999999986</v>
      </c>
      <c r="P319">
        <f t="shared" si="9"/>
        <v>33.733999999999952</v>
      </c>
    </row>
    <row r="320" spans="1:16" x14ac:dyDescent="0.35">
      <c r="A320" s="9" t="s">
        <v>366</v>
      </c>
      <c r="B320" s="2">
        <v>167.27699999999999</v>
      </c>
      <c r="C320" s="2">
        <v>167.565</v>
      </c>
      <c r="D320" s="2">
        <v>165.60300000000001</v>
      </c>
      <c r="E320" s="2">
        <v>166.26599999999999</v>
      </c>
      <c r="F320" s="2">
        <v>50161730</v>
      </c>
      <c r="G320" s="2" t="s">
        <v>15</v>
      </c>
      <c r="H320" s="2" t="s">
        <v>16</v>
      </c>
      <c r="I320" s="2" t="s">
        <v>17</v>
      </c>
      <c r="J320" s="4">
        <v>-1.115</v>
      </c>
      <c r="K320" s="2" t="s">
        <v>359</v>
      </c>
      <c r="L320" s="2">
        <v>2024</v>
      </c>
      <c r="M320" s="2" t="s">
        <v>89</v>
      </c>
      <c r="N320" s="2" t="s">
        <v>23</v>
      </c>
      <c r="O320">
        <f t="shared" si="8"/>
        <v>1.9619999999999891</v>
      </c>
      <c r="P320">
        <f t="shared" si="9"/>
        <v>32.61899999999995</v>
      </c>
    </row>
    <row r="321" spans="1:16" x14ac:dyDescent="0.35">
      <c r="A321" s="9" t="s">
        <v>367</v>
      </c>
      <c r="B321" s="2">
        <v>166.822</v>
      </c>
      <c r="C321" s="2">
        <v>173.876</v>
      </c>
      <c r="D321" s="2">
        <v>166.64400000000001</v>
      </c>
      <c r="E321" s="2">
        <v>173.46199999999999</v>
      </c>
      <c r="F321" s="2">
        <v>91899087</v>
      </c>
      <c r="G321" s="2" t="s">
        <v>15</v>
      </c>
      <c r="H321" s="2" t="s">
        <v>16</v>
      </c>
      <c r="I321" s="2" t="s">
        <v>17</v>
      </c>
      <c r="J321" s="3">
        <v>4.3280000000000003</v>
      </c>
      <c r="K321" s="2" t="s">
        <v>359</v>
      </c>
      <c r="L321" s="2">
        <v>2024</v>
      </c>
      <c r="M321" s="2" t="s">
        <v>89</v>
      </c>
      <c r="N321" s="2" t="s">
        <v>21</v>
      </c>
      <c r="O321">
        <f t="shared" si="8"/>
        <v>7.2319999999999993</v>
      </c>
      <c r="P321">
        <f t="shared" si="9"/>
        <v>36.946999999999953</v>
      </c>
    </row>
    <row r="322" spans="1:16" x14ac:dyDescent="0.35">
      <c r="A322" s="9" t="s">
        <v>368</v>
      </c>
      <c r="B322" s="2">
        <v>172.68799999999999</v>
      </c>
      <c r="C322" s="2">
        <v>176.751</v>
      </c>
      <c r="D322" s="2">
        <v>172.63800000000001</v>
      </c>
      <c r="E322" s="2">
        <v>174.95699999999999</v>
      </c>
      <c r="F322" s="2">
        <v>102596173</v>
      </c>
      <c r="G322" s="2" t="s">
        <v>15</v>
      </c>
      <c r="H322" s="2" t="s">
        <v>16</v>
      </c>
      <c r="I322" s="2" t="s">
        <v>17</v>
      </c>
      <c r="J322" s="3">
        <v>0.86199999999999999</v>
      </c>
      <c r="K322" s="2" t="s">
        <v>359</v>
      </c>
      <c r="L322" s="2">
        <v>2024</v>
      </c>
      <c r="M322" s="2" t="s">
        <v>89</v>
      </c>
      <c r="N322" s="2" t="s">
        <v>21</v>
      </c>
      <c r="O322">
        <f t="shared" si="8"/>
        <v>4.1129999999999995</v>
      </c>
      <c r="P322">
        <f t="shared" si="9"/>
        <v>37.808999999999955</v>
      </c>
    </row>
    <row r="323" spans="1:16" x14ac:dyDescent="0.35">
      <c r="A323" s="9" t="s">
        <v>369</v>
      </c>
      <c r="B323" s="2">
        <v>173.77699999999999</v>
      </c>
      <c r="C323" s="2">
        <v>175.03700000000001</v>
      </c>
      <c r="D323" s="2">
        <v>170.94399999999999</v>
      </c>
      <c r="E323" s="2">
        <v>171.13300000000001</v>
      </c>
      <c r="F323" s="2">
        <v>74200971</v>
      </c>
      <c r="G323" s="2" t="s">
        <v>15</v>
      </c>
      <c r="H323" s="2" t="s">
        <v>16</v>
      </c>
      <c r="I323" s="2" t="s">
        <v>17</v>
      </c>
      <c r="J323" s="4">
        <v>-2.1859999999999999</v>
      </c>
      <c r="K323" s="2" t="s">
        <v>359</v>
      </c>
      <c r="L323" s="2">
        <v>2024</v>
      </c>
      <c r="M323" s="2" t="s">
        <v>89</v>
      </c>
      <c r="N323" s="2" t="s">
        <v>23</v>
      </c>
      <c r="O323">
        <f t="shared" ref="O323:O386" si="10">C323-D323</f>
        <v>4.0930000000000177</v>
      </c>
      <c r="P323">
        <f t="shared" si="9"/>
        <v>35.622999999999955</v>
      </c>
    </row>
    <row r="324" spans="1:16" x14ac:dyDescent="0.35">
      <c r="A324" s="9" t="s">
        <v>370</v>
      </c>
      <c r="B324" s="2">
        <v>170.20099999999999</v>
      </c>
      <c r="C324" s="2">
        <v>172.19399999999999</v>
      </c>
      <c r="D324" s="2">
        <v>166.75299999999999</v>
      </c>
      <c r="E324" s="2">
        <v>167.852</v>
      </c>
      <c r="F324" s="2">
        <v>74382066</v>
      </c>
      <c r="G324" s="2" t="s">
        <v>15</v>
      </c>
      <c r="H324" s="2" t="s">
        <v>16</v>
      </c>
      <c r="I324" s="2" t="s">
        <v>17</v>
      </c>
      <c r="J324" s="4">
        <v>-1.917</v>
      </c>
      <c r="K324" s="2" t="s">
        <v>359</v>
      </c>
      <c r="L324" s="2">
        <v>2024</v>
      </c>
      <c r="M324" s="2" t="s">
        <v>89</v>
      </c>
      <c r="N324" s="2" t="s">
        <v>23</v>
      </c>
      <c r="O324">
        <f t="shared" si="10"/>
        <v>5.4410000000000025</v>
      </c>
      <c r="P324">
        <f t="shared" ref="P324:P387" si="11">IF(G324=G323, P323+J324, J324)</f>
        <v>33.705999999999953</v>
      </c>
    </row>
    <row r="325" spans="1:16" x14ac:dyDescent="0.35">
      <c r="A325" s="9" t="s">
        <v>371</v>
      </c>
      <c r="B325" s="2">
        <v>168.08</v>
      </c>
      <c r="C325" s="2">
        <v>169.11199999999999</v>
      </c>
      <c r="D325" s="2">
        <v>166.48400000000001</v>
      </c>
      <c r="E325" s="2">
        <v>166.48400000000001</v>
      </c>
      <c r="F325" s="2">
        <v>51364451</v>
      </c>
      <c r="G325" s="2" t="s">
        <v>15</v>
      </c>
      <c r="H325" s="2" t="s">
        <v>16</v>
      </c>
      <c r="I325" s="2" t="s">
        <v>17</v>
      </c>
      <c r="J325" s="4">
        <v>-0.81499999999999995</v>
      </c>
      <c r="K325" s="2" t="s">
        <v>359</v>
      </c>
      <c r="L325" s="2">
        <v>2024</v>
      </c>
      <c r="M325" s="2" t="s">
        <v>89</v>
      </c>
      <c r="N325" s="2" t="s">
        <v>23</v>
      </c>
      <c r="O325">
        <f t="shared" si="10"/>
        <v>2.6279999999999859</v>
      </c>
      <c r="P325">
        <f t="shared" si="11"/>
        <v>32.890999999999956</v>
      </c>
    </row>
    <row r="326" spans="1:16" x14ac:dyDescent="0.35">
      <c r="A326" s="9" t="s">
        <v>372</v>
      </c>
      <c r="B326" s="2">
        <v>166.51400000000001</v>
      </c>
      <c r="C326" s="2">
        <v>167.119</v>
      </c>
      <c r="D326" s="2">
        <v>165.048</v>
      </c>
      <c r="E326" s="2">
        <v>165.53299999999999</v>
      </c>
      <c r="F326" s="2">
        <v>43515355</v>
      </c>
      <c r="G326" s="2" t="s">
        <v>15</v>
      </c>
      <c r="H326" s="2" t="s">
        <v>16</v>
      </c>
      <c r="I326" s="2" t="s">
        <v>17</v>
      </c>
      <c r="J326" s="4">
        <v>-0.57099999999999995</v>
      </c>
      <c r="K326" s="2" t="s">
        <v>359</v>
      </c>
      <c r="L326" s="2">
        <v>2024</v>
      </c>
      <c r="M326" s="2" t="s">
        <v>89</v>
      </c>
      <c r="N326" s="2" t="s">
        <v>23</v>
      </c>
      <c r="O326">
        <f t="shared" si="10"/>
        <v>2.070999999999998</v>
      </c>
      <c r="P326">
        <f t="shared" si="11"/>
        <v>32.319999999999958</v>
      </c>
    </row>
    <row r="327" spans="1:16" x14ac:dyDescent="0.35">
      <c r="A327" s="9" t="s">
        <v>373</v>
      </c>
      <c r="B327" s="2">
        <v>164.71100000000001</v>
      </c>
      <c r="C327" s="2">
        <v>164.9</v>
      </c>
      <c r="D327" s="2">
        <v>162.595</v>
      </c>
      <c r="E327" s="2">
        <v>163.44300000000001</v>
      </c>
      <c r="F327" s="2">
        <v>68384561</v>
      </c>
      <c r="G327" s="2" t="s">
        <v>15</v>
      </c>
      <c r="H327" s="2" t="s">
        <v>16</v>
      </c>
      <c r="I327" s="2" t="s">
        <v>17</v>
      </c>
      <c r="J327" s="4">
        <v>-1.2629999999999999</v>
      </c>
      <c r="K327" s="2" t="s">
        <v>359</v>
      </c>
      <c r="L327" s="2">
        <v>2024</v>
      </c>
      <c r="M327" s="2" t="s">
        <v>89</v>
      </c>
      <c r="N327" s="2" t="s">
        <v>23</v>
      </c>
      <c r="O327">
        <f t="shared" si="10"/>
        <v>2.3050000000000068</v>
      </c>
      <c r="P327">
        <f t="shared" si="11"/>
        <v>31.05699999999996</v>
      </c>
    </row>
    <row r="328" spans="1:16" x14ac:dyDescent="0.35">
      <c r="A328" s="9" t="s">
        <v>374</v>
      </c>
      <c r="B328" s="2">
        <v>164.023</v>
      </c>
      <c r="C328" s="2">
        <v>165.75200000000001</v>
      </c>
      <c r="D328" s="2">
        <v>163.28399999999999</v>
      </c>
      <c r="E328" s="2">
        <v>164.345</v>
      </c>
      <c r="F328" s="2">
        <v>48554340</v>
      </c>
      <c r="G328" s="2" t="s">
        <v>15</v>
      </c>
      <c r="H328" s="2" t="s">
        <v>16</v>
      </c>
      <c r="I328" s="2" t="s">
        <v>17</v>
      </c>
      <c r="J328" s="3">
        <v>0.55200000000000005</v>
      </c>
      <c r="K328" s="2" t="s">
        <v>359</v>
      </c>
      <c r="L328" s="2">
        <v>2024</v>
      </c>
      <c r="M328" s="2" t="s">
        <v>89</v>
      </c>
      <c r="N328" s="2" t="s">
        <v>21</v>
      </c>
      <c r="O328">
        <f t="shared" si="10"/>
        <v>2.4680000000000177</v>
      </c>
      <c r="P328">
        <f t="shared" si="11"/>
        <v>31.608999999999959</v>
      </c>
    </row>
    <row r="329" spans="1:16" x14ac:dyDescent="0.35">
      <c r="A329" s="9" t="s">
        <v>375</v>
      </c>
      <c r="B329" s="2">
        <v>163.85900000000001</v>
      </c>
      <c r="C329" s="2">
        <v>165.54300000000001</v>
      </c>
      <c r="D329" s="2">
        <v>163.43299999999999</v>
      </c>
      <c r="E329" s="2">
        <v>165.39400000000001</v>
      </c>
      <c r="F329" s="2">
        <v>49988594</v>
      </c>
      <c r="G329" s="2" t="s">
        <v>15</v>
      </c>
      <c r="H329" s="2" t="s">
        <v>16</v>
      </c>
      <c r="I329" s="2" t="s">
        <v>17</v>
      </c>
      <c r="J329" s="3">
        <v>0.63800000000000001</v>
      </c>
      <c r="K329" s="2" t="s">
        <v>359</v>
      </c>
      <c r="L329" s="2">
        <v>2024</v>
      </c>
      <c r="M329" s="2" t="s">
        <v>89</v>
      </c>
      <c r="N329" s="2" t="s">
        <v>21</v>
      </c>
      <c r="O329">
        <f t="shared" si="10"/>
        <v>2.1100000000000136</v>
      </c>
      <c r="P329">
        <f t="shared" si="11"/>
        <v>32.246999999999957</v>
      </c>
    </row>
    <row r="330" spans="1:16" x14ac:dyDescent="0.35">
      <c r="A330" s="9" t="s">
        <v>376</v>
      </c>
      <c r="B330" s="2">
        <v>165.03800000000001</v>
      </c>
      <c r="C330" s="2">
        <v>167.773</v>
      </c>
      <c r="D330" s="2">
        <v>164.71100000000001</v>
      </c>
      <c r="E330" s="2">
        <v>167.49600000000001</v>
      </c>
      <c r="F330" s="2">
        <v>48690965</v>
      </c>
      <c r="G330" s="2" t="s">
        <v>15</v>
      </c>
      <c r="H330" s="2" t="s">
        <v>16</v>
      </c>
      <c r="I330" s="2" t="s">
        <v>17</v>
      </c>
      <c r="J330" s="3">
        <v>1.2709999999999999</v>
      </c>
      <c r="K330" s="2" t="s">
        <v>359</v>
      </c>
      <c r="L330" s="2">
        <v>2024</v>
      </c>
      <c r="M330" s="2" t="s">
        <v>89</v>
      </c>
      <c r="N330" s="2" t="s">
        <v>21</v>
      </c>
      <c r="O330">
        <f t="shared" si="10"/>
        <v>3.0619999999999834</v>
      </c>
      <c r="P330">
        <f t="shared" si="11"/>
        <v>33.517999999999958</v>
      </c>
    </row>
    <row r="331" spans="1:16" x14ac:dyDescent="0.35">
      <c r="A331" s="9" t="s">
        <v>377</v>
      </c>
      <c r="B331" s="2">
        <v>167.995</v>
      </c>
      <c r="C331" s="2">
        <v>169.072</v>
      </c>
      <c r="D331" s="2">
        <v>166.63499999999999</v>
      </c>
      <c r="E331" s="2">
        <v>168.35900000000001</v>
      </c>
      <c r="F331" s="2">
        <v>51018450</v>
      </c>
      <c r="G331" s="2" t="s">
        <v>15</v>
      </c>
      <c r="H331" s="2" t="s">
        <v>16</v>
      </c>
      <c r="I331" s="2" t="s">
        <v>17</v>
      </c>
      <c r="J331" s="3">
        <v>0.51500000000000001</v>
      </c>
      <c r="K331" s="2" t="s">
        <v>359</v>
      </c>
      <c r="L331" s="2">
        <v>2024</v>
      </c>
      <c r="M331" s="2" t="s">
        <v>89</v>
      </c>
      <c r="N331" s="2" t="s">
        <v>21</v>
      </c>
      <c r="O331">
        <f t="shared" si="10"/>
        <v>2.4370000000000118</v>
      </c>
      <c r="P331">
        <f t="shared" si="11"/>
        <v>34.032999999999959</v>
      </c>
    </row>
    <row r="332" spans="1:16" x14ac:dyDescent="0.35">
      <c r="A332" s="9" t="s">
        <v>378</v>
      </c>
      <c r="B332" s="2">
        <v>168.34899999999999</v>
      </c>
      <c r="C332" s="2">
        <v>169.79499999999999</v>
      </c>
      <c r="D332" s="2">
        <v>167.654</v>
      </c>
      <c r="E332" s="2">
        <v>167.773</v>
      </c>
      <c r="F332" s="2">
        <v>45246418</v>
      </c>
      <c r="G332" s="2" t="s">
        <v>15</v>
      </c>
      <c r="H332" s="2" t="s">
        <v>16</v>
      </c>
      <c r="I332" s="2" t="s">
        <v>17</v>
      </c>
      <c r="J332" s="4">
        <v>-0.34799999999999998</v>
      </c>
      <c r="K332" s="2" t="s">
        <v>359</v>
      </c>
      <c r="L332" s="2">
        <v>2024</v>
      </c>
      <c r="M332" s="2" t="s">
        <v>89</v>
      </c>
      <c r="N332" s="2" t="s">
        <v>23</v>
      </c>
      <c r="O332">
        <f t="shared" si="10"/>
        <v>2.1409999999999911</v>
      </c>
      <c r="P332">
        <f t="shared" si="11"/>
        <v>33.68499999999996</v>
      </c>
    </row>
    <row r="333" spans="1:16" x14ac:dyDescent="0.35">
      <c r="A333" s="9" t="s">
        <v>379</v>
      </c>
      <c r="B333" s="2">
        <v>171.80600000000001</v>
      </c>
      <c r="C333" s="2">
        <v>174.44399999999999</v>
      </c>
      <c r="D333" s="2">
        <v>171.53899999999999</v>
      </c>
      <c r="E333" s="2">
        <v>171.935</v>
      </c>
      <c r="F333" s="2">
        <v>68789816</v>
      </c>
      <c r="G333" s="2" t="s">
        <v>15</v>
      </c>
      <c r="H333" s="2" t="s">
        <v>16</v>
      </c>
      <c r="I333" s="2" t="s">
        <v>17</v>
      </c>
      <c r="J333" s="3">
        <v>2.4809999999999999</v>
      </c>
      <c r="K333" s="2" t="s">
        <v>359</v>
      </c>
      <c r="L333" s="2">
        <v>2024</v>
      </c>
      <c r="M333" s="2" t="s">
        <v>89</v>
      </c>
      <c r="N333" s="2" t="s">
        <v>21</v>
      </c>
      <c r="O333">
        <f t="shared" si="10"/>
        <v>2.9050000000000011</v>
      </c>
      <c r="P333">
        <f t="shared" si="11"/>
        <v>36.165999999999961</v>
      </c>
    </row>
    <row r="334" spans="1:16" x14ac:dyDescent="0.35">
      <c r="A334" s="9" t="s">
        <v>380</v>
      </c>
      <c r="B334" s="2">
        <v>171.76599999999999</v>
      </c>
      <c r="C334" s="2">
        <v>173.41300000000001</v>
      </c>
      <c r="D334" s="2">
        <v>168.46700000000001</v>
      </c>
      <c r="E334" s="2">
        <v>168.79300000000001</v>
      </c>
      <c r="F334" s="2">
        <v>66534834</v>
      </c>
      <c r="G334" s="2" t="s">
        <v>15</v>
      </c>
      <c r="H334" s="2" t="s">
        <v>16</v>
      </c>
      <c r="I334" s="2" t="s">
        <v>17</v>
      </c>
      <c r="J334" s="4">
        <v>-1.827</v>
      </c>
      <c r="K334" s="2" t="s">
        <v>359</v>
      </c>
      <c r="L334" s="2">
        <v>2024</v>
      </c>
      <c r="M334" s="2" t="s">
        <v>89</v>
      </c>
      <c r="N334" s="2" t="s">
        <v>23</v>
      </c>
      <c r="O334">
        <f t="shared" si="10"/>
        <v>4.945999999999998</v>
      </c>
      <c r="P334">
        <f t="shared" si="11"/>
        <v>34.338999999999963</v>
      </c>
    </row>
    <row r="335" spans="1:16" x14ac:dyDescent="0.35">
      <c r="A335" s="9" t="s">
        <v>381</v>
      </c>
      <c r="B335" s="2">
        <v>168.05</v>
      </c>
      <c r="C335" s="2">
        <v>171.148</v>
      </c>
      <c r="D335" s="2">
        <v>167.58500000000001</v>
      </c>
      <c r="E335" s="2">
        <v>167.773</v>
      </c>
      <c r="F335" s="2">
        <v>50841674</v>
      </c>
      <c r="G335" s="2" t="s">
        <v>15</v>
      </c>
      <c r="H335" s="2" t="s">
        <v>16</v>
      </c>
      <c r="I335" s="2" t="s">
        <v>17</v>
      </c>
      <c r="J335" s="4">
        <v>-0.60399999999999998</v>
      </c>
      <c r="K335" s="2" t="s">
        <v>382</v>
      </c>
      <c r="L335" s="2">
        <v>2024</v>
      </c>
      <c r="M335" s="2" t="s">
        <v>110</v>
      </c>
      <c r="N335" s="2" t="s">
        <v>23</v>
      </c>
      <c r="O335">
        <f t="shared" si="10"/>
        <v>3.5629999999999882</v>
      </c>
      <c r="P335">
        <f t="shared" si="11"/>
        <v>33.734999999999964</v>
      </c>
    </row>
    <row r="336" spans="1:16" x14ac:dyDescent="0.35">
      <c r="A336" s="9" t="s">
        <v>383</v>
      </c>
      <c r="B336" s="2">
        <v>170.95400000000001</v>
      </c>
      <c r="C336" s="2">
        <v>171.851</v>
      </c>
      <c r="D336" s="2">
        <v>169.35</v>
      </c>
      <c r="E336" s="2">
        <v>171.47</v>
      </c>
      <c r="F336" s="2">
        <v>95072347</v>
      </c>
      <c r="G336" s="2" t="s">
        <v>15</v>
      </c>
      <c r="H336" s="2" t="s">
        <v>16</v>
      </c>
      <c r="I336" s="2" t="s">
        <v>17</v>
      </c>
      <c r="J336" s="3">
        <v>2.2040000000000002</v>
      </c>
      <c r="K336" s="2" t="s">
        <v>382</v>
      </c>
      <c r="L336" s="2">
        <v>2024</v>
      </c>
      <c r="M336" s="2" t="s">
        <v>110</v>
      </c>
      <c r="N336" s="2" t="s">
        <v>21</v>
      </c>
      <c r="O336">
        <f t="shared" si="10"/>
        <v>2.5010000000000048</v>
      </c>
      <c r="P336">
        <f t="shared" si="11"/>
        <v>35.938999999999965</v>
      </c>
    </row>
    <row r="337" spans="1:16" x14ac:dyDescent="0.35">
      <c r="A337" s="9" t="s">
        <v>384</v>
      </c>
      <c r="B337" s="2">
        <v>184.96299999999999</v>
      </c>
      <c r="C337" s="2">
        <v>185.31299999999999</v>
      </c>
      <c r="D337" s="2">
        <v>181.01300000000001</v>
      </c>
      <c r="E337" s="2">
        <v>181.726</v>
      </c>
      <c r="F337" s="2">
        <v>164709581</v>
      </c>
      <c r="G337" s="2" t="s">
        <v>15</v>
      </c>
      <c r="H337" s="2" t="s">
        <v>16</v>
      </c>
      <c r="I337" s="2" t="s">
        <v>17</v>
      </c>
      <c r="J337" s="3">
        <v>5.9809999999999999</v>
      </c>
      <c r="K337" s="2" t="s">
        <v>382</v>
      </c>
      <c r="L337" s="2">
        <v>2024</v>
      </c>
      <c r="M337" s="2" t="s">
        <v>110</v>
      </c>
      <c r="N337" s="2" t="s">
        <v>21</v>
      </c>
      <c r="O337">
        <f t="shared" si="10"/>
        <v>4.2999999999999829</v>
      </c>
      <c r="P337">
        <f t="shared" si="11"/>
        <v>41.919999999999966</v>
      </c>
    </row>
    <row r="338" spans="1:16" x14ac:dyDescent="0.35">
      <c r="A338" s="9" t="s">
        <v>385</v>
      </c>
      <c r="B338" s="2">
        <v>180.709</v>
      </c>
      <c r="C338" s="2">
        <v>182.53800000000001</v>
      </c>
      <c r="D338" s="2">
        <v>178.79499999999999</v>
      </c>
      <c r="E338" s="2">
        <v>180.071</v>
      </c>
      <c r="F338" s="2">
        <v>79284715</v>
      </c>
      <c r="G338" s="2" t="s">
        <v>15</v>
      </c>
      <c r="H338" s="2" t="s">
        <v>16</v>
      </c>
      <c r="I338" s="2" t="s">
        <v>17</v>
      </c>
      <c r="J338" s="4">
        <v>-0.91100000000000003</v>
      </c>
      <c r="K338" s="2" t="s">
        <v>382</v>
      </c>
      <c r="L338" s="2">
        <v>2024</v>
      </c>
      <c r="M338" s="2" t="s">
        <v>110</v>
      </c>
      <c r="N338" s="2" t="s">
        <v>23</v>
      </c>
      <c r="O338">
        <f t="shared" si="10"/>
        <v>3.7430000000000234</v>
      </c>
      <c r="P338">
        <f t="shared" si="11"/>
        <v>41.008999999999965</v>
      </c>
    </row>
    <row r="339" spans="1:16" x14ac:dyDescent="0.35">
      <c r="A339" s="9" t="s">
        <v>386</v>
      </c>
      <c r="B339" s="2">
        <v>181.79599999999999</v>
      </c>
      <c r="C339" s="2">
        <v>183.23400000000001</v>
      </c>
      <c r="D339" s="2">
        <v>179.68600000000001</v>
      </c>
      <c r="E339" s="2">
        <v>180.75399999999999</v>
      </c>
      <c r="F339" s="2">
        <v>78009315</v>
      </c>
      <c r="G339" s="2" t="s">
        <v>15</v>
      </c>
      <c r="H339" s="2" t="s">
        <v>16</v>
      </c>
      <c r="I339" s="2" t="s">
        <v>17</v>
      </c>
      <c r="J339" s="3">
        <v>0.379</v>
      </c>
      <c r="K339" s="2" t="s">
        <v>382</v>
      </c>
      <c r="L339" s="2">
        <v>2024</v>
      </c>
      <c r="M339" s="2" t="s">
        <v>110</v>
      </c>
      <c r="N339" s="2" t="s">
        <v>21</v>
      </c>
      <c r="O339">
        <f t="shared" si="10"/>
        <v>3.5480000000000018</v>
      </c>
      <c r="P339">
        <f t="shared" si="11"/>
        <v>41.387999999999963</v>
      </c>
    </row>
    <row r="340" spans="1:16" x14ac:dyDescent="0.35">
      <c r="A340" s="9" t="s">
        <v>387</v>
      </c>
      <c r="B340" s="2">
        <v>181.20099999999999</v>
      </c>
      <c r="C340" s="2">
        <v>181.41900000000001</v>
      </c>
      <c r="D340" s="2">
        <v>179.81399999999999</v>
      </c>
      <c r="E340" s="2">
        <v>181.09200000000001</v>
      </c>
      <c r="F340" s="2">
        <v>45467142</v>
      </c>
      <c r="G340" s="2" t="s">
        <v>15</v>
      </c>
      <c r="H340" s="2" t="s">
        <v>16</v>
      </c>
      <c r="I340" s="2" t="s">
        <v>17</v>
      </c>
      <c r="J340" s="3">
        <v>0.187</v>
      </c>
      <c r="K340" s="2" t="s">
        <v>382</v>
      </c>
      <c r="L340" s="2">
        <v>2024</v>
      </c>
      <c r="M340" s="2" t="s">
        <v>110</v>
      </c>
      <c r="N340" s="2" t="s">
        <v>21</v>
      </c>
      <c r="O340">
        <f t="shared" si="10"/>
        <v>1.6050000000000182</v>
      </c>
      <c r="P340">
        <f t="shared" si="11"/>
        <v>41.57499999999996</v>
      </c>
    </row>
    <row r="341" spans="1:16" x14ac:dyDescent="0.35">
      <c r="A341" s="9" t="s">
        <v>388</v>
      </c>
      <c r="B341" s="2">
        <v>180.91300000000001</v>
      </c>
      <c r="C341" s="2">
        <v>182.995</v>
      </c>
      <c r="D341" s="2">
        <v>180.46799999999999</v>
      </c>
      <c r="E341" s="2">
        <v>182.90600000000001</v>
      </c>
      <c r="F341" s="2">
        <v>49428756</v>
      </c>
      <c r="G341" s="2" t="s">
        <v>15</v>
      </c>
      <c r="H341" s="2" t="s">
        <v>16</v>
      </c>
      <c r="I341" s="2" t="s">
        <v>17</v>
      </c>
      <c r="J341" s="3">
        <v>1.002</v>
      </c>
      <c r="K341" s="2" t="s">
        <v>382</v>
      </c>
      <c r="L341" s="2">
        <v>2024</v>
      </c>
      <c r="M341" s="2" t="s">
        <v>110</v>
      </c>
      <c r="N341" s="2" t="s">
        <v>21</v>
      </c>
      <c r="O341">
        <f t="shared" si="10"/>
        <v>2.5270000000000152</v>
      </c>
      <c r="P341">
        <f t="shared" si="11"/>
        <v>42.576999999999963</v>
      </c>
    </row>
    <row r="342" spans="1:16" x14ac:dyDescent="0.35">
      <c r="A342" s="9" t="s">
        <v>389</v>
      </c>
      <c r="B342" s="2">
        <v>183.48</v>
      </c>
      <c r="C342" s="2">
        <v>183.66900000000001</v>
      </c>
      <c r="D342" s="2">
        <v>180.73099999999999</v>
      </c>
      <c r="E342" s="2">
        <v>181.64400000000001</v>
      </c>
      <c r="F342" s="2">
        <v>51152068</v>
      </c>
      <c r="G342" s="2" t="s">
        <v>15</v>
      </c>
      <c r="H342" s="2" t="s">
        <v>16</v>
      </c>
      <c r="I342" s="2" t="s">
        <v>17</v>
      </c>
      <c r="J342" s="4">
        <v>-0.69</v>
      </c>
      <c r="K342" s="2" t="s">
        <v>382</v>
      </c>
      <c r="L342" s="2">
        <v>2024</v>
      </c>
      <c r="M342" s="2" t="s">
        <v>110</v>
      </c>
      <c r="N342" s="2" t="s">
        <v>23</v>
      </c>
      <c r="O342">
        <f t="shared" si="10"/>
        <v>2.9380000000000166</v>
      </c>
      <c r="P342">
        <f t="shared" si="11"/>
        <v>41.886999999999965</v>
      </c>
    </row>
    <row r="343" spans="1:16" x14ac:dyDescent="0.35">
      <c r="A343" s="9" t="s">
        <v>390</v>
      </c>
      <c r="B343" s="2">
        <v>184.012</v>
      </c>
      <c r="C343" s="2">
        <v>185.66499999999999</v>
      </c>
      <c r="D343" s="2">
        <v>183.20400000000001</v>
      </c>
      <c r="E343" s="2">
        <v>184.852</v>
      </c>
      <c r="F343" s="2">
        <v>72602001</v>
      </c>
      <c r="G343" s="2" t="s">
        <v>15</v>
      </c>
      <c r="H343" s="2" t="s">
        <v>16</v>
      </c>
      <c r="I343" s="2" t="s">
        <v>17</v>
      </c>
      <c r="J343" s="3">
        <v>1.766</v>
      </c>
      <c r="K343" s="2" t="s">
        <v>382</v>
      </c>
      <c r="L343" s="2">
        <v>2024</v>
      </c>
      <c r="M343" s="2" t="s">
        <v>110</v>
      </c>
      <c r="N343" s="2" t="s">
        <v>21</v>
      </c>
      <c r="O343">
        <f t="shared" si="10"/>
        <v>2.4609999999999843</v>
      </c>
      <c r="P343">
        <f t="shared" si="11"/>
        <v>43.652999999999963</v>
      </c>
    </row>
    <row r="344" spans="1:16" x14ac:dyDescent="0.35">
      <c r="A344" s="9" t="s">
        <v>391</v>
      </c>
      <c r="B344" s="2">
        <v>186.07</v>
      </c>
      <c r="C344" s="2">
        <v>186.85499999999999</v>
      </c>
      <c r="D344" s="2">
        <v>184.86199999999999</v>
      </c>
      <c r="E344" s="2">
        <v>185.99199999999999</v>
      </c>
      <c r="F344" s="2">
        <v>52798830</v>
      </c>
      <c r="G344" s="2" t="s">
        <v>15</v>
      </c>
      <c r="H344" s="2" t="s">
        <v>16</v>
      </c>
      <c r="I344" s="2" t="s">
        <v>17</v>
      </c>
      <c r="J344" s="3">
        <v>0.61699999999999999</v>
      </c>
      <c r="K344" s="2" t="s">
        <v>382</v>
      </c>
      <c r="L344" s="2">
        <v>2024</v>
      </c>
      <c r="M344" s="2" t="s">
        <v>110</v>
      </c>
      <c r="N344" s="2" t="s">
        <v>21</v>
      </c>
      <c r="O344">
        <f t="shared" si="10"/>
        <v>1.992999999999995</v>
      </c>
      <c r="P344">
        <f t="shared" si="11"/>
        <v>44.26999999999996</v>
      </c>
    </row>
    <row r="345" spans="1:16" x14ac:dyDescent="0.35">
      <c r="A345" s="9" t="s">
        <v>392</v>
      </c>
      <c r="B345" s="2">
        <v>186.46899999999999</v>
      </c>
      <c r="C345" s="2">
        <v>189.18700000000001</v>
      </c>
      <c r="D345" s="2">
        <v>185.93199999999999</v>
      </c>
      <c r="E345" s="2">
        <v>188.26400000000001</v>
      </c>
      <c r="F345" s="2">
        <v>70944460</v>
      </c>
      <c r="G345" s="2" t="s">
        <v>15</v>
      </c>
      <c r="H345" s="2" t="s">
        <v>16</v>
      </c>
      <c r="I345" s="2" t="s">
        <v>17</v>
      </c>
      <c r="J345" s="3">
        <v>1.222</v>
      </c>
      <c r="K345" s="2" t="s">
        <v>382</v>
      </c>
      <c r="L345" s="2">
        <v>2024</v>
      </c>
      <c r="M345" s="2" t="s">
        <v>110</v>
      </c>
      <c r="N345" s="2" t="s">
        <v>21</v>
      </c>
      <c r="O345">
        <f t="shared" si="10"/>
        <v>3.2550000000000239</v>
      </c>
      <c r="P345">
        <f t="shared" si="11"/>
        <v>45.491999999999962</v>
      </c>
    </row>
    <row r="346" spans="1:16" x14ac:dyDescent="0.35">
      <c r="A346" s="9" t="s">
        <v>393</v>
      </c>
      <c r="B346" s="2">
        <v>189.00800000000001</v>
      </c>
      <c r="C346" s="2">
        <v>189.62899999999999</v>
      </c>
      <c r="D346" s="2">
        <v>188.20400000000001</v>
      </c>
      <c r="E346" s="2">
        <v>188.38399999999999</v>
      </c>
      <c r="F346" s="2">
        <v>53253933</v>
      </c>
      <c r="G346" s="2" t="s">
        <v>15</v>
      </c>
      <c r="H346" s="2" t="s">
        <v>16</v>
      </c>
      <c r="I346" s="2" t="s">
        <v>17</v>
      </c>
      <c r="J346" s="3">
        <v>6.4000000000000001E-2</v>
      </c>
      <c r="K346" s="2" t="s">
        <v>382</v>
      </c>
      <c r="L346" s="2">
        <v>2024</v>
      </c>
      <c r="M346" s="2" t="s">
        <v>110</v>
      </c>
      <c r="N346" s="2" t="s">
        <v>21</v>
      </c>
      <c r="O346">
        <f t="shared" si="10"/>
        <v>1.4249999999999829</v>
      </c>
      <c r="P346">
        <f t="shared" si="11"/>
        <v>45.555999999999962</v>
      </c>
    </row>
    <row r="347" spans="1:16" x14ac:dyDescent="0.35">
      <c r="A347" s="9" t="s">
        <v>394</v>
      </c>
      <c r="B347" s="2">
        <v>188.05600000000001</v>
      </c>
      <c r="C347" s="2">
        <v>189.346</v>
      </c>
      <c r="D347" s="2">
        <v>187.72800000000001</v>
      </c>
      <c r="E347" s="2">
        <v>188.41300000000001</v>
      </c>
      <c r="F347" s="2">
        <v>41602206</v>
      </c>
      <c r="G347" s="2" t="s">
        <v>15</v>
      </c>
      <c r="H347" s="2" t="s">
        <v>16</v>
      </c>
      <c r="I347" s="2" t="s">
        <v>17</v>
      </c>
      <c r="J347" s="3">
        <v>1.4999999999999999E-2</v>
      </c>
      <c r="K347" s="2" t="s">
        <v>382</v>
      </c>
      <c r="L347" s="2">
        <v>2024</v>
      </c>
      <c r="M347" s="2" t="s">
        <v>110</v>
      </c>
      <c r="N347" s="2" t="s">
        <v>21</v>
      </c>
      <c r="O347">
        <f t="shared" si="10"/>
        <v>1.617999999999995</v>
      </c>
      <c r="P347">
        <f t="shared" si="11"/>
        <v>45.570999999999962</v>
      </c>
    </row>
    <row r="348" spans="1:16" x14ac:dyDescent="0.35">
      <c r="A348" s="9" t="s">
        <v>395</v>
      </c>
      <c r="B348" s="2">
        <v>187.87200000000001</v>
      </c>
      <c r="C348" s="2">
        <v>190.446</v>
      </c>
      <c r="D348" s="2">
        <v>187.559</v>
      </c>
      <c r="E348" s="2">
        <v>189.57400000000001</v>
      </c>
      <c r="F348" s="2">
        <v>44704364</v>
      </c>
      <c r="G348" s="2" t="s">
        <v>15</v>
      </c>
      <c r="H348" s="2" t="s">
        <v>16</v>
      </c>
      <c r="I348" s="2" t="s">
        <v>17</v>
      </c>
      <c r="J348" s="3">
        <v>0.61599999999999999</v>
      </c>
      <c r="K348" s="2" t="s">
        <v>382</v>
      </c>
      <c r="L348" s="2">
        <v>2024</v>
      </c>
      <c r="M348" s="2" t="s">
        <v>110</v>
      </c>
      <c r="N348" s="2" t="s">
        <v>21</v>
      </c>
      <c r="O348">
        <f t="shared" si="10"/>
        <v>2.8870000000000005</v>
      </c>
      <c r="P348">
        <f t="shared" si="11"/>
        <v>46.186999999999962</v>
      </c>
    </row>
    <row r="349" spans="1:16" x14ac:dyDescent="0.35">
      <c r="A349" s="9" t="s">
        <v>396</v>
      </c>
      <c r="B349" s="2">
        <v>189.624</v>
      </c>
      <c r="C349" s="2">
        <v>191.25</v>
      </c>
      <c r="D349" s="2">
        <v>189.45500000000001</v>
      </c>
      <c r="E349" s="2">
        <v>190.874</v>
      </c>
      <c r="F349" s="2">
        <v>42636620</v>
      </c>
      <c r="G349" s="2" t="s">
        <v>15</v>
      </c>
      <c r="H349" s="2" t="s">
        <v>16</v>
      </c>
      <c r="I349" s="2" t="s">
        <v>17</v>
      </c>
      <c r="J349" s="3">
        <v>0.68600000000000005</v>
      </c>
      <c r="K349" s="2" t="s">
        <v>382</v>
      </c>
      <c r="L349" s="2">
        <v>2024</v>
      </c>
      <c r="M349" s="2" t="s">
        <v>110</v>
      </c>
      <c r="N349" s="2" t="s">
        <v>21</v>
      </c>
      <c r="O349">
        <f t="shared" si="10"/>
        <v>1.7949999999999875</v>
      </c>
      <c r="P349">
        <f t="shared" si="11"/>
        <v>46.872999999999962</v>
      </c>
    </row>
    <row r="350" spans="1:16" x14ac:dyDescent="0.35">
      <c r="A350" s="9" t="s">
        <v>397</v>
      </c>
      <c r="B350" s="2">
        <v>190.78899999999999</v>
      </c>
      <c r="C350" s="2">
        <v>191.34200000000001</v>
      </c>
      <c r="D350" s="2">
        <v>188.81</v>
      </c>
      <c r="E350" s="2">
        <v>189.435</v>
      </c>
      <c r="F350" s="2">
        <v>34916517</v>
      </c>
      <c r="G350" s="2" t="s">
        <v>15</v>
      </c>
      <c r="H350" s="2" t="s">
        <v>16</v>
      </c>
      <c r="I350" s="2" t="s">
        <v>17</v>
      </c>
      <c r="J350" s="4">
        <v>-0.754</v>
      </c>
      <c r="K350" s="2" t="s">
        <v>382</v>
      </c>
      <c r="L350" s="2">
        <v>2024</v>
      </c>
      <c r="M350" s="2" t="s">
        <v>110</v>
      </c>
      <c r="N350" s="2" t="s">
        <v>23</v>
      </c>
      <c r="O350">
        <f t="shared" si="10"/>
        <v>2.5320000000000107</v>
      </c>
      <c r="P350">
        <f t="shared" si="11"/>
        <v>46.118999999999964</v>
      </c>
    </row>
    <row r="351" spans="1:16" x14ac:dyDescent="0.35">
      <c r="A351" s="9" t="s">
        <v>398</v>
      </c>
      <c r="B351" s="2">
        <v>189.51499999999999</v>
      </c>
      <c r="C351" s="2">
        <v>189.53399999999999</v>
      </c>
      <c r="D351" s="2">
        <v>185.191</v>
      </c>
      <c r="E351" s="2">
        <v>185.44499999999999</v>
      </c>
      <c r="F351" s="2">
        <v>51400402</v>
      </c>
      <c r="G351" s="2" t="s">
        <v>15</v>
      </c>
      <c r="H351" s="2" t="s">
        <v>16</v>
      </c>
      <c r="I351" s="2" t="s">
        <v>17</v>
      </c>
      <c r="J351" s="4">
        <v>-2.1059999999999999</v>
      </c>
      <c r="K351" s="2" t="s">
        <v>382</v>
      </c>
      <c r="L351" s="2">
        <v>2024</v>
      </c>
      <c r="M351" s="2" t="s">
        <v>110</v>
      </c>
      <c r="N351" s="2" t="s">
        <v>23</v>
      </c>
      <c r="O351">
        <f t="shared" si="10"/>
        <v>4.3429999999999893</v>
      </c>
      <c r="P351">
        <f t="shared" si="11"/>
        <v>44.012999999999963</v>
      </c>
    </row>
    <row r="352" spans="1:16" x14ac:dyDescent="0.35">
      <c r="A352" s="9" t="s">
        <v>399</v>
      </c>
      <c r="B352" s="2">
        <v>187.37200000000001</v>
      </c>
      <c r="C352" s="2">
        <v>189.11699999999999</v>
      </c>
      <c r="D352" s="2">
        <v>186.59800000000001</v>
      </c>
      <c r="E352" s="2">
        <v>188.52199999999999</v>
      </c>
      <c r="F352" s="2">
        <v>36607926</v>
      </c>
      <c r="G352" s="2" t="s">
        <v>15</v>
      </c>
      <c r="H352" s="2" t="s">
        <v>16</v>
      </c>
      <c r="I352" s="2" t="s">
        <v>17</v>
      </c>
      <c r="J352" s="3">
        <v>1.659</v>
      </c>
      <c r="K352" s="2" t="s">
        <v>382</v>
      </c>
      <c r="L352" s="2">
        <v>2024</v>
      </c>
      <c r="M352" s="2" t="s">
        <v>110</v>
      </c>
      <c r="N352" s="2" t="s">
        <v>21</v>
      </c>
      <c r="O352">
        <f t="shared" si="10"/>
        <v>2.518999999999977</v>
      </c>
      <c r="P352">
        <f t="shared" si="11"/>
        <v>45.671999999999962</v>
      </c>
    </row>
    <row r="353" spans="1:16" x14ac:dyDescent="0.35">
      <c r="A353" s="9" t="s">
        <v>400</v>
      </c>
      <c r="B353" s="2">
        <v>190.041</v>
      </c>
      <c r="C353" s="2">
        <v>191.51900000000001</v>
      </c>
      <c r="D353" s="2">
        <v>187.648</v>
      </c>
      <c r="E353" s="2">
        <v>188.53200000000001</v>
      </c>
      <c r="F353" s="2">
        <v>52684383</v>
      </c>
      <c r="G353" s="2" t="s">
        <v>15</v>
      </c>
      <c r="H353" s="2" t="s">
        <v>16</v>
      </c>
      <c r="I353" s="2" t="s">
        <v>17</v>
      </c>
      <c r="J353" s="3">
        <v>5.0000000000000001E-3</v>
      </c>
      <c r="K353" s="2" t="s">
        <v>382</v>
      </c>
      <c r="L353" s="2">
        <v>2024</v>
      </c>
      <c r="M353" s="2" t="s">
        <v>110</v>
      </c>
      <c r="N353" s="2" t="s">
        <v>21</v>
      </c>
      <c r="O353">
        <f t="shared" si="10"/>
        <v>3.8710000000000093</v>
      </c>
      <c r="P353">
        <f t="shared" si="11"/>
        <v>45.676999999999964</v>
      </c>
    </row>
    <row r="354" spans="1:16" x14ac:dyDescent="0.35">
      <c r="A354" s="9" t="s">
        <v>401</v>
      </c>
      <c r="B354" s="2">
        <v>188.155</v>
      </c>
      <c r="C354" s="2">
        <v>190.77099999999999</v>
      </c>
      <c r="D354" s="2">
        <v>188.05600000000001</v>
      </c>
      <c r="E354" s="2">
        <v>188.82900000000001</v>
      </c>
      <c r="F354" s="2">
        <v>53478442</v>
      </c>
      <c r="G354" s="2" t="s">
        <v>15</v>
      </c>
      <c r="H354" s="2" t="s">
        <v>16</v>
      </c>
      <c r="I354" s="2" t="s">
        <v>17</v>
      </c>
      <c r="J354" s="3">
        <v>0.158</v>
      </c>
      <c r="K354" s="2" t="s">
        <v>382</v>
      </c>
      <c r="L354" s="2">
        <v>2024</v>
      </c>
      <c r="M354" s="2" t="s">
        <v>110</v>
      </c>
      <c r="N354" s="2" t="s">
        <v>21</v>
      </c>
      <c r="O354">
        <f t="shared" si="10"/>
        <v>2.714999999999975</v>
      </c>
      <c r="P354">
        <f t="shared" si="11"/>
        <v>45.834999999999965</v>
      </c>
    </row>
    <row r="355" spans="1:16" x14ac:dyDescent="0.35">
      <c r="A355" s="9" t="s">
        <v>402</v>
      </c>
      <c r="B355" s="2">
        <v>189.29599999999999</v>
      </c>
      <c r="C355" s="2">
        <v>190.70500000000001</v>
      </c>
      <c r="D355" s="2">
        <v>189.167</v>
      </c>
      <c r="E355" s="2">
        <v>189.821</v>
      </c>
      <c r="F355" s="2">
        <v>50334236</v>
      </c>
      <c r="G355" s="2" t="s">
        <v>15</v>
      </c>
      <c r="H355" s="2" t="s">
        <v>16</v>
      </c>
      <c r="I355" s="2" t="s">
        <v>17</v>
      </c>
      <c r="J355" s="3">
        <v>0.52500000000000002</v>
      </c>
      <c r="K355" s="2" t="s">
        <v>382</v>
      </c>
      <c r="L355" s="2">
        <v>2024</v>
      </c>
      <c r="M355" s="2" t="s">
        <v>110</v>
      </c>
      <c r="N355" s="2" t="s">
        <v>21</v>
      </c>
      <c r="O355">
        <f t="shared" si="10"/>
        <v>1.5380000000000109</v>
      </c>
      <c r="P355">
        <f t="shared" si="11"/>
        <v>46.359999999999964</v>
      </c>
    </row>
    <row r="356" spans="1:16" x14ac:dyDescent="0.35">
      <c r="A356" s="9" t="s">
        <v>403</v>
      </c>
      <c r="B356" s="2">
        <v>189.971</v>
      </c>
      <c r="C356" s="2">
        <v>191.09299999999999</v>
      </c>
      <c r="D356" s="2">
        <v>188.453</v>
      </c>
      <c r="E356" s="2">
        <v>190.774</v>
      </c>
      <c r="F356" s="2">
        <v>75739548</v>
      </c>
      <c r="G356" s="2" t="s">
        <v>15</v>
      </c>
      <c r="H356" s="2" t="s">
        <v>16</v>
      </c>
      <c r="I356" s="2" t="s">
        <v>17</v>
      </c>
      <c r="J356" s="3">
        <v>0.502</v>
      </c>
      <c r="K356" s="2" t="s">
        <v>382</v>
      </c>
      <c r="L356" s="2">
        <v>2024</v>
      </c>
      <c r="M356" s="2" t="s">
        <v>110</v>
      </c>
      <c r="N356" s="2" t="s">
        <v>21</v>
      </c>
      <c r="O356">
        <f t="shared" si="10"/>
        <v>2.6399999999999864</v>
      </c>
      <c r="P356">
        <f t="shared" si="11"/>
        <v>46.861999999999966</v>
      </c>
    </row>
    <row r="357" spans="1:16" x14ac:dyDescent="0.35">
      <c r="A357" s="9" t="s">
        <v>404</v>
      </c>
      <c r="B357" s="2">
        <v>191.41900000000001</v>
      </c>
      <c r="C357" s="2">
        <v>193.49299999999999</v>
      </c>
      <c r="D357" s="2">
        <v>191.04300000000001</v>
      </c>
      <c r="E357" s="2">
        <v>192.541</v>
      </c>
      <c r="F357" s="2">
        <v>50467859</v>
      </c>
      <c r="G357" s="2" t="s">
        <v>15</v>
      </c>
      <c r="H357" s="2" t="s">
        <v>16</v>
      </c>
      <c r="I357" s="2" t="s">
        <v>17</v>
      </c>
      <c r="J357" s="3">
        <v>0.92600000000000005</v>
      </c>
      <c r="K357" s="2" t="s">
        <v>405</v>
      </c>
      <c r="L357" s="2">
        <v>2024</v>
      </c>
      <c r="M357" s="2" t="s">
        <v>135</v>
      </c>
      <c r="N357" s="2" t="s">
        <v>21</v>
      </c>
      <c r="O357">
        <f t="shared" si="10"/>
        <v>2.4499999999999886</v>
      </c>
      <c r="P357">
        <f t="shared" si="11"/>
        <v>47.787999999999968</v>
      </c>
    </row>
    <row r="358" spans="1:16" x14ac:dyDescent="0.35">
      <c r="A358" s="9" t="s">
        <v>406</v>
      </c>
      <c r="B358" s="2">
        <v>193.14099999999999</v>
      </c>
      <c r="C358" s="2">
        <v>193.822</v>
      </c>
      <c r="D358" s="2">
        <v>191.55199999999999</v>
      </c>
      <c r="E358" s="2">
        <v>192.85900000000001</v>
      </c>
      <c r="F358" s="2">
        <v>47838588</v>
      </c>
      <c r="G358" s="2" t="s">
        <v>15</v>
      </c>
      <c r="H358" s="2" t="s">
        <v>16</v>
      </c>
      <c r="I358" s="2" t="s">
        <v>17</v>
      </c>
      <c r="J358" s="3">
        <v>0.16500000000000001</v>
      </c>
      <c r="K358" s="2" t="s">
        <v>405</v>
      </c>
      <c r="L358" s="2">
        <v>2024</v>
      </c>
      <c r="M358" s="2" t="s">
        <v>135</v>
      </c>
      <c r="N358" s="2" t="s">
        <v>21</v>
      </c>
      <c r="O358">
        <f t="shared" si="10"/>
        <v>2.2700000000000102</v>
      </c>
      <c r="P358">
        <f t="shared" si="11"/>
        <v>47.952999999999967</v>
      </c>
    </row>
    <row r="359" spans="1:16" x14ac:dyDescent="0.35">
      <c r="A359" s="9" t="s">
        <v>407</v>
      </c>
      <c r="B359" s="2">
        <v>193.90199999999999</v>
      </c>
      <c r="C359" s="2">
        <v>195.38800000000001</v>
      </c>
      <c r="D359" s="2">
        <v>193.374</v>
      </c>
      <c r="E359" s="2">
        <v>194.36600000000001</v>
      </c>
      <c r="F359" s="2">
        <v>54575631</v>
      </c>
      <c r="G359" s="2" t="s">
        <v>15</v>
      </c>
      <c r="H359" s="2" t="s">
        <v>16</v>
      </c>
      <c r="I359" s="2" t="s">
        <v>17</v>
      </c>
      <c r="J359" s="3">
        <v>0.78100000000000003</v>
      </c>
      <c r="K359" s="2" t="s">
        <v>405</v>
      </c>
      <c r="L359" s="2">
        <v>2024</v>
      </c>
      <c r="M359" s="2" t="s">
        <v>135</v>
      </c>
      <c r="N359" s="2" t="s">
        <v>21</v>
      </c>
      <c r="O359">
        <f t="shared" si="10"/>
        <v>2.01400000000001</v>
      </c>
      <c r="P359">
        <f t="shared" si="11"/>
        <v>48.733999999999966</v>
      </c>
    </row>
    <row r="360" spans="1:16" x14ac:dyDescent="0.35">
      <c r="A360" s="9" t="s">
        <v>408</v>
      </c>
      <c r="B360" s="2">
        <v>194.184</v>
      </c>
      <c r="C360" s="2">
        <v>194.99299999999999</v>
      </c>
      <c r="D360" s="2">
        <v>192.68100000000001</v>
      </c>
      <c r="E360" s="2">
        <v>192.988</v>
      </c>
      <c r="F360" s="2">
        <v>41500251</v>
      </c>
      <c r="G360" s="2" t="s">
        <v>15</v>
      </c>
      <c r="H360" s="2" t="s">
        <v>16</v>
      </c>
      <c r="I360" s="2" t="s">
        <v>17</v>
      </c>
      <c r="J360" s="4">
        <v>-0.70899999999999996</v>
      </c>
      <c r="K360" s="2" t="s">
        <v>405</v>
      </c>
      <c r="L360" s="2">
        <v>2024</v>
      </c>
      <c r="M360" s="2" t="s">
        <v>135</v>
      </c>
      <c r="N360" s="2" t="s">
        <v>23</v>
      </c>
      <c r="O360">
        <f t="shared" si="10"/>
        <v>2.3119999999999834</v>
      </c>
      <c r="P360">
        <f t="shared" si="11"/>
        <v>48.024999999999963</v>
      </c>
    </row>
    <row r="361" spans="1:16" x14ac:dyDescent="0.35">
      <c r="A361" s="9" t="s">
        <v>409</v>
      </c>
      <c r="B361" s="2">
        <v>193.15600000000001</v>
      </c>
      <c r="C361" s="2">
        <v>195.428</v>
      </c>
      <c r="D361" s="2">
        <v>192.65100000000001</v>
      </c>
      <c r="E361" s="2">
        <v>195.37799999999999</v>
      </c>
      <c r="F361" s="2">
        <v>53514617</v>
      </c>
      <c r="G361" s="2" t="s">
        <v>15</v>
      </c>
      <c r="H361" s="2" t="s">
        <v>16</v>
      </c>
      <c r="I361" s="2" t="s">
        <v>17</v>
      </c>
      <c r="J361" s="3">
        <v>1.238</v>
      </c>
      <c r="K361" s="2" t="s">
        <v>405</v>
      </c>
      <c r="L361" s="2">
        <v>2024</v>
      </c>
      <c r="M361" s="2" t="s">
        <v>135</v>
      </c>
      <c r="N361" s="2" t="s">
        <v>21</v>
      </c>
      <c r="O361">
        <f t="shared" si="10"/>
        <v>2.7769999999999868</v>
      </c>
      <c r="P361">
        <f t="shared" si="11"/>
        <v>49.262999999999963</v>
      </c>
    </row>
    <row r="362" spans="1:16" x14ac:dyDescent="0.35">
      <c r="A362" s="9" t="s">
        <v>410</v>
      </c>
      <c r="B362" s="2">
        <v>195.38800000000001</v>
      </c>
      <c r="C362" s="2">
        <v>195.785</v>
      </c>
      <c r="D362" s="2">
        <v>190.67500000000001</v>
      </c>
      <c r="E362" s="2">
        <v>191.63800000000001</v>
      </c>
      <c r="F362" s="2">
        <v>98014300</v>
      </c>
      <c r="G362" s="2" t="s">
        <v>15</v>
      </c>
      <c r="H362" s="2" t="s">
        <v>16</v>
      </c>
      <c r="I362" s="2" t="s">
        <v>17</v>
      </c>
      <c r="J362" s="4">
        <v>-1.9139999999999999</v>
      </c>
      <c r="K362" s="2" t="s">
        <v>405</v>
      </c>
      <c r="L362" s="2">
        <v>2024</v>
      </c>
      <c r="M362" s="2" t="s">
        <v>135</v>
      </c>
      <c r="N362" s="2" t="s">
        <v>23</v>
      </c>
      <c r="O362">
        <f t="shared" si="10"/>
        <v>5.1099999999999852</v>
      </c>
      <c r="P362">
        <f t="shared" si="11"/>
        <v>47.348999999999961</v>
      </c>
    </row>
    <row r="363" spans="1:16" x14ac:dyDescent="0.35">
      <c r="A363" s="9" t="s">
        <v>411</v>
      </c>
      <c r="B363" s="2">
        <v>192.16300000000001</v>
      </c>
      <c r="C363" s="2">
        <v>205.571</v>
      </c>
      <c r="D363" s="2">
        <v>192.14400000000001</v>
      </c>
      <c r="E363" s="2">
        <v>205.56200000000001</v>
      </c>
      <c r="F363" s="2">
        <v>173706429</v>
      </c>
      <c r="G363" s="2" t="s">
        <v>15</v>
      </c>
      <c r="H363" s="2" t="s">
        <v>16</v>
      </c>
      <c r="I363" s="2" t="s">
        <v>17</v>
      </c>
      <c r="J363" s="3">
        <v>7.266</v>
      </c>
      <c r="K363" s="2" t="s">
        <v>405</v>
      </c>
      <c r="L363" s="2">
        <v>2024</v>
      </c>
      <c r="M363" s="2" t="s">
        <v>135</v>
      </c>
      <c r="N363" s="2" t="s">
        <v>21</v>
      </c>
      <c r="O363">
        <f t="shared" si="10"/>
        <v>13.426999999999992</v>
      </c>
      <c r="P363">
        <f t="shared" si="11"/>
        <v>54.614999999999959</v>
      </c>
    </row>
    <row r="364" spans="1:16" x14ac:dyDescent="0.35">
      <c r="A364" s="9" t="s">
        <v>412</v>
      </c>
      <c r="B364" s="2">
        <v>205.77699999999999</v>
      </c>
      <c r="C364" s="2">
        <v>218.511</v>
      </c>
      <c r="D364" s="2">
        <v>205.31299999999999</v>
      </c>
      <c r="E364" s="2">
        <v>211.43600000000001</v>
      </c>
      <c r="F364" s="2">
        <v>199666662</v>
      </c>
      <c r="G364" s="2" t="s">
        <v>15</v>
      </c>
      <c r="H364" s="2" t="s">
        <v>16</v>
      </c>
      <c r="I364" s="2" t="s">
        <v>17</v>
      </c>
      <c r="J364" s="3">
        <v>2.8580000000000001</v>
      </c>
      <c r="K364" s="2" t="s">
        <v>405</v>
      </c>
      <c r="L364" s="2">
        <v>2024</v>
      </c>
      <c r="M364" s="2" t="s">
        <v>135</v>
      </c>
      <c r="N364" s="2" t="s">
        <v>21</v>
      </c>
      <c r="O364">
        <f t="shared" si="10"/>
        <v>13.198000000000008</v>
      </c>
      <c r="P364">
        <f t="shared" si="11"/>
        <v>57.472999999999956</v>
      </c>
    </row>
    <row r="365" spans="1:16" x14ac:dyDescent="0.35">
      <c r="A365" s="9" t="s">
        <v>413</v>
      </c>
      <c r="B365" s="2">
        <v>213.09299999999999</v>
      </c>
      <c r="C365" s="2">
        <v>215.08500000000001</v>
      </c>
      <c r="D365" s="2">
        <v>209.976</v>
      </c>
      <c r="E365" s="2">
        <v>212.595</v>
      </c>
      <c r="F365" s="2">
        <v>98619598</v>
      </c>
      <c r="G365" s="2" t="s">
        <v>15</v>
      </c>
      <c r="H365" s="2" t="s">
        <v>16</v>
      </c>
      <c r="I365" s="2" t="s">
        <v>17</v>
      </c>
      <c r="J365" s="3">
        <v>0.54800000000000004</v>
      </c>
      <c r="K365" s="2" t="s">
        <v>405</v>
      </c>
      <c r="L365" s="2">
        <v>2024</v>
      </c>
      <c r="M365" s="2" t="s">
        <v>135</v>
      </c>
      <c r="N365" s="2" t="s">
        <v>21</v>
      </c>
      <c r="O365">
        <f t="shared" si="10"/>
        <v>5.1090000000000089</v>
      </c>
      <c r="P365">
        <f t="shared" si="11"/>
        <v>58.020999999999958</v>
      </c>
    </row>
    <row r="366" spans="1:16" x14ac:dyDescent="0.35">
      <c r="A366" s="9" t="s">
        <v>414</v>
      </c>
      <c r="B366" s="2">
        <v>212.209</v>
      </c>
      <c r="C366" s="2">
        <v>213.518</v>
      </c>
      <c r="D366" s="2">
        <v>209.679</v>
      </c>
      <c r="E366" s="2">
        <v>210.85900000000001</v>
      </c>
      <c r="F366" s="2">
        <v>70665075</v>
      </c>
      <c r="G366" s="2" t="s">
        <v>15</v>
      </c>
      <c r="H366" s="2" t="s">
        <v>16</v>
      </c>
      <c r="I366" s="2" t="s">
        <v>17</v>
      </c>
      <c r="J366" s="4">
        <v>-0.81699999999999995</v>
      </c>
      <c r="K366" s="2" t="s">
        <v>405</v>
      </c>
      <c r="L366" s="2">
        <v>2024</v>
      </c>
      <c r="M366" s="2" t="s">
        <v>135</v>
      </c>
      <c r="N366" s="2" t="s">
        <v>23</v>
      </c>
      <c r="O366">
        <f t="shared" si="10"/>
        <v>3.8389999999999986</v>
      </c>
      <c r="P366">
        <f t="shared" si="11"/>
        <v>57.203999999999958</v>
      </c>
    </row>
    <row r="367" spans="1:16" x14ac:dyDescent="0.35">
      <c r="A367" s="9" t="s">
        <v>415</v>
      </c>
      <c r="B367" s="2">
        <v>211.733</v>
      </c>
      <c r="C367" s="2">
        <v>217.27</v>
      </c>
      <c r="D367" s="2">
        <v>211.08600000000001</v>
      </c>
      <c r="E367" s="2">
        <v>215.00800000000001</v>
      </c>
      <c r="F367" s="2">
        <v>94453192</v>
      </c>
      <c r="G367" s="2" t="s">
        <v>15</v>
      </c>
      <c r="H367" s="2" t="s">
        <v>16</v>
      </c>
      <c r="I367" s="2" t="s">
        <v>17</v>
      </c>
      <c r="J367" s="3">
        <v>1.968</v>
      </c>
      <c r="K367" s="2" t="s">
        <v>405</v>
      </c>
      <c r="L367" s="2">
        <v>2024</v>
      </c>
      <c r="M367" s="2" t="s">
        <v>135</v>
      </c>
      <c r="N367" s="2" t="s">
        <v>21</v>
      </c>
      <c r="O367">
        <f t="shared" si="10"/>
        <v>6.1839999999999975</v>
      </c>
      <c r="P367">
        <f t="shared" si="11"/>
        <v>59.171999999999954</v>
      </c>
    </row>
    <row r="368" spans="1:16" x14ac:dyDescent="0.35">
      <c r="A368" s="9" t="s">
        <v>416</v>
      </c>
      <c r="B368" s="2">
        <v>215.91900000000001</v>
      </c>
      <c r="C368" s="2">
        <v>216.95099999999999</v>
      </c>
      <c r="D368" s="2">
        <v>211.36600000000001</v>
      </c>
      <c r="E368" s="2">
        <v>212.64500000000001</v>
      </c>
      <c r="F368" s="2">
        <v>80561533</v>
      </c>
      <c r="G368" s="2" t="s">
        <v>15</v>
      </c>
      <c r="H368" s="2" t="s">
        <v>16</v>
      </c>
      <c r="I368" s="2" t="s">
        <v>17</v>
      </c>
      <c r="J368" s="4">
        <v>-1.099</v>
      </c>
      <c r="K368" s="2" t="s">
        <v>405</v>
      </c>
      <c r="L368" s="2">
        <v>2024</v>
      </c>
      <c r="M368" s="2" t="s">
        <v>135</v>
      </c>
      <c r="N368" s="2" t="s">
        <v>23</v>
      </c>
      <c r="O368">
        <f t="shared" si="10"/>
        <v>5.5849999999999795</v>
      </c>
      <c r="P368">
        <f t="shared" si="11"/>
        <v>58.072999999999958</v>
      </c>
    </row>
    <row r="369" spans="1:16" x14ac:dyDescent="0.35">
      <c r="A369" s="9" t="s">
        <v>417</v>
      </c>
      <c r="B369" s="2">
        <v>212.28899999999999</v>
      </c>
      <c r="C369" s="2">
        <v>212.595</v>
      </c>
      <c r="D369" s="2">
        <v>207.24700000000001</v>
      </c>
      <c r="E369" s="2">
        <v>208.07</v>
      </c>
      <c r="F369" s="2">
        <v>86838907</v>
      </c>
      <c r="G369" s="2" t="s">
        <v>15</v>
      </c>
      <c r="H369" s="2" t="s">
        <v>16</v>
      </c>
      <c r="I369" s="2" t="s">
        <v>17</v>
      </c>
      <c r="J369" s="4">
        <v>-2.1509999999999998</v>
      </c>
      <c r="K369" s="2" t="s">
        <v>405</v>
      </c>
      <c r="L369" s="2">
        <v>2024</v>
      </c>
      <c r="M369" s="2" t="s">
        <v>135</v>
      </c>
      <c r="N369" s="2" t="s">
        <v>23</v>
      </c>
      <c r="O369">
        <f t="shared" si="10"/>
        <v>5.3479999999999848</v>
      </c>
      <c r="P369">
        <f t="shared" si="11"/>
        <v>55.921999999999954</v>
      </c>
    </row>
    <row r="370" spans="1:16" x14ac:dyDescent="0.35">
      <c r="A370" s="9" t="s">
        <v>418</v>
      </c>
      <c r="B370" s="2">
        <v>208.77500000000001</v>
      </c>
      <c r="C370" s="2">
        <v>210.26300000000001</v>
      </c>
      <c r="D370" s="2">
        <v>205.52199999999999</v>
      </c>
      <c r="E370" s="2">
        <v>205.89699999999999</v>
      </c>
      <c r="F370" s="2">
        <v>248327173</v>
      </c>
      <c r="G370" s="2" t="s">
        <v>15</v>
      </c>
      <c r="H370" s="2" t="s">
        <v>16</v>
      </c>
      <c r="I370" s="2" t="s">
        <v>17</v>
      </c>
      <c r="J370" s="4">
        <v>-1.044</v>
      </c>
      <c r="K370" s="2" t="s">
        <v>405</v>
      </c>
      <c r="L370" s="2">
        <v>2024</v>
      </c>
      <c r="M370" s="2" t="s">
        <v>135</v>
      </c>
      <c r="N370" s="2" t="s">
        <v>23</v>
      </c>
      <c r="O370">
        <f t="shared" si="10"/>
        <v>4.7410000000000139</v>
      </c>
      <c r="P370">
        <f t="shared" si="11"/>
        <v>54.877999999999957</v>
      </c>
    </row>
    <row r="371" spans="1:16" x14ac:dyDescent="0.35">
      <c r="A371" s="9" t="s">
        <v>419</v>
      </c>
      <c r="B371" s="2">
        <v>206.126</v>
      </c>
      <c r="C371" s="2">
        <v>211.06700000000001</v>
      </c>
      <c r="D371" s="2">
        <v>205.00399999999999</v>
      </c>
      <c r="E371" s="2">
        <v>206.54300000000001</v>
      </c>
      <c r="F371" s="2">
        <v>81351347</v>
      </c>
      <c r="G371" s="2" t="s">
        <v>15</v>
      </c>
      <c r="H371" s="2" t="s">
        <v>16</v>
      </c>
      <c r="I371" s="2" t="s">
        <v>17</v>
      </c>
      <c r="J371" s="3">
        <v>0.314</v>
      </c>
      <c r="K371" s="2" t="s">
        <v>405</v>
      </c>
      <c r="L371" s="2">
        <v>2024</v>
      </c>
      <c r="M371" s="2" t="s">
        <v>135</v>
      </c>
      <c r="N371" s="2" t="s">
        <v>21</v>
      </c>
      <c r="O371">
        <f t="shared" si="10"/>
        <v>6.0630000000000166</v>
      </c>
      <c r="P371">
        <f t="shared" si="11"/>
        <v>55.191999999999958</v>
      </c>
    </row>
    <row r="372" spans="1:16" x14ac:dyDescent="0.35">
      <c r="A372" s="9" t="s">
        <v>420</v>
      </c>
      <c r="B372" s="2">
        <v>207.54499999999999</v>
      </c>
      <c r="C372" s="2">
        <v>209.75700000000001</v>
      </c>
      <c r="D372" s="2">
        <v>207.00899999999999</v>
      </c>
      <c r="E372" s="2">
        <v>207.465</v>
      </c>
      <c r="F372" s="2">
        <v>57152490</v>
      </c>
      <c r="G372" s="2" t="s">
        <v>15</v>
      </c>
      <c r="H372" s="2" t="s">
        <v>16</v>
      </c>
      <c r="I372" s="2" t="s">
        <v>17</v>
      </c>
      <c r="J372" s="3">
        <v>0.44600000000000001</v>
      </c>
      <c r="K372" s="2" t="s">
        <v>405</v>
      </c>
      <c r="L372" s="2">
        <v>2024</v>
      </c>
      <c r="M372" s="2" t="s">
        <v>135</v>
      </c>
      <c r="N372" s="2" t="s">
        <v>21</v>
      </c>
      <c r="O372">
        <f t="shared" si="10"/>
        <v>2.7480000000000189</v>
      </c>
      <c r="P372">
        <f t="shared" si="11"/>
        <v>55.637999999999955</v>
      </c>
    </row>
    <row r="373" spans="1:16" x14ac:dyDescent="0.35">
      <c r="A373" s="9" t="s">
        <v>421</v>
      </c>
      <c r="B373" s="2">
        <v>209.876</v>
      </c>
      <c r="C373" s="2">
        <v>213.21199999999999</v>
      </c>
      <c r="D373" s="2">
        <v>209.02199999999999</v>
      </c>
      <c r="E373" s="2">
        <v>211.613</v>
      </c>
      <c r="F373" s="2">
        <v>66725278</v>
      </c>
      <c r="G373" s="2" t="s">
        <v>15</v>
      </c>
      <c r="H373" s="2" t="s">
        <v>16</v>
      </c>
      <c r="I373" s="2" t="s">
        <v>17</v>
      </c>
      <c r="J373" s="3">
        <v>1.9990000000000001</v>
      </c>
      <c r="K373" s="2" t="s">
        <v>405</v>
      </c>
      <c r="L373" s="2">
        <v>2024</v>
      </c>
      <c r="M373" s="2" t="s">
        <v>135</v>
      </c>
      <c r="N373" s="2" t="s">
        <v>21</v>
      </c>
      <c r="O373">
        <f t="shared" si="10"/>
        <v>4.1899999999999977</v>
      </c>
      <c r="P373">
        <f t="shared" si="11"/>
        <v>57.636999999999958</v>
      </c>
    </row>
    <row r="374" spans="1:16" x14ac:dyDescent="0.35">
      <c r="A374" s="9" t="s">
        <v>422</v>
      </c>
      <c r="B374" s="2">
        <v>213.04300000000001</v>
      </c>
      <c r="C374" s="2">
        <v>214.084</v>
      </c>
      <c r="D374" s="2">
        <v>210.72</v>
      </c>
      <c r="E374" s="2">
        <v>212.45599999999999</v>
      </c>
      <c r="F374" s="2">
        <v>50157647</v>
      </c>
      <c r="G374" s="2" t="s">
        <v>15</v>
      </c>
      <c r="H374" s="2" t="s">
        <v>16</v>
      </c>
      <c r="I374" s="2" t="s">
        <v>17</v>
      </c>
      <c r="J374" s="3">
        <v>0.39800000000000002</v>
      </c>
      <c r="K374" s="2" t="s">
        <v>405</v>
      </c>
      <c r="L374" s="2">
        <v>2024</v>
      </c>
      <c r="M374" s="2" t="s">
        <v>135</v>
      </c>
      <c r="N374" s="2" t="s">
        <v>21</v>
      </c>
      <c r="O374">
        <f t="shared" si="10"/>
        <v>3.3640000000000043</v>
      </c>
      <c r="P374">
        <f t="shared" si="11"/>
        <v>58.034999999999961</v>
      </c>
    </row>
    <row r="375" spans="1:16" x14ac:dyDescent="0.35">
      <c r="A375" s="9" t="s">
        <v>423</v>
      </c>
      <c r="B375" s="2">
        <v>214.11500000000001</v>
      </c>
      <c r="C375" s="2">
        <v>214.411</v>
      </c>
      <c r="D375" s="2">
        <v>208.68799999999999</v>
      </c>
      <c r="E375" s="2">
        <v>209.00200000000001</v>
      </c>
      <c r="F375" s="2">
        <v>83181102</v>
      </c>
      <c r="G375" s="2" t="s">
        <v>15</v>
      </c>
      <c r="H375" s="2" t="s">
        <v>16</v>
      </c>
      <c r="I375" s="2" t="s">
        <v>17</v>
      </c>
      <c r="J375" s="4">
        <v>-1.6259999999999999</v>
      </c>
      <c r="K375" s="2" t="s">
        <v>405</v>
      </c>
      <c r="L375" s="2">
        <v>2024</v>
      </c>
      <c r="M375" s="2" t="s">
        <v>135</v>
      </c>
      <c r="N375" s="2" t="s">
        <v>23</v>
      </c>
      <c r="O375">
        <f t="shared" si="10"/>
        <v>5.7230000000000132</v>
      </c>
      <c r="P375">
        <f t="shared" si="11"/>
        <v>56.408999999999963</v>
      </c>
    </row>
    <row r="376" spans="1:16" x14ac:dyDescent="0.35">
      <c r="A376" s="9" t="s">
        <v>424</v>
      </c>
      <c r="B376" s="2">
        <v>210.46299999999999</v>
      </c>
      <c r="C376" s="2">
        <v>215.84200000000001</v>
      </c>
      <c r="D376" s="2">
        <v>210.29300000000001</v>
      </c>
      <c r="E376" s="2">
        <v>215.08500000000001</v>
      </c>
      <c r="F376" s="2">
        <v>60870084</v>
      </c>
      <c r="G376" s="2" t="s">
        <v>15</v>
      </c>
      <c r="H376" s="2" t="s">
        <v>16</v>
      </c>
      <c r="I376" s="2" t="s">
        <v>17</v>
      </c>
      <c r="J376" s="3">
        <v>2.91</v>
      </c>
      <c r="K376" s="2" t="s">
        <v>425</v>
      </c>
      <c r="L376" s="2">
        <v>2024</v>
      </c>
      <c r="M376" s="2" t="s">
        <v>158</v>
      </c>
      <c r="N376" s="2" t="s">
        <v>21</v>
      </c>
      <c r="O376">
        <f t="shared" si="10"/>
        <v>5.5490000000000066</v>
      </c>
      <c r="P376">
        <f t="shared" si="11"/>
        <v>59.31899999999996</v>
      </c>
    </row>
    <row r="377" spans="1:16" x14ac:dyDescent="0.35">
      <c r="A377" s="9" t="s">
        <v>426</v>
      </c>
      <c r="B377" s="2">
        <v>214.49100000000001</v>
      </c>
      <c r="C377" s="2">
        <v>218.68799999999999</v>
      </c>
      <c r="D377" s="2">
        <v>213.44800000000001</v>
      </c>
      <c r="E377" s="2">
        <v>218.578</v>
      </c>
      <c r="F377" s="2">
        <v>58495106</v>
      </c>
      <c r="G377" s="2" t="s">
        <v>15</v>
      </c>
      <c r="H377" s="2" t="s">
        <v>16</v>
      </c>
      <c r="I377" s="2" t="s">
        <v>17</v>
      </c>
      <c r="J377" s="3">
        <v>1.6240000000000001</v>
      </c>
      <c r="K377" s="2" t="s">
        <v>425</v>
      </c>
      <c r="L377" s="2">
        <v>2024</v>
      </c>
      <c r="M377" s="2" t="s">
        <v>158</v>
      </c>
      <c r="N377" s="2" t="s">
        <v>21</v>
      </c>
      <c r="O377">
        <f t="shared" si="10"/>
        <v>5.2399999999999807</v>
      </c>
      <c r="P377">
        <f t="shared" si="11"/>
        <v>60.942999999999962</v>
      </c>
    </row>
    <row r="378" spans="1:16" x14ac:dyDescent="0.35">
      <c r="A378" s="9" t="s">
        <v>427</v>
      </c>
      <c r="B378" s="2">
        <v>218.31200000000001</v>
      </c>
      <c r="C378" s="2">
        <v>219.85</v>
      </c>
      <c r="D378" s="2">
        <v>217.35</v>
      </c>
      <c r="E378" s="2">
        <v>219.85</v>
      </c>
      <c r="F378" s="2">
        <v>37658818</v>
      </c>
      <c r="G378" s="2" t="s">
        <v>15</v>
      </c>
      <c r="H378" s="2" t="s">
        <v>16</v>
      </c>
      <c r="I378" s="2" t="s">
        <v>17</v>
      </c>
      <c r="J378" s="3">
        <v>0.58199999999999996</v>
      </c>
      <c r="K378" s="2" t="s">
        <v>425</v>
      </c>
      <c r="L378" s="2">
        <v>2024</v>
      </c>
      <c r="M378" s="2" t="s">
        <v>158</v>
      </c>
      <c r="N378" s="2" t="s">
        <v>21</v>
      </c>
      <c r="O378">
        <f t="shared" si="10"/>
        <v>2.5</v>
      </c>
      <c r="P378">
        <f t="shared" si="11"/>
        <v>61.524999999999963</v>
      </c>
    </row>
    <row r="379" spans="1:16" x14ac:dyDescent="0.35">
      <c r="A379" s="9" t="s">
        <v>428</v>
      </c>
      <c r="B379" s="2">
        <v>219.95</v>
      </c>
      <c r="C379" s="2">
        <v>224.71100000000001</v>
      </c>
      <c r="D379" s="2">
        <v>219.95</v>
      </c>
      <c r="E379" s="2">
        <v>224.60400000000001</v>
      </c>
      <c r="F379" s="2">
        <v>60879636</v>
      </c>
      <c r="G379" s="2" t="s">
        <v>15</v>
      </c>
      <c r="H379" s="2" t="s">
        <v>16</v>
      </c>
      <c r="I379" s="2" t="s">
        <v>17</v>
      </c>
      <c r="J379" s="3">
        <v>2.1619999999999999</v>
      </c>
      <c r="K379" s="2" t="s">
        <v>425</v>
      </c>
      <c r="L379" s="2">
        <v>2024</v>
      </c>
      <c r="M379" s="2" t="s">
        <v>158</v>
      </c>
      <c r="N379" s="2" t="s">
        <v>21</v>
      </c>
      <c r="O379">
        <f t="shared" si="10"/>
        <v>4.7610000000000241</v>
      </c>
      <c r="P379">
        <f t="shared" si="11"/>
        <v>63.686999999999962</v>
      </c>
    </row>
    <row r="380" spans="1:16" x14ac:dyDescent="0.35">
      <c r="A380" s="9" t="s">
        <v>429</v>
      </c>
      <c r="B380" s="2">
        <v>225.34700000000001</v>
      </c>
      <c r="C380" s="2">
        <v>226.102</v>
      </c>
      <c r="D380" s="2">
        <v>221.53700000000001</v>
      </c>
      <c r="E380" s="2">
        <v>226.072</v>
      </c>
      <c r="F380" s="2">
        <v>59542830</v>
      </c>
      <c r="G380" s="2" t="s">
        <v>15</v>
      </c>
      <c r="H380" s="2" t="s">
        <v>16</v>
      </c>
      <c r="I380" s="2" t="s">
        <v>17</v>
      </c>
      <c r="J380" s="3">
        <v>0.65400000000000003</v>
      </c>
      <c r="K380" s="2" t="s">
        <v>425</v>
      </c>
      <c r="L380" s="2">
        <v>2024</v>
      </c>
      <c r="M380" s="2" t="s">
        <v>158</v>
      </c>
      <c r="N380" s="2" t="s">
        <v>21</v>
      </c>
      <c r="O380">
        <f t="shared" si="10"/>
        <v>4.5649999999999977</v>
      </c>
      <c r="P380">
        <f t="shared" si="11"/>
        <v>64.340999999999966</v>
      </c>
    </row>
    <row r="381" spans="1:16" x14ac:dyDescent="0.35">
      <c r="A381" s="9" t="s">
        <v>430</v>
      </c>
      <c r="B381" s="2">
        <v>226.18</v>
      </c>
      <c r="C381" s="2">
        <v>227.64</v>
      </c>
      <c r="D381" s="2">
        <v>224.636</v>
      </c>
      <c r="E381" s="2">
        <v>226.92599999999999</v>
      </c>
      <c r="F381" s="2">
        <v>48542366</v>
      </c>
      <c r="G381" s="2" t="s">
        <v>15</v>
      </c>
      <c r="H381" s="2" t="s">
        <v>16</v>
      </c>
      <c r="I381" s="2" t="s">
        <v>17</v>
      </c>
      <c r="J381" s="3">
        <v>0.378</v>
      </c>
      <c r="K381" s="2" t="s">
        <v>425</v>
      </c>
      <c r="L381" s="2">
        <v>2024</v>
      </c>
      <c r="M381" s="2" t="s">
        <v>158</v>
      </c>
      <c r="N381" s="2" t="s">
        <v>21</v>
      </c>
      <c r="O381">
        <f t="shared" si="10"/>
        <v>3.0039999999999907</v>
      </c>
      <c r="P381">
        <f t="shared" si="11"/>
        <v>64.718999999999966</v>
      </c>
    </row>
    <row r="382" spans="1:16" x14ac:dyDescent="0.35">
      <c r="A382" s="9" t="s">
        <v>431</v>
      </c>
      <c r="B382" s="2">
        <v>227.54</v>
      </c>
      <c r="C382" s="2">
        <v>231.29300000000001</v>
      </c>
      <c r="D382" s="2">
        <v>227.49</v>
      </c>
      <c r="E382" s="2">
        <v>231.19300000000001</v>
      </c>
      <c r="F382" s="2">
        <v>63112048</v>
      </c>
      <c r="G382" s="2" t="s">
        <v>15</v>
      </c>
      <c r="H382" s="2" t="s">
        <v>16</v>
      </c>
      <c r="I382" s="2" t="s">
        <v>17</v>
      </c>
      <c r="J382" s="3">
        <v>1.88</v>
      </c>
      <c r="K382" s="2" t="s">
        <v>425</v>
      </c>
      <c r="L382" s="2">
        <v>2024</v>
      </c>
      <c r="M382" s="2" t="s">
        <v>158</v>
      </c>
      <c r="N382" s="2" t="s">
        <v>21</v>
      </c>
      <c r="O382">
        <f t="shared" si="10"/>
        <v>3.8029999999999973</v>
      </c>
      <c r="P382">
        <f t="shared" si="11"/>
        <v>66.598999999999961</v>
      </c>
    </row>
    <row r="383" spans="1:16" x14ac:dyDescent="0.35">
      <c r="A383" s="9" t="s">
        <v>432</v>
      </c>
      <c r="B383" s="2">
        <v>229.613</v>
      </c>
      <c r="C383" s="2">
        <v>230.60599999999999</v>
      </c>
      <c r="D383" s="2">
        <v>224.03700000000001</v>
      </c>
      <c r="E383" s="2">
        <v>225.82400000000001</v>
      </c>
      <c r="F383" s="2">
        <v>65211087</v>
      </c>
      <c r="G383" s="2" t="s">
        <v>15</v>
      </c>
      <c r="H383" s="2" t="s">
        <v>16</v>
      </c>
      <c r="I383" s="2" t="s">
        <v>17</v>
      </c>
      <c r="J383" s="4">
        <v>-2.3220000000000001</v>
      </c>
      <c r="K383" s="2" t="s">
        <v>425</v>
      </c>
      <c r="L383" s="2">
        <v>2024</v>
      </c>
      <c r="M383" s="2" t="s">
        <v>158</v>
      </c>
      <c r="N383" s="2" t="s">
        <v>23</v>
      </c>
      <c r="O383">
        <f t="shared" si="10"/>
        <v>6.5689999999999884</v>
      </c>
      <c r="P383">
        <f t="shared" si="11"/>
        <v>64.276999999999958</v>
      </c>
    </row>
    <row r="384" spans="1:16" x14ac:dyDescent="0.35">
      <c r="A384" s="9" t="s">
        <v>433</v>
      </c>
      <c r="B384" s="2">
        <v>227.16300000000001</v>
      </c>
      <c r="C384" s="2">
        <v>230.85400000000001</v>
      </c>
      <c r="D384" s="2">
        <v>226.92599999999999</v>
      </c>
      <c r="E384" s="2">
        <v>228.77</v>
      </c>
      <c r="F384" s="2">
        <v>53456787</v>
      </c>
      <c r="G384" s="2" t="s">
        <v>15</v>
      </c>
      <c r="H384" s="2" t="s">
        <v>16</v>
      </c>
      <c r="I384" s="2" t="s">
        <v>17</v>
      </c>
      <c r="J384" s="3">
        <v>1.3049999999999999</v>
      </c>
      <c r="K384" s="2" t="s">
        <v>425</v>
      </c>
      <c r="L384" s="2">
        <v>2024</v>
      </c>
      <c r="M384" s="2" t="s">
        <v>158</v>
      </c>
      <c r="N384" s="2" t="s">
        <v>21</v>
      </c>
      <c r="O384">
        <f t="shared" si="10"/>
        <v>3.9280000000000257</v>
      </c>
      <c r="P384">
        <f t="shared" si="11"/>
        <v>65.581999999999965</v>
      </c>
    </row>
    <row r="385" spans="1:16" x14ac:dyDescent="0.35">
      <c r="A385" s="9" t="s">
        <v>434</v>
      </c>
      <c r="B385" s="2">
        <v>234.66399999999999</v>
      </c>
      <c r="C385" s="2">
        <v>235.41</v>
      </c>
      <c r="D385" s="2">
        <v>231.303</v>
      </c>
      <c r="E385" s="2">
        <v>232.601</v>
      </c>
      <c r="F385" s="2">
        <v>63115640</v>
      </c>
      <c r="G385" s="2" t="s">
        <v>15</v>
      </c>
      <c r="H385" s="2" t="s">
        <v>16</v>
      </c>
      <c r="I385" s="2" t="s">
        <v>17</v>
      </c>
      <c r="J385" s="3">
        <v>1.675</v>
      </c>
      <c r="K385" s="2" t="s">
        <v>425</v>
      </c>
      <c r="L385" s="2">
        <v>2024</v>
      </c>
      <c r="M385" s="2" t="s">
        <v>158</v>
      </c>
      <c r="N385" s="2" t="s">
        <v>21</v>
      </c>
      <c r="O385">
        <f t="shared" si="10"/>
        <v>4.1069999999999993</v>
      </c>
      <c r="P385">
        <f t="shared" si="11"/>
        <v>67.256999999999962</v>
      </c>
    </row>
    <row r="386" spans="1:16" x14ac:dyDescent="0.35">
      <c r="A386" s="9" t="s">
        <v>435</v>
      </c>
      <c r="B386" s="2">
        <v>233.196</v>
      </c>
      <c r="C386" s="2">
        <v>234.458</v>
      </c>
      <c r="D386" s="2">
        <v>230.54599999999999</v>
      </c>
      <c r="E386" s="2">
        <v>233.01900000000001</v>
      </c>
      <c r="F386" s="2">
        <v>43568651</v>
      </c>
      <c r="G386" s="2" t="s">
        <v>15</v>
      </c>
      <c r="H386" s="2" t="s">
        <v>16</v>
      </c>
      <c r="I386" s="2" t="s">
        <v>17</v>
      </c>
      <c r="J386" s="3">
        <v>0.18</v>
      </c>
      <c r="K386" s="2" t="s">
        <v>425</v>
      </c>
      <c r="L386" s="2">
        <v>2024</v>
      </c>
      <c r="M386" s="2" t="s">
        <v>158</v>
      </c>
      <c r="N386" s="2" t="s">
        <v>21</v>
      </c>
      <c r="O386">
        <f t="shared" si="10"/>
        <v>3.9120000000000061</v>
      </c>
      <c r="P386">
        <f t="shared" si="11"/>
        <v>67.436999999999969</v>
      </c>
    </row>
    <row r="387" spans="1:16" x14ac:dyDescent="0.35">
      <c r="A387" s="9" t="s">
        <v>436</v>
      </c>
      <c r="B387" s="2">
        <v>227.69</v>
      </c>
      <c r="C387" s="2">
        <v>229.68299999999999</v>
      </c>
      <c r="D387" s="2">
        <v>224.90100000000001</v>
      </c>
      <c r="E387" s="2">
        <v>227.12299999999999</v>
      </c>
      <c r="F387" s="2">
        <v>57789396</v>
      </c>
      <c r="G387" s="2" t="s">
        <v>15</v>
      </c>
      <c r="H387" s="2" t="s">
        <v>16</v>
      </c>
      <c r="I387" s="2" t="s">
        <v>17</v>
      </c>
      <c r="J387" s="4">
        <v>-2.5299999999999998</v>
      </c>
      <c r="K387" s="2" t="s">
        <v>425</v>
      </c>
      <c r="L387" s="2">
        <v>2024</v>
      </c>
      <c r="M387" s="2" t="s">
        <v>158</v>
      </c>
      <c r="N387" s="2" t="s">
        <v>23</v>
      </c>
      <c r="O387">
        <f t="shared" ref="O387:O450" si="12">C387-D387</f>
        <v>4.7819999999999823</v>
      </c>
      <c r="P387">
        <f t="shared" si="11"/>
        <v>64.906999999999968</v>
      </c>
    </row>
    <row r="388" spans="1:16" x14ac:dyDescent="0.35">
      <c r="A388" s="9" t="s">
        <v>437</v>
      </c>
      <c r="B388" s="2">
        <v>228.512</v>
      </c>
      <c r="C388" s="2">
        <v>228.67099999999999</v>
      </c>
      <c r="D388" s="2">
        <v>220.56399999999999</v>
      </c>
      <c r="E388" s="2">
        <v>222.459</v>
      </c>
      <c r="F388" s="2">
        <v>66545295</v>
      </c>
      <c r="G388" s="2" t="s">
        <v>15</v>
      </c>
      <c r="H388" s="2" t="s">
        <v>16</v>
      </c>
      <c r="I388" s="2" t="s">
        <v>17</v>
      </c>
      <c r="J388" s="4">
        <v>-2.0539999999999998</v>
      </c>
      <c r="K388" s="2" t="s">
        <v>425</v>
      </c>
      <c r="L388" s="2">
        <v>2024</v>
      </c>
      <c r="M388" s="2" t="s">
        <v>158</v>
      </c>
      <c r="N388" s="2" t="s">
        <v>23</v>
      </c>
      <c r="O388">
        <f t="shared" si="12"/>
        <v>8.1069999999999993</v>
      </c>
      <c r="P388">
        <f t="shared" ref="P388:P451" si="13">IF(G388=G387, P387+J388, J388)</f>
        <v>62.852999999999966</v>
      </c>
    </row>
    <row r="389" spans="1:16" x14ac:dyDescent="0.35">
      <c r="A389" s="9" t="s">
        <v>438</v>
      </c>
      <c r="B389" s="2">
        <v>223.095</v>
      </c>
      <c r="C389" s="2">
        <v>225.059</v>
      </c>
      <c r="D389" s="2">
        <v>221.56200000000001</v>
      </c>
      <c r="E389" s="2">
        <v>222.589</v>
      </c>
      <c r="F389" s="2">
        <v>49531589</v>
      </c>
      <c r="G389" s="2" t="s">
        <v>15</v>
      </c>
      <c r="H389" s="2" t="s">
        <v>16</v>
      </c>
      <c r="I389" s="2" t="s">
        <v>17</v>
      </c>
      <c r="J389" s="3">
        <v>5.8000000000000003E-2</v>
      </c>
      <c r="K389" s="2" t="s">
        <v>425</v>
      </c>
      <c r="L389" s="2">
        <v>2024</v>
      </c>
      <c r="M389" s="2" t="s">
        <v>158</v>
      </c>
      <c r="N389" s="2" t="s">
        <v>21</v>
      </c>
      <c r="O389">
        <f t="shared" si="12"/>
        <v>3.4969999999999857</v>
      </c>
      <c r="P389">
        <f t="shared" si="13"/>
        <v>62.910999999999966</v>
      </c>
    </row>
    <row r="390" spans="1:16" x14ac:dyDescent="0.35">
      <c r="A390" s="9" t="s">
        <v>439</v>
      </c>
      <c r="B390" s="2">
        <v>225.268</v>
      </c>
      <c r="C390" s="2">
        <v>226.03200000000001</v>
      </c>
      <c r="D390" s="2">
        <v>221.37799999999999</v>
      </c>
      <c r="E390" s="2">
        <v>222.24100000000001</v>
      </c>
      <c r="F390" s="2">
        <v>48574626</v>
      </c>
      <c r="G390" s="2" t="s">
        <v>15</v>
      </c>
      <c r="H390" s="2" t="s">
        <v>16</v>
      </c>
      <c r="I390" s="2" t="s">
        <v>17</v>
      </c>
      <c r="J390" s="4">
        <v>-0.156</v>
      </c>
      <c r="K390" s="2" t="s">
        <v>425</v>
      </c>
      <c r="L390" s="2">
        <v>2024</v>
      </c>
      <c r="M390" s="2" t="s">
        <v>158</v>
      </c>
      <c r="N390" s="2" t="s">
        <v>23</v>
      </c>
      <c r="O390">
        <f t="shared" si="12"/>
        <v>4.6540000000000248</v>
      </c>
      <c r="P390">
        <f t="shared" si="13"/>
        <v>62.754999999999967</v>
      </c>
    </row>
    <row r="391" spans="1:16" x14ac:dyDescent="0.35">
      <c r="A391" s="9" t="s">
        <v>440</v>
      </c>
      <c r="B391" s="2">
        <v>222.64400000000001</v>
      </c>
      <c r="C391" s="2">
        <v>225.19800000000001</v>
      </c>
      <c r="D391" s="2">
        <v>220.97200000000001</v>
      </c>
      <c r="E391" s="2">
        <v>223.28200000000001</v>
      </c>
      <c r="F391" s="2">
        <v>40269311</v>
      </c>
      <c r="G391" s="2" t="s">
        <v>15</v>
      </c>
      <c r="H391" s="2" t="s">
        <v>16</v>
      </c>
      <c r="I391" s="2" t="s">
        <v>17</v>
      </c>
      <c r="J391" s="3">
        <v>0.46800000000000003</v>
      </c>
      <c r="K391" s="2" t="s">
        <v>425</v>
      </c>
      <c r="L391" s="2">
        <v>2024</v>
      </c>
      <c r="M391" s="2" t="s">
        <v>158</v>
      </c>
      <c r="N391" s="2" t="s">
        <v>21</v>
      </c>
      <c r="O391">
        <f t="shared" si="12"/>
        <v>4.2259999999999991</v>
      </c>
      <c r="P391">
        <f t="shared" si="13"/>
        <v>63.222999999999971</v>
      </c>
    </row>
    <row r="392" spans="1:16" x14ac:dyDescent="0.35">
      <c r="A392" s="9" t="s">
        <v>441</v>
      </c>
      <c r="B392" s="2">
        <v>222.28100000000001</v>
      </c>
      <c r="C392" s="2">
        <v>223.07499999999999</v>
      </c>
      <c r="D392" s="2">
        <v>215.464</v>
      </c>
      <c r="E392" s="2">
        <v>216.863</v>
      </c>
      <c r="F392" s="2">
        <v>62255362</v>
      </c>
      <c r="G392" s="2" t="s">
        <v>15</v>
      </c>
      <c r="H392" s="2" t="s">
        <v>16</v>
      </c>
      <c r="I392" s="2" t="s">
        <v>17</v>
      </c>
      <c r="J392" s="4">
        <v>-2.875</v>
      </c>
      <c r="K392" s="2" t="s">
        <v>425</v>
      </c>
      <c r="L392" s="2">
        <v>2024</v>
      </c>
      <c r="M392" s="2" t="s">
        <v>158</v>
      </c>
      <c r="N392" s="2" t="s">
        <v>23</v>
      </c>
      <c r="O392">
        <f t="shared" si="12"/>
        <v>7.61099999999999</v>
      </c>
      <c r="P392">
        <f t="shared" si="13"/>
        <v>60.347999999999971</v>
      </c>
    </row>
    <row r="393" spans="1:16" x14ac:dyDescent="0.35">
      <c r="A393" s="9" t="s">
        <v>442</v>
      </c>
      <c r="B393" s="2">
        <v>217.25</v>
      </c>
      <c r="C393" s="2">
        <v>219.15600000000001</v>
      </c>
      <c r="D393" s="2">
        <v>212.97300000000001</v>
      </c>
      <c r="E393" s="2">
        <v>215.822</v>
      </c>
      <c r="F393" s="2">
        <v>51788656</v>
      </c>
      <c r="G393" s="2" t="s">
        <v>15</v>
      </c>
      <c r="H393" s="2" t="s">
        <v>16</v>
      </c>
      <c r="I393" s="2" t="s">
        <v>17</v>
      </c>
      <c r="J393" s="4">
        <v>-0.48</v>
      </c>
      <c r="K393" s="2" t="s">
        <v>425</v>
      </c>
      <c r="L393" s="2">
        <v>2024</v>
      </c>
      <c r="M393" s="2" t="s">
        <v>158</v>
      </c>
      <c r="N393" s="2" t="s">
        <v>23</v>
      </c>
      <c r="O393">
        <f t="shared" si="12"/>
        <v>6.1829999999999927</v>
      </c>
      <c r="P393">
        <f t="shared" si="13"/>
        <v>59.867999999999974</v>
      </c>
    </row>
    <row r="394" spans="1:16" x14ac:dyDescent="0.35">
      <c r="A394" s="9" t="s">
        <v>443</v>
      </c>
      <c r="B394" s="2">
        <v>217.02099999999999</v>
      </c>
      <c r="C394" s="2">
        <v>217.80500000000001</v>
      </c>
      <c r="D394" s="2">
        <v>214.351</v>
      </c>
      <c r="E394" s="2">
        <v>216.28800000000001</v>
      </c>
      <c r="F394" s="2">
        <v>41923088</v>
      </c>
      <c r="G394" s="2" t="s">
        <v>15</v>
      </c>
      <c r="H394" s="2" t="s">
        <v>16</v>
      </c>
      <c r="I394" s="2" t="s">
        <v>17</v>
      </c>
      <c r="J394" s="3">
        <v>0.216</v>
      </c>
      <c r="K394" s="2" t="s">
        <v>425</v>
      </c>
      <c r="L394" s="2">
        <v>2024</v>
      </c>
      <c r="M394" s="2" t="s">
        <v>158</v>
      </c>
      <c r="N394" s="2" t="s">
        <v>21</v>
      </c>
      <c r="O394">
        <f t="shared" si="12"/>
        <v>3.4540000000000077</v>
      </c>
      <c r="P394">
        <f t="shared" si="13"/>
        <v>60.083999999999975</v>
      </c>
    </row>
    <row r="395" spans="1:16" x14ac:dyDescent="0.35">
      <c r="A395" s="9" t="s">
        <v>444</v>
      </c>
      <c r="B395" s="2">
        <v>215.29499999999999</v>
      </c>
      <c r="C395" s="2">
        <v>217.61699999999999</v>
      </c>
      <c r="D395" s="2">
        <v>214.095</v>
      </c>
      <c r="E395" s="2">
        <v>216.565</v>
      </c>
      <c r="F395" s="2">
        <v>36592612</v>
      </c>
      <c r="G395" s="2" t="s">
        <v>15</v>
      </c>
      <c r="H395" s="2" t="s">
        <v>16</v>
      </c>
      <c r="I395" s="2" t="s">
        <v>17</v>
      </c>
      <c r="J395" s="3">
        <v>0.128</v>
      </c>
      <c r="K395" s="2" t="s">
        <v>425</v>
      </c>
      <c r="L395" s="2">
        <v>2024</v>
      </c>
      <c r="M395" s="2" t="s">
        <v>158</v>
      </c>
      <c r="N395" s="2" t="s">
        <v>21</v>
      </c>
      <c r="O395">
        <f t="shared" si="12"/>
        <v>3.5219999999999914</v>
      </c>
      <c r="P395">
        <f t="shared" si="13"/>
        <v>60.211999999999975</v>
      </c>
    </row>
    <row r="396" spans="1:16" x14ac:dyDescent="0.35">
      <c r="A396" s="9" t="s">
        <v>445</v>
      </c>
      <c r="B396" s="2">
        <v>217.50800000000001</v>
      </c>
      <c r="C396" s="2">
        <v>218.63300000000001</v>
      </c>
      <c r="D396" s="2">
        <v>214.46100000000001</v>
      </c>
      <c r="E396" s="2">
        <v>217.12</v>
      </c>
      <c r="F396" s="2">
        <v>41965912</v>
      </c>
      <c r="G396" s="2" t="s">
        <v>15</v>
      </c>
      <c r="H396" s="2" t="s">
        <v>16</v>
      </c>
      <c r="I396" s="2" t="s">
        <v>17</v>
      </c>
      <c r="J396" s="3">
        <v>0.25600000000000001</v>
      </c>
      <c r="K396" s="2" t="s">
        <v>425</v>
      </c>
      <c r="L396" s="2">
        <v>2024</v>
      </c>
      <c r="M396" s="2" t="s">
        <v>158</v>
      </c>
      <c r="N396" s="2" t="s">
        <v>21</v>
      </c>
      <c r="O396">
        <f t="shared" si="12"/>
        <v>4.171999999999997</v>
      </c>
      <c r="P396">
        <f t="shared" si="13"/>
        <v>60.467999999999975</v>
      </c>
    </row>
    <row r="397" spans="1:16" x14ac:dyDescent="0.35">
      <c r="A397" s="9" t="s">
        <v>446</v>
      </c>
      <c r="B397" s="2">
        <v>219.74</v>
      </c>
      <c r="C397" s="2">
        <v>222.101</v>
      </c>
      <c r="D397" s="2">
        <v>218.93700000000001</v>
      </c>
      <c r="E397" s="2">
        <v>220.375</v>
      </c>
      <c r="F397" s="2">
        <v>50423241</v>
      </c>
      <c r="G397" s="2" t="s">
        <v>15</v>
      </c>
      <c r="H397" s="2" t="s">
        <v>16</v>
      </c>
      <c r="I397" s="2" t="s">
        <v>17</v>
      </c>
      <c r="J397" s="3">
        <v>1.4990000000000001</v>
      </c>
      <c r="K397" s="2" t="s">
        <v>425</v>
      </c>
      <c r="L397" s="2">
        <v>2024</v>
      </c>
      <c r="M397" s="2" t="s">
        <v>158</v>
      </c>
      <c r="N397" s="2" t="s">
        <v>21</v>
      </c>
      <c r="O397">
        <f t="shared" si="12"/>
        <v>3.1639999999999873</v>
      </c>
      <c r="P397">
        <f t="shared" si="13"/>
        <v>61.966999999999977</v>
      </c>
    </row>
    <row r="398" spans="1:16" x14ac:dyDescent="0.35">
      <c r="A398" s="9" t="s">
        <v>447</v>
      </c>
      <c r="B398" s="2">
        <v>222.649</v>
      </c>
      <c r="C398" s="2">
        <v>222.75800000000001</v>
      </c>
      <c r="D398" s="2">
        <v>215.35400000000001</v>
      </c>
      <c r="E398" s="2">
        <v>216.685</v>
      </c>
      <c r="F398" s="2">
        <v>62984376</v>
      </c>
      <c r="G398" s="2" t="s">
        <v>15</v>
      </c>
      <c r="H398" s="2" t="s">
        <v>16</v>
      </c>
      <c r="I398" s="2" t="s">
        <v>17</v>
      </c>
      <c r="J398" s="4">
        <v>-1.6739999999999999</v>
      </c>
      <c r="K398" s="2" t="s">
        <v>448</v>
      </c>
      <c r="L398" s="2">
        <v>2024</v>
      </c>
      <c r="M398" s="2" t="s">
        <v>180</v>
      </c>
      <c r="N398" s="2" t="s">
        <v>23</v>
      </c>
      <c r="O398">
        <f t="shared" si="12"/>
        <v>7.4039999999999964</v>
      </c>
      <c r="P398">
        <f t="shared" si="13"/>
        <v>60.292999999999978</v>
      </c>
    </row>
    <row r="399" spans="1:16" x14ac:dyDescent="0.35">
      <c r="A399" s="9" t="s">
        <v>449</v>
      </c>
      <c r="B399" s="2">
        <v>217.46899999999999</v>
      </c>
      <c r="C399" s="2">
        <v>223.869</v>
      </c>
      <c r="D399" s="2">
        <v>216.03800000000001</v>
      </c>
      <c r="E399" s="2">
        <v>218.173</v>
      </c>
      <c r="F399" s="2">
        <v>106385024</v>
      </c>
      <c r="G399" s="2" t="s">
        <v>15</v>
      </c>
      <c r="H399" s="2" t="s">
        <v>16</v>
      </c>
      <c r="I399" s="2" t="s">
        <v>17</v>
      </c>
      <c r="J399" s="3">
        <v>0.68700000000000006</v>
      </c>
      <c r="K399" s="2" t="s">
        <v>448</v>
      </c>
      <c r="L399" s="2">
        <v>2024</v>
      </c>
      <c r="M399" s="2" t="s">
        <v>180</v>
      </c>
      <c r="N399" s="2" t="s">
        <v>21</v>
      </c>
      <c r="O399">
        <f t="shared" si="12"/>
        <v>7.8309999999999889</v>
      </c>
      <c r="P399">
        <f t="shared" si="13"/>
        <v>60.979999999999976</v>
      </c>
    </row>
    <row r="400" spans="1:16" x14ac:dyDescent="0.35">
      <c r="A400" s="9" t="s">
        <v>450</v>
      </c>
      <c r="B400" s="2">
        <v>197.56100000000001</v>
      </c>
      <c r="C400" s="2">
        <v>211.86099999999999</v>
      </c>
      <c r="D400" s="2">
        <v>194.495</v>
      </c>
      <c r="E400" s="2">
        <v>207.66499999999999</v>
      </c>
      <c r="F400" s="2">
        <v>120473176</v>
      </c>
      <c r="G400" s="2" t="s">
        <v>15</v>
      </c>
      <c r="H400" s="2" t="s">
        <v>16</v>
      </c>
      <c r="I400" s="2" t="s">
        <v>17</v>
      </c>
      <c r="J400" s="4">
        <v>-4.8159999999999998</v>
      </c>
      <c r="K400" s="2" t="s">
        <v>448</v>
      </c>
      <c r="L400" s="2">
        <v>2024</v>
      </c>
      <c r="M400" s="2" t="s">
        <v>180</v>
      </c>
      <c r="N400" s="2" t="s">
        <v>23</v>
      </c>
      <c r="O400">
        <f t="shared" si="12"/>
        <v>17.365999999999985</v>
      </c>
      <c r="P400">
        <f t="shared" si="13"/>
        <v>56.163999999999973</v>
      </c>
    </row>
    <row r="401" spans="1:16" x14ac:dyDescent="0.35">
      <c r="A401" s="9" t="s">
        <v>451</v>
      </c>
      <c r="B401" s="2">
        <v>203.72399999999999</v>
      </c>
      <c r="C401" s="2">
        <v>208.37799999999999</v>
      </c>
      <c r="D401" s="2">
        <v>199.52699999999999</v>
      </c>
      <c r="E401" s="2">
        <v>205.64</v>
      </c>
      <c r="F401" s="2">
        <v>70199240</v>
      </c>
      <c r="G401" s="2" t="s">
        <v>15</v>
      </c>
      <c r="H401" s="2" t="s">
        <v>16</v>
      </c>
      <c r="I401" s="2" t="s">
        <v>17</v>
      </c>
      <c r="J401" s="4">
        <v>-0.97499999999999998</v>
      </c>
      <c r="K401" s="2" t="s">
        <v>448</v>
      </c>
      <c r="L401" s="2">
        <v>2024</v>
      </c>
      <c r="M401" s="2" t="s">
        <v>180</v>
      </c>
      <c r="N401" s="2" t="s">
        <v>23</v>
      </c>
      <c r="O401">
        <f t="shared" si="12"/>
        <v>8.8509999999999991</v>
      </c>
      <c r="P401">
        <f t="shared" si="13"/>
        <v>55.188999999999972</v>
      </c>
    </row>
    <row r="402" spans="1:16" x14ac:dyDescent="0.35">
      <c r="A402" s="9" t="s">
        <v>452</v>
      </c>
      <c r="B402" s="2">
        <v>205.31299999999999</v>
      </c>
      <c r="C402" s="2">
        <v>212</v>
      </c>
      <c r="D402" s="2">
        <v>204.80500000000001</v>
      </c>
      <c r="E402" s="2">
        <v>208.209</v>
      </c>
      <c r="F402" s="2">
        <v>64007651</v>
      </c>
      <c r="G402" s="2" t="s">
        <v>15</v>
      </c>
      <c r="H402" s="2" t="s">
        <v>16</v>
      </c>
      <c r="I402" s="2" t="s">
        <v>17</v>
      </c>
      <c r="J402" s="3">
        <v>1.2490000000000001</v>
      </c>
      <c r="K402" s="2" t="s">
        <v>448</v>
      </c>
      <c r="L402" s="2">
        <v>2024</v>
      </c>
      <c r="M402" s="2" t="s">
        <v>180</v>
      </c>
      <c r="N402" s="2" t="s">
        <v>21</v>
      </c>
      <c r="O402">
        <f t="shared" si="12"/>
        <v>7.1949999999999932</v>
      </c>
      <c r="P402">
        <f t="shared" si="13"/>
        <v>56.437999999999974</v>
      </c>
    </row>
    <row r="403" spans="1:16" x14ac:dyDescent="0.35">
      <c r="A403" s="9" t="s">
        <v>453</v>
      </c>
      <c r="B403" s="2">
        <v>211.47499999999999</v>
      </c>
      <c r="C403" s="2">
        <v>212.55500000000001</v>
      </c>
      <c r="D403" s="2">
        <v>207.227</v>
      </c>
      <c r="E403" s="2">
        <v>211.673</v>
      </c>
      <c r="F403" s="2">
        <v>47525892</v>
      </c>
      <c r="G403" s="2" t="s">
        <v>15</v>
      </c>
      <c r="H403" s="2" t="s">
        <v>16</v>
      </c>
      <c r="I403" s="2" t="s">
        <v>17</v>
      </c>
      <c r="J403" s="3">
        <v>1.6639999999999999</v>
      </c>
      <c r="K403" s="2" t="s">
        <v>448</v>
      </c>
      <c r="L403" s="2">
        <v>2024</v>
      </c>
      <c r="M403" s="2" t="s">
        <v>180</v>
      </c>
      <c r="N403" s="2" t="s">
        <v>21</v>
      </c>
      <c r="O403">
        <f t="shared" si="12"/>
        <v>5.328000000000003</v>
      </c>
      <c r="P403">
        <f t="shared" si="13"/>
        <v>58.101999999999975</v>
      </c>
    </row>
    <row r="404" spans="1:16" x14ac:dyDescent="0.35">
      <c r="A404" s="9" t="s">
        <v>454</v>
      </c>
      <c r="B404" s="2">
        <v>210.47300000000001</v>
      </c>
      <c r="C404" s="2">
        <v>215.11500000000001</v>
      </c>
      <c r="D404" s="2">
        <v>210.34299999999999</v>
      </c>
      <c r="E404" s="2">
        <v>214.58099999999999</v>
      </c>
      <c r="F404" s="2">
        <v>42528032</v>
      </c>
      <c r="G404" s="2" t="s">
        <v>15</v>
      </c>
      <c r="H404" s="2" t="s">
        <v>16</v>
      </c>
      <c r="I404" s="2" t="s">
        <v>17</v>
      </c>
      <c r="J404" s="3">
        <v>1.3740000000000001</v>
      </c>
      <c r="K404" s="2" t="s">
        <v>448</v>
      </c>
      <c r="L404" s="2">
        <v>2024</v>
      </c>
      <c r="M404" s="2" t="s">
        <v>180</v>
      </c>
      <c r="N404" s="2" t="s">
        <v>21</v>
      </c>
      <c r="O404">
        <f t="shared" si="12"/>
        <v>4.7720000000000198</v>
      </c>
      <c r="P404">
        <f t="shared" si="13"/>
        <v>59.475999999999978</v>
      </c>
    </row>
    <row r="405" spans="1:16" x14ac:dyDescent="0.35">
      <c r="A405" s="9" t="s">
        <v>455</v>
      </c>
      <c r="B405" s="2">
        <v>214.661</v>
      </c>
      <c r="C405" s="2">
        <v>218.077</v>
      </c>
      <c r="D405" s="2">
        <v>214.19200000000001</v>
      </c>
      <c r="E405" s="2">
        <v>216.11</v>
      </c>
      <c r="F405" s="2">
        <v>38277894</v>
      </c>
      <c r="G405" s="2" t="s">
        <v>15</v>
      </c>
      <c r="H405" s="2" t="s">
        <v>16</v>
      </c>
      <c r="I405" s="2" t="s">
        <v>17</v>
      </c>
      <c r="J405" s="3">
        <v>0.71299999999999997</v>
      </c>
      <c r="K405" s="2" t="s">
        <v>448</v>
      </c>
      <c r="L405" s="2">
        <v>2024</v>
      </c>
      <c r="M405" s="2" t="s">
        <v>180</v>
      </c>
      <c r="N405" s="2" t="s">
        <v>21</v>
      </c>
      <c r="O405">
        <f t="shared" si="12"/>
        <v>3.8849999999999909</v>
      </c>
      <c r="P405">
        <f t="shared" si="13"/>
        <v>60.188999999999979</v>
      </c>
    </row>
    <row r="406" spans="1:16" x14ac:dyDescent="0.35">
      <c r="A406" s="9" t="s">
        <v>456</v>
      </c>
      <c r="B406" s="2">
        <v>217.58099999999999</v>
      </c>
      <c r="C406" s="2">
        <v>220.44200000000001</v>
      </c>
      <c r="D406" s="2">
        <v>217.58099999999999</v>
      </c>
      <c r="E406" s="2">
        <v>219.82599999999999</v>
      </c>
      <c r="F406" s="2">
        <v>44445383</v>
      </c>
      <c r="G406" s="2" t="s">
        <v>15</v>
      </c>
      <c r="H406" s="2" t="s">
        <v>16</v>
      </c>
      <c r="I406" s="2" t="s">
        <v>17</v>
      </c>
      <c r="J406" s="3">
        <v>1.7190000000000001</v>
      </c>
      <c r="K406" s="2" t="s">
        <v>448</v>
      </c>
      <c r="L406" s="2">
        <v>2024</v>
      </c>
      <c r="M406" s="2" t="s">
        <v>180</v>
      </c>
      <c r="N406" s="2" t="s">
        <v>21</v>
      </c>
      <c r="O406">
        <f t="shared" si="12"/>
        <v>2.8610000000000184</v>
      </c>
      <c r="P406">
        <f t="shared" si="13"/>
        <v>61.90799999999998</v>
      </c>
    </row>
    <row r="407" spans="1:16" x14ac:dyDescent="0.35">
      <c r="A407" s="9" t="s">
        <v>457</v>
      </c>
      <c r="B407" s="2">
        <v>219.131</v>
      </c>
      <c r="C407" s="2">
        <v>221.57499999999999</v>
      </c>
      <c r="D407" s="2">
        <v>218.267</v>
      </c>
      <c r="E407" s="2">
        <v>220.273</v>
      </c>
      <c r="F407" s="2">
        <v>42236208</v>
      </c>
      <c r="G407" s="2" t="s">
        <v>15</v>
      </c>
      <c r="H407" s="2" t="s">
        <v>16</v>
      </c>
      <c r="I407" s="2" t="s">
        <v>17</v>
      </c>
      <c r="J407" s="3">
        <v>0.20300000000000001</v>
      </c>
      <c r="K407" s="2" t="s">
        <v>448</v>
      </c>
      <c r="L407" s="2">
        <v>2024</v>
      </c>
      <c r="M407" s="2" t="s">
        <v>180</v>
      </c>
      <c r="N407" s="2" t="s">
        <v>21</v>
      </c>
      <c r="O407">
        <f t="shared" si="12"/>
        <v>3.3079999999999927</v>
      </c>
      <c r="P407">
        <f t="shared" si="13"/>
        <v>62.110999999999983</v>
      </c>
    </row>
    <row r="408" spans="1:16" x14ac:dyDescent="0.35">
      <c r="A408" s="9" t="s">
        <v>458</v>
      </c>
      <c r="B408" s="2">
        <v>223.13399999999999</v>
      </c>
      <c r="C408" s="2">
        <v>223.88</v>
      </c>
      <c r="D408" s="2">
        <v>221.30600000000001</v>
      </c>
      <c r="E408" s="2">
        <v>223.25200000000001</v>
      </c>
      <c r="F408" s="2">
        <v>46718902</v>
      </c>
      <c r="G408" s="2" t="s">
        <v>15</v>
      </c>
      <c r="H408" s="2" t="s">
        <v>16</v>
      </c>
      <c r="I408" s="2" t="s">
        <v>17</v>
      </c>
      <c r="J408" s="3">
        <v>1.3520000000000001</v>
      </c>
      <c r="K408" s="2" t="s">
        <v>448</v>
      </c>
      <c r="L408" s="2">
        <v>2024</v>
      </c>
      <c r="M408" s="2" t="s">
        <v>180</v>
      </c>
      <c r="N408" s="2" t="s">
        <v>21</v>
      </c>
      <c r="O408">
        <f t="shared" si="12"/>
        <v>2.5739999999999839</v>
      </c>
      <c r="P408">
        <f t="shared" si="13"/>
        <v>63.46299999999998</v>
      </c>
    </row>
    <row r="409" spans="1:16" x14ac:dyDescent="0.35">
      <c r="A409" s="9" t="s">
        <v>459</v>
      </c>
      <c r="B409" s="2">
        <v>222.458</v>
      </c>
      <c r="C409" s="2">
        <v>225.34700000000001</v>
      </c>
      <c r="D409" s="2">
        <v>222.19</v>
      </c>
      <c r="E409" s="2">
        <v>224.57599999999999</v>
      </c>
      <c r="F409" s="2">
        <v>44631506</v>
      </c>
      <c r="G409" s="2" t="s">
        <v>15</v>
      </c>
      <c r="H409" s="2" t="s">
        <v>16</v>
      </c>
      <c r="I409" s="2" t="s">
        <v>17</v>
      </c>
      <c r="J409" s="3">
        <v>0.59299999999999997</v>
      </c>
      <c r="K409" s="2" t="s">
        <v>448</v>
      </c>
      <c r="L409" s="2">
        <v>2024</v>
      </c>
      <c r="M409" s="2" t="s">
        <v>180</v>
      </c>
      <c r="N409" s="2" t="s">
        <v>21</v>
      </c>
      <c r="O409">
        <f t="shared" si="12"/>
        <v>3.1570000000000107</v>
      </c>
      <c r="P409">
        <f t="shared" si="13"/>
        <v>64.055999999999983</v>
      </c>
    </row>
    <row r="410" spans="1:16" x14ac:dyDescent="0.35">
      <c r="A410" s="9" t="s">
        <v>460</v>
      </c>
      <c r="B410" s="2">
        <v>224.24600000000001</v>
      </c>
      <c r="C410" s="2">
        <v>224.51599999999999</v>
      </c>
      <c r="D410" s="2">
        <v>221.58500000000001</v>
      </c>
      <c r="E410" s="2">
        <v>224.416</v>
      </c>
      <c r="F410" s="2">
        <v>40955086</v>
      </c>
      <c r="G410" s="2" t="s">
        <v>15</v>
      </c>
      <c r="H410" s="2" t="s">
        <v>16</v>
      </c>
      <c r="I410" s="2" t="s">
        <v>17</v>
      </c>
      <c r="J410" s="4">
        <v>-7.0999999999999994E-2</v>
      </c>
      <c r="K410" s="2" t="s">
        <v>448</v>
      </c>
      <c r="L410" s="2">
        <v>2024</v>
      </c>
      <c r="M410" s="2" t="s">
        <v>180</v>
      </c>
      <c r="N410" s="2" t="s">
        <v>23</v>
      </c>
      <c r="O410">
        <f t="shared" si="12"/>
        <v>2.9309999999999832</v>
      </c>
      <c r="P410">
        <f t="shared" si="13"/>
        <v>63.984999999999985</v>
      </c>
    </row>
    <row r="411" spans="1:16" x14ac:dyDescent="0.35">
      <c r="A411" s="9" t="s">
        <v>461</v>
      </c>
      <c r="B411" s="2">
        <v>224.29599999999999</v>
      </c>
      <c r="C411" s="2">
        <v>225.68700000000001</v>
      </c>
      <c r="D411" s="2">
        <v>223.97800000000001</v>
      </c>
      <c r="E411" s="2">
        <v>225.03200000000001</v>
      </c>
      <c r="F411" s="2">
        <v>30498065</v>
      </c>
      <c r="G411" s="2" t="s">
        <v>15</v>
      </c>
      <c r="H411" s="2" t="s">
        <v>16</v>
      </c>
      <c r="I411" s="2" t="s">
        <v>17</v>
      </c>
      <c r="J411" s="3">
        <v>0.27400000000000002</v>
      </c>
      <c r="K411" s="2" t="s">
        <v>448</v>
      </c>
      <c r="L411" s="2">
        <v>2024</v>
      </c>
      <c r="M411" s="2" t="s">
        <v>180</v>
      </c>
      <c r="N411" s="2" t="s">
        <v>21</v>
      </c>
      <c r="O411">
        <f t="shared" si="12"/>
        <v>1.7090000000000032</v>
      </c>
      <c r="P411">
        <f t="shared" si="13"/>
        <v>64.258999999999986</v>
      </c>
    </row>
    <row r="412" spans="1:16" x14ac:dyDescent="0.35">
      <c r="A412" s="9" t="s">
        <v>462</v>
      </c>
      <c r="B412" s="2">
        <v>225.041</v>
      </c>
      <c r="C412" s="2">
        <v>226.49100000000001</v>
      </c>
      <c r="D412" s="2">
        <v>223.58199999999999</v>
      </c>
      <c r="E412" s="2">
        <v>224.923</v>
      </c>
      <c r="F412" s="2">
        <v>34993850</v>
      </c>
      <c r="G412" s="2" t="s">
        <v>15</v>
      </c>
      <c r="H412" s="2" t="s">
        <v>16</v>
      </c>
      <c r="I412" s="2" t="s">
        <v>17</v>
      </c>
      <c r="J412" s="4">
        <v>-4.8000000000000001E-2</v>
      </c>
      <c r="K412" s="2" t="s">
        <v>448</v>
      </c>
      <c r="L412" s="2">
        <v>2024</v>
      </c>
      <c r="M412" s="2" t="s">
        <v>180</v>
      </c>
      <c r="N412" s="2" t="s">
        <v>23</v>
      </c>
      <c r="O412">
        <f t="shared" si="12"/>
        <v>2.9090000000000202</v>
      </c>
      <c r="P412">
        <f t="shared" si="13"/>
        <v>64.210999999999984</v>
      </c>
    </row>
    <row r="413" spans="1:16" x14ac:dyDescent="0.35">
      <c r="A413" s="9" t="s">
        <v>463</v>
      </c>
      <c r="B413" s="2">
        <v>226.303</v>
      </c>
      <c r="C413" s="2">
        <v>226.85</v>
      </c>
      <c r="D413" s="2">
        <v>222.43799999999999</v>
      </c>
      <c r="E413" s="2">
        <v>223.065</v>
      </c>
      <c r="F413" s="2">
        <v>43982350</v>
      </c>
      <c r="G413" s="2" t="s">
        <v>15</v>
      </c>
      <c r="H413" s="2" t="s">
        <v>16</v>
      </c>
      <c r="I413" s="2" t="s">
        <v>17</v>
      </c>
      <c r="J413" s="4">
        <v>-0.82599999999999996</v>
      </c>
      <c r="K413" s="2" t="s">
        <v>448</v>
      </c>
      <c r="L413" s="2">
        <v>2024</v>
      </c>
      <c r="M413" s="2" t="s">
        <v>180</v>
      </c>
      <c r="N413" s="2" t="s">
        <v>23</v>
      </c>
      <c r="O413">
        <f t="shared" si="12"/>
        <v>4.4120000000000061</v>
      </c>
      <c r="P413">
        <f t="shared" si="13"/>
        <v>63.384999999999984</v>
      </c>
    </row>
    <row r="414" spans="1:16" x14ac:dyDescent="0.35">
      <c r="A414" s="9" t="s">
        <v>464</v>
      </c>
      <c r="B414" s="2">
        <v>224.185</v>
      </c>
      <c r="C414" s="2">
        <v>226.73099999999999</v>
      </c>
      <c r="D414" s="2">
        <v>222.86600000000001</v>
      </c>
      <c r="E414" s="2">
        <v>225.36</v>
      </c>
      <c r="F414" s="2">
        <v>38931316</v>
      </c>
      <c r="G414" s="2" t="s">
        <v>15</v>
      </c>
      <c r="H414" s="2" t="s">
        <v>16</v>
      </c>
      <c r="I414" s="2" t="s">
        <v>17</v>
      </c>
      <c r="J414" s="3">
        <v>1.0289999999999999</v>
      </c>
      <c r="K414" s="2" t="s">
        <v>448</v>
      </c>
      <c r="L414" s="2">
        <v>2024</v>
      </c>
      <c r="M414" s="2" t="s">
        <v>180</v>
      </c>
      <c r="N414" s="2" t="s">
        <v>21</v>
      </c>
      <c r="O414">
        <f t="shared" si="12"/>
        <v>3.8649999999999807</v>
      </c>
      <c r="P414">
        <f t="shared" si="13"/>
        <v>64.413999999999987</v>
      </c>
    </row>
    <row r="415" spans="1:16" x14ac:dyDescent="0.35">
      <c r="A415" s="9" t="s">
        <v>465</v>
      </c>
      <c r="B415" s="2">
        <v>225.28</v>
      </c>
      <c r="C415" s="2">
        <v>225.797</v>
      </c>
      <c r="D415" s="2">
        <v>222.428</v>
      </c>
      <c r="E415" s="2">
        <v>225.697</v>
      </c>
      <c r="F415" s="2">
        <v>30803231</v>
      </c>
      <c r="G415" s="2" t="s">
        <v>15</v>
      </c>
      <c r="H415" s="2" t="s">
        <v>16</v>
      </c>
      <c r="I415" s="2" t="s">
        <v>17</v>
      </c>
      <c r="J415" s="3">
        <v>0.15</v>
      </c>
      <c r="K415" s="2" t="s">
        <v>448</v>
      </c>
      <c r="L415" s="2">
        <v>2024</v>
      </c>
      <c r="M415" s="2" t="s">
        <v>180</v>
      </c>
      <c r="N415" s="2" t="s">
        <v>21</v>
      </c>
      <c r="O415">
        <f t="shared" si="12"/>
        <v>3.3689999999999998</v>
      </c>
      <c r="P415">
        <f t="shared" si="13"/>
        <v>64.563999999999993</v>
      </c>
    </row>
    <row r="416" spans="1:16" x14ac:dyDescent="0.35">
      <c r="A416" s="9" t="s">
        <v>466</v>
      </c>
      <c r="B416" s="2">
        <v>224.52099999999999</v>
      </c>
      <c r="C416" s="2">
        <v>227.35499999999999</v>
      </c>
      <c r="D416" s="2">
        <v>223.422</v>
      </c>
      <c r="E416" s="2">
        <v>226.541</v>
      </c>
      <c r="F416" s="2">
        <v>36170610</v>
      </c>
      <c r="G416" s="2" t="s">
        <v>15</v>
      </c>
      <c r="H416" s="2" t="s">
        <v>16</v>
      </c>
      <c r="I416" s="2" t="s">
        <v>17</v>
      </c>
      <c r="J416" s="3">
        <v>0.374</v>
      </c>
      <c r="K416" s="2" t="s">
        <v>448</v>
      </c>
      <c r="L416" s="2">
        <v>2024</v>
      </c>
      <c r="M416" s="2" t="s">
        <v>180</v>
      </c>
      <c r="N416" s="2" t="s">
        <v>21</v>
      </c>
      <c r="O416">
        <f t="shared" si="12"/>
        <v>3.9329999999999927</v>
      </c>
      <c r="P416">
        <f t="shared" si="13"/>
        <v>64.937999999999988</v>
      </c>
    </row>
    <row r="417" spans="1:16" x14ac:dyDescent="0.35">
      <c r="A417" s="9" t="s">
        <v>467</v>
      </c>
      <c r="B417" s="2">
        <v>226.43299999999999</v>
      </c>
      <c r="C417" s="2">
        <v>228.35900000000001</v>
      </c>
      <c r="D417" s="2">
        <v>224.20599999999999</v>
      </c>
      <c r="E417" s="2">
        <v>225.012</v>
      </c>
      <c r="F417" s="2">
        <v>38302127</v>
      </c>
      <c r="G417" s="2" t="s">
        <v>15</v>
      </c>
      <c r="H417" s="2" t="s">
        <v>16</v>
      </c>
      <c r="I417" s="2" t="s">
        <v>17</v>
      </c>
      <c r="J417" s="4">
        <v>-0.67500000000000004</v>
      </c>
      <c r="K417" s="2" t="s">
        <v>448</v>
      </c>
      <c r="L417" s="2">
        <v>2024</v>
      </c>
      <c r="M417" s="2" t="s">
        <v>180</v>
      </c>
      <c r="N417" s="2" t="s">
        <v>23</v>
      </c>
      <c r="O417">
        <f t="shared" si="12"/>
        <v>4.15300000000002</v>
      </c>
      <c r="P417">
        <f t="shared" si="13"/>
        <v>64.262999999999991</v>
      </c>
    </row>
    <row r="418" spans="1:16" x14ac:dyDescent="0.35">
      <c r="A418" s="9" t="s">
        <v>468</v>
      </c>
      <c r="B418" s="2">
        <v>228.59800000000001</v>
      </c>
      <c r="C418" s="2">
        <v>231.399</v>
      </c>
      <c r="D418" s="2">
        <v>227.38499999999999</v>
      </c>
      <c r="E418" s="2">
        <v>228.28899999999999</v>
      </c>
      <c r="F418" s="2">
        <v>52247265</v>
      </c>
      <c r="G418" s="2" t="s">
        <v>15</v>
      </c>
      <c r="H418" s="2" t="s">
        <v>16</v>
      </c>
      <c r="I418" s="2" t="s">
        <v>17</v>
      </c>
      <c r="J418" s="3">
        <v>1.456</v>
      </c>
      <c r="K418" s="2" t="s">
        <v>448</v>
      </c>
      <c r="L418" s="2">
        <v>2024</v>
      </c>
      <c r="M418" s="2" t="s">
        <v>180</v>
      </c>
      <c r="N418" s="2" t="s">
        <v>21</v>
      </c>
      <c r="O418">
        <f t="shared" si="12"/>
        <v>4.01400000000001</v>
      </c>
      <c r="P418">
        <f t="shared" si="13"/>
        <v>65.718999999999994</v>
      </c>
    </row>
    <row r="419" spans="1:16" x14ac:dyDescent="0.35">
      <c r="A419" s="9" t="s">
        <v>469</v>
      </c>
      <c r="B419" s="2">
        <v>228.68700000000001</v>
      </c>
      <c r="C419" s="2">
        <v>228.89699999999999</v>
      </c>
      <c r="D419" s="2">
        <v>225.99600000000001</v>
      </c>
      <c r="E419" s="2">
        <v>227.505</v>
      </c>
      <c r="F419" s="2">
        <v>53338861</v>
      </c>
      <c r="G419" s="2" t="s">
        <v>15</v>
      </c>
      <c r="H419" s="2" t="s">
        <v>16</v>
      </c>
      <c r="I419" s="2" t="s">
        <v>17</v>
      </c>
      <c r="J419" s="4">
        <v>-0.34300000000000003</v>
      </c>
      <c r="K419" s="2" t="s">
        <v>448</v>
      </c>
      <c r="L419" s="2">
        <v>2024</v>
      </c>
      <c r="M419" s="2" t="s">
        <v>180</v>
      </c>
      <c r="N419" s="2" t="s">
        <v>23</v>
      </c>
      <c r="O419">
        <f t="shared" si="12"/>
        <v>2.900999999999982</v>
      </c>
      <c r="P419">
        <f t="shared" si="13"/>
        <v>65.375999999999991</v>
      </c>
    </row>
    <row r="420" spans="1:16" x14ac:dyDescent="0.35">
      <c r="A420" s="9" t="s">
        <v>470</v>
      </c>
      <c r="B420" s="2">
        <v>227.059</v>
      </c>
      <c r="C420" s="2">
        <v>227.505</v>
      </c>
      <c r="D420" s="2">
        <v>219.726</v>
      </c>
      <c r="E420" s="2">
        <v>221.316</v>
      </c>
      <c r="F420" s="2">
        <v>50520271</v>
      </c>
      <c r="G420" s="2" t="s">
        <v>15</v>
      </c>
      <c r="H420" s="2" t="s">
        <v>16</v>
      </c>
      <c r="I420" s="2" t="s">
        <v>17</v>
      </c>
      <c r="J420" s="4">
        <v>-2.72</v>
      </c>
      <c r="K420" s="2" t="s">
        <v>471</v>
      </c>
      <c r="L420" s="2">
        <v>2024</v>
      </c>
      <c r="M420" s="2" t="s">
        <v>205</v>
      </c>
      <c r="N420" s="2" t="s">
        <v>23</v>
      </c>
      <c r="O420">
        <f t="shared" si="12"/>
        <v>7.7789999999999964</v>
      </c>
      <c r="P420">
        <f t="shared" si="13"/>
        <v>62.655999999999992</v>
      </c>
    </row>
    <row r="421" spans="1:16" x14ac:dyDescent="0.35">
      <c r="A421" s="9" t="s">
        <v>472</v>
      </c>
      <c r="B421" s="2">
        <v>220.21299999999999</v>
      </c>
      <c r="C421" s="2">
        <v>220.33199999999999</v>
      </c>
      <c r="D421" s="2">
        <v>216.06</v>
      </c>
      <c r="E421" s="2">
        <v>219.40899999999999</v>
      </c>
      <c r="F421" s="2">
        <v>44128178</v>
      </c>
      <c r="G421" s="2" t="s">
        <v>15</v>
      </c>
      <c r="H421" s="2" t="s">
        <v>16</v>
      </c>
      <c r="I421" s="2" t="s">
        <v>17</v>
      </c>
      <c r="J421" s="4">
        <v>-0.86199999999999999</v>
      </c>
      <c r="K421" s="2" t="s">
        <v>471</v>
      </c>
      <c r="L421" s="2">
        <v>2024</v>
      </c>
      <c r="M421" s="2" t="s">
        <v>205</v>
      </c>
      <c r="N421" s="2" t="s">
        <v>23</v>
      </c>
      <c r="O421">
        <f t="shared" si="12"/>
        <v>4.2719999999999914</v>
      </c>
      <c r="P421">
        <f t="shared" si="13"/>
        <v>61.79399999999999</v>
      </c>
    </row>
    <row r="422" spans="1:16" x14ac:dyDescent="0.35">
      <c r="A422" s="9" t="s">
        <v>473</v>
      </c>
      <c r="B422" s="2">
        <v>220.178</v>
      </c>
      <c r="C422" s="2">
        <v>224.00800000000001</v>
      </c>
      <c r="D422" s="2">
        <v>220.07499999999999</v>
      </c>
      <c r="E422" s="2">
        <v>220.929</v>
      </c>
      <c r="F422" s="2">
        <v>36855920</v>
      </c>
      <c r="G422" s="2" t="s">
        <v>15</v>
      </c>
      <c r="H422" s="2" t="s">
        <v>16</v>
      </c>
      <c r="I422" s="2" t="s">
        <v>17</v>
      </c>
      <c r="J422" s="3">
        <v>0.69299999999999995</v>
      </c>
      <c r="K422" s="2" t="s">
        <v>471</v>
      </c>
      <c r="L422" s="2">
        <v>2024</v>
      </c>
      <c r="M422" s="2" t="s">
        <v>205</v>
      </c>
      <c r="N422" s="2" t="s">
        <v>21</v>
      </c>
      <c r="O422">
        <f t="shared" si="12"/>
        <v>3.9330000000000211</v>
      </c>
      <c r="P422">
        <f t="shared" si="13"/>
        <v>62.486999999999988</v>
      </c>
    </row>
    <row r="423" spans="1:16" x14ac:dyDescent="0.35">
      <c r="A423" s="9" t="s">
        <v>474</v>
      </c>
      <c r="B423" s="2">
        <v>222.488</v>
      </c>
      <c r="C423" s="2">
        <v>223.77099999999999</v>
      </c>
      <c r="D423" s="2">
        <v>218.33600000000001</v>
      </c>
      <c r="E423" s="2">
        <v>219.37899999999999</v>
      </c>
      <c r="F423" s="2">
        <v>48741097</v>
      </c>
      <c r="G423" s="2" t="s">
        <v>15</v>
      </c>
      <c r="H423" s="2" t="s">
        <v>16</v>
      </c>
      <c r="I423" s="2" t="s">
        <v>17</v>
      </c>
      <c r="J423" s="4">
        <v>-0.70199999999999996</v>
      </c>
      <c r="K423" s="2" t="s">
        <v>471</v>
      </c>
      <c r="L423" s="2">
        <v>2024</v>
      </c>
      <c r="M423" s="2" t="s">
        <v>205</v>
      </c>
      <c r="N423" s="2" t="s">
        <v>23</v>
      </c>
      <c r="O423">
        <f t="shared" si="12"/>
        <v>5.4349999999999739</v>
      </c>
      <c r="P423">
        <f t="shared" si="13"/>
        <v>61.784999999999989</v>
      </c>
    </row>
    <row r="424" spans="1:16" x14ac:dyDescent="0.35">
      <c r="A424" s="9" t="s">
        <v>475</v>
      </c>
      <c r="B424" s="2">
        <v>219.37899999999999</v>
      </c>
      <c r="C424" s="2">
        <v>219.82599999999999</v>
      </c>
      <c r="D424" s="2">
        <v>215.29599999999999</v>
      </c>
      <c r="E424" s="2">
        <v>219.46799999999999</v>
      </c>
      <c r="F424" s="2">
        <v>67621264</v>
      </c>
      <c r="G424" s="2" t="s">
        <v>15</v>
      </c>
      <c r="H424" s="2" t="s">
        <v>16</v>
      </c>
      <c r="I424" s="2" t="s">
        <v>17</v>
      </c>
      <c r="J424" s="3">
        <v>4.1000000000000002E-2</v>
      </c>
      <c r="K424" s="2" t="s">
        <v>471</v>
      </c>
      <c r="L424" s="2">
        <v>2024</v>
      </c>
      <c r="M424" s="2" t="s">
        <v>205</v>
      </c>
      <c r="N424" s="2" t="s">
        <v>21</v>
      </c>
      <c r="O424">
        <f t="shared" si="12"/>
        <v>4.5300000000000011</v>
      </c>
      <c r="P424">
        <f t="shared" si="13"/>
        <v>61.825999999999986</v>
      </c>
    </row>
    <row r="425" spans="1:16" x14ac:dyDescent="0.35">
      <c r="A425" s="9" t="s">
        <v>476</v>
      </c>
      <c r="B425" s="2">
        <v>217.49100000000001</v>
      </c>
      <c r="C425" s="2">
        <v>220.036</v>
      </c>
      <c r="D425" s="2">
        <v>215.316</v>
      </c>
      <c r="E425" s="2">
        <v>218.673</v>
      </c>
      <c r="F425" s="2">
        <v>51929929</v>
      </c>
      <c r="G425" s="2" t="s">
        <v>15</v>
      </c>
      <c r="H425" s="2" t="s">
        <v>16</v>
      </c>
      <c r="I425" s="2" t="s">
        <v>17</v>
      </c>
      <c r="J425" s="4">
        <v>-0.36199999999999999</v>
      </c>
      <c r="K425" s="2" t="s">
        <v>471</v>
      </c>
      <c r="L425" s="2">
        <v>2024</v>
      </c>
      <c r="M425" s="2" t="s">
        <v>205</v>
      </c>
      <c r="N425" s="2" t="s">
        <v>23</v>
      </c>
      <c r="O425">
        <f t="shared" si="12"/>
        <v>4.7199999999999989</v>
      </c>
      <c r="P425">
        <f t="shared" si="13"/>
        <v>61.463999999999984</v>
      </c>
    </row>
    <row r="426" spans="1:16" x14ac:dyDescent="0.35">
      <c r="A426" s="9" t="s">
        <v>477</v>
      </c>
      <c r="B426" s="2">
        <v>220.011</v>
      </c>
      <c r="C426" s="2">
        <v>221.63399999999999</v>
      </c>
      <c r="D426" s="2">
        <v>216.46799999999999</v>
      </c>
      <c r="E426" s="2">
        <v>221.20599999999999</v>
      </c>
      <c r="F426" s="2">
        <v>44879959</v>
      </c>
      <c r="G426" s="2" t="s">
        <v>15</v>
      </c>
      <c r="H426" s="2" t="s">
        <v>16</v>
      </c>
      <c r="I426" s="2" t="s">
        <v>17</v>
      </c>
      <c r="J426" s="3">
        <v>1.1579999999999999</v>
      </c>
      <c r="K426" s="2" t="s">
        <v>471</v>
      </c>
      <c r="L426" s="2">
        <v>2024</v>
      </c>
      <c r="M426" s="2" t="s">
        <v>205</v>
      </c>
      <c r="N426" s="2" t="s">
        <v>21</v>
      </c>
      <c r="O426">
        <f t="shared" si="12"/>
        <v>5.1659999999999968</v>
      </c>
      <c r="P426">
        <f t="shared" si="13"/>
        <v>62.621999999999986</v>
      </c>
    </row>
    <row r="427" spans="1:16" x14ac:dyDescent="0.35">
      <c r="A427" s="9" t="s">
        <v>478</v>
      </c>
      <c r="B427" s="2">
        <v>221.048</v>
      </c>
      <c r="C427" s="2">
        <v>222.09100000000001</v>
      </c>
      <c r="D427" s="2">
        <v>218.386</v>
      </c>
      <c r="E427" s="2">
        <v>221.316</v>
      </c>
      <c r="F427" s="2">
        <v>37744547</v>
      </c>
      <c r="G427" s="2" t="s">
        <v>15</v>
      </c>
      <c r="H427" s="2" t="s">
        <v>16</v>
      </c>
      <c r="I427" s="2" t="s">
        <v>17</v>
      </c>
      <c r="J427" s="3">
        <v>0.05</v>
      </c>
      <c r="K427" s="2" t="s">
        <v>471</v>
      </c>
      <c r="L427" s="2">
        <v>2024</v>
      </c>
      <c r="M427" s="2" t="s">
        <v>205</v>
      </c>
      <c r="N427" s="2" t="s">
        <v>21</v>
      </c>
      <c r="O427">
        <f t="shared" si="12"/>
        <v>3.7050000000000125</v>
      </c>
      <c r="P427">
        <f t="shared" si="13"/>
        <v>62.671999999999983</v>
      </c>
    </row>
    <row r="428" spans="1:16" x14ac:dyDescent="0.35">
      <c r="A428" s="9" t="s">
        <v>479</v>
      </c>
      <c r="B428" s="2">
        <v>222.12</v>
      </c>
      <c r="C428" s="2">
        <v>222.578</v>
      </c>
      <c r="D428" s="2">
        <v>220.46199999999999</v>
      </c>
      <c r="E428" s="2">
        <v>221.048</v>
      </c>
      <c r="F428" s="2">
        <v>37008134</v>
      </c>
      <c r="G428" s="2" t="s">
        <v>15</v>
      </c>
      <c r="H428" s="2" t="s">
        <v>16</v>
      </c>
      <c r="I428" s="2" t="s">
        <v>17</v>
      </c>
      <c r="J428" s="4">
        <v>-0.121</v>
      </c>
      <c r="K428" s="2" t="s">
        <v>471</v>
      </c>
      <c r="L428" s="2">
        <v>2024</v>
      </c>
      <c r="M428" s="2" t="s">
        <v>205</v>
      </c>
      <c r="N428" s="2" t="s">
        <v>23</v>
      </c>
      <c r="O428">
        <f t="shared" si="12"/>
        <v>2.1160000000000139</v>
      </c>
      <c r="P428">
        <f t="shared" si="13"/>
        <v>62.550999999999981</v>
      </c>
    </row>
    <row r="429" spans="1:16" x14ac:dyDescent="0.35">
      <c r="A429" s="9" t="s">
        <v>480</v>
      </c>
      <c r="B429" s="2">
        <v>215.126</v>
      </c>
      <c r="C429" s="2">
        <v>215.803</v>
      </c>
      <c r="D429" s="2">
        <v>212.523</v>
      </c>
      <c r="E429" s="2">
        <v>214.90799999999999</v>
      </c>
      <c r="F429" s="2">
        <v>59747340</v>
      </c>
      <c r="G429" s="2" t="s">
        <v>15</v>
      </c>
      <c r="H429" s="2" t="s">
        <v>16</v>
      </c>
      <c r="I429" s="2" t="s">
        <v>17</v>
      </c>
      <c r="J429" s="4">
        <v>-2.778</v>
      </c>
      <c r="K429" s="2" t="s">
        <v>471</v>
      </c>
      <c r="L429" s="2">
        <v>2024</v>
      </c>
      <c r="M429" s="2" t="s">
        <v>205</v>
      </c>
      <c r="N429" s="2" t="s">
        <v>23</v>
      </c>
      <c r="O429">
        <f t="shared" si="12"/>
        <v>3.2800000000000011</v>
      </c>
      <c r="P429">
        <f t="shared" si="13"/>
        <v>59.772999999999982</v>
      </c>
    </row>
    <row r="430" spans="1:16" x14ac:dyDescent="0.35">
      <c r="A430" s="9" t="s">
        <v>481</v>
      </c>
      <c r="B430" s="2">
        <v>214.34100000000001</v>
      </c>
      <c r="C430" s="2">
        <v>215.48500000000001</v>
      </c>
      <c r="D430" s="2">
        <v>213.101</v>
      </c>
      <c r="E430" s="2">
        <v>215.375</v>
      </c>
      <c r="F430" s="2">
        <v>45818351</v>
      </c>
      <c r="G430" s="2" t="s">
        <v>15</v>
      </c>
      <c r="H430" s="2" t="s">
        <v>16</v>
      </c>
      <c r="I430" s="2" t="s">
        <v>17</v>
      </c>
      <c r="J430" s="3">
        <v>0.217</v>
      </c>
      <c r="K430" s="2" t="s">
        <v>471</v>
      </c>
      <c r="L430" s="2">
        <v>2024</v>
      </c>
      <c r="M430" s="2" t="s">
        <v>205</v>
      </c>
      <c r="N430" s="2" t="s">
        <v>21</v>
      </c>
      <c r="O430">
        <f t="shared" si="12"/>
        <v>2.3840000000000146</v>
      </c>
      <c r="P430">
        <f t="shared" si="13"/>
        <v>59.989999999999981</v>
      </c>
    </row>
    <row r="431" spans="1:16" x14ac:dyDescent="0.35">
      <c r="A431" s="9" t="s">
        <v>482</v>
      </c>
      <c r="B431" s="2">
        <v>216.13</v>
      </c>
      <c r="C431" s="2">
        <v>221.256</v>
      </c>
      <c r="D431" s="2">
        <v>216.12</v>
      </c>
      <c r="E431" s="2">
        <v>219.25</v>
      </c>
      <c r="F431" s="2">
        <v>60288372</v>
      </c>
      <c r="G431" s="2" t="s">
        <v>15</v>
      </c>
      <c r="H431" s="2" t="s">
        <v>16</v>
      </c>
      <c r="I431" s="2" t="s">
        <v>17</v>
      </c>
      <c r="J431" s="3">
        <v>1.7989999999999999</v>
      </c>
      <c r="K431" s="2" t="s">
        <v>471</v>
      </c>
      <c r="L431" s="2">
        <v>2024</v>
      </c>
      <c r="M431" s="2" t="s">
        <v>205</v>
      </c>
      <c r="N431" s="2" t="s">
        <v>21</v>
      </c>
      <c r="O431">
        <f t="shared" si="12"/>
        <v>5.1359999999999957</v>
      </c>
      <c r="P431">
        <f t="shared" si="13"/>
        <v>61.78899999999998</v>
      </c>
    </row>
    <row r="432" spans="1:16" x14ac:dyDescent="0.35">
      <c r="A432" s="9" t="s">
        <v>483</v>
      </c>
      <c r="B432" s="2">
        <v>223.52199999999999</v>
      </c>
      <c r="C432" s="2">
        <v>228.31899999999999</v>
      </c>
      <c r="D432" s="2">
        <v>223.16300000000001</v>
      </c>
      <c r="E432" s="2">
        <v>227.375</v>
      </c>
      <c r="F432" s="2">
        <v>67219995</v>
      </c>
      <c r="G432" s="2" t="s">
        <v>15</v>
      </c>
      <c r="H432" s="2" t="s">
        <v>16</v>
      </c>
      <c r="I432" s="2" t="s">
        <v>17</v>
      </c>
      <c r="J432" s="3">
        <v>3.706</v>
      </c>
      <c r="K432" s="2" t="s">
        <v>471</v>
      </c>
      <c r="L432" s="2">
        <v>2024</v>
      </c>
      <c r="M432" s="2" t="s">
        <v>205</v>
      </c>
      <c r="N432" s="2" t="s">
        <v>21</v>
      </c>
      <c r="O432">
        <f t="shared" si="12"/>
        <v>5.1559999999999775</v>
      </c>
      <c r="P432">
        <f t="shared" si="13"/>
        <v>65.494999999999976</v>
      </c>
    </row>
    <row r="433" spans="1:16" x14ac:dyDescent="0.35">
      <c r="A433" s="9" t="s">
        <v>484</v>
      </c>
      <c r="B433" s="2">
        <v>228.46799999999999</v>
      </c>
      <c r="C433" s="2">
        <v>231.56800000000001</v>
      </c>
      <c r="D433" s="2">
        <v>226.13499999999999</v>
      </c>
      <c r="E433" s="2">
        <v>226.71100000000001</v>
      </c>
      <c r="F433" s="2">
        <v>320773273</v>
      </c>
      <c r="G433" s="2" t="s">
        <v>15</v>
      </c>
      <c r="H433" s="2" t="s">
        <v>16</v>
      </c>
      <c r="I433" s="2" t="s">
        <v>17</v>
      </c>
      <c r="J433" s="4">
        <v>-0.29199999999999998</v>
      </c>
      <c r="K433" s="2" t="s">
        <v>471</v>
      </c>
      <c r="L433" s="2">
        <v>2024</v>
      </c>
      <c r="M433" s="2" t="s">
        <v>205</v>
      </c>
      <c r="N433" s="2" t="s">
        <v>23</v>
      </c>
      <c r="O433">
        <f t="shared" si="12"/>
        <v>5.4330000000000211</v>
      </c>
      <c r="P433">
        <f t="shared" si="13"/>
        <v>65.202999999999975</v>
      </c>
    </row>
    <row r="434" spans="1:16" x14ac:dyDescent="0.35">
      <c r="A434" s="9" t="s">
        <v>485</v>
      </c>
      <c r="B434" s="2">
        <v>225.857</v>
      </c>
      <c r="C434" s="2">
        <v>227.953</v>
      </c>
      <c r="D434" s="2">
        <v>224.33600000000001</v>
      </c>
      <c r="E434" s="2">
        <v>224.99199999999999</v>
      </c>
      <c r="F434" s="2">
        <v>54501702</v>
      </c>
      <c r="G434" s="2" t="s">
        <v>15</v>
      </c>
      <c r="H434" s="2" t="s">
        <v>16</v>
      </c>
      <c r="I434" s="2" t="s">
        <v>17</v>
      </c>
      <c r="J434" s="4">
        <v>-0.75800000000000001</v>
      </c>
      <c r="K434" s="2" t="s">
        <v>471</v>
      </c>
      <c r="L434" s="2">
        <v>2024</v>
      </c>
      <c r="M434" s="2" t="s">
        <v>205</v>
      </c>
      <c r="N434" s="2" t="s">
        <v>23</v>
      </c>
      <c r="O434">
        <f t="shared" si="12"/>
        <v>3.6169999999999902</v>
      </c>
      <c r="P434">
        <f t="shared" si="13"/>
        <v>64.444999999999979</v>
      </c>
    </row>
    <row r="435" spans="1:16" x14ac:dyDescent="0.35">
      <c r="A435" s="9" t="s">
        <v>486</v>
      </c>
      <c r="B435" s="2">
        <v>227.15299999999999</v>
      </c>
      <c r="C435" s="2">
        <v>227.85300000000001</v>
      </c>
      <c r="D435" s="2">
        <v>224.256</v>
      </c>
      <c r="E435" s="2">
        <v>225.887</v>
      </c>
      <c r="F435" s="2">
        <v>43842183</v>
      </c>
      <c r="G435" s="2" t="s">
        <v>15</v>
      </c>
      <c r="H435" s="2" t="s">
        <v>16</v>
      </c>
      <c r="I435" s="2" t="s">
        <v>17</v>
      </c>
      <c r="J435" s="3">
        <v>0.39800000000000002</v>
      </c>
      <c r="K435" s="2" t="s">
        <v>471</v>
      </c>
      <c r="L435" s="2">
        <v>2024</v>
      </c>
      <c r="M435" s="2" t="s">
        <v>205</v>
      </c>
      <c r="N435" s="2" t="s">
        <v>21</v>
      </c>
      <c r="O435">
        <f t="shared" si="12"/>
        <v>3.5970000000000084</v>
      </c>
      <c r="P435">
        <f t="shared" si="13"/>
        <v>64.842999999999975</v>
      </c>
    </row>
    <row r="436" spans="1:16" x14ac:dyDescent="0.35">
      <c r="A436" s="9" t="s">
        <v>487</v>
      </c>
      <c r="B436" s="2">
        <v>223.46199999999999</v>
      </c>
      <c r="C436" s="2">
        <v>225.80699999999999</v>
      </c>
      <c r="D436" s="2">
        <v>222.55799999999999</v>
      </c>
      <c r="E436" s="2">
        <v>224.893</v>
      </c>
      <c r="F436" s="2">
        <v>42586637</v>
      </c>
      <c r="G436" s="2" t="s">
        <v>15</v>
      </c>
      <c r="H436" s="2" t="s">
        <v>16</v>
      </c>
      <c r="I436" s="2" t="s">
        <v>17</v>
      </c>
      <c r="J436" s="4">
        <v>-0.44</v>
      </c>
      <c r="K436" s="2" t="s">
        <v>471</v>
      </c>
      <c r="L436" s="2">
        <v>2024</v>
      </c>
      <c r="M436" s="2" t="s">
        <v>205</v>
      </c>
      <c r="N436" s="2" t="s">
        <v>23</v>
      </c>
      <c r="O436">
        <f t="shared" si="12"/>
        <v>3.2489999999999952</v>
      </c>
      <c r="P436">
        <f t="shared" si="13"/>
        <v>64.402999999999977</v>
      </c>
    </row>
    <row r="437" spans="1:16" x14ac:dyDescent="0.35">
      <c r="A437" s="9" t="s">
        <v>488</v>
      </c>
      <c r="B437" s="2">
        <v>225.81700000000001</v>
      </c>
      <c r="C437" s="2">
        <v>227.00899999999999</v>
      </c>
      <c r="D437" s="2">
        <v>223.93799999999999</v>
      </c>
      <c r="E437" s="2">
        <v>226.035</v>
      </c>
      <c r="F437" s="2">
        <v>36877369</v>
      </c>
      <c r="G437" s="2" t="s">
        <v>15</v>
      </c>
      <c r="H437" s="2" t="s">
        <v>16</v>
      </c>
      <c r="I437" s="2" t="s">
        <v>17</v>
      </c>
      <c r="J437" s="3">
        <v>0.50800000000000001</v>
      </c>
      <c r="K437" s="2" t="s">
        <v>471</v>
      </c>
      <c r="L437" s="2">
        <v>2024</v>
      </c>
      <c r="M437" s="2" t="s">
        <v>205</v>
      </c>
      <c r="N437" s="2" t="s">
        <v>21</v>
      </c>
      <c r="O437">
        <f t="shared" si="12"/>
        <v>3.070999999999998</v>
      </c>
      <c r="P437">
        <f t="shared" si="13"/>
        <v>64.910999999999973</v>
      </c>
    </row>
    <row r="438" spans="1:16" x14ac:dyDescent="0.35">
      <c r="A438" s="9" t="s">
        <v>489</v>
      </c>
      <c r="B438" s="2">
        <v>226.96899999999999</v>
      </c>
      <c r="C438" s="2">
        <v>228.023</v>
      </c>
      <c r="D438" s="2">
        <v>225.81700000000001</v>
      </c>
      <c r="E438" s="2">
        <v>226.303</v>
      </c>
      <c r="F438" s="2">
        <v>34249480</v>
      </c>
      <c r="G438" s="2" t="s">
        <v>15</v>
      </c>
      <c r="H438" s="2" t="s">
        <v>16</v>
      </c>
      <c r="I438" s="2" t="s">
        <v>17</v>
      </c>
      <c r="J438" s="3">
        <v>0.11899999999999999</v>
      </c>
      <c r="K438" s="2" t="s">
        <v>471</v>
      </c>
      <c r="L438" s="2">
        <v>2024</v>
      </c>
      <c r="M438" s="2" t="s">
        <v>205</v>
      </c>
      <c r="N438" s="2" t="s">
        <v>21</v>
      </c>
      <c r="O438">
        <f t="shared" si="12"/>
        <v>2.2059999999999889</v>
      </c>
      <c r="P438">
        <f t="shared" si="13"/>
        <v>65.029999999999973</v>
      </c>
    </row>
    <row r="439" spans="1:16" x14ac:dyDescent="0.35">
      <c r="A439" s="9" t="s">
        <v>490</v>
      </c>
      <c r="B439" s="2">
        <v>228.53800000000001</v>
      </c>
      <c r="C439" s="2">
        <v>231.47900000000001</v>
      </c>
      <c r="D439" s="2">
        <v>228.15299999999999</v>
      </c>
      <c r="E439" s="2">
        <v>231.47900000000001</v>
      </c>
      <c r="F439" s="2">
        <v>55153323</v>
      </c>
      <c r="G439" s="2" t="s">
        <v>15</v>
      </c>
      <c r="H439" s="2" t="s">
        <v>16</v>
      </c>
      <c r="I439" s="2" t="s">
        <v>17</v>
      </c>
      <c r="J439" s="3">
        <v>2.2869999999999999</v>
      </c>
      <c r="K439" s="2" t="s">
        <v>471</v>
      </c>
      <c r="L439" s="2">
        <v>2024</v>
      </c>
      <c r="M439" s="2" t="s">
        <v>205</v>
      </c>
      <c r="N439" s="2" t="s">
        <v>21</v>
      </c>
      <c r="O439">
        <f t="shared" si="12"/>
        <v>3.3260000000000218</v>
      </c>
      <c r="P439">
        <f t="shared" si="13"/>
        <v>67.316999999999979</v>
      </c>
    </row>
    <row r="440" spans="1:16" x14ac:dyDescent="0.35">
      <c r="A440" s="9" t="s">
        <v>491</v>
      </c>
      <c r="B440" s="2">
        <v>228.023</v>
      </c>
      <c r="C440" s="2">
        <v>228.15299999999999</v>
      </c>
      <c r="D440" s="2">
        <v>222.28</v>
      </c>
      <c r="E440" s="2">
        <v>224.733</v>
      </c>
      <c r="F440" s="2">
        <v>63700761</v>
      </c>
      <c r="G440" s="2" t="s">
        <v>15</v>
      </c>
      <c r="H440" s="2" t="s">
        <v>16</v>
      </c>
      <c r="I440" s="2" t="s">
        <v>17</v>
      </c>
      <c r="J440" s="4">
        <v>-2.9140000000000001</v>
      </c>
      <c r="K440" s="2" t="s">
        <v>492</v>
      </c>
      <c r="L440" s="2">
        <v>2024</v>
      </c>
      <c r="M440" s="2" t="s">
        <v>227</v>
      </c>
      <c r="N440" s="2" t="s">
        <v>23</v>
      </c>
      <c r="O440">
        <f t="shared" si="12"/>
        <v>5.8729999999999905</v>
      </c>
      <c r="P440">
        <f t="shared" si="13"/>
        <v>64.402999999999977</v>
      </c>
    </row>
    <row r="441" spans="1:16" x14ac:dyDescent="0.35">
      <c r="A441" s="9" t="s">
        <v>493</v>
      </c>
      <c r="B441" s="2">
        <v>224.416</v>
      </c>
      <c r="C441" s="2">
        <v>225.887</v>
      </c>
      <c r="D441" s="2">
        <v>221.565</v>
      </c>
      <c r="E441" s="2">
        <v>225.3</v>
      </c>
      <c r="F441" s="2">
        <v>33096594</v>
      </c>
      <c r="G441" s="2" t="s">
        <v>15</v>
      </c>
      <c r="H441" s="2" t="s">
        <v>16</v>
      </c>
      <c r="I441" s="2" t="s">
        <v>17</v>
      </c>
      <c r="J441" s="3">
        <v>0.252</v>
      </c>
      <c r="K441" s="2" t="s">
        <v>492</v>
      </c>
      <c r="L441" s="2">
        <v>2024</v>
      </c>
      <c r="M441" s="2" t="s">
        <v>227</v>
      </c>
      <c r="N441" s="2" t="s">
        <v>21</v>
      </c>
      <c r="O441">
        <f t="shared" si="12"/>
        <v>4.3220000000000027</v>
      </c>
      <c r="P441">
        <f t="shared" si="13"/>
        <v>64.654999999999973</v>
      </c>
    </row>
    <row r="442" spans="1:16" x14ac:dyDescent="0.35">
      <c r="A442" s="9" t="s">
        <v>494</v>
      </c>
      <c r="B442" s="2">
        <v>223.672</v>
      </c>
      <c r="C442" s="2">
        <v>225.32499999999999</v>
      </c>
      <c r="D442" s="2">
        <v>221.863</v>
      </c>
      <c r="E442" s="2">
        <v>224.196</v>
      </c>
      <c r="F442" s="2">
        <v>34267790</v>
      </c>
      <c r="G442" s="2" t="s">
        <v>15</v>
      </c>
      <c r="H442" s="2" t="s">
        <v>16</v>
      </c>
      <c r="I442" s="2" t="s">
        <v>17</v>
      </c>
      <c r="J442" s="4">
        <v>-0.49</v>
      </c>
      <c r="K442" s="2" t="s">
        <v>492</v>
      </c>
      <c r="L442" s="2">
        <v>2024</v>
      </c>
      <c r="M442" s="2" t="s">
        <v>227</v>
      </c>
      <c r="N442" s="2" t="s">
        <v>23</v>
      </c>
      <c r="O442">
        <f t="shared" si="12"/>
        <v>3.4619999999999891</v>
      </c>
      <c r="P442">
        <f t="shared" si="13"/>
        <v>64.164999999999978</v>
      </c>
    </row>
    <row r="443" spans="1:16" x14ac:dyDescent="0.35">
      <c r="A443" s="9" t="s">
        <v>495</v>
      </c>
      <c r="B443" s="2">
        <v>226.41300000000001</v>
      </c>
      <c r="C443" s="2">
        <v>226.511</v>
      </c>
      <c r="D443" s="2">
        <v>222.66800000000001</v>
      </c>
      <c r="E443" s="2">
        <v>225.32</v>
      </c>
      <c r="F443" s="2">
        <v>37590414</v>
      </c>
      <c r="G443" s="2" t="s">
        <v>15</v>
      </c>
      <c r="H443" s="2" t="s">
        <v>16</v>
      </c>
      <c r="I443" s="2" t="s">
        <v>17</v>
      </c>
      <c r="J443" s="3">
        <v>0.501</v>
      </c>
      <c r="K443" s="2" t="s">
        <v>492</v>
      </c>
      <c r="L443" s="2">
        <v>2024</v>
      </c>
      <c r="M443" s="2" t="s">
        <v>227</v>
      </c>
      <c r="N443" s="2" t="s">
        <v>21</v>
      </c>
      <c r="O443">
        <f t="shared" si="12"/>
        <v>3.8429999999999893</v>
      </c>
      <c r="P443">
        <f t="shared" si="13"/>
        <v>64.665999999999983</v>
      </c>
    </row>
    <row r="444" spans="1:16" x14ac:dyDescent="0.35">
      <c r="A444" s="9" t="s">
        <v>496</v>
      </c>
      <c r="B444" s="2">
        <v>223.035</v>
      </c>
      <c r="C444" s="2">
        <v>224.21600000000001</v>
      </c>
      <c r="D444" s="2">
        <v>219.886</v>
      </c>
      <c r="E444" s="2">
        <v>220.24299999999999</v>
      </c>
      <c r="F444" s="2">
        <v>39764861</v>
      </c>
      <c r="G444" s="2" t="s">
        <v>15</v>
      </c>
      <c r="H444" s="2" t="s">
        <v>16</v>
      </c>
      <c r="I444" s="2" t="s">
        <v>17</v>
      </c>
      <c r="J444" s="4">
        <v>-2.2530000000000001</v>
      </c>
      <c r="K444" s="2" t="s">
        <v>492</v>
      </c>
      <c r="L444" s="2">
        <v>2024</v>
      </c>
      <c r="M444" s="2" t="s">
        <v>227</v>
      </c>
      <c r="N444" s="2" t="s">
        <v>23</v>
      </c>
      <c r="O444">
        <f t="shared" si="12"/>
        <v>4.3300000000000125</v>
      </c>
      <c r="P444">
        <f t="shared" si="13"/>
        <v>62.412999999999982</v>
      </c>
    </row>
    <row r="445" spans="1:16" x14ac:dyDescent="0.35">
      <c r="A445" s="9" t="s">
        <v>497</v>
      </c>
      <c r="B445" s="2">
        <v>222.83600000000001</v>
      </c>
      <c r="C445" s="2">
        <v>224.506</v>
      </c>
      <c r="D445" s="2">
        <v>221.79300000000001</v>
      </c>
      <c r="E445" s="2">
        <v>224.29599999999999</v>
      </c>
      <c r="F445" s="2">
        <v>32064949</v>
      </c>
      <c r="G445" s="2" t="s">
        <v>15</v>
      </c>
      <c r="H445" s="2" t="s">
        <v>16</v>
      </c>
      <c r="I445" s="2" t="s">
        <v>17</v>
      </c>
      <c r="J445" s="3">
        <v>1.84</v>
      </c>
      <c r="K445" s="2" t="s">
        <v>492</v>
      </c>
      <c r="L445" s="2">
        <v>2024</v>
      </c>
      <c r="M445" s="2" t="s">
        <v>227</v>
      </c>
      <c r="N445" s="2" t="s">
        <v>21</v>
      </c>
      <c r="O445">
        <f t="shared" si="12"/>
        <v>2.7129999999999939</v>
      </c>
      <c r="P445">
        <f t="shared" si="13"/>
        <v>64.252999999999986</v>
      </c>
    </row>
    <row r="446" spans="1:16" x14ac:dyDescent="0.35">
      <c r="A446" s="9" t="s">
        <v>498</v>
      </c>
      <c r="B446" s="2">
        <v>223.761</v>
      </c>
      <c r="C446" s="2">
        <v>228.251</v>
      </c>
      <c r="D446" s="2">
        <v>223.36199999999999</v>
      </c>
      <c r="E446" s="2">
        <v>228.04300000000001</v>
      </c>
      <c r="F446" s="2">
        <v>33811747</v>
      </c>
      <c r="G446" s="2" t="s">
        <v>15</v>
      </c>
      <c r="H446" s="2" t="s">
        <v>16</v>
      </c>
      <c r="I446" s="2" t="s">
        <v>17</v>
      </c>
      <c r="J446" s="3">
        <v>1.671</v>
      </c>
      <c r="K446" s="2" t="s">
        <v>492</v>
      </c>
      <c r="L446" s="2">
        <v>2024</v>
      </c>
      <c r="M446" s="2" t="s">
        <v>227</v>
      </c>
      <c r="N446" s="2" t="s">
        <v>21</v>
      </c>
      <c r="O446">
        <f t="shared" si="12"/>
        <v>4.88900000000001</v>
      </c>
      <c r="P446">
        <f t="shared" si="13"/>
        <v>65.923999999999992</v>
      </c>
    </row>
    <row r="447" spans="1:16" x14ac:dyDescent="0.35">
      <c r="A447" s="9" t="s">
        <v>499</v>
      </c>
      <c r="B447" s="2">
        <v>226.29300000000001</v>
      </c>
      <c r="C447" s="2">
        <v>228.00299999999999</v>
      </c>
      <c r="D447" s="2">
        <v>225.68700000000001</v>
      </c>
      <c r="E447" s="2">
        <v>227.54499999999999</v>
      </c>
      <c r="F447" s="2">
        <v>28368679</v>
      </c>
      <c r="G447" s="2" t="s">
        <v>15</v>
      </c>
      <c r="H447" s="2" t="s">
        <v>16</v>
      </c>
      <c r="I447" s="2" t="s">
        <v>17</v>
      </c>
      <c r="J447" s="4">
        <v>-0.218</v>
      </c>
      <c r="K447" s="2" t="s">
        <v>492</v>
      </c>
      <c r="L447" s="2">
        <v>2024</v>
      </c>
      <c r="M447" s="2" t="s">
        <v>227</v>
      </c>
      <c r="N447" s="2" t="s">
        <v>23</v>
      </c>
      <c r="O447">
        <f t="shared" si="12"/>
        <v>2.3159999999999741</v>
      </c>
      <c r="P447">
        <f t="shared" si="13"/>
        <v>65.705999999999989</v>
      </c>
    </row>
    <row r="448" spans="1:16" x14ac:dyDescent="0.35">
      <c r="A448" s="9" t="s">
        <v>500</v>
      </c>
      <c r="B448" s="2">
        <v>227.803</v>
      </c>
      <c r="C448" s="2">
        <v>227.91300000000001</v>
      </c>
      <c r="D448" s="2">
        <v>225.857</v>
      </c>
      <c r="E448" s="2">
        <v>226.065</v>
      </c>
      <c r="F448" s="2">
        <v>31967811</v>
      </c>
      <c r="G448" s="2" t="s">
        <v>15</v>
      </c>
      <c r="H448" s="2" t="s">
        <v>16</v>
      </c>
      <c r="I448" s="2" t="s">
        <v>17</v>
      </c>
      <c r="J448" s="4">
        <v>-0.65</v>
      </c>
      <c r="K448" s="2" t="s">
        <v>492</v>
      </c>
      <c r="L448" s="2">
        <v>2024</v>
      </c>
      <c r="M448" s="2" t="s">
        <v>227</v>
      </c>
      <c r="N448" s="2" t="s">
        <v>23</v>
      </c>
      <c r="O448">
        <f t="shared" si="12"/>
        <v>2.0560000000000116</v>
      </c>
      <c r="P448">
        <f t="shared" si="13"/>
        <v>65.055999999999983</v>
      </c>
    </row>
    <row r="449" spans="1:16" x14ac:dyDescent="0.35">
      <c r="A449" s="9" t="s">
        <v>501</v>
      </c>
      <c r="B449" s="2">
        <v>227.208</v>
      </c>
      <c r="C449" s="2">
        <v>230.21799999999999</v>
      </c>
      <c r="D449" s="2">
        <v>227.108</v>
      </c>
      <c r="E449" s="2">
        <v>229.791</v>
      </c>
      <c r="F449" s="2">
        <v>40144066</v>
      </c>
      <c r="G449" s="2" t="s">
        <v>15</v>
      </c>
      <c r="H449" s="2" t="s">
        <v>16</v>
      </c>
      <c r="I449" s="2" t="s">
        <v>17</v>
      </c>
      <c r="J449" s="3">
        <v>1.6479999999999999</v>
      </c>
      <c r="K449" s="2" t="s">
        <v>492</v>
      </c>
      <c r="L449" s="2">
        <v>2024</v>
      </c>
      <c r="M449" s="2" t="s">
        <v>227</v>
      </c>
      <c r="N449" s="2" t="s">
        <v>21</v>
      </c>
      <c r="O449">
        <f t="shared" si="12"/>
        <v>3.1099999999999852</v>
      </c>
      <c r="P449">
        <f t="shared" si="13"/>
        <v>66.703999999999979</v>
      </c>
    </row>
    <row r="450" spans="1:16" x14ac:dyDescent="0.35">
      <c r="A450" s="9" t="s">
        <v>502</v>
      </c>
      <c r="B450" s="2">
        <v>232.08600000000001</v>
      </c>
      <c r="C450" s="2">
        <v>235.94</v>
      </c>
      <c r="D450" s="2">
        <v>230.85300000000001</v>
      </c>
      <c r="E450" s="2">
        <v>232.32400000000001</v>
      </c>
      <c r="F450" s="2">
        <v>65176713</v>
      </c>
      <c r="G450" s="2" t="s">
        <v>15</v>
      </c>
      <c r="H450" s="2" t="s">
        <v>16</v>
      </c>
      <c r="I450" s="2" t="s">
        <v>17</v>
      </c>
      <c r="J450" s="3">
        <v>1.1020000000000001</v>
      </c>
      <c r="K450" s="2" t="s">
        <v>492</v>
      </c>
      <c r="L450" s="2">
        <v>2024</v>
      </c>
      <c r="M450" s="2" t="s">
        <v>227</v>
      </c>
      <c r="N450" s="2" t="s">
        <v>21</v>
      </c>
      <c r="O450">
        <f t="shared" si="12"/>
        <v>5.0869999999999891</v>
      </c>
      <c r="P450">
        <f t="shared" si="13"/>
        <v>67.805999999999983</v>
      </c>
    </row>
    <row r="451" spans="1:16" x14ac:dyDescent="0.35">
      <c r="A451" s="9" t="s">
        <v>503</v>
      </c>
      <c r="B451" s="2">
        <v>230.08799999999999</v>
      </c>
      <c r="C451" s="2">
        <v>230.60499999999999</v>
      </c>
      <c r="D451" s="2">
        <v>228.339</v>
      </c>
      <c r="E451" s="2">
        <v>230.268</v>
      </c>
      <c r="F451" s="2">
        <v>34306123</v>
      </c>
      <c r="G451" s="2" t="s">
        <v>15</v>
      </c>
      <c r="H451" s="2" t="s">
        <v>16</v>
      </c>
      <c r="I451" s="2" t="s">
        <v>17</v>
      </c>
      <c r="J451" s="4">
        <v>-0.88500000000000001</v>
      </c>
      <c r="K451" s="2" t="s">
        <v>492</v>
      </c>
      <c r="L451" s="2">
        <v>2024</v>
      </c>
      <c r="M451" s="2" t="s">
        <v>227</v>
      </c>
      <c r="N451" s="2" t="s">
        <v>23</v>
      </c>
      <c r="O451">
        <f t="shared" ref="O451:O514" si="14">C451-D451</f>
        <v>2.2659999999999911</v>
      </c>
      <c r="P451">
        <f t="shared" si="13"/>
        <v>66.920999999999978</v>
      </c>
    </row>
    <row r="452" spans="1:16" x14ac:dyDescent="0.35">
      <c r="A452" s="9" t="s">
        <v>504</v>
      </c>
      <c r="B452" s="2">
        <v>231.90600000000001</v>
      </c>
      <c r="C452" s="2">
        <v>232.32400000000001</v>
      </c>
      <c r="D452" s="2">
        <v>229.017</v>
      </c>
      <c r="E452" s="2">
        <v>230.63499999999999</v>
      </c>
      <c r="F452" s="2">
        <v>33210542</v>
      </c>
      <c r="G452" s="2" t="s">
        <v>15</v>
      </c>
      <c r="H452" s="2" t="s">
        <v>16</v>
      </c>
      <c r="I452" s="2" t="s">
        <v>17</v>
      </c>
      <c r="J452" s="3">
        <v>0.159</v>
      </c>
      <c r="K452" s="2" t="s">
        <v>492</v>
      </c>
      <c r="L452" s="2">
        <v>2024</v>
      </c>
      <c r="M452" s="2" t="s">
        <v>227</v>
      </c>
      <c r="N452" s="2" t="s">
        <v>21</v>
      </c>
      <c r="O452">
        <f t="shared" si="14"/>
        <v>3.3070000000000164</v>
      </c>
      <c r="P452">
        <f t="shared" ref="P452:P515" si="15">IF(G452=G451, P451+J452, J452)</f>
        <v>67.079999999999984</v>
      </c>
    </row>
    <row r="453" spans="1:16" x14ac:dyDescent="0.35">
      <c r="A453" s="9" t="s">
        <v>505</v>
      </c>
      <c r="B453" s="2">
        <v>234.637</v>
      </c>
      <c r="C453" s="2">
        <v>234.637</v>
      </c>
      <c r="D453" s="2">
        <v>232.482</v>
      </c>
      <c r="E453" s="2">
        <v>233.46700000000001</v>
      </c>
      <c r="F453" s="2">
        <v>46736475</v>
      </c>
      <c r="G453" s="2" t="s">
        <v>15</v>
      </c>
      <c r="H453" s="2" t="s">
        <v>16</v>
      </c>
      <c r="I453" s="2" t="s">
        <v>17</v>
      </c>
      <c r="J453" s="3">
        <v>1.228</v>
      </c>
      <c r="K453" s="2" t="s">
        <v>492</v>
      </c>
      <c r="L453" s="2">
        <v>2024</v>
      </c>
      <c r="M453" s="2" t="s">
        <v>227</v>
      </c>
      <c r="N453" s="2" t="s">
        <v>21</v>
      </c>
      <c r="O453">
        <f t="shared" si="14"/>
        <v>2.1550000000000011</v>
      </c>
      <c r="P453">
        <f t="shared" si="15"/>
        <v>68.307999999999979</v>
      </c>
    </row>
    <row r="454" spans="1:16" x14ac:dyDescent="0.35">
      <c r="A454" s="9" t="s">
        <v>506</v>
      </c>
      <c r="B454" s="2">
        <v>232.92</v>
      </c>
      <c r="C454" s="2">
        <v>235.304</v>
      </c>
      <c r="D454" s="2">
        <v>232.92</v>
      </c>
      <c r="E454" s="2">
        <v>234.93700000000001</v>
      </c>
      <c r="F454" s="2">
        <v>36492622</v>
      </c>
      <c r="G454" s="2" t="s">
        <v>15</v>
      </c>
      <c r="H454" s="2" t="s">
        <v>16</v>
      </c>
      <c r="I454" s="2" t="s">
        <v>17</v>
      </c>
      <c r="J454" s="3">
        <v>0.63</v>
      </c>
      <c r="K454" s="2" t="s">
        <v>492</v>
      </c>
      <c r="L454" s="2">
        <v>2024</v>
      </c>
      <c r="M454" s="2" t="s">
        <v>227</v>
      </c>
      <c r="N454" s="2" t="s">
        <v>21</v>
      </c>
      <c r="O454">
        <f t="shared" si="14"/>
        <v>2.3840000000000146</v>
      </c>
      <c r="P454">
        <f t="shared" si="15"/>
        <v>68.937999999999974</v>
      </c>
    </row>
    <row r="455" spans="1:16" x14ac:dyDescent="0.35">
      <c r="A455" s="9" t="s">
        <v>507</v>
      </c>
      <c r="B455" s="2">
        <v>232.35900000000001</v>
      </c>
      <c r="C455" s="2">
        <v>234.67699999999999</v>
      </c>
      <c r="D455" s="2">
        <v>231.08199999999999</v>
      </c>
      <c r="E455" s="2">
        <v>234.322</v>
      </c>
      <c r="F455" s="2">
        <v>39101757</v>
      </c>
      <c r="G455" s="2" t="s">
        <v>15</v>
      </c>
      <c r="H455" s="2" t="s">
        <v>16</v>
      </c>
      <c r="I455" s="2" t="s">
        <v>17</v>
      </c>
      <c r="J455" s="4">
        <v>-0.26200000000000001</v>
      </c>
      <c r="K455" s="2" t="s">
        <v>492</v>
      </c>
      <c r="L455" s="2">
        <v>2024</v>
      </c>
      <c r="M455" s="2" t="s">
        <v>227</v>
      </c>
      <c r="N455" s="2" t="s">
        <v>23</v>
      </c>
      <c r="O455">
        <f t="shared" si="14"/>
        <v>3.5949999999999989</v>
      </c>
      <c r="P455">
        <f t="shared" si="15"/>
        <v>68.675999999999974</v>
      </c>
    </row>
    <row r="456" spans="1:16" x14ac:dyDescent="0.35">
      <c r="A456" s="9" t="s">
        <v>508</v>
      </c>
      <c r="B456" s="2">
        <v>232.55199999999999</v>
      </c>
      <c r="C456" s="2">
        <v>233.60900000000001</v>
      </c>
      <c r="D456" s="2">
        <v>226.273</v>
      </c>
      <c r="E456" s="2">
        <v>229.25299999999999</v>
      </c>
      <c r="F456" s="2">
        <v>52630447</v>
      </c>
      <c r="G456" s="2" t="s">
        <v>15</v>
      </c>
      <c r="H456" s="2" t="s">
        <v>16</v>
      </c>
      <c r="I456" s="2" t="s">
        <v>17</v>
      </c>
      <c r="J456" s="4">
        <v>-2.1629999999999998</v>
      </c>
      <c r="K456" s="2" t="s">
        <v>492</v>
      </c>
      <c r="L456" s="2">
        <v>2024</v>
      </c>
      <c r="M456" s="2" t="s">
        <v>227</v>
      </c>
      <c r="N456" s="2" t="s">
        <v>23</v>
      </c>
      <c r="O456">
        <f t="shared" si="14"/>
        <v>7.3360000000000127</v>
      </c>
      <c r="P456">
        <f t="shared" si="15"/>
        <v>66.512999999999977</v>
      </c>
    </row>
    <row r="457" spans="1:16" x14ac:dyDescent="0.35">
      <c r="A457" s="9" t="s">
        <v>509</v>
      </c>
      <c r="B457" s="2">
        <v>228.47800000000001</v>
      </c>
      <c r="C457" s="2">
        <v>229.31200000000001</v>
      </c>
      <c r="D457" s="2">
        <v>226.92</v>
      </c>
      <c r="E457" s="2">
        <v>229.06700000000001</v>
      </c>
      <c r="F457" s="2">
        <v>31313857</v>
      </c>
      <c r="G457" s="2" t="s">
        <v>15</v>
      </c>
      <c r="H457" s="2" t="s">
        <v>16</v>
      </c>
      <c r="I457" s="2" t="s">
        <v>17</v>
      </c>
      <c r="J457" s="4">
        <v>-8.1000000000000003E-2</v>
      </c>
      <c r="K457" s="2" t="s">
        <v>492</v>
      </c>
      <c r="L457" s="2">
        <v>2024</v>
      </c>
      <c r="M457" s="2" t="s">
        <v>227</v>
      </c>
      <c r="N457" s="2" t="s">
        <v>23</v>
      </c>
      <c r="O457">
        <f t="shared" si="14"/>
        <v>2.3920000000000243</v>
      </c>
      <c r="P457">
        <f t="shared" si="15"/>
        <v>66.431999999999974</v>
      </c>
    </row>
    <row r="458" spans="1:16" x14ac:dyDescent="0.35">
      <c r="A458" s="9" t="s">
        <v>510</v>
      </c>
      <c r="B458" s="2">
        <v>228.24100000000001</v>
      </c>
      <c r="C458" s="2">
        <v>231.69800000000001</v>
      </c>
      <c r="D458" s="2">
        <v>228.07300000000001</v>
      </c>
      <c r="E458" s="2">
        <v>229.90100000000001</v>
      </c>
      <c r="F458" s="2">
        <v>39057192</v>
      </c>
      <c r="G458" s="2" t="s">
        <v>15</v>
      </c>
      <c r="H458" s="2" t="s">
        <v>16</v>
      </c>
      <c r="I458" s="2" t="s">
        <v>17</v>
      </c>
      <c r="J458" s="3">
        <v>0.36399999999999999</v>
      </c>
      <c r="K458" s="2" t="s">
        <v>492</v>
      </c>
      <c r="L458" s="2">
        <v>2024</v>
      </c>
      <c r="M458" s="2" t="s">
        <v>227</v>
      </c>
      <c r="N458" s="2" t="s">
        <v>21</v>
      </c>
      <c r="O458">
        <f t="shared" si="14"/>
        <v>3.625</v>
      </c>
      <c r="P458">
        <f t="shared" si="15"/>
        <v>66.795999999999978</v>
      </c>
    </row>
    <row r="459" spans="1:16" x14ac:dyDescent="0.35">
      <c r="A459" s="9" t="s">
        <v>511</v>
      </c>
      <c r="B459" s="2">
        <v>231.797</v>
      </c>
      <c r="C459" s="2">
        <v>233.19800000000001</v>
      </c>
      <c r="D459" s="2">
        <v>231.03200000000001</v>
      </c>
      <c r="E459" s="2">
        <v>231.876</v>
      </c>
      <c r="F459" s="2">
        <v>36324187</v>
      </c>
      <c r="G459" s="2" t="s">
        <v>15</v>
      </c>
      <c r="H459" s="2" t="s">
        <v>16</v>
      </c>
      <c r="I459" s="2" t="s">
        <v>17</v>
      </c>
      <c r="J459" s="3">
        <v>0.85899999999999999</v>
      </c>
      <c r="K459" s="2" t="s">
        <v>492</v>
      </c>
      <c r="L459" s="2">
        <v>2024</v>
      </c>
      <c r="M459" s="2" t="s">
        <v>227</v>
      </c>
      <c r="N459" s="2" t="s">
        <v>21</v>
      </c>
      <c r="O459">
        <f t="shared" si="14"/>
        <v>2.1659999999999968</v>
      </c>
      <c r="P459">
        <f t="shared" si="15"/>
        <v>67.654999999999973</v>
      </c>
    </row>
    <row r="460" spans="1:16" x14ac:dyDescent="0.35">
      <c r="A460" s="9" t="s">
        <v>512</v>
      </c>
      <c r="B460" s="2">
        <v>231.578</v>
      </c>
      <c r="C460" s="2">
        <v>232.79499999999999</v>
      </c>
      <c r="D460" s="2">
        <v>230.804</v>
      </c>
      <c r="E460" s="2">
        <v>232.14599999999999</v>
      </c>
      <c r="F460" s="2">
        <v>35649899</v>
      </c>
      <c r="G460" s="2" t="s">
        <v>15</v>
      </c>
      <c r="H460" s="2" t="s">
        <v>16</v>
      </c>
      <c r="I460" s="2" t="s">
        <v>17</v>
      </c>
      <c r="J460" s="3">
        <v>0.11600000000000001</v>
      </c>
      <c r="K460" s="2" t="s">
        <v>492</v>
      </c>
      <c r="L460" s="2">
        <v>2024</v>
      </c>
      <c r="M460" s="2" t="s">
        <v>227</v>
      </c>
      <c r="N460" s="2" t="s">
        <v>21</v>
      </c>
      <c r="O460">
        <f t="shared" si="14"/>
        <v>1.9909999999999854</v>
      </c>
      <c r="P460">
        <f t="shared" si="15"/>
        <v>67.770999999999972</v>
      </c>
    </row>
    <row r="461" spans="1:16" x14ac:dyDescent="0.35">
      <c r="A461" s="9" t="s">
        <v>513</v>
      </c>
      <c r="B461" s="2">
        <v>231.09200000000001</v>
      </c>
      <c r="C461" s="2">
        <v>231.946</v>
      </c>
      <c r="D461" s="2">
        <v>228.053</v>
      </c>
      <c r="E461" s="2">
        <v>228.59800000000001</v>
      </c>
      <c r="F461" s="2">
        <v>47380112</v>
      </c>
      <c r="G461" s="2" t="s">
        <v>15</v>
      </c>
      <c r="H461" s="2" t="s">
        <v>16</v>
      </c>
      <c r="I461" s="2" t="s">
        <v>17</v>
      </c>
      <c r="J461" s="4">
        <v>-1.528</v>
      </c>
      <c r="K461" s="2" t="s">
        <v>492</v>
      </c>
      <c r="L461" s="2">
        <v>2024</v>
      </c>
      <c r="M461" s="2" t="s">
        <v>227</v>
      </c>
      <c r="N461" s="2" t="s">
        <v>23</v>
      </c>
      <c r="O461">
        <f t="shared" si="14"/>
        <v>3.8930000000000007</v>
      </c>
      <c r="P461">
        <f t="shared" si="15"/>
        <v>66.242999999999967</v>
      </c>
    </row>
    <row r="462" spans="1:16" x14ac:dyDescent="0.35">
      <c r="A462" s="9" t="s">
        <v>514</v>
      </c>
      <c r="B462" s="2">
        <v>227.84299999999999</v>
      </c>
      <c r="C462" s="2">
        <v>228.32900000000001</v>
      </c>
      <c r="D462" s="2">
        <v>223.898</v>
      </c>
      <c r="E462" s="2">
        <v>224.43600000000001</v>
      </c>
      <c r="F462" s="2">
        <v>64792927</v>
      </c>
      <c r="G462" s="2" t="s">
        <v>15</v>
      </c>
      <c r="H462" s="2" t="s">
        <v>16</v>
      </c>
      <c r="I462" s="2" t="s">
        <v>17</v>
      </c>
      <c r="J462" s="4">
        <v>-1.821</v>
      </c>
      <c r="K462" s="2" t="s">
        <v>492</v>
      </c>
      <c r="L462" s="2">
        <v>2024</v>
      </c>
      <c r="M462" s="2" t="s">
        <v>227</v>
      </c>
      <c r="N462" s="2" t="s">
        <v>23</v>
      </c>
      <c r="O462">
        <f t="shared" si="14"/>
        <v>4.4310000000000116</v>
      </c>
      <c r="P462">
        <f t="shared" si="15"/>
        <v>64.421999999999969</v>
      </c>
    </row>
    <row r="463" spans="1:16" x14ac:dyDescent="0.35">
      <c r="A463" s="9" t="s">
        <v>515</v>
      </c>
      <c r="B463" s="2">
        <v>219.523</v>
      </c>
      <c r="C463" s="2">
        <v>223.88</v>
      </c>
      <c r="D463" s="2">
        <v>218.83199999999999</v>
      </c>
      <c r="E463" s="2">
        <v>221.45500000000001</v>
      </c>
      <c r="F463" s="2">
        <v>65705538</v>
      </c>
      <c r="G463" s="2" t="s">
        <v>15</v>
      </c>
      <c r="H463" s="2" t="s">
        <v>16</v>
      </c>
      <c r="I463" s="2" t="s">
        <v>17</v>
      </c>
      <c r="J463" s="4">
        <v>-1.3280000000000001</v>
      </c>
      <c r="K463" s="2" t="s">
        <v>516</v>
      </c>
      <c r="L463" s="2">
        <v>2024</v>
      </c>
      <c r="M463" s="2" t="s">
        <v>251</v>
      </c>
      <c r="N463" s="2" t="s">
        <v>23</v>
      </c>
      <c r="O463">
        <f t="shared" si="14"/>
        <v>5.0480000000000018</v>
      </c>
      <c r="P463">
        <f t="shared" si="15"/>
        <v>63.093999999999966</v>
      </c>
    </row>
    <row r="464" spans="1:16" x14ac:dyDescent="0.35">
      <c r="A464" s="9" t="s">
        <v>517</v>
      </c>
      <c r="B464" s="2">
        <v>219.548</v>
      </c>
      <c r="C464" s="2">
        <v>221.33600000000001</v>
      </c>
      <c r="D464" s="2">
        <v>218.27699999999999</v>
      </c>
      <c r="E464" s="2">
        <v>220.56100000000001</v>
      </c>
      <c r="F464" s="2">
        <v>45239704</v>
      </c>
      <c r="G464" s="2" t="s">
        <v>15</v>
      </c>
      <c r="H464" s="2" t="s">
        <v>16</v>
      </c>
      <c r="I464" s="2" t="s">
        <v>17</v>
      </c>
      <c r="J464" s="4">
        <v>-0.40400000000000003</v>
      </c>
      <c r="K464" s="2" t="s">
        <v>516</v>
      </c>
      <c r="L464" s="2">
        <v>2024</v>
      </c>
      <c r="M464" s="2" t="s">
        <v>251</v>
      </c>
      <c r="N464" s="2" t="s">
        <v>23</v>
      </c>
      <c r="O464">
        <f t="shared" si="14"/>
        <v>3.0590000000000259</v>
      </c>
      <c r="P464">
        <f t="shared" si="15"/>
        <v>62.689999999999962</v>
      </c>
    </row>
    <row r="465" spans="1:16" x14ac:dyDescent="0.35">
      <c r="A465" s="9" t="s">
        <v>518</v>
      </c>
      <c r="B465" s="2">
        <v>220.34700000000001</v>
      </c>
      <c r="C465" s="2">
        <v>222.488</v>
      </c>
      <c r="D465" s="2">
        <v>219.696</v>
      </c>
      <c r="E465" s="2">
        <v>221.99199999999999</v>
      </c>
      <c r="F465" s="2">
        <v>28295998</v>
      </c>
      <c r="G465" s="2" t="s">
        <v>15</v>
      </c>
      <c r="H465" s="2" t="s">
        <v>16</v>
      </c>
      <c r="I465" s="2" t="s">
        <v>17</v>
      </c>
      <c r="J465" s="3">
        <v>0.64900000000000002</v>
      </c>
      <c r="K465" s="2" t="s">
        <v>516</v>
      </c>
      <c r="L465" s="2">
        <v>2024</v>
      </c>
      <c r="M465" s="2" t="s">
        <v>251</v>
      </c>
      <c r="N465" s="2" t="s">
        <v>21</v>
      </c>
      <c r="O465">
        <f t="shared" si="14"/>
        <v>2.7920000000000016</v>
      </c>
      <c r="P465">
        <f t="shared" si="15"/>
        <v>63.338999999999963</v>
      </c>
    </row>
    <row r="466" spans="1:16" x14ac:dyDescent="0.35">
      <c r="A466" s="9" t="s">
        <v>519</v>
      </c>
      <c r="B466" s="2">
        <v>221.15700000000001</v>
      </c>
      <c r="C466" s="2">
        <v>224.59100000000001</v>
      </c>
      <c r="D466" s="2">
        <v>219.74600000000001</v>
      </c>
      <c r="E466" s="2">
        <v>221.26599999999999</v>
      </c>
      <c r="F466" s="2">
        <v>54919528</v>
      </c>
      <c r="G466" s="2" t="s">
        <v>15</v>
      </c>
      <c r="H466" s="2" t="s">
        <v>16</v>
      </c>
      <c r="I466" s="2" t="s">
        <v>17</v>
      </c>
      <c r="J466" s="4">
        <v>-0.32700000000000001</v>
      </c>
      <c r="K466" s="2" t="s">
        <v>516</v>
      </c>
      <c r="L466" s="2">
        <v>2024</v>
      </c>
      <c r="M466" s="2" t="s">
        <v>251</v>
      </c>
      <c r="N466" s="2" t="s">
        <v>23</v>
      </c>
      <c r="O466">
        <f t="shared" si="14"/>
        <v>4.8449999999999989</v>
      </c>
      <c r="P466">
        <f t="shared" si="15"/>
        <v>63.011999999999965</v>
      </c>
    </row>
    <row r="467" spans="1:16" x14ac:dyDescent="0.35">
      <c r="A467" s="9" t="s">
        <v>520</v>
      </c>
      <c r="B467" s="2">
        <v>223.15799999999999</v>
      </c>
      <c r="C467" s="2">
        <v>226.38800000000001</v>
      </c>
      <c r="D467" s="2">
        <v>223.10499999999999</v>
      </c>
      <c r="E467" s="2">
        <v>225.99600000000001</v>
      </c>
      <c r="F467" s="2">
        <v>42414489</v>
      </c>
      <c r="G467" s="2" t="s">
        <v>15</v>
      </c>
      <c r="H467" s="2" t="s">
        <v>16</v>
      </c>
      <c r="I467" s="2" t="s">
        <v>17</v>
      </c>
      <c r="J467" s="3">
        <v>2.1379999999999999</v>
      </c>
      <c r="K467" s="2" t="s">
        <v>516</v>
      </c>
      <c r="L467" s="2">
        <v>2024</v>
      </c>
      <c r="M467" s="2" t="s">
        <v>251</v>
      </c>
      <c r="N467" s="2" t="s">
        <v>21</v>
      </c>
      <c r="O467">
        <f t="shared" si="14"/>
        <v>3.2830000000000155</v>
      </c>
      <c r="P467">
        <f t="shared" si="15"/>
        <v>65.149999999999963</v>
      </c>
    </row>
    <row r="468" spans="1:16" x14ac:dyDescent="0.35">
      <c r="A468" s="9" t="s">
        <v>521</v>
      </c>
      <c r="B468" s="2">
        <v>225.93700000000001</v>
      </c>
      <c r="C468" s="2">
        <v>227.417</v>
      </c>
      <c r="D468" s="2">
        <v>225.17500000000001</v>
      </c>
      <c r="E468" s="2">
        <v>225.727</v>
      </c>
      <c r="F468" s="2">
        <v>38538202</v>
      </c>
      <c r="G468" s="2" t="s">
        <v>15</v>
      </c>
      <c r="H468" s="2" t="s">
        <v>16</v>
      </c>
      <c r="I468" s="2" t="s">
        <v>17</v>
      </c>
      <c r="J468" s="4">
        <v>-0.11899999999999999</v>
      </c>
      <c r="K468" s="2" t="s">
        <v>516</v>
      </c>
      <c r="L468" s="2">
        <v>2024</v>
      </c>
      <c r="M468" s="2" t="s">
        <v>251</v>
      </c>
      <c r="N468" s="2" t="s">
        <v>23</v>
      </c>
      <c r="O468">
        <f t="shared" si="14"/>
        <v>2.2419999999999902</v>
      </c>
      <c r="P468">
        <f t="shared" si="15"/>
        <v>65.030999999999963</v>
      </c>
    </row>
    <row r="469" spans="1:16" x14ac:dyDescent="0.35">
      <c r="A469" s="9" t="s">
        <v>522</v>
      </c>
      <c r="B469" s="2">
        <v>223.779</v>
      </c>
      <c r="C469" s="2">
        <v>224.47399999999999</v>
      </c>
      <c r="D469" s="2">
        <v>220.297</v>
      </c>
      <c r="E469" s="2">
        <v>223.012</v>
      </c>
      <c r="F469" s="2">
        <v>42235065</v>
      </c>
      <c r="G469" s="2" t="s">
        <v>15</v>
      </c>
      <c r="H469" s="2" t="s">
        <v>16</v>
      </c>
      <c r="I469" s="2" t="s">
        <v>17</v>
      </c>
      <c r="J469" s="4">
        <v>-1.2030000000000001</v>
      </c>
      <c r="K469" s="2" t="s">
        <v>516</v>
      </c>
      <c r="L469" s="2">
        <v>2024</v>
      </c>
      <c r="M469" s="2" t="s">
        <v>251</v>
      </c>
      <c r="N469" s="2" t="s">
        <v>23</v>
      </c>
      <c r="O469">
        <f t="shared" si="14"/>
        <v>4.1769999999999925</v>
      </c>
      <c r="P469">
        <f t="shared" si="15"/>
        <v>63.82799999999996</v>
      </c>
    </row>
    <row r="470" spans="1:16" x14ac:dyDescent="0.35">
      <c r="A470" s="9" t="s">
        <v>523</v>
      </c>
      <c r="B470" s="2">
        <v>223.32900000000001</v>
      </c>
      <c r="C470" s="2">
        <v>224.364</v>
      </c>
      <c r="D470" s="2">
        <v>222.14099999999999</v>
      </c>
      <c r="E470" s="2">
        <v>223.012</v>
      </c>
      <c r="F470" s="2">
        <v>40618982</v>
      </c>
      <c r="G470" s="2" t="s">
        <v>15</v>
      </c>
      <c r="H470" s="2" t="s">
        <v>16</v>
      </c>
      <c r="I470" s="2" t="s">
        <v>17</v>
      </c>
      <c r="J470" s="2">
        <v>0</v>
      </c>
      <c r="K470" s="2" t="s">
        <v>516</v>
      </c>
      <c r="L470" s="2">
        <v>2024</v>
      </c>
      <c r="M470" s="2" t="s">
        <v>251</v>
      </c>
      <c r="N470" s="2" t="s">
        <v>122</v>
      </c>
      <c r="O470">
        <f t="shared" si="14"/>
        <v>2.2230000000000132</v>
      </c>
      <c r="P470">
        <f t="shared" si="15"/>
        <v>63.82799999999996</v>
      </c>
    </row>
    <row r="471" spans="1:16" x14ac:dyDescent="0.35">
      <c r="A471" s="9" t="s">
        <v>524</v>
      </c>
      <c r="B471" s="2">
        <v>222.79400000000001</v>
      </c>
      <c r="C471" s="2">
        <v>225.41800000000001</v>
      </c>
      <c r="D471" s="2">
        <v>221.55</v>
      </c>
      <c r="E471" s="2">
        <v>223.89699999999999</v>
      </c>
      <c r="F471" s="2">
        <v>48831519</v>
      </c>
      <c r="G471" s="2" t="s">
        <v>15</v>
      </c>
      <c r="H471" s="2" t="s">
        <v>16</v>
      </c>
      <c r="I471" s="2" t="s">
        <v>17</v>
      </c>
      <c r="J471" s="3">
        <v>0.39700000000000002</v>
      </c>
      <c r="K471" s="2" t="s">
        <v>516</v>
      </c>
      <c r="L471" s="2">
        <v>2024</v>
      </c>
      <c r="M471" s="2" t="s">
        <v>251</v>
      </c>
      <c r="N471" s="2" t="s">
        <v>21</v>
      </c>
      <c r="O471">
        <f t="shared" si="14"/>
        <v>3.867999999999995</v>
      </c>
      <c r="P471">
        <f t="shared" si="15"/>
        <v>64.224999999999966</v>
      </c>
    </row>
    <row r="472" spans="1:16" x14ac:dyDescent="0.35">
      <c r="A472" s="9" t="s">
        <v>525</v>
      </c>
      <c r="B472" s="2">
        <v>223.79900000000001</v>
      </c>
      <c r="C472" s="2">
        <v>227.62700000000001</v>
      </c>
      <c r="D472" s="2">
        <v>223.779</v>
      </c>
      <c r="E472" s="2">
        <v>226.98</v>
      </c>
      <c r="F472" s="2">
        <v>45169347</v>
      </c>
      <c r="G472" s="2" t="s">
        <v>15</v>
      </c>
      <c r="H472" s="2" t="s">
        <v>16</v>
      </c>
      <c r="I472" s="2" t="s">
        <v>17</v>
      </c>
      <c r="J472" s="3">
        <v>1.377</v>
      </c>
      <c r="K472" s="2" t="s">
        <v>516</v>
      </c>
      <c r="L472" s="2">
        <v>2024</v>
      </c>
      <c r="M472" s="2" t="s">
        <v>251</v>
      </c>
      <c r="N472" s="2" t="s">
        <v>21</v>
      </c>
      <c r="O472">
        <f t="shared" si="14"/>
        <v>3.8480000000000132</v>
      </c>
      <c r="P472">
        <f t="shared" si="15"/>
        <v>65.601999999999961</v>
      </c>
    </row>
    <row r="473" spans="1:16" x14ac:dyDescent="0.35">
      <c r="A473" s="9" t="s">
        <v>526</v>
      </c>
      <c r="B473" s="2">
        <v>225.17</v>
      </c>
      <c r="C473" s="2">
        <v>225.68700000000001</v>
      </c>
      <c r="D473" s="2">
        <v>223.05199999999999</v>
      </c>
      <c r="E473" s="2">
        <v>223.779</v>
      </c>
      <c r="F473" s="2">
        <v>48185489</v>
      </c>
      <c r="G473" s="2" t="s">
        <v>15</v>
      </c>
      <c r="H473" s="2" t="s">
        <v>16</v>
      </c>
      <c r="I473" s="2" t="s">
        <v>17</v>
      </c>
      <c r="J473" s="4">
        <v>-1.41</v>
      </c>
      <c r="K473" s="2" t="s">
        <v>516</v>
      </c>
      <c r="L473" s="2">
        <v>2024</v>
      </c>
      <c r="M473" s="2" t="s">
        <v>251</v>
      </c>
      <c r="N473" s="2" t="s">
        <v>23</v>
      </c>
      <c r="O473">
        <f t="shared" si="14"/>
        <v>2.6350000000000193</v>
      </c>
      <c r="P473">
        <f t="shared" si="15"/>
        <v>64.191999999999965</v>
      </c>
    </row>
    <row r="474" spans="1:16" x14ac:dyDescent="0.35">
      <c r="A474" s="9" t="s">
        <v>527</v>
      </c>
      <c r="B474" s="2">
        <v>224.02600000000001</v>
      </c>
      <c r="C474" s="2">
        <v>228.49100000000001</v>
      </c>
      <c r="D474" s="2">
        <v>223.946</v>
      </c>
      <c r="E474" s="2">
        <v>226.78200000000001</v>
      </c>
      <c r="F474" s="2">
        <v>44930125</v>
      </c>
      <c r="G474" s="2" t="s">
        <v>15</v>
      </c>
      <c r="H474" s="2" t="s">
        <v>16</v>
      </c>
      <c r="I474" s="2" t="s">
        <v>17</v>
      </c>
      <c r="J474" s="3">
        <v>1.3420000000000001</v>
      </c>
      <c r="K474" s="2" t="s">
        <v>516</v>
      </c>
      <c r="L474" s="2">
        <v>2024</v>
      </c>
      <c r="M474" s="2" t="s">
        <v>251</v>
      </c>
      <c r="N474" s="2" t="s">
        <v>21</v>
      </c>
      <c r="O474">
        <f t="shared" si="14"/>
        <v>4.5450000000000159</v>
      </c>
      <c r="P474">
        <f t="shared" si="15"/>
        <v>65.533999999999963</v>
      </c>
    </row>
    <row r="475" spans="1:16" x14ac:dyDescent="0.35">
      <c r="A475" s="9" t="s">
        <v>528</v>
      </c>
      <c r="B475" s="2">
        <v>225.74700000000001</v>
      </c>
      <c r="C475" s="2">
        <v>228.91</v>
      </c>
      <c r="D475" s="2">
        <v>225.428</v>
      </c>
      <c r="E475" s="2">
        <v>227.04</v>
      </c>
      <c r="F475" s="2">
        <v>36409587</v>
      </c>
      <c r="G475" s="2" t="s">
        <v>15</v>
      </c>
      <c r="H475" s="2" t="s">
        <v>16</v>
      </c>
      <c r="I475" s="2" t="s">
        <v>17</v>
      </c>
      <c r="J475" s="3">
        <v>0.114</v>
      </c>
      <c r="K475" s="2" t="s">
        <v>516</v>
      </c>
      <c r="L475" s="2">
        <v>2024</v>
      </c>
      <c r="M475" s="2" t="s">
        <v>251</v>
      </c>
      <c r="N475" s="2" t="s">
        <v>21</v>
      </c>
      <c r="O475">
        <f t="shared" si="14"/>
        <v>3.4819999999999993</v>
      </c>
      <c r="P475">
        <f t="shared" si="15"/>
        <v>65.647999999999968</v>
      </c>
    </row>
    <row r="476" spans="1:16" x14ac:dyDescent="0.35">
      <c r="A476" s="9" t="s">
        <v>529</v>
      </c>
      <c r="B476" s="2">
        <v>226.822</v>
      </c>
      <c r="C476" s="2">
        <v>228.68</v>
      </c>
      <c r="D476" s="2">
        <v>224.66300000000001</v>
      </c>
      <c r="E476" s="2">
        <v>227.755</v>
      </c>
      <c r="F476" s="2">
        <v>35361686</v>
      </c>
      <c r="G476" s="2" t="s">
        <v>15</v>
      </c>
      <c r="H476" s="2" t="s">
        <v>16</v>
      </c>
      <c r="I476" s="2" t="s">
        <v>17</v>
      </c>
      <c r="J476" s="3">
        <v>0.315</v>
      </c>
      <c r="K476" s="2" t="s">
        <v>516</v>
      </c>
      <c r="L476" s="2">
        <v>2024</v>
      </c>
      <c r="M476" s="2" t="s">
        <v>251</v>
      </c>
      <c r="N476" s="2" t="s">
        <v>21</v>
      </c>
      <c r="O476">
        <f t="shared" si="14"/>
        <v>4.0169999999999959</v>
      </c>
      <c r="P476">
        <f t="shared" si="15"/>
        <v>65.962999999999965</v>
      </c>
    </row>
    <row r="477" spans="1:16" x14ac:dyDescent="0.35">
      <c r="A477" s="9" t="s">
        <v>530</v>
      </c>
      <c r="B477" s="2">
        <v>227.637</v>
      </c>
      <c r="C477" s="2">
        <v>228.905</v>
      </c>
      <c r="D477" s="2">
        <v>224.48400000000001</v>
      </c>
      <c r="E477" s="2">
        <v>227.27799999999999</v>
      </c>
      <c r="F477" s="2">
        <v>42338351</v>
      </c>
      <c r="G477" s="2" t="s">
        <v>15</v>
      </c>
      <c r="H477" s="2" t="s">
        <v>16</v>
      </c>
      <c r="I477" s="2" t="s">
        <v>17</v>
      </c>
      <c r="J477" s="4">
        <v>-0.20899999999999999</v>
      </c>
      <c r="K477" s="2" t="s">
        <v>516</v>
      </c>
      <c r="L477" s="2">
        <v>2024</v>
      </c>
      <c r="M477" s="2" t="s">
        <v>251</v>
      </c>
      <c r="N477" s="2" t="s">
        <v>23</v>
      </c>
      <c r="O477">
        <f t="shared" si="14"/>
        <v>4.4209999999999923</v>
      </c>
      <c r="P477">
        <f t="shared" si="15"/>
        <v>65.753999999999962</v>
      </c>
    </row>
    <row r="478" spans="1:16" x14ac:dyDescent="0.35">
      <c r="A478" s="9" t="s">
        <v>531</v>
      </c>
      <c r="B478" s="2">
        <v>226.822</v>
      </c>
      <c r="C478" s="2">
        <v>229.46600000000001</v>
      </c>
      <c r="D478" s="2">
        <v>226.822</v>
      </c>
      <c r="E478" s="2">
        <v>228.62100000000001</v>
      </c>
      <c r="F478" s="2">
        <v>38376753</v>
      </c>
      <c r="G478" s="2" t="s">
        <v>15</v>
      </c>
      <c r="H478" s="2" t="s">
        <v>16</v>
      </c>
      <c r="I478" s="2" t="s">
        <v>17</v>
      </c>
      <c r="J478" s="3">
        <v>0.59099999999999997</v>
      </c>
      <c r="K478" s="2" t="s">
        <v>516</v>
      </c>
      <c r="L478" s="2">
        <v>2024</v>
      </c>
      <c r="M478" s="2" t="s">
        <v>251</v>
      </c>
      <c r="N478" s="2" t="s">
        <v>21</v>
      </c>
      <c r="O478">
        <f t="shared" si="14"/>
        <v>2.6440000000000055</v>
      </c>
      <c r="P478">
        <f t="shared" si="15"/>
        <v>66.344999999999956</v>
      </c>
    </row>
    <row r="479" spans="1:16" x14ac:dyDescent="0.35">
      <c r="A479" s="9" t="s">
        <v>532</v>
      </c>
      <c r="B479" s="2">
        <v>230.203</v>
      </c>
      <c r="C479" s="2">
        <v>231.97800000000001</v>
      </c>
      <c r="D479" s="2">
        <v>228.49100000000001</v>
      </c>
      <c r="E479" s="2">
        <v>231.60400000000001</v>
      </c>
      <c r="F479" s="2">
        <v>90645310</v>
      </c>
      <c r="G479" s="2" t="s">
        <v>15</v>
      </c>
      <c r="H479" s="2" t="s">
        <v>16</v>
      </c>
      <c r="I479" s="2" t="s">
        <v>17</v>
      </c>
      <c r="J479" s="3">
        <v>1.3049999999999999</v>
      </c>
      <c r="K479" s="2" t="s">
        <v>516</v>
      </c>
      <c r="L479" s="2">
        <v>2024</v>
      </c>
      <c r="M479" s="2" t="s">
        <v>251</v>
      </c>
      <c r="N479" s="2" t="s">
        <v>21</v>
      </c>
      <c r="O479">
        <f t="shared" si="14"/>
        <v>3.4869999999999948</v>
      </c>
      <c r="P479">
        <f t="shared" si="15"/>
        <v>67.649999999999963</v>
      </c>
    </row>
    <row r="480" spans="1:16" x14ac:dyDescent="0.35">
      <c r="A480" s="9" t="s">
        <v>533</v>
      </c>
      <c r="B480" s="2">
        <v>232.06299999999999</v>
      </c>
      <c r="C480" s="2">
        <v>234.291</v>
      </c>
      <c r="D480" s="2">
        <v>232.06299999999999</v>
      </c>
      <c r="E480" s="2">
        <v>233.78200000000001</v>
      </c>
      <c r="F480" s="2">
        <v>46237396</v>
      </c>
      <c r="G480" s="2" t="s">
        <v>15</v>
      </c>
      <c r="H480" s="2" t="s">
        <v>16</v>
      </c>
      <c r="I480" s="2" t="s">
        <v>17</v>
      </c>
      <c r="J480" s="3">
        <v>0.94</v>
      </c>
      <c r="K480" s="2" t="s">
        <v>516</v>
      </c>
      <c r="L480" s="2">
        <v>2024</v>
      </c>
      <c r="M480" s="2" t="s">
        <v>251</v>
      </c>
      <c r="N480" s="2" t="s">
        <v>21</v>
      </c>
      <c r="O480">
        <f t="shared" si="14"/>
        <v>2.2280000000000086</v>
      </c>
      <c r="P480">
        <f t="shared" si="15"/>
        <v>68.589999999999961</v>
      </c>
    </row>
    <row r="481" spans="1:16" x14ac:dyDescent="0.35">
      <c r="A481" s="9" t="s">
        <v>534</v>
      </c>
      <c r="B481" s="2">
        <v>233.191</v>
      </c>
      <c r="C481" s="2">
        <v>234.41</v>
      </c>
      <c r="D481" s="2">
        <v>232.53899999999999</v>
      </c>
      <c r="E481" s="2">
        <v>233.65299999999999</v>
      </c>
      <c r="F481" s="2">
        <v>33681430</v>
      </c>
      <c r="G481" s="2" t="s">
        <v>15</v>
      </c>
      <c r="H481" s="2" t="s">
        <v>16</v>
      </c>
      <c r="I481" s="2" t="s">
        <v>17</v>
      </c>
      <c r="J481" s="4">
        <v>-5.5E-2</v>
      </c>
      <c r="K481" s="2" t="s">
        <v>516</v>
      </c>
      <c r="L481" s="2">
        <v>2024</v>
      </c>
      <c r="M481" s="2" t="s">
        <v>251</v>
      </c>
      <c r="N481" s="2" t="s">
        <v>23</v>
      </c>
      <c r="O481">
        <f t="shared" si="14"/>
        <v>1.8710000000000093</v>
      </c>
      <c r="P481">
        <f t="shared" si="15"/>
        <v>68.534999999999954</v>
      </c>
    </row>
    <row r="482" spans="1:16" x14ac:dyDescent="0.35">
      <c r="A482" s="9" t="s">
        <v>535</v>
      </c>
      <c r="B482" s="2">
        <v>233.52799999999999</v>
      </c>
      <c r="C482" s="2">
        <v>236.51900000000001</v>
      </c>
      <c r="D482" s="2">
        <v>232.69800000000001</v>
      </c>
      <c r="E482" s="2">
        <v>236.041</v>
      </c>
      <c r="F482" s="2">
        <v>28636961</v>
      </c>
      <c r="G482" s="2" t="s">
        <v>15</v>
      </c>
      <c r="H482" s="2" t="s">
        <v>16</v>
      </c>
      <c r="I482" s="2" t="s">
        <v>17</v>
      </c>
      <c r="J482" s="3">
        <v>1.022</v>
      </c>
      <c r="K482" s="2" t="s">
        <v>516</v>
      </c>
      <c r="L482" s="2">
        <v>2024</v>
      </c>
      <c r="M482" s="2" t="s">
        <v>251</v>
      </c>
      <c r="N482" s="2" t="s">
        <v>21</v>
      </c>
      <c r="O482">
        <f t="shared" si="14"/>
        <v>3.820999999999998</v>
      </c>
      <c r="P482">
        <f t="shared" si="15"/>
        <v>69.55699999999996</v>
      </c>
    </row>
    <row r="483" spans="1:16" x14ac:dyDescent="0.35">
      <c r="A483" s="9" t="s">
        <v>536</v>
      </c>
      <c r="B483" s="2">
        <v>235.98099999999999</v>
      </c>
      <c r="C483" s="2">
        <v>239.483</v>
      </c>
      <c r="D483" s="2">
        <v>235.87200000000001</v>
      </c>
      <c r="E483" s="2">
        <v>238.28899999999999</v>
      </c>
      <c r="F483" s="2">
        <v>48400060</v>
      </c>
      <c r="G483" s="2" t="s">
        <v>15</v>
      </c>
      <c r="H483" s="2" t="s">
        <v>16</v>
      </c>
      <c r="I483" s="2" t="s">
        <v>17</v>
      </c>
      <c r="J483" s="3">
        <v>0.95199999999999996</v>
      </c>
      <c r="K483" s="2" t="s">
        <v>537</v>
      </c>
      <c r="L483" s="2">
        <v>2024</v>
      </c>
      <c r="M483" s="2" t="s">
        <v>274</v>
      </c>
      <c r="N483" s="2" t="s">
        <v>21</v>
      </c>
      <c r="O483">
        <f t="shared" si="14"/>
        <v>3.61099999999999</v>
      </c>
      <c r="P483">
        <f t="shared" si="15"/>
        <v>70.508999999999958</v>
      </c>
    </row>
    <row r="484" spans="1:16" x14ac:dyDescent="0.35">
      <c r="A484" s="9" t="s">
        <v>538</v>
      </c>
      <c r="B484" s="2">
        <v>238.50800000000001</v>
      </c>
      <c r="C484" s="2">
        <v>241.44</v>
      </c>
      <c r="D484" s="2">
        <v>237.602</v>
      </c>
      <c r="E484" s="2">
        <v>241.333</v>
      </c>
      <c r="F484" s="2">
        <v>39073302</v>
      </c>
      <c r="G484" s="2" t="s">
        <v>15</v>
      </c>
      <c r="H484" s="2" t="s">
        <v>16</v>
      </c>
      <c r="I484" s="2" t="s">
        <v>17</v>
      </c>
      <c r="J484" s="3">
        <v>1.2769999999999999</v>
      </c>
      <c r="K484" s="2" t="s">
        <v>537</v>
      </c>
      <c r="L484" s="2">
        <v>2024</v>
      </c>
      <c r="M484" s="2" t="s">
        <v>274</v>
      </c>
      <c r="N484" s="2" t="s">
        <v>21</v>
      </c>
      <c r="O484">
        <f t="shared" si="14"/>
        <v>3.8379999999999939</v>
      </c>
      <c r="P484">
        <f t="shared" si="15"/>
        <v>71.785999999999959</v>
      </c>
    </row>
    <row r="485" spans="1:16" x14ac:dyDescent="0.35">
      <c r="A485" s="9" t="s">
        <v>539</v>
      </c>
      <c r="B485" s="2">
        <v>241.55</v>
      </c>
      <c r="C485" s="2">
        <v>242.78399999999999</v>
      </c>
      <c r="D485" s="2">
        <v>239.93799999999999</v>
      </c>
      <c r="E485" s="2">
        <v>241.68899999999999</v>
      </c>
      <c r="F485" s="2">
        <v>44626390</v>
      </c>
      <c r="G485" s="2" t="s">
        <v>15</v>
      </c>
      <c r="H485" s="2" t="s">
        <v>16</v>
      </c>
      <c r="I485" s="2" t="s">
        <v>17</v>
      </c>
      <c r="J485" s="3">
        <v>0.14799999999999999</v>
      </c>
      <c r="K485" s="2" t="s">
        <v>537</v>
      </c>
      <c r="L485" s="2">
        <v>2024</v>
      </c>
      <c r="M485" s="2" t="s">
        <v>274</v>
      </c>
      <c r="N485" s="2" t="s">
        <v>21</v>
      </c>
      <c r="O485">
        <f t="shared" si="14"/>
        <v>2.8460000000000036</v>
      </c>
      <c r="P485">
        <f t="shared" si="15"/>
        <v>71.933999999999955</v>
      </c>
    </row>
    <row r="486" spans="1:16" x14ac:dyDescent="0.35">
      <c r="A486" s="9" t="s">
        <v>540</v>
      </c>
      <c r="B486" s="2">
        <v>242.66499999999999</v>
      </c>
      <c r="C486" s="2">
        <v>243.21</v>
      </c>
      <c r="D486" s="2">
        <v>240.81399999999999</v>
      </c>
      <c r="E486" s="2">
        <v>241.71899999999999</v>
      </c>
      <c r="F486" s="2">
        <v>40252571</v>
      </c>
      <c r="G486" s="2" t="s">
        <v>15</v>
      </c>
      <c r="H486" s="2" t="s">
        <v>16</v>
      </c>
      <c r="I486" s="2" t="s">
        <v>17</v>
      </c>
      <c r="J486" s="3">
        <v>1.2E-2</v>
      </c>
      <c r="K486" s="2" t="s">
        <v>537</v>
      </c>
      <c r="L486" s="2">
        <v>2024</v>
      </c>
      <c r="M486" s="2" t="s">
        <v>274</v>
      </c>
      <c r="N486" s="2" t="s">
        <v>21</v>
      </c>
      <c r="O486">
        <f t="shared" si="14"/>
        <v>2.396000000000015</v>
      </c>
      <c r="P486">
        <f t="shared" si="15"/>
        <v>71.945999999999955</v>
      </c>
    </row>
    <row r="487" spans="1:16" x14ac:dyDescent="0.35">
      <c r="A487" s="9" t="s">
        <v>541</v>
      </c>
      <c r="B487" s="2">
        <v>241.58500000000001</v>
      </c>
      <c r="C487" s="2">
        <v>243.3</v>
      </c>
      <c r="D487" s="2">
        <v>240.76400000000001</v>
      </c>
      <c r="E487" s="2">
        <v>241.52</v>
      </c>
      <c r="F487" s="2">
        <v>37072031</v>
      </c>
      <c r="G487" s="2" t="s">
        <v>15</v>
      </c>
      <c r="H487" s="2" t="s">
        <v>16</v>
      </c>
      <c r="I487" s="2" t="s">
        <v>17</v>
      </c>
      <c r="J487" s="4">
        <v>-8.2000000000000003E-2</v>
      </c>
      <c r="K487" s="2" t="s">
        <v>537</v>
      </c>
      <c r="L487" s="2">
        <v>2024</v>
      </c>
      <c r="M487" s="2" t="s">
        <v>274</v>
      </c>
      <c r="N487" s="2" t="s">
        <v>23</v>
      </c>
      <c r="O487">
        <f t="shared" si="14"/>
        <v>2.5360000000000014</v>
      </c>
      <c r="P487">
        <f t="shared" si="15"/>
        <v>71.863999999999962</v>
      </c>
    </row>
    <row r="488" spans="1:16" x14ac:dyDescent="0.35">
      <c r="A488" s="9" t="s">
        <v>542</v>
      </c>
      <c r="B488" s="2">
        <v>240.517</v>
      </c>
      <c r="C488" s="2">
        <v>245.89599999999999</v>
      </c>
      <c r="D488" s="2">
        <v>240.43700000000001</v>
      </c>
      <c r="E488" s="2">
        <v>245.40899999999999</v>
      </c>
      <c r="F488" s="2">
        <v>44893136</v>
      </c>
      <c r="G488" s="2" t="s">
        <v>15</v>
      </c>
      <c r="H488" s="2" t="s">
        <v>16</v>
      </c>
      <c r="I488" s="2" t="s">
        <v>17</v>
      </c>
      <c r="J488" s="3">
        <v>1.61</v>
      </c>
      <c r="K488" s="2" t="s">
        <v>537</v>
      </c>
      <c r="L488" s="2">
        <v>2024</v>
      </c>
      <c r="M488" s="2" t="s">
        <v>274</v>
      </c>
      <c r="N488" s="2" t="s">
        <v>21</v>
      </c>
      <c r="O488">
        <f t="shared" si="14"/>
        <v>5.4589999999999748</v>
      </c>
      <c r="P488">
        <f t="shared" si="15"/>
        <v>73.473999999999961</v>
      </c>
    </row>
    <row r="489" spans="1:16" x14ac:dyDescent="0.35">
      <c r="A489" s="9" t="s">
        <v>543</v>
      </c>
      <c r="B489" s="2">
        <v>245.54900000000001</v>
      </c>
      <c r="C489" s="2">
        <v>246.86</v>
      </c>
      <c r="D489" s="2">
        <v>244.00800000000001</v>
      </c>
      <c r="E489" s="2">
        <v>246.42400000000001</v>
      </c>
      <c r="F489" s="2">
        <v>37116460</v>
      </c>
      <c r="G489" s="2" t="s">
        <v>15</v>
      </c>
      <c r="H489" s="2" t="s">
        <v>16</v>
      </c>
      <c r="I489" s="2" t="s">
        <v>17</v>
      </c>
      <c r="J489" s="3">
        <v>0.41399999999999998</v>
      </c>
      <c r="K489" s="2" t="s">
        <v>537</v>
      </c>
      <c r="L489" s="2">
        <v>2024</v>
      </c>
      <c r="M489" s="2" t="s">
        <v>274</v>
      </c>
      <c r="N489" s="2" t="s">
        <v>21</v>
      </c>
      <c r="O489">
        <f t="shared" si="14"/>
        <v>2.8520000000000039</v>
      </c>
      <c r="P489">
        <f t="shared" si="15"/>
        <v>73.887999999999963</v>
      </c>
    </row>
    <row r="490" spans="1:16" x14ac:dyDescent="0.35">
      <c r="A490" s="9" t="s">
        <v>544</v>
      </c>
      <c r="B490" s="2">
        <v>246.614</v>
      </c>
      <c r="C490" s="2">
        <v>249.43799999999999</v>
      </c>
      <c r="D490" s="2">
        <v>244.923</v>
      </c>
      <c r="E490" s="2">
        <v>245.15100000000001</v>
      </c>
      <c r="F490" s="2">
        <v>45452759</v>
      </c>
      <c r="G490" s="2" t="s">
        <v>15</v>
      </c>
      <c r="H490" s="2" t="s">
        <v>16</v>
      </c>
      <c r="I490" s="2" t="s">
        <v>17</v>
      </c>
      <c r="J490" s="4">
        <v>-0.51700000000000002</v>
      </c>
      <c r="K490" s="2" t="s">
        <v>537</v>
      </c>
      <c r="L490" s="2">
        <v>2024</v>
      </c>
      <c r="M490" s="2" t="s">
        <v>274</v>
      </c>
      <c r="N490" s="2" t="s">
        <v>23</v>
      </c>
      <c r="O490">
        <f t="shared" si="14"/>
        <v>4.5149999999999864</v>
      </c>
      <c r="P490">
        <f t="shared" si="15"/>
        <v>73.370999999999967</v>
      </c>
    </row>
    <row r="491" spans="1:16" x14ac:dyDescent="0.35">
      <c r="A491" s="9" t="s">
        <v>545</v>
      </c>
      <c r="B491" s="2">
        <v>245.54900000000001</v>
      </c>
      <c r="C491" s="2">
        <v>247.39</v>
      </c>
      <c r="D491" s="2">
        <v>244.345</v>
      </c>
      <c r="E491" s="2">
        <v>246.614</v>
      </c>
      <c r="F491" s="2">
        <v>32956585</v>
      </c>
      <c r="G491" s="2" t="s">
        <v>15</v>
      </c>
      <c r="H491" s="2" t="s">
        <v>16</v>
      </c>
      <c r="I491" s="2" t="s">
        <v>17</v>
      </c>
      <c r="J491" s="3">
        <v>0.59699999999999998</v>
      </c>
      <c r="K491" s="2" t="s">
        <v>537</v>
      </c>
      <c r="L491" s="2">
        <v>2024</v>
      </c>
      <c r="M491" s="2" t="s">
        <v>274</v>
      </c>
      <c r="N491" s="2" t="s">
        <v>21</v>
      </c>
      <c r="O491">
        <f t="shared" si="14"/>
        <v>3.0449999999999875</v>
      </c>
      <c r="P491">
        <f t="shared" si="15"/>
        <v>73.967999999999961</v>
      </c>
    </row>
    <row r="492" spans="1:16" x14ac:dyDescent="0.35">
      <c r="A492" s="9" t="s">
        <v>546</v>
      </c>
      <c r="B492" s="2">
        <v>246.46899999999999</v>
      </c>
      <c r="C492" s="2">
        <v>247.935</v>
      </c>
      <c r="D492" s="2">
        <v>244.90299999999999</v>
      </c>
      <c r="E492" s="2">
        <v>246.78100000000001</v>
      </c>
      <c r="F492" s="2">
        <v>33336406</v>
      </c>
      <c r="G492" s="2" t="s">
        <v>15</v>
      </c>
      <c r="H492" s="2" t="s">
        <v>16</v>
      </c>
      <c r="I492" s="2" t="s">
        <v>17</v>
      </c>
      <c r="J492" s="3">
        <v>6.8000000000000005E-2</v>
      </c>
      <c r="K492" s="2" t="s">
        <v>537</v>
      </c>
      <c r="L492" s="2">
        <v>2024</v>
      </c>
      <c r="M492" s="2" t="s">
        <v>274</v>
      </c>
      <c r="N492" s="2" t="s">
        <v>21</v>
      </c>
      <c r="O492">
        <f t="shared" si="14"/>
        <v>3.0320000000000107</v>
      </c>
      <c r="P492">
        <f t="shared" si="15"/>
        <v>74.035999999999959</v>
      </c>
    </row>
    <row r="493" spans="1:16" x14ac:dyDescent="0.35">
      <c r="A493" s="9" t="s">
        <v>547</v>
      </c>
      <c r="B493" s="2">
        <v>246.64400000000001</v>
      </c>
      <c r="C493" s="2">
        <v>250.01400000000001</v>
      </c>
      <c r="D493" s="2">
        <v>246.30500000000001</v>
      </c>
      <c r="E493" s="2">
        <v>249.67599999999999</v>
      </c>
      <c r="F493" s="2">
        <v>51977145</v>
      </c>
      <c r="G493" s="2" t="s">
        <v>15</v>
      </c>
      <c r="H493" s="2" t="s">
        <v>16</v>
      </c>
      <c r="I493" s="2" t="s">
        <v>17</v>
      </c>
      <c r="J493" s="3">
        <v>1.173</v>
      </c>
      <c r="K493" s="2" t="s">
        <v>537</v>
      </c>
      <c r="L493" s="2">
        <v>2024</v>
      </c>
      <c r="M493" s="2" t="s">
        <v>274</v>
      </c>
      <c r="N493" s="2" t="s">
        <v>21</v>
      </c>
      <c r="O493">
        <f t="shared" si="14"/>
        <v>3.7090000000000032</v>
      </c>
      <c r="P493">
        <f t="shared" si="15"/>
        <v>75.208999999999961</v>
      </c>
    </row>
    <row r="494" spans="1:16" x14ac:dyDescent="0.35">
      <c r="A494" s="9" t="s">
        <v>548</v>
      </c>
      <c r="B494" s="2">
        <v>248.721</v>
      </c>
      <c r="C494" s="2">
        <v>252.45099999999999</v>
      </c>
      <c r="D494" s="2">
        <v>248.42400000000001</v>
      </c>
      <c r="E494" s="2">
        <v>252.102</v>
      </c>
      <c r="F494" s="2">
        <v>51636904</v>
      </c>
      <c r="G494" s="2" t="s">
        <v>15</v>
      </c>
      <c r="H494" s="2" t="s">
        <v>16</v>
      </c>
      <c r="I494" s="2" t="s">
        <v>17</v>
      </c>
      <c r="J494" s="3">
        <v>0.97199999999999998</v>
      </c>
      <c r="K494" s="2" t="s">
        <v>537</v>
      </c>
      <c r="L494" s="2">
        <v>2024</v>
      </c>
      <c r="M494" s="2" t="s">
        <v>274</v>
      </c>
      <c r="N494" s="2" t="s">
        <v>21</v>
      </c>
      <c r="O494">
        <f t="shared" si="14"/>
        <v>4.0269999999999868</v>
      </c>
      <c r="P494">
        <f t="shared" si="15"/>
        <v>76.180999999999955</v>
      </c>
    </row>
    <row r="495" spans="1:16" x14ac:dyDescent="0.35">
      <c r="A495" s="9" t="s">
        <v>549</v>
      </c>
      <c r="B495" s="2">
        <v>250.79</v>
      </c>
      <c r="C495" s="2">
        <v>252.898</v>
      </c>
      <c r="D495" s="2">
        <v>246.39400000000001</v>
      </c>
      <c r="E495" s="2">
        <v>246.703</v>
      </c>
      <c r="F495" s="2">
        <v>57084241</v>
      </c>
      <c r="G495" s="2" t="s">
        <v>15</v>
      </c>
      <c r="H495" s="2" t="s">
        <v>16</v>
      </c>
      <c r="I495" s="2" t="s">
        <v>17</v>
      </c>
      <c r="J495" s="4">
        <v>-2.1419999999999999</v>
      </c>
      <c r="K495" s="2" t="s">
        <v>537</v>
      </c>
      <c r="L495" s="2">
        <v>2024</v>
      </c>
      <c r="M495" s="2" t="s">
        <v>274</v>
      </c>
      <c r="N495" s="2" t="s">
        <v>23</v>
      </c>
      <c r="O495">
        <f t="shared" si="14"/>
        <v>6.5039999999999907</v>
      </c>
      <c r="P495">
        <f t="shared" si="15"/>
        <v>74.038999999999959</v>
      </c>
    </row>
    <row r="496" spans="1:16" x14ac:dyDescent="0.35">
      <c r="A496" s="9" t="s">
        <v>550</v>
      </c>
      <c r="B496" s="2">
        <v>246.155</v>
      </c>
      <c r="C496" s="2">
        <v>250.63</v>
      </c>
      <c r="D496" s="2">
        <v>245.75399999999999</v>
      </c>
      <c r="E496" s="2">
        <v>248.434</v>
      </c>
      <c r="F496" s="2">
        <v>61214844</v>
      </c>
      <c r="G496" s="2" t="s">
        <v>15</v>
      </c>
      <c r="H496" s="2" t="s">
        <v>16</v>
      </c>
      <c r="I496" s="2" t="s">
        <v>17</v>
      </c>
      <c r="J496" s="3">
        <v>0.70199999999999996</v>
      </c>
      <c r="K496" s="2" t="s">
        <v>537</v>
      </c>
      <c r="L496" s="2">
        <v>2024</v>
      </c>
      <c r="M496" s="2" t="s">
        <v>274</v>
      </c>
      <c r="N496" s="2" t="s">
        <v>21</v>
      </c>
      <c r="O496">
        <f t="shared" si="14"/>
        <v>4.8760000000000048</v>
      </c>
      <c r="P496">
        <f t="shared" si="15"/>
        <v>74.740999999999957</v>
      </c>
    </row>
    <row r="497" spans="1:16" x14ac:dyDescent="0.35">
      <c r="A497" s="9" t="s">
        <v>551</v>
      </c>
      <c r="B497" s="2">
        <v>246.69300000000001</v>
      </c>
      <c r="C497" s="2">
        <v>253.61500000000001</v>
      </c>
      <c r="D497" s="2">
        <v>244.35499999999999</v>
      </c>
      <c r="E497" s="2">
        <v>253.107</v>
      </c>
      <c r="F497" s="2">
        <v>148300990</v>
      </c>
      <c r="G497" s="2" t="s">
        <v>15</v>
      </c>
      <c r="H497" s="2" t="s">
        <v>16</v>
      </c>
      <c r="I497" s="2" t="s">
        <v>17</v>
      </c>
      <c r="J497" s="3">
        <v>1.881</v>
      </c>
      <c r="K497" s="2" t="s">
        <v>537</v>
      </c>
      <c r="L497" s="2">
        <v>2024</v>
      </c>
      <c r="M497" s="2" t="s">
        <v>274</v>
      </c>
      <c r="N497" s="2" t="s">
        <v>21</v>
      </c>
      <c r="O497">
        <f t="shared" si="14"/>
        <v>9.2600000000000193</v>
      </c>
      <c r="P497">
        <f t="shared" si="15"/>
        <v>76.621999999999957</v>
      </c>
    </row>
    <row r="498" spans="1:16" x14ac:dyDescent="0.35">
      <c r="A498" s="9" t="s">
        <v>552</v>
      </c>
      <c r="B498" s="2">
        <v>253.386</v>
      </c>
      <c r="C498" s="2">
        <v>254.261</v>
      </c>
      <c r="D498" s="2">
        <v>252.072</v>
      </c>
      <c r="E498" s="2">
        <v>253.88300000000001</v>
      </c>
      <c r="F498" s="2">
        <v>41081972</v>
      </c>
      <c r="G498" s="2" t="s">
        <v>15</v>
      </c>
      <c r="H498" s="2" t="s">
        <v>16</v>
      </c>
      <c r="I498" s="2" t="s">
        <v>17</v>
      </c>
      <c r="J498" s="3">
        <v>0.307</v>
      </c>
      <c r="K498" s="2" t="s">
        <v>537</v>
      </c>
      <c r="L498" s="2">
        <v>2024</v>
      </c>
      <c r="M498" s="2" t="s">
        <v>274</v>
      </c>
      <c r="N498" s="2" t="s">
        <v>21</v>
      </c>
      <c r="O498">
        <f t="shared" si="14"/>
        <v>2.188999999999993</v>
      </c>
      <c r="P498">
        <f t="shared" si="15"/>
        <v>76.928999999999959</v>
      </c>
    </row>
    <row r="499" spans="1:16" x14ac:dyDescent="0.35">
      <c r="A499" s="9" t="s">
        <v>553</v>
      </c>
      <c r="B499" s="2">
        <v>254.101</v>
      </c>
      <c r="C499" s="2">
        <v>256.80700000000002</v>
      </c>
      <c r="D499" s="2">
        <v>253.90299999999999</v>
      </c>
      <c r="E499" s="2">
        <v>256.79700000000003</v>
      </c>
      <c r="F499" s="2">
        <v>23361628</v>
      </c>
      <c r="G499" s="2" t="s">
        <v>15</v>
      </c>
      <c r="H499" s="2" t="s">
        <v>16</v>
      </c>
      <c r="I499" s="2" t="s">
        <v>17</v>
      </c>
      <c r="J499" s="3">
        <v>1.1479999999999999</v>
      </c>
      <c r="K499" s="2" t="s">
        <v>537</v>
      </c>
      <c r="L499" s="2">
        <v>2024</v>
      </c>
      <c r="M499" s="2" t="s">
        <v>274</v>
      </c>
      <c r="N499" s="2" t="s">
        <v>21</v>
      </c>
      <c r="O499">
        <f t="shared" si="14"/>
        <v>2.9040000000000248</v>
      </c>
      <c r="P499">
        <f t="shared" si="15"/>
        <v>78.076999999999956</v>
      </c>
    </row>
    <row r="500" spans="1:16" x14ac:dyDescent="0.35">
      <c r="A500" s="9" t="s">
        <v>554</v>
      </c>
      <c r="B500" s="2">
        <v>256.78699999999998</v>
      </c>
      <c r="C500" s="2">
        <v>258.68700000000001</v>
      </c>
      <c r="D500" s="2">
        <v>256.23</v>
      </c>
      <c r="E500" s="2">
        <v>257.613</v>
      </c>
      <c r="F500" s="2">
        <v>27411911</v>
      </c>
      <c r="G500" s="2" t="s">
        <v>15</v>
      </c>
      <c r="H500" s="2" t="s">
        <v>16</v>
      </c>
      <c r="I500" s="2" t="s">
        <v>17</v>
      </c>
      <c r="J500" s="3">
        <v>0.318</v>
      </c>
      <c r="K500" s="2" t="s">
        <v>537</v>
      </c>
      <c r="L500" s="2">
        <v>2024</v>
      </c>
      <c r="M500" s="2" t="s">
        <v>274</v>
      </c>
      <c r="N500" s="2" t="s">
        <v>21</v>
      </c>
      <c r="O500">
        <f t="shared" si="14"/>
        <v>2.4569999999999936</v>
      </c>
      <c r="P500">
        <f t="shared" si="15"/>
        <v>78.394999999999953</v>
      </c>
    </row>
    <row r="501" spans="1:16" x14ac:dyDescent="0.35">
      <c r="A501" s="9" t="s">
        <v>555</v>
      </c>
      <c r="B501" s="2">
        <v>256.42899999999997</v>
      </c>
      <c r="C501" s="2">
        <v>257.29399999999998</v>
      </c>
      <c r="D501" s="2">
        <v>251.685</v>
      </c>
      <c r="E501" s="2">
        <v>254.20099999999999</v>
      </c>
      <c r="F501" s="2">
        <v>42586695</v>
      </c>
      <c r="G501" s="2" t="s">
        <v>15</v>
      </c>
      <c r="H501" s="2" t="s">
        <v>16</v>
      </c>
      <c r="I501" s="2" t="s">
        <v>17</v>
      </c>
      <c r="J501" s="4">
        <v>-1.3240000000000001</v>
      </c>
      <c r="K501" s="2" t="s">
        <v>537</v>
      </c>
      <c r="L501" s="2">
        <v>2024</v>
      </c>
      <c r="M501" s="2" t="s">
        <v>274</v>
      </c>
      <c r="N501" s="2" t="s">
        <v>23</v>
      </c>
      <c r="O501">
        <f t="shared" si="14"/>
        <v>5.6089999999999804</v>
      </c>
      <c r="P501">
        <f t="shared" si="15"/>
        <v>77.070999999999955</v>
      </c>
    </row>
    <row r="502" spans="1:16" x14ac:dyDescent="0.35">
      <c r="A502" s="9" t="s">
        <v>556</v>
      </c>
      <c r="B502" s="2">
        <v>250.86</v>
      </c>
      <c r="C502" s="2">
        <v>252.12200000000001</v>
      </c>
      <c r="D502" s="2">
        <v>249.38800000000001</v>
      </c>
      <c r="E502" s="2">
        <v>250.83</v>
      </c>
      <c r="F502" s="2">
        <v>35751781</v>
      </c>
      <c r="G502" s="2" t="s">
        <v>15</v>
      </c>
      <c r="H502" s="2" t="s">
        <v>16</v>
      </c>
      <c r="I502" s="2" t="s">
        <v>17</v>
      </c>
      <c r="J502" s="4">
        <v>-1.3260000000000001</v>
      </c>
      <c r="K502" s="2" t="s">
        <v>537</v>
      </c>
      <c r="L502" s="2">
        <v>2024</v>
      </c>
      <c r="M502" s="2" t="s">
        <v>274</v>
      </c>
      <c r="N502" s="2" t="s">
        <v>23</v>
      </c>
      <c r="O502">
        <f t="shared" si="14"/>
        <v>2.7340000000000089</v>
      </c>
      <c r="P502">
        <f t="shared" si="15"/>
        <v>75.744999999999962</v>
      </c>
    </row>
    <row r="503" spans="1:16" x14ac:dyDescent="0.35">
      <c r="A503" s="9" t="s">
        <v>557</v>
      </c>
      <c r="B503" s="2">
        <v>251.06899999999999</v>
      </c>
      <c r="C503" s="2">
        <v>251.905</v>
      </c>
      <c r="D503" s="2">
        <v>248.07499999999999</v>
      </c>
      <c r="E503" s="2">
        <v>249.059</v>
      </c>
      <c r="F503" s="2">
        <v>39696389</v>
      </c>
      <c r="G503" s="2" t="s">
        <v>15</v>
      </c>
      <c r="H503" s="2" t="s">
        <v>16</v>
      </c>
      <c r="I503" s="2" t="s">
        <v>17</v>
      </c>
      <c r="J503" s="4">
        <v>-0.70599999999999996</v>
      </c>
      <c r="K503" s="2" t="s">
        <v>537</v>
      </c>
      <c r="L503" s="2">
        <v>2024</v>
      </c>
      <c r="M503" s="2" t="s">
        <v>274</v>
      </c>
      <c r="N503" s="2" t="s">
        <v>23</v>
      </c>
      <c r="O503">
        <f t="shared" si="14"/>
        <v>3.8300000000000125</v>
      </c>
      <c r="P503">
        <f t="shared" si="15"/>
        <v>75.038999999999959</v>
      </c>
    </row>
    <row r="504" spans="1:16" x14ac:dyDescent="0.35">
      <c r="A504" s="9" t="s">
        <v>14</v>
      </c>
      <c r="B504" s="2">
        <v>85.46</v>
      </c>
      <c r="C504" s="2">
        <v>86.96</v>
      </c>
      <c r="D504" s="2">
        <v>84.204999999999998</v>
      </c>
      <c r="E504" s="2">
        <v>85.82</v>
      </c>
      <c r="F504" s="2">
        <v>76706040</v>
      </c>
      <c r="G504" s="2" t="s">
        <v>558</v>
      </c>
      <c r="H504" s="2" t="s">
        <v>559</v>
      </c>
      <c r="I504" s="2" t="s">
        <v>560</v>
      </c>
      <c r="J504" s="2"/>
      <c r="K504" s="2" t="s">
        <v>18</v>
      </c>
      <c r="L504" s="2">
        <v>2023</v>
      </c>
      <c r="M504" s="2" t="s">
        <v>19</v>
      </c>
      <c r="N504" s="2"/>
      <c r="O504">
        <f t="shared" si="14"/>
        <v>2.7549999999999955</v>
      </c>
      <c r="P504">
        <f t="shared" si="15"/>
        <v>0</v>
      </c>
    </row>
    <row r="505" spans="1:16" x14ac:dyDescent="0.35">
      <c r="A505" s="9" t="s">
        <v>20</v>
      </c>
      <c r="B505" s="2">
        <v>86.55</v>
      </c>
      <c r="C505" s="2">
        <v>86.98</v>
      </c>
      <c r="D505" s="2">
        <v>83.36</v>
      </c>
      <c r="E505" s="2">
        <v>85.14</v>
      </c>
      <c r="F505" s="2">
        <v>68885123</v>
      </c>
      <c r="G505" s="2" t="s">
        <v>558</v>
      </c>
      <c r="H505" s="2" t="s">
        <v>559</v>
      </c>
      <c r="I505" s="2" t="s">
        <v>560</v>
      </c>
      <c r="J505" s="4">
        <v>-0.79200000000000004</v>
      </c>
      <c r="K505" s="2" t="s">
        <v>18</v>
      </c>
      <c r="L505" s="2">
        <v>2023</v>
      </c>
      <c r="M505" s="2" t="s">
        <v>19</v>
      </c>
      <c r="N505" s="2" t="s">
        <v>23</v>
      </c>
      <c r="O505">
        <f t="shared" si="14"/>
        <v>3.6200000000000045</v>
      </c>
      <c r="P505">
        <f t="shared" si="15"/>
        <v>-0.79200000000000004</v>
      </c>
    </row>
    <row r="506" spans="1:16" x14ac:dyDescent="0.35">
      <c r="A506" s="9" t="s">
        <v>22</v>
      </c>
      <c r="B506" s="2">
        <v>85.33</v>
      </c>
      <c r="C506" s="2">
        <v>85.42</v>
      </c>
      <c r="D506" s="2">
        <v>83.07</v>
      </c>
      <c r="E506" s="2">
        <v>83.12</v>
      </c>
      <c r="F506" s="2">
        <v>67930825</v>
      </c>
      <c r="G506" s="2" t="s">
        <v>558</v>
      </c>
      <c r="H506" s="2" t="s">
        <v>559</v>
      </c>
      <c r="I506" s="2" t="s">
        <v>560</v>
      </c>
      <c r="J506" s="4">
        <v>-2.3730000000000002</v>
      </c>
      <c r="K506" s="2" t="s">
        <v>18</v>
      </c>
      <c r="L506" s="2">
        <v>2023</v>
      </c>
      <c r="M506" s="2" t="s">
        <v>19</v>
      </c>
      <c r="N506" s="2" t="s">
        <v>23</v>
      </c>
      <c r="O506">
        <f t="shared" si="14"/>
        <v>2.3500000000000085</v>
      </c>
      <c r="P506">
        <f t="shared" si="15"/>
        <v>-3.165</v>
      </c>
    </row>
    <row r="507" spans="1:16" x14ac:dyDescent="0.35">
      <c r="A507" s="9" t="s">
        <v>24</v>
      </c>
      <c r="B507" s="2">
        <v>83.03</v>
      </c>
      <c r="C507" s="2">
        <v>86.4</v>
      </c>
      <c r="D507" s="2">
        <v>81.430000000000007</v>
      </c>
      <c r="E507" s="2">
        <v>86.08</v>
      </c>
      <c r="F507" s="2">
        <v>83303361</v>
      </c>
      <c r="G507" s="2" t="s">
        <v>558</v>
      </c>
      <c r="H507" s="2" t="s">
        <v>559</v>
      </c>
      <c r="I507" s="2" t="s">
        <v>560</v>
      </c>
      <c r="J507" s="3">
        <v>3.5609999999999999</v>
      </c>
      <c r="K507" s="2" t="s">
        <v>18</v>
      </c>
      <c r="L507" s="2">
        <v>2023</v>
      </c>
      <c r="M507" s="2" t="s">
        <v>19</v>
      </c>
      <c r="N507" s="2" t="s">
        <v>21</v>
      </c>
      <c r="O507">
        <f t="shared" si="14"/>
        <v>4.9699999999999989</v>
      </c>
      <c r="P507">
        <f t="shared" si="15"/>
        <v>0.39599999999999991</v>
      </c>
    </row>
    <row r="508" spans="1:16" x14ac:dyDescent="0.35">
      <c r="A508" s="9" t="s">
        <v>25</v>
      </c>
      <c r="B508" s="2">
        <v>87.46</v>
      </c>
      <c r="C508" s="2">
        <v>89.48</v>
      </c>
      <c r="D508" s="2">
        <v>87.08</v>
      </c>
      <c r="E508" s="2">
        <v>87.36</v>
      </c>
      <c r="F508" s="2">
        <v>65266056</v>
      </c>
      <c r="G508" s="2" t="s">
        <v>558</v>
      </c>
      <c r="H508" s="2" t="s">
        <v>559</v>
      </c>
      <c r="I508" s="2" t="s">
        <v>560</v>
      </c>
      <c r="J508" s="3">
        <v>1.4870000000000001</v>
      </c>
      <c r="K508" s="2" t="s">
        <v>18</v>
      </c>
      <c r="L508" s="2">
        <v>2023</v>
      </c>
      <c r="M508" s="2" t="s">
        <v>19</v>
      </c>
      <c r="N508" s="2" t="s">
        <v>21</v>
      </c>
      <c r="O508">
        <f t="shared" si="14"/>
        <v>2.4000000000000057</v>
      </c>
      <c r="P508">
        <f t="shared" si="15"/>
        <v>1.883</v>
      </c>
    </row>
    <row r="509" spans="1:16" x14ac:dyDescent="0.35">
      <c r="A509" s="9" t="s">
        <v>26</v>
      </c>
      <c r="B509" s="2">
        <v>87.57</v>
      </c>
      <c r="C509" s="2">
        <v>90.185000000000002</v>
      </c>
      <c r="D509" s="2">
        <v>87.29</v>
      </c>
      <c r="E509" s="2">
        <v>89.87</v>
      </c>
      <c r="F509" s="2">
        <v>67756601</v>
      </c>
      <c r="G509" s="2" t="s">
        <v>558</v>
      </c>
      <c r="H509" s="2" t="s">
        <v>559</v>
      </c>
      <c r="I509" s="2" t="s">
        <v>560</v>
      </c>
      <c r="J509" s="3">
        <v>2.8730000000000002</v>
      </c>
      <c r="K509" s="2" t="s">
        <v>18</v>
      </c>
      <c r="L509" s="2">
        <v>2023</v>
      </c>
      <c r="M509" s="2" t="s">
        <v>19</v>
      </c>
      <c r="N509" s="2" t="s">
        <v>21</v>
      </c>
      <c r="O509">
        <f t="shared" si="14"/>
        <v>2.894999999999996</v>
      </c>
      <c r="P509">
        <f t="shared" si="15"/>
        <v>4.7560000000000002</v>
      </c>
    </row>
    <row r="510" spans="1:16" x14ac:dyDescent="0.35">
      <c r="A510" s="9" t="s">
        <v>27</v>
      </c>
      <c r="B510" s="2">
        <v>90.93</v>
      </c>
      <c r="C510" s="2">
        <v>95.26</v>
      </c>
      <c r="D510" s="2">
        <v>90.93</v>
      </c>
      <c r="E510" s="2">
        <v>95.09</v>
      </c>
      <c r="F510" s="2">
        <v>103126183</v>
      </c>
      <c r="G510" s="2" t="s">
        <v>558</v>
      </c>
      <c r="H510" s="2" t="s">
        <v>559</v>
      </c>
      <c r="I510" s="2" t="s">
        <v>560</v>
      </c>
      <c r="J510" s="3">
        <v>5.8079999999999998</v>
      </c>
      <c r="K510" s="2" t="s">
        <v>18</v>
      </c>
      <c r="L510" s="2">
        <v>2023</v>
      </c>
      <c r="M510" s="2" t="s">
        <v>19</v>
      </c>
      <c r="N510" s="2" t="s">
        <v>21</v>
      </c>
      <c r="O510">
        <f t="shared" si="14"/>
        <v>4.3299999999999983</v>
      </c>
      <c r="P510">
        <f t="shared" si="15"/>
        <v>10.564</v>
      </c>
    </row>
    <row r="511" spans="1:16" x14ac:dyDescent="0.35">
      <c r="A511" s="9" t="s">
        <v>28</v>
      </c>
      <c r="B511" s="2">
        <v>96.93</v>
      </c>
      <c r="C511" s="2">
        <v>97.19</v>
      </c>
      <c r="D511" s="2">
        <v>93.5</v>
      </c>
      <c r="E511" s="2">
        <v>95.27</v>
      </c>
      <c r="F511" s="2">
        <v>85254781</v>
      </c>
      <c r="G511" s="2" t="s">
        <v>558</v>
      </c>
      <c r="H511" s="2" t="s">
        <v>559</v>
      </c>
      <c r="I511" s="2" t="s">
        <v>560</v>
      </c>
      <c r="J511" s="3">
        <v>0.189</v>
      </c>
      <c r="K511" s="2" t="s">
        <v>18</v>
      </c>
      <c r="L511" s="2">
        <v>2023</v>
      </c>
      <c r="M511" s="2" t="s">
        <v>19</v>
      </c>
      <c r="N511" s="2" t="s">
        <v>21</v>
      </c>
      <c r="O511">
        <f t="shared" si="14"/>
        <v>3.6899999999999977</v>
      </c>
      <c r="P511">
        <f t="shared" si="15"/>
        <v>10.753</v>
      </c>
    </row>
    <row r="512" spans="1:16" x14ac:dyDescent="0.35">
      <c r="A512" s="9" t="s">
        <v>29</v>
      </c>
      <c r="B512" s="2">
        <v>94.18</v>
      </c>
      <c r="C512" s="2">
        <v>98.37</v>
      </c>
      <c r="D512" s="2">
        <v>94.12</v>
      </c>
      <c r="E512" s="2">
        <v>98.12</v>
      </c>
      <c r="F512" s="2">
        <v>85549432</v>
      </c>
      <c r="G512" s="2" t="s">
        <v>558</v>
      </c>
      <c r="H512" s="2" t="s">
        <v>559</v>
      </c>
      <c r="I512" s="2" t="s">
        <v>560</v>
      </c>
      <c r="J512" s="3">
        <v>2.9910000000000001</v>
      </c>
      <c r="K512" s="2" t="s">
        <v>18</v>
      </c>
      <c r="L512" s="2">
        <v>2023</v>
      </c>
      <c r="M512" s="2" t="s">
        <v>19</v>
      </c>
      <c r="N512" s="2" t="s">
        <v>21</v>
      </c>
      <c r="O512">
        <f t="shared" si="14"/>
        <v>4.25</v>
      </c>
      <c r="P512">
        <f t="shared" si="15"/>
        <v>13.744</v>
      </c>
    </row>
    <row r="513" spans="1:16" x14ac:dyDescent="0.35">
      <c r="A513" s="9" t="s">
        <v>30</v>
      </c>
      <c r="B513" s="2">
        <v>98.68</v>
      </c>
      <c r="C513" s="2">
        <v>98.89</v>
      </c>
      <c r="D513" s="2">
        <v>95.73</v>
      </c>
      <c r="E513" s="2">
        <v>96.05</v>
      </c>
      <c r="F513" s="2">
        <v>72755001</v>
      </c>
      <c r="G513" s="2" t="s">
        <v>558</v>
      </c>
      <c r="H513" s="2" t="s">
        <v>559</v>
      </c>
      <c r="I513" s="2" t="s">
        <v>560</v>
      </c>
      <c r="J513" s="4">
        <v>-2.11</v>
      </c>
      <c r="K513" s="2" t="s">
        <v>18</v>
      </c>
      <c r="L513" s="2">
        <v>2023</v>
      </c>
      <c r="M513" s="2" t="s">
        <v>19</v>
      </c>
      <c r="N513" s="2" t="s">
        <v>23</v>
      </c>
      <c r="O513">
        <f t="shared" si="14"/>
        <v>3.1599999999999966</v>
      </c>
      <c r="P513">
        <f t="shared" si="15"/>
        <v>11.634</v>
      </c>
    </row>
    <row r="514" spans="1:16" x14ac:dyDescent="0.35">
      <c r="A514" s="9" t="s">
        <v>31</v>
      </c>
      <c r="B514" s="2">
        <v>97.25</v>
      </c>
      <c r="C514" s="2">
        <v>99.32</v>
      </c>
      <c r="D514" s="2">
        <v>95.38</v>
      </c>
      <c r="E514" s="2">
        <v>95.46</v>
      </c>
      <c r="F514" s="2">
        <v>79570370</v>
      </c>
      <c r="G514" s="2" t="s">
        <v>558</v>
      </c>
      <c r="H514" s="2" t="s">
        <v>559</v>
      </c>
      <c r="I514" s="2" t="s">
        <v>560</v>
      </c>
      <c r="J514" s="4">
        <v>-0.61399999999999999</v>
      </c>
      <c r="K514" s="2" t="s">
        <v>18</v>
      </c>
      <c r="L514" s="2">
        <v>2023</v>
      </c>
      <c r="M514" s="2" t="s">
        <v>19</v>
      </c>
      <c r="N514" s="2" t="s">
        <v>23</v>
      </c>
      <c r="O514">
        <f t="shared" si="14"/>
        <v>3.9399999999999977</v>
      </c>
      <c r="P514">
        <f t="shared" si="15"/>
        <v>11.02</v>
      </c>
    </row>
    <row r="515" spans="1:16" x14ac:dyDescent="0.35">
      <c r="A515" s="9" t="s">
        <v>32</v>
      </c>
      <c r="B515" s="2">
        <v>94.74</v>
      </c>
      <c r="C515" s="2">
        <v>95.44</v>
      </c>
      <c r="D515" s="2">
        <v>92.86</v>
      </c>
      <c r="E515" s="2">
        <v>93.68</v>
      </c>
      <c r="F515" s="2">
        <v>69002663</v>
      </c>
      <c r="G515" s="2" t="s">
        <v>558</v>
      </c>
      <c r="H515" s="2" t="s">
        <v>559</v>
      </c>
      <c r="I515" s="2" t="s">
        <v>560</v>
      </c>
      <c r="J515" s="4">
        <v>-1.865</v>
      </c>
      <c r="K515" s="2" t="s">
        <v>18</v>
      </c>
      <c r="L515" s="2">
        <v>2023</v>
      </c>
      <c r="M515" s="2" t="s">
        <v>19</v>
      </c>
      <c r="N515" s="2" t="s">
        <v>23</v>
      </c>
      <c r="O515">
        <f t="shared" ref="O515:O578" si="16">C515-D515</f>
        <v>2.5799999999999983</v>
      </c>
      <c r="P515">
        <f t="shared" si="15"/>
        <v>9.1549999999999994</v>
      </c>
    </row>
    <row r="516" spans="1:16" x14ac:dyDescent="0.35">
      <c r="A516" s="9" t="s">
        <v>33</v>
      </c>
      <c r="B516" s="2">
        <v>93.86</v>
      </c>
      <c r="C516" s="2">
        <v>97.353999999999999</v>
      </c>
      <c r="D516" s="2">
        <v>93.203000000000003</v>
      </c>
      <c r="E516" s="2">
        <v>97.25</v>
      </c>
      <c r="F516" s="2">
        <v>67481539</v>
      </c>
      <c r="G516" s="2" t="s">
        <v>558</v>
      </c>
      <c r="H516" s="2" t="s">
        <v>559</v>
      </c>
      <c r="I516" s="2" t="s">
        <v>560</v>
      </c>
      <c r="J516" s="3">
        <v>3.8109999999999999</v>
      </c>
      <c r="K516" s="2" t="s">
        <v>18</v>
      </c>
      <c r="L516" s="2">
        <v>2023</v>
      </c>
      <c r="M516" s="2" t="s">
        <v>19</v>
      </c>
      <c r="N516" s="2" t="s">
        <v>21</v>
      </c>
      <c r="O516">
        <f t="shared" si="16"/>
        <v>4.1509999999999962</v>
      </c>
      <c r="P516">
        <f t="shared" ref="P516:P579" si="17">IF(G516=G515, P515+J516, J516)</f>
        <v>12.965999999999999</v>
      </c>
    </row>
    <row r="517" spans="1:16" x14ac:dyDescent="0.35">
      <c r="A517" s="9" t="s">
        <v>34</v>
      </c>
      <c r="B517" s="2">
        <v>97.56</v>
      </c>
      <c r="C517" s="2">
        <v>97.78</v>
      </c>
      <c r="D517" s="2">
        <v>95.86</v>
      </c>
      <c r="E517" s="2">
        <v>97.52</v>
      </c>
      <c r="F517" s="2">
        <v>76501103</v>
      </c>
      <c r="G517" s="2" t="s">
        <v>558</v>
      </c>
      <c r="H517" s="2" t="s">
        <v>559</v>
      </c>
      <c r="I517" s="2" t="s">
        <v>560</v>
      </c>
      <c r="J517" s="3">
        <v>0.27800000000000002</v>
      </c>
      <c r="K517" s="2" t="s">
        <v>18</v>
      </c>
      <c r="L517" s="2">
        <v>2023</v>
      </c>
      <c r="M517" s="2" t="s">
        <v>19</v>
      </c>
      <c r="N517" s="2" t="s">
        <v>21</v>
      </c>
      <c r="O517">
        <f t="shared" si="16"/>
        <v>1.9200000000000017</v>
      </c>
      <c r="P517">
        <f t="shared" si="17"/>
        <v>13.244</v>
      </c>
    </row>
    <row r="518" spans="1:16" x14ac:dyDescent="0.35">
      <c r="A518" s="9" t="s">
        <v>35</v>
      </c>
      <c r="B518" s="2">
        <v>96.93</v>
      </c>
      <c r="C518" s="2">
        <v>98.09</v>
      </c>
      <c r="D518" s="2">
        <v>96</v>
      </c>
      <c r="E518" s="2">
        <v>96.32</v>
      </c>
      <c r="F518" s="2">
        <v>66929452</v>
      </c>
      <c r="G518" s="2" t="s">
        <v>558</v>
      </c>
      <c r="H518" s="2" t="s">
        <v>559</v>
      </c>
      <c r="I518" s="2" t="s">
        <v>560</v>
      </c>
      <c r="J518" s="4">
        <v>-1.2310000000000001</v>
      </c>
      <c r="K518" s="2" t="s">
        <v>18</v>
      </c>
      <c r="L518" s="2">
        <v>2023</v>
      </c>
      <c r="M518" s="2" t="s">
        <v>19</v>
      </c>
      <c r="N518" s="2" t="s">
        <v>23</v>
      </c>
      <c r="O518">
        <f t="shared" si="16"/>
        <v>2.0900000000000034</v>
      </c>
      <c r="P518">
        <f t="shared" si="17"/>
        <v>12.013</v>
      </c>
    </row>
    <row r="519" spans="1:16" x14ac:dyDescent="0.35">
      <c r="A519" s="9" t="s">
        <v>36</v>
      </c>
      <c r="B519" s="2">
        <v>92.56</v>
      </c>
      <c r="C519" s="2">
        <v>97.24</v>
      </c>
      <c r="D519" s="2">
        <v>91.52</v>
      </c>
      <c r="E519" s="2">
        <v>97.18</v>
      </c>
      <c r="F519" s="2">
        <v>94261570</v>
      </c>
      <c r="G519" s="2" t="s">
        <v>558</v>
      </c>
      <c r="H519" s="2" t="s">
        <v>559</v>
      </c>
      <c r="I519" s="2" t="s">
        <v>560</v>
      </c>
      <c r="J519" s="3">
        <v>0.89300000000000002</v>
      </c>
      <c r="K519" s="2" t="s">
        <v>18</v>
      </c>
      <c r="L519" s="2">
        <v>2023</v>
      </c>
      <c r="M519" s="2" t="s">
        <v>19</v>
      </c>
      <c r="N519" s="2" t="s">
        <v>21</v>
      </c>
      <c r="O519">
        <f t="shared" si="16"/>
        <v>5.7199999999999989</v>
      </c>
      <c r="P519">
        <f t="shared" si="17"/>
        <v>12.906000000000001</v>
      </c>
    </row>
    <row r="520" spans="1:16" x14ac:dyDescent="0.35">
      <c r="A520" s="9" t="s">
        <v>37</v>
      </c>
      <c r="B520" s="2">
        <v>98.234999999999999</v>
      </c>
      <c r="C520" s="2">
        <v>99.49</v>
      </c>
      <c r="D520" s="2">
        <v>96.92</v>
      </c>
      <c r="E520" s="2">
        <v>99.22</v>
      </c>
      <c r="F520" s="2">
        <v>68523557</v>
      </c>
      <c r="G520" s="2" t="s">
        <v>558</v>
      </c>
      <c r="H520" s="2" t="s">
        <v>559</v>
      </c>
      <c r="I520" s="2" t="s">
        <v>560</v>
      </c>
      <c r="J520" s="3">
        <v>2.0990000000000002</v>
      </c>
      <c r="K520" s="2" t="s">
        <v>18</v>
      </c>
      <c r="L520" s="2">
        <v>2023</v>
      </c>
      <c r="M520" s="2" t="s">
        <v>19</v>
      </c>
      <c r="N520" s="2" t="s">
        <v>21</v>
      </c>
      <c r="O520">
        <f t="shared" si="16"/>
        <v>2.5699999999999932</v>
      </c>
      <c r="P520">
        <f t="shared" si="17"/>
        <v>15.005000000000001</v>
      </c>
    </row>
    <row r="521" spans="1:16" x14ac:dyDescent="0.35">
      <c r="A521" s="9" t="s">
        <v>38</v>
      </c>
      <c r="B521" s="2">
        <v>99.53</v>
      </c>
      <c r="C521" s="2">
        <v>103.485</v>
      </c>
      <c r="D521" s="2">
        <v>99.53</v>
      </c>
      <c r="E521" s="2">
        <v>102.24</v>
      </c>
      <c r="F521" s="2">
        <v>87775614</v>
      </c>
      <c r="G521" s="2" t="s">
        <v>558</v>
      </c>
      <c r="H521" s="2" t="s">
        <v>559</v>
      </c>
      <c r="I521" s="2" t="s">
        <v>560</v>
      </c>
      <c r="J521" s="3">
        <v>3.044</v>
      </c>
      <c r="K521" s="2" t="s">
        <v>18</v>
      </c>
      <c r="L521" s="2">
        <v>2023</v>
      </c>
      <c r="M521" s="2" t="s">
        <v>19</v>
      </c>
      <c r="N521" s="2" t="s">
        <v>21</v>
      </c>
      <c r="O521">
        <f t="shared" si="16"/>
        <v>3.9549999999999983</v>
      </c>
      <c r="P521">
        <f t="shared" si="17"/>
        <v>18.048999999999999</v>
      </c>
    </row>
    <row r="522" spans="1:16" x14ac:dyDescent="0.35">
      <c r="A522" s="9" t="s">
        <v>39</v>
      </c>
      <c r="B522" s="2">
        <v>101.09</v>
      </c>
      <c r="C522" s="2">
        <v>101.74</v>
      </c>
      <c r="D522" s="2">
        <v>99.01</v>
      </c>
      <c r="E522" s="2">
        <v>100.55</v>
      </c>
      <c r="F522" s="2">
        <v>70691860</v>
      </c>
      <c r="G522" s="2" t="s">
        <v>558</v>
      </c>
      <c r="H522" s="2" t="s">
        <v>559</v>
      </c>
      <c r="I522" s="2" t="s">
        <v>560</v>
      </c>
      <c r="J522" s="4">
        <v>-1.653</v>
      </c>
      <c r="K522" s="2" t="s">
        <v>18</v>
      </c>
      <c r="L522" s="2">
        <v>2023</v>
      </c>
      <c r="M522" s="2" t="s">
        <v>19</v>
      </c>
      <c r="N522" s="2" t="s">
        <v>23</v>
      </c>
      <c r="O522">
        <f t="shared" si="16"/>
        <v>2.7299999999999898</v>
      </c>
      <c r="P522">
        <f t="shared" si="17"/>
        <v>16.396000000000001</v>
      </c>
    </row>
    <row r="523" spans="1:16" x14ac:dyDescent="0.35">
      <c r="A523" s="9" t="s">
        <v>40</v>
      </c>
      <c r="B523" s="2">
        <v>101.155</v>
      </c>
      <c r="C523" s="2">
        <v>103.348</v>
      </c>
      <c r="D523" s="2">
        <v>101.14</v>
      </c>
      <c r="E523" s="2">
        <v>103.13</v>
      </c>
      <c r="F523" s="2">
        <v>66527253</v>
      </c>
      <c r="G523" s="2" t="s">
        <v>558</v>
      </c>
      <c r="H523" s="2" t="s">
        <v>559</v>
      </c>
      <c r="I523" s="2" t="s">
        <v>560</v>
      </c>
      <c r="J523" s="3">
        <v>2.5659999999999998</v>
      </c>
      <c r="K523" s="2" t="s">
        <v>18</v>
      </c>
      <c r="L523" s="2">
        <v>2023</v>
      </c>
      <c r="M523" s="2" t="s">
        <v>19</v>
      </c>
      <c r="N523" s="2" t="s">
        <v>21</v>
      </c>
      <c r="O523">
        <f t="shared" si="16"/>
        <v>2.2079999999999984</v>
      </c>
      <c r="P523">
        <f t="shared" si="17"/>
        <v>18.962</v>
      </c>
    </row>
    <row r="524" spans="1:16" x14ac:dyDescent="0.35">
      <c r="A524" s="9" t="s">
        <v>41</v>
      </c>
      <c r="B524" s="2">
        <v>102.53</v>
      </c>
      <c r="C524" s="2">
        <v>106.24</v>
      </c>
      <c r="D524" s="2">
        <v>101.24</v>
      </c>
      <c r="E524" s="2">
        <v>105.15</v>
      </c>
      <c r="F524" s="2">
        <v>80450121</v>
      </c>
      <c r="G524" s="2" t="s">
        <v>558</v>
      </c>
      <c r="H524" s="2" t="s">
        <v>559</v>
      </c>
      <c r="I524" s="2" t="s">
        <v>560</v>
      </c>
      <c r="J524" s="3">
        <v>1.9590000000000001</v>
      </c>
      <c r="K524" s="2" t="s">
        <v>42</v>
      </c>
      <c r="L524" s="2">
        <v>2023</v>
      </c>
      <c r="M524" s="2" t="s">
        <v>43</v>
      </c>
      <c r="N524" s="2" t="s">
        <v>21</v>
      </c>
      <c r="O524">
        <f t="shared" si="16"/>
        <v>5</v>
      </c>
      <c r="P524">
        <f t="shared" si="17"/>
        <v>20.920999999999999</v>
      </c>
    </row>
    <row r="525" spans="1:16" x14ac:dyDescent="0.35">
      <c r="A525" s="9" t="s">
        <v>44</v>
      </c>
      <c r="B525" s="2">
        <v>110.245</v>
      </c>
      <c r="C525" s="2">
        <v>114</v>
      </c>
      <c r="D525" s="2">
        <v>108.88</v>
      </c>
      <c r="E525" s="2">
        <v>112.91</v>
      </c>
      <c r="F525" s="2">
        <v>158154243</v>
      </c>
      <c r="G525" s="2" t="s">
        <v>558</v>
      </c>
      <c r="H525" s="2" t="s">
        <v>559</v>
      </c>
      <c r="I525" s="2" t="s">
        <v>560</v>
      </c>
      <c r="J525" s="3">
        <v>7.38</v>
      </c>
      <c r="K525" s="2" t="s">
        <v>42</v>
      </c>
      <c r="L525" s="2">
        <v>2023</v>
      </c>
      <c r="M525" s="2" t="s">
        <v>43</v>
      </c>
      <c r="N525" s="2" t="s">
        <v>21</v>
      </c>
      <c r="O525">
        <f t="shared" si="16"/>
        <v>5.1200000000000045</v>
      </c>
      <c r="P525">
        <f t="shared" si="17"/>
        <v>28.300999999999998</v>
      </c>
    </row>
    <row r="526" spans="1:16" x14ac:dyDescent="0.35">
      <c r="A526" s="9" t="s">
        <v>45</v>
      </c>
      <c r="B526" s="2">
        <v>105.26</v>
      </c>
      <c r="C526" s="2">
        <v>108.78</v>
      </c>
      <c r="D526" s="2">
        <v>102.52</v>
      </c>
      <c r="E526" s="2">
        <v>103.39</v>
      </c>
      <c r="F526" s="2">
        <v>144374828</v>
      </c>
      <c r="G526" s="2" t="s">
        <v>558</v>
      </c>
      <c r="H526" s="2" t="s">
        <v>559</v>
      </c>
      <c r="I526" s="2" t="s">
        <v>560</v>
      </c>
      <c r="J526" s="4">
        <v>-8.4309999999999992</v>
      </c>
      <c r="K526" s="2" t="s">
        <v>42</v>
      </c>
      <c r="L526" s="2">
        <v>2023</v>
      </c>
      <c r="M526" s="2" t="s">
        <v>43</v>
      </c>
      <c r="N526" s="2" t="s">
        <v>23</v>
      </c>
      <c r="O526">
        <f t="shared" si="16"/>
        <v>6.2600000000000051</v>
      </c>
      <c r="P526">
        <f t="shared" si="17"/>
        <v>19.869999999999997</v>
      </c>
    </row>
    <row r="527" spans="1:16" x14ac:dyDescent="0.35">
      <c r="A527" s="9" t="s">
        <v>46</v>
      </c>
      <c r="B527" s="2">
        <v>102.925</v>
      </c>
      <c r="C527" s="2">
        <v>103.94799999999999</v>
      </c>
      <c r="D527" s="2">
        <v>100.65</v>
      </c>
      <c r="E527" s="2">
        <v>102.18</v>
      </c>
      <c r="F527" s="2">
        <v>81945199</v>
      </c>
      <c r="G527" s="2" t="s">
        <v>558</v>
      </c>
      <c r="H527" s="2" t="s">
        <v>559</v>
      </c>
      <c r="I527" s="2" t="s">
        <v>560</v>
      </c>
      <c r="J527" s="4">
        <v>-1.17</v>
      </c>
      <c r="K527" s="2" t="s">
        <v>42</v>
      </c>
      <c r="L527" s="2">
        <v>2023</v>
      </c>
      <c r="M527" s="2" t="s">
        <v>43</v>
      </c>
      <c r="N527" s="2" t="s">
        <v>23</v>
      </c>
      <c r="O527">
        <f t="shared" si="16"/>
        <v>3.2979999999999876</v>
      </c>
      <c r="P527">
        <f t="shared" si="17"/>
        <v>18.699999999999996</v>
      </c>
    </row>
    <row r="528" spans="1:16" x14ac:dyDescent="0.35">
      <c r="A528" s="9" t="s">
        <v>47</v>
      </c>
      <c r="B528" s="2">
        <v>101.17</v>
      </c>
      <c r="C528" s="2">
        <v>102.41</v>
      </c>
      <c r="D528" s="2">
        <v>98.08</v>
      </c>
      <c r="E528" s="2">
        <v>102.11</v>
      </c>
      <c r="F528" s="2">
        <v>119501301</v>
      </c>
      <c r="G528" s="2" t="s">
        <v>558</v>
      </c>
      <c r="H528" s="2" t="s">
        <v>559</v>
      </c>
      <c r="I528" s="2" t="s">
        <v>560</v>
      </c>
      <c r="J528" s="4">
        <v>-6.9000000000000006E-2</v>
      </c>
      <c r="K528" s="2" t="s">
        <v>42</v>
      </c>
      <c r="L528" s="2">
        <v>2023</v>
      </c>
      <c r="M528" s="2" t="s">
        <v>43</v>
      </c>
      <c r="N528" s="2" t="s">
        <v>23</v>
      </c>
      <c r="O528">
        <f t="shared" si="16"/>
        <v>4.3299999999999983</v>
      </c>
      <c r="P528">
        <f t="shared" si="17"/>
        <v>18.630999999999997</v>
      </c>
    </row>
    <row r="529" spans="1:16" x14ac:dyDescent="0.35">
      <c r="A529" s="9" t="s">
        <v>48</v>
      </c>
      <c r="B529" s="2">
        <v>102.04</v>
      </c>
      <c r="C529" s="2">
        <v>102.67</v>
      </c>
      <c r="D529" s="2">
        <v>98.775000000000006</v>
      </c>
      <c r="E529" s="2">
        <v>100.05</v>
      </c>
      <c r="F529" s="2">
        <v>75878304</v>
      </c>
      <c r="G529" s="2" t="s">
        <v>558</v>
      </c>
      <c r="H529" s="2" t="s">
        <v>559</v>
      </c>
      <c r="I529" s="2" t="s">
        <v>560</v>
      </c>
      <c r="J529" s="4">
        <v>-2.0169999999999999</v>
      </c>
      <c r="K529" s="2" t="s">
        <v>42</v>
      </c>
      <c r="L529" s="2">
        <v>2023</v>
      </c>
      <c r="M529" s="2" t="s">
        <v>43</v>
      </c>
      <c r="N529" s="2" t="s">
        <v>23</v>
      </c>
      <c r="O529">
        <f t="shared" si="16"/>
        <v>3.894999999999996</v>
      </c>
      <c r="P529">
        <f t="shared" si="17"/>
        <v>16.613999999999997</v>
      </c>
    </row>
    <row r="530" spans="1:16" x14ac:dyDescent="0.35">
      <c r="A530" s="9" t="s">
        <v>49</v>
      </c>
      <c r="B530" s="2">
        <v>101.32</v>
      </c>
      <c r="C530" s="2">
        <v>101.78</v>
      </c>
      <c r="D530" s="2">
        <v>97.57</v>
      </c>
      <c r="E530" s="2">
        <v>98.24</v>
      </c>
      <c r="F530" s="2">
        <v>64622489</v>
      </c>
      <c r="G530" s="2" t="s">
        <v>558</v>
      </c>
      <c r="H530" s="2" t="s">
        <v>559</v>
      </c>
      <c r="I530" s="2" t="s">
        <v>560</v>
      </c>
      <c r="J530" s="4">
        <v>-1.8089999999999999</v>
      </c>
      <c r="K530" s="2" t="s">
        <v>42</v>
      </c>
      <c r="L530" s="2">
        <v>2023</v>
      </c>
      <c r="M530" s="2" t="s">
        <v>43</v>
      </c>
      <c r="N530" s="2" t="s">
        <v>23</v>
      </c>
      <c r="O530">
        <f t="shared" si="16"/>
        <v>4.210000000000008</v>
      </c>
      <c r="P530">
        <f t="shared" si="17"/>
        <v>14.804999999999998</v>
      </c>
    </row>
    <row r="531" spans="1:16" x14ac:dyDescent="0.35">
      <c r="A531" s="9" t="s">
        <v>50</v>
      </c>
      <c r="B531" s="2">
        <v>97.56</v>
      </c>
      <c r="C531" s="2">
        <v>98.816000000000003</v>
      </c>
      <c r="D531" s="2">
        <v>96.23</v>
      </c>
      <c r="E531" s="2">
        <v>97.61</v>
      </c>
      <c r="F531" s="2">
        <v>52740133</v>
      </c>
      <c r="G531" s="2" t="s">
        <v>558</v>
      </c>
      <c r="H531" s="2" t="s">
        <v>559</v>
      </c>
      <c r="I531" s="2" t="s">
        <v>560</v>
      </c>
      <c r="J531" s="4">
        <v>-0.64100000000000001</v>
      </c>
      <c r="K531" s="2" t="s">
        <v>42</v>
      </c>
      <c r="L531" s="2">
        <v>2023</v>
      </c>
      <c r="M531" s="2" t="s">
        <v>43</v>
      </c>
      <c r="N531" s="2" t="s">
        <v>23</v>
      </c>
      <c r="O531">
        <f t="shared" si="16"/>
        <v>2.5859999999999985</v>
      </c>
      <c r="P531">
        <f t="shared" si="17"/>
        <v>14.163999999999998</v>
      </c>
    </row>
    <row r="532" spans="1:16" x14ac:dyDescent="0.35">
      <c r="A532" s="9" t="s">
        <v>51</v>
      </c>
      <c r="B532" s="2">
        <v>97.85</v>
      </c>
      <c r="C532" s="2">
        <v>99.68</v>
      </c>
      <c r="D532" s="2">
        <v>96.91</v>
      </c>
      <c r="E532" s="2">
        <v>99.54</v>
      </c>
      <c r="F532" s="2">
        <v>52841464</v>
      </c>
      <c r="G532" s="2" t="s">
        <v>558</v>
      </c>
      <c r="H532" s="2" t="s">
        <v>559</v>
      </c>
      <c r="I532" s="2" t="s">
        <v>560</v>
      </c>
      <c r="J532" s="3">
        <v>1.9770000000000001</v>
      </c>
      <c r="K532" s="2" t="s">
        <v>42</v>
      </c>
      <c r="L532" s="2">
        <v>2023</v>
      </c>
      <c r="M532" s="2" t="s">
        <v>43</v>
      </c>
      <c r="N532" s="2" t="s">
        <v>21</v>
      </c>
      <c r="O532">
        <f t="shared" si="16"/>
        <v>2.7700000000000102</v>
      </c>
      <c r="P532">
        <f t="shared" si="17"/>
        <v>16.140999999999998</v>
      </c>
    </row>
    <row r="533" spans="1:16" x14ac:dyDescent="0.35">
      <c r="A533" s="9" t="s">
        <v>52</v>
      </c>
      <c r="B533" s="2">
        <v>98.41</v>
      </c>
      <c r="C533" s="2">
        <v>100.92100000000001</v>
      </c>
      <c r="D533" s="2">
        <v>97.52</v>
      </c>
      <c r="E533" s="2">
        <v>99.7</v>
      </c>
      <c r="F533" s="2">
        <v>56202898</v>
      </c>
      <c r="G533" s="2" t="s">
        <v>558</v>
      </c>
      <c r="H533" s="2" t="s">
        <v>559</v>
      </c>
      <c r="I533" s="2" t="s">
        <v>560</v>
      </c>
      <c r="J533" s="3">
        <v>0.161</v>
      </c>
      <c r="K533" s="2" t="s">
        <v>42</v>
      </c>
      <c r="L533" s="2">
        <v>2023</v>
      </c>
      <c r="M533" s="2" t="s">
        <v>43</v>
      </c>
      <c r="N533" s="2" t="s">
        <v>21</v>
      </c>
      <c r="O533">
        <f t="shared" si="16"/>
        <v>3.4010000000000105</v>
      </c>
      <c r="P533">
        <f t="shared" si="17"/>
        <v>16.302</v>
      </c>
    </row>
    <row r="534" spans="1:16" x14ac:dyDescent="0.35">
      <c r="A534" s="9" t="s">
        <v>53</v>
      </c>
      <c r="B534" s="2">
        <v>99.09</v>
      </c>
      <c r="C534" s="2">
        <v>101.17</v>
      </c>
      <c r="D534" s="2">
        <v>98.45</v>
      </c>
      <c r="E534" s="2">
        <v>101.16</v>
      </c>
      <c r="F534" s="2">
        <v>48053879</v>
      </c>
      <c r="G534" s="2" t="s">
        <v>558</v>
      </c>
      <c r="H534" s="2" t="s">
        <v>559</v>
      </c>
      <c r="I534" s="2" t="s">
        <v>560</v>
      </c>
      <c r="J534" s="3">
        <v>1.464</v>
      </c>
      <c r="K534" s="2" t="s">
        <v>42</v>
      </c>
      <c r="L534" s="2">
        <v>2023</v>
      </c>
      <c r="M534" s="2" t="s">
        <v>43</v>
      </c>
      <c r="N534" s="2" t="s">
        <v>21</v>
      </c>
      <c r="O534">
        <f t="shared" si="16"/>
        <v>2.7199999999999989</v>
      </c>
      <c r="P534">
        <f t="shared" si="17"/>
        <v>17.765999999999998</v>
      </c>
    </row>
    <row r="535" spans="1:16" x14ac:dyDescent="0.35">
      <c r="A535" s="9" t="s">
        <v>54</v>
      </c>
      <c r="B535" s="2">
        <v>99.21</v>
      </c>
      <c r="C535" s="2">
        <v>100.63</v>
      </c>
      <c r="D535" s="2">
        <v>98.1</v>
      </c>
      <c r="E535" s="2">
        <v>98.15</v>
      </c>
      <c r="F535" s="2">
        <v>56339173</v>
      </c>
      <c r="G535" s="2" t="s">
        <v>558</v>
      </c>
      <c r="H535" s="2" t="s">
        <v>559</v>
      </c>
      <c r="I535" s="2" t="s">
        <v>560</v>
      </c>
      <c r="J535" s="4">
        <v>-2.9750000000000001</v>
      </c>
      <c r="K535" s="2" t="s">
        <v>42</v>
      </c>
      <c r="L535" s="2">
        <v>2023</v>
      </c>
      <c r="M535" s="2" t="s">
        <v>43</v>
      </c>
      <c r="N535" s="2" t="s">
        <v>23</v>
      </c>
      <c r="O535">
        <f t="shared" si="16"/>
        <v>2.5300000000000011</v>
      </c>
      <c r="P535">
        <f t="shared" si="17"/>
        <v>14.790999999999999</v>
      </c>
    </row>
    <row r="536" spans="1:16" x14ac:dyDescent="0.35">
      <c r="A536" s="9" t="s">
        <v>55</v>
      </c>
      <c r="B536" s="2">
        <v>97.8</v>
      </c>
      <c r="C536" s="2">
        <v>97.94</v>
      </c>
      <c r="D536" s="2">
        <v>95.65</v>
      </c>
      <c r="E536" s="2">
        <v>97.2</v>
      </c>
      <c r="F536" s="2">
        <v>60029405</v>
      </c>
      <c r="G536" s="2" t="s">
        <v>558</v>
      </c>
      <c r="H536" s="2" t="s">
        <v>559</v>
      </c>
      <c r="I536" s="2" t="s">
        <v>560</v>
      </c>
      <c r="J536" s="4">
        <v>-0.96799999999999997</v>
      </c>
      <c r="K536" s="2" t="s">
        <v>42</v>
      </c>
      <c r="L536" s="2">
        <v>2023</v>
      </c>
      <c r="M536" s="2" t="s">
        <v>43</v>
      </c>
      <c r="N536" s="2" t="s">
        <v>23</v>
      </c>
      <c r="O536">
        <f t="shared" si="16"/>
        <v>2.289999999999992</v>
      </c>
      <c r="P536">
        <f t="shared" si="17"/>
        <v>13.822999999999999</v>
      </c>
    </row>
    <row r="537" spans="1:16" x14ac:dyDescent="0.35">
      <c r="A537" s="9" t="s">
        <v>56</v>
      </c>
      <c r="B537" s="2">
        <v>95.334999999999994</v>
      </c>
      <c r="C537" s="2">
        <v>95.605000000000004</v>
      </c>
      <c r="D537" s="2">
        <v>94.27</v>
      </c>
      <c r="E537" s="2">
        <v>94.58</v>
      </c>
      <c r="F537" s="2">
        <v>56580360</v>
      </c>
      <c r="G537" s="2" t="s">
        <v>558</v>
      </c>
      <c r="H537" s="2" t="s">
        <v>559</v>
      </c>
      <c r="I537" s="2" t="s">
        <v>560</v>
      </c>
      <c r="J537" s="4">
        <v>-2.6949999999999998</v>
      </c>
      <c r="K537" s="2" t="s">
        <v>42</v>
      </c>
      <c r="L537" s="2">
        <v>2023</v>
      </c>
      <c r="M537" s="2" t="s">
        <v>43</v>
      </c>
      <c r="N537" s="2" t="s">
        <v>23</v>
      </c>
      <c r="O537">
        <f t="shared" si="16"/>
        <v>1.335000000000008</v>
      </c>
      <c r="P537">
        <f t="shared" si="17"/>
        <v>11.127999999999998</v>
      </c>
    </row>
    <row r="538" spans="1:16" x14ac:dyDescent="0.35">
      <c r="A538" s="9" t="s">
        <v>57</v>
      </c>
      <c r="B538" s="2">
        <v>95.1</v>
      </c>
      <c r="C538" s="2">
        <v>97.01</v>
      </c>
      <c r="D538" s="2">
        <v>94.8</v>
      </c>
      <c r="E538" s="2">
        <v>95.79</v>
      </c>
      <c r="F538" s="2">
        <v>59534094</v>
      </c>
      <c r="G538" s="2" t="s">
        <v>558</v>
      </c>
      <c r="H538" s="2" t="s">
        <v>559</v>
      </c>
      <c r="I538" s="2" t="s">
        <v>560</v>
      </c>
      <c r="J538" s="3">
        <v>1.2789999999999999</v>
      </c>
      <c r="K538" s="2" t="s">
        <v>42</v>
      </c>
      <c r="L538" s="2">
        <v>2023</v>
      </c>
      <c r="M538" s="2" t="s">
        <v>43</v>
      </c>
      <c r="N538" s="2" t="s">
        <v>21</v>
      </c>
      <c r="O538">
        <f t="shared" si="16"/>
        <v>2.210000000000008</v>
      </c>
      <c r="P538">
        <f t="shared" si="17"/>
        <v>12.406999999999998</v>
      </c>
    </row>
    <row r="539" spans="1:16" x14ac:dyDescent="0.35">
      <c r="A539" s="9" t="s">
        <v>58</v>
      </c>
      <c r="B539" s="2">
        <v>96.12</v>
      </c>
      <c r="C539" s="2">
        <v>96.43</v>
      </c>
      <c r="D539" s="2">
        <v>93.67</v>
      </c>
      <c r="E539" s="2">
        <v>95.82</v>
      </c>
      <c r="F539" s="2">
        <v>48466994</v>
      </c>
      <c r="G539" s="2" t="s">
        <v>558</v>
      </c>
      <c r="H539" s="2" t="s">
        <v>559</v>
      </c>
      <c r="I539" s="2" t="s">
        <v>560</v>
      </c>
      <c r="J539" s="3">
        <v>3.1E-2</v>
      </c>
      <c r="K539" s="2" t="s">
        <v>42</v>
      </c>
      <c r="L539" s="2">
        <v>2023</v>
      </c>
      <c r="M539" s="2" t="s">
        <v>43</v>
      </c>
      <c r="N539" s="2" t="s">
        <v>21</v>
      </c>
      <c r="O539">
        <f t="shared" si="16"/>
        <v>2.7600000000000051</v>
      </c>
      <c r="P539">
        <f t="shared" si="17"/>
        <v>12.437999999999999</v>
      </c>
    </row>
    <row r="540" spans="1:16" x14ac:dyDescent="0.35">
      <c r="A540" s="9" t="s">
        <v>59</v>
      </c>
      <c r="B540" s="2">
        <v>93.53</v>
      </c>
      <c r="C540" s="2">
        <v>94.14</v>
      </c>
      <c r="D540" s="2">
        <v>92.319000000000003</v>
      </c>
      <c r="E540" s="2">
        <v>93.5</v>
      </c>
      <c r="F540" s="2">
        <v>57053812</v>
      </c>
      <c r="G540" s="2" t="s">
        <v>558</v>
      </c>
      <c r="H540" s="2" t="s">
        <v>559</v>
      </c>
      <c r="I540" s="2" t="s">
        <v>560</v>
      </c>
      <c r="J540" s="4">
        <v>-2.4209999999999998</v>
      </c>
      <c r="K540" s="2" t="s">
        <v>42</v>
      </c>
      <c r="L540" s="2">
        <v>2023</v>
      </c>
      <c r="M540" s="2" t="s">
        <v>43</v>
      </c>
      <c r="N540" s="2" t="s">
        <v>23</v>
      </c>
      <c r="O540">
        <f t="shared" si="16"/>
        <v>1.820999999999998</v>
      </c>
      <c r="P540">
        <f t="shared" si="17"/>
        <v>10.016999999999999</v>
      </c>
    </row>
    <row r="541" spans="1:16" x14ac:dyDescent="0.35">
      <c r="A541" s="9" t="s">
        <v>60</v>
      </c>
      <c r="B541" s="2">
        <v>94.28</v>
      </c>
      <c r="C541" s="2">
        <v>94.78</v>
      </c>
      <c r="D541" s="2">
        <v>93.14</v>
      </c>
      <c r="E541" s="2">
        <v>93.76</v>
      </c>
      <c r="F541" s="2">
        <v>47470321</v>
      </c>
      <c r="G541" s="2" t="s">
        <v>558</v>
      </c>
      <c r="H541" s="2" t="s">
        <v>559</v>
      </c>
      <c r="I541" s="2" t="s">
        <v>560</v>
      </c>
      <c r="J541" s="3">
        <v>0.27800000000000002</v>
      </c>
      <c r="K541" s="2" t="s">
        <v>42</v>
      </c>
      <c r="L541" s="2">
        <v>2023</v>
      </c>
      <c r="M541" s="2" t="s">
        <v>43</v>
      </c>
      <c r="N541" s="2" t="s">
        <v>21</v>
      </c>
      <c r="O541">
        <f t="shared" si="16"/>
        <v>1.6400000000000006</v>
      </c>
      <c r="P541">
        <f t="shared" si="17"/>
        <v>10.295</v>
      </c>
    </row>
    <row r="542" spans="1:16" x14ac:dyDescent="0.35">
      <c r="A542" s="9" t="s">
        <v>61</v>
      </c>
      <c r="B542" s="2">
        <v>93.14</v>
      </c>
      <c r="C542" s="2">
        <v>94.69</v>
      </c>
      <c r="D542" s="2">
        <v>92.92</v>
      </c>
      <c r="E542" s="2">
        <v>94.23</v>
      </c>
      <c r="F542" s="2">
        <v>43959290</v>
      </c>
      <c r="G542" s="2" t="s">
        <v>558</v>
      </c>
      <c r="H542" s="2" t="s">
        <v>559</v>
      </c>
      <c r="I542" s="2" t="s">
        <v>560</v>
      </c>
      <c r="J542" s="3">
        <v>0.501</v>
      </c>
      <c r="K542" s="2" t="s">
        <v>42</v>
      </c>
      <c r="L542" s="2">
        <v>2023</v>
      </c>
      <c r="M542" s="2" t="s">
        <v>43</v>
      </c>
      <c r="N542" s="2" t="s">
        <v>21</v>
      </c>
      <c r="O542">
        <f t="shared" si="16"/>
        <v>1.769999999999996</v>
      </c>
      <c r="P542">
        <f t="shared" si="17"/>
        <v>10.795999999999999</v>
      </c>
    </row>
    <row r="543" spans="1:16" x14ac:dyDescent="0.35">
      <c r="A543" s="9" t="s">
        <v>62</v>
      </c>
      <c r="B543" s="2">
        <v>93.87</v>
      </c>
      <c r="C543" s="2">
        <v>94.68</v>
      </c>
      <c r="D543" s="2">
        <v>91.59</v>
      </c>
      <c r="E543" s="2">
        <v>92.17</v>
      </c>
      <c r="F543" s="2">
        <v>52299524</v>
      </c>
      <c r="G543" s="2" t="s">
        <v>558</v>
      </c>
      <c r="H543" s="2" t="s">
        <v>559</v>
      </c>
      <c r="I543" s="2" t="s">
        <v>560</v>
      </c>
      <c r="J543" s="4">
        <v>-2.1859999999999999</v>
      </c>
      <c r="K543" s="2" t="s">
        <v>63</v>
      </c>
      <c r="L543" s="2">
        <v>2023</v>
      </c>
      <c r="M543" s="2" t="s">
        <v>64</v>
      </c>
      <c r="N543" s="2" t="s">
        <v>23</v>
      </c>
      <c r="O543">
        <f t="shared" si="16"/>
        <v>3.0900000000000034</v>
      </c>
      <c r="P543">
        <f t="shared" si="17"/>
        <v>8.61</v>
      </c>
    </row>
    <row r="544" spans="1:16" x14ac:dyDescent="0.35">
      <c r="A544" s="9" t="s">
        <v>65</v>
      </c>
      <c r="B544" s="2">
        <v>91.41</v>
      </c>
      <c r="C544" s="2">
        <v>92.23</v>
      </c>
      <c r="D544" s="2">
        <v>90.39</v>
      </c>
      <c r="E544" s="2">
        <v>92.13</v>
      </c>
      <c r="F544" s="2">
        <v>55574820</v>
      </c>
      <c r="G544" s="2" t="s">
        <v>558</v>
      </c>
      <c r="H544" s="2" t="s">
        <v>559</v>
      </c>
      <c r="I544" s="2" t="s">
        <v>560</v>
      </c>
      <c r="J544" s="4">
        <v>-4.2999999999999997E-2</v>
      </c>
      <c r="K544" s="2" t="s">
        <v>63</v>
      </c>
      <c r="L544" s="2">
        <v>2023</v>
      </c>
      <c r="M544" s="2" t="s">
        <v>64</v>
      </c>
      <c r="N544" s="2" t="s">
        <v>23</v>
      </c>
      <c r="O544">
        <f t="shared" si="16"/>
        <v>1.8400000000000034</v>
      </c>
      <c r="P544">
        <f t="shared" si="17"/>
        <v>8.5670000000000002</v>
      </c>
    </row>
    <row r="545" spans="1:16" x14ac:dyDescent="0.35">
      <c r="A545" s="9" t="s">
        <v>66</v>
      </c>
      <c r="B545" s="2">
        <v>92.74</v>
      </c>
      <c r="C545" s="2">
        <v>94.94</v>
      </c>
      <c r="D545" s="2">
        <v>92.66</v>
      </c>
      <c r="E545" s="2">
        <v>94.9</v>
      </c>
      <c r="F545" s="2">
        <v>55759609</v>
      </c>
      <c r="G545" s="2" t="s">
        <v>558</v>
      </c>
      <c r="H545" s="2" t="s">
        <v>559</v>
      </c>
      <c r="I545" s="2" t="s">
        <v>560</v>
      </c>
      <c r="J545" s="3">
        <v>3.0070000000000001</v>
      </c>
      <c r="K545" s="2" t="s">
        <v>63</v>
      </c>
      <c r="L545" s="2">
        <v>2023</v>
      </c>
      <c r="M545" s="2" t="s">
        <v>64</v>
      </c>
      <c r="N545" s="2" t="s">
        <v>21</v>
      </c>
      <c r="O545">
        <f t="shared" si="16"/>
        <v>2.2800000000000011</v>
      </c>
      <c r="P545">
        <f t="shared" si="17"/>
        <v>11.574</v>
      </c>
    </row>
    <row r="546" spans="1:16" x14ac:dyDescent="0.35">
      <c r="A546" s="9" t="s">
        <v>67</v>
      </c>
      <c r="B546" s="2">
        <v>95.19</v>
      </c>
      <c r="C546" s="2">
        <v>96.545000000000002</v>
      </c>
      <c r="D546" s="2">
        <v>93.74</v>
      </c>
      <c r="E546" s="2">
        <v>93.75</v>
      </c>
      <c r="F546" s="2">
        <v>52112355</v>
      </c>
      <c r="G546" s="2" t="s">
        <v>558</v>
      </c>
      <c r="H546" s="2" t="s">
        <v>559</v>
      </c>
      <c r="I546" s="2" t="s">
        <v>560</v>
      </c>
      <c r="J546" s="4">
        <v>-1.212</v>
      </c>
      <c r="K546" s="2" t="s">
        <v>63</v>
      </c>
      <c r="L546" s="2">
        <v>2023</v>
      </c>
      <c r="M546" s="2" t="s">
        <v>64</v>
      </c>
      <c r="N546" s="2" t="s">
        <v>23</v>
      </c>
      <c r="O546">
        <f t="shared" si="16"/>
        <v>2.8050000000000068</v>
      </c>
      <c r="P546">
        <f t="shared" si="17"/>
        <v>10.362</v>
      </c>
    </row>
    <row r="547" spans="1:16" x14ac:dyDescent="0.35">
      <c r="A547" s="9" t="s">
        <v>68</v>
      </c>
      <c r="B547" s="2">
        <v>94.06</v>
      </c>
      <c r="C547" s="2">
        <v>95.09</v>
      </c>
      <c r="D547" s="2">
        <v>92.78</v>
      </c>
      <c r="E547" s="2">
        <v>93.55</v>
      </c>
      <c r="F547" s="2">
        <v>49100668</v>
      </c>
      <c r="G547" s="2" t="s">
        <v>558</v>
      </c>
      <c r="H547" s="2" t="s">
        <v>559</v>
      </c>
      <c r="I547" s="2" t="s">
        <v>560</v>
      </c>
      <c r="J547" s="4">
        <v>-0.21299999999999999</v>
      </c>
      <c r="K547" s="2" t="s">
        <v>63</v>
      </c>
      <c r="L547" s="2">
        <v>2023</v>
      </c>
      <c r="M547" s="2" t="s">
        <v>64</v>
      </c>
      <c r="N547" s="2" t="s">
        <v>23</v>
      </c>
      <c r="O547">
        <f t="shared" si="16"/>
        <v>2.3100000000000023</v>
      </c>
      <c r="P547">
        <f t="shared" si="17"/>
        <v>10.149000000000001</v>
      </c>
    </row>
    <row r="548" spans="1:16" x14ac:dyDescent="0.35">
      <c r="A548" s="9" t="s">
        <v>69</v>
      </c>
      <c r="B548" s="2">
        <v>93.6</v>
      </c>
      <c r="C548" s="2">
        <v>94.165000000000006</v>
      </c>
      <c r="D548" s="2">
        <v>92.18</v>
      </c>
      <c r="E548" s="2">
        <v>93.92</v>
      </c>
      <c r="F548" s="2">
        <v>44899128</v>
      </c>
      <c r="G548" s="2" t="s">
        <v>558</v>
      </c>
      <c r="H548" s="2" t="s">
        <v>559</v>
      </c>
      <c r="I548" s="2" t="s">
        <v>560</v>
      </c>
      <c r="J548" s="3">
        <v>0.39600000000000002</v>
      </c>
      <c r="K548" s="2" t="s">
        <v>63</v>
      </c>
      <c r="L548" s="2">
        <v>2023</v>
      </c>
      <c r="M548" s="2" t="s">
        <v>64</v>
      </c>
      <c r="N548" s="2" t="s">
        <v>21</v>
      </c>
      <c r="O548">
        <f t="shared" si="16"/>
        <v>1.9849999999999994</v>
      </c>
      <c r="P548">
        <f t="shared" si="17"/>
        <v>10.545000000000002</v>
      </c>
    </row>
    <row r="549" spans="1:16" x14ac:dyDescent="0.35">
      <c r="A549" s="9" t="s">
        <v>70</v>
      </c>
      <c r="B549" s="2">
        <v>93.68</v>
      </c>
      <c r="C549" s="2">
        <v>96.21</v>
      </c>
      <c r="D549" s="2">
        <v>92.18</v>
      </c>
      <c r="E549" s="2">
        <v>92.25</v>
      </c>
      <c r="F549" s="2">
        <v>56218705</v>
      </c>
      <c r="G549" s="2" t="s">
        <v>558</v>
      </c>
      <c r="H549" s="2" t="s">
        <v>559</v>
      </c>
      <c r="I549" s="2" t="s">
        <v>560</v>
      </c>
      <c r="J549" s="4">
        <v>-1.778</v>
      </c>
      <c r="K549" s="2" t="s">
        <v>63</v>
      </c>
      <c r="L549" s="2">
        <v>2023</v>
      </c>
      <c r="M549" s="2" t="s">
        <v>64</v>
      </c>
      <c r="N549" s="2" t="s">
        <v>23</v>
      </c>
      <c r="O549">
        <f t="shared" si="16"/>
        <v>4.0299999999999869</v>
      </c>
      <c r="P549">
        <f t="shared" si="17"/>
        <v>8.7670000000000012</v>
      </c>
    </row>
    <row r="550" spans="1:16" x14ac:dyDescent="0.35">
      <c r="A550" s="9" t="s">
        <v>71</v>
      </c>
      <c r="B550" s="2">
        <v>92.67</v>
      </c>
      <c r="C550" s="2">
        <v>93.57</v>
      </c>
      <c r="D550" s="2">
        <v>90.245000000000005</v>
      </c>
      <c r="E550" s="2">
        <v>90.73</v>
      </c>
      <c r="F550" s="2">
        <v>69827490</v>
      </c>
      <c r="G550" s="2" t="s">
        <v>558</v>
      </c>
      <c r="H550" s="2" t="s">
        <v>559</v>
      </c>
      <c r="I550" s="2" t="s">
        <v>560</v>
      </c>
      <c r="J550" s="4">
        <v>-1.6479999999999999</v>
      </c>
      <c r="K550" s="2" t="s">
        <v>63</v>
      </c>
      <c r="L550" s="2">
        <v>2023</v>
      </c>
      <c r="M550" s="2" t="s">
        <v>64</v>
      </c>
      <c r="N550" s="2" t="s">
        <v>23</v>
      </c>
      <c r="O550">
        <f t="shared" si="16"/>
        <v>3.3249999999999886</v>
      </c>
      <c r="P550">
        <f t="shared" si="17"/>
        <v>7.1190000000000015</v>
      </c>
    </row>
    <row r="551" spans="1:16" x14ac:dyDescent="0.35">
      <c r="A551" s="9" t="s">
        <v>72</v>
      </c>
      <c r="B551" s="2">
        <v>89.97</v>
      </c>
      <c r="C551" s="2">
        <v>94.02</v>
      </c>
      <c r="D551" s="2">
        <v>88.12</v>
      </c>
      <c r="E551" s="2">
        <v>92.43</v>
      </c>
      <c r="F551" s="2">
        <v>72397053</v>
      </c>
      <c r="G551" s="2" t="s">
        <v>558</v>
      </c>
      <c r="H551" s="2" t="s">
        <v>559</v>
      </c>
      <c r="I551" s="2" t="s">
        <v>560</v>
      </c>
      <c r="J551" s="3">
        <v>1.8740000000000001</v>
      </c>
      <c r="K551" s="2" t="s">
        <v>63</v>
      </c>
      <c r="L551" s="2">
        <v>2023</v>
      </c>
      <c r="M551" s="2" t="s">
        <v>64</v>
      </c>
      <c r="N551" s="2" t="s">
        <v>21</v>
      </c>
      <c r="O551">
        <f t="shared" si="16"/>
        <v>5.8999999999999915</v>
      </c>
      <c r="P551">
        <f t="shared" si="17"/>
        <v>8.9930000000000021</v>
      </c>
    </row>
    <row r="552" spans="1:16" x14ac:dyDescent="0.35">
      <c r="A552" s="9" t="s">
        <v>73</v>
      </c>
      <c r="B552" s="2">
        <v>93.83</v>
      </c>
      <c r="C552" s="2">
        <v>95.07</v>
      </c>
      <c r="D552" s="2">
        <v>92.71</v>
      </c>
      <c r="E552" s="2">
        <v>94.88</v>
      </c>
      <c r="F552" s="2">
        <v>60912674</v>
      </c>
      <c r="G552" s="2" t="s">
        <v>558</v>
      </c>
      <c r="H552" s="2" t="s">
        <v>559</v>
      </c>
      <c r="I552" s="2" t="s">
        <v>560</v>
      </c>
      <c r="J552" s="3">
        <v>2.6509999999999998</v>
      </c>
      <c r="K552" s="2" t="s">
        <v>63</v>
      </c>
      <c r="L552" s="2">
        <v>2023</v>
      </c>
      <c r="M552" s="2" t="s">
        <v>64</v>
      </c>
      <c r="N552" s="2" t="s">
        <v>21</v>
      </c>
      <c r="O552">
        <f t="shared" si="16"/>
        <v>2.3599999999999994</v>
      </c>
      <c r="P552">
        <f t="shared" si="17"/>
        <v>11.644000000000002</v>
      </c>
    </row>
    <row r="553" spans="1:16" x14ac:dyDescent="0.35">
      <c r="A553" s="9" t="s">
        <v>74</v>
      </c>
      <c r="B553" s="2">
        <v>93.22</v>
      </c>
      <c r="C553" s="2">
        <v>96.67</v>
      </c>
      <c r="D553" s="2">
        <v>93.07</v>
      </c>
      <c r="E553" s="2">
        <v>96.2</v>
      </c>
      <c r="F553" s="2">
        <v>70731792</v>
      </c>
      <c r="G553" s="2" t="s">
        <v>558</v>
      </c>
      <c r="H553" s="2" t="s">
        <v>559</v>
      </c>
      <c r="I553" s="2" t="s">
        <v>560</v>
      </c>
      <c r="J553" s="3">
        <v>1.391</v>
      </c>
      <c r="K553" s="2" t="s">
        <v>63</v>
      </c>
      <c r="L553" s="2">
        <v>2023</v>
      </c>
      <c r="M553" s="2" t="s">
        <v>64</v>
      </c>
      <c r="N553" s="2" t="s">
        <v>21</v>
      </c>
      <c r="O553">
        <f t="shared" si="16"/>
        <v>3.6000000000000085</v>
      </c>
      <c r="P553">
        <f t="shared" si="17"/>
        <v>13.035000000000002</v>
      </c>
    </row>
    <row r="554" spans="1:16" x14ac:dyDescent="0.35">
      <c r="A554" s="9" t="s">
        <v>75</v>
      </c>
      <c r="B554" s="2">
        <v>95.75</v>
      </c>
      <c r="C554" s="2">
        <v>100.99</v>
      </c>
      <c r="D554" s="2">
        <v>95.61</v>
      </c>
      <c r="E554" s="2">
        <v>100.04</v>
      </c>
      <c r="F554" s="2">
        <v>84558934</v>
      </c>
      <c r="G554" s="2" t="s">
        <v>558</v>
      </c>
      <c r="H554" s="2" t="s">
        <v>559</v>
      </c>
      <c r="I554" s="2" t="s">
        <v>560</v>
      </c>
      <c r="J554" s="3">
        <v>3.992</v>
      </c>
      <c r="K554" s="2" t="s">
        <v>63</v>
      </c>
      <c r="L554" s="2">
        <v>2023</v>
      </c>
      <c r="M554" s="2" t="s">
        <v>64</v>
      </c>
      <c r="N554" s="2" t="s">
        <v>21</v>
      </c>
      <c r="O554">
        <f t="shared" si="16"/>
        <v>5.3799999999999955</v>
      </c>
      <c r="P554">
        <f t="shared" si="17"/>
        <v>17.027000000000001</v>
      </c>
    </row>
    <row r="555" spans="1:16" x14ac:dyDescent="0.35">
      <c r="A555" s="9" t="s">
        <v>76</v>
      </c>
      <c r="B555" s="2">
        <v>99.79</v>
      </c>
      <c r="C555" s="2">
        <v>100.66</v>
      </c>
      <c r="D555" s="2">
        <v>97.454999999999998</v>
      </c>
      <c r="E555" s="2">
        <v>98.95</v>
      </c>
      <c r="F555" s="2">
        <v>87300242</v>
      </c>
      <c r="G555" s="2" t="s">
        <v>558</v>
      </c>
      <c r="H555" s="2" t="s">
        <v>559</v>
      </c>
      <c r="I555" s="2" t="s">
        <v>560</v>
      </c>
      <c r="J555" s="4">
        <v>-1.0900000000000001</v>
      </c>
      <c r="K555" s="2" t="s">
        <v>63</v>
      </c>
      <c r="L555" s="2">
        <v>2023</v>
      </c>
      <c r="M555" s="2" t="s">
        <v>64</v>
      </c>
      <c r="N555" s="2" t="s">
        <v>23</v>
      </c>
      <c r="O555">
        <f t="shared" si="16"/>
        <v>3.2049999999999983</v>
      </c>
      <c r="P555">
        <f t="shared" si="17"/>
        <v>15.937000000000001</v>
      </c>
    </row>
    <row r="556" spans="1:16" x14ac:dyDescent="0.35">
      <c r="A556" s="9" t="s">
        <v>77</v>
      </c>
      <c r="B556" s="2">
        <v>98.41</v>
      </c>
      <c r="C556" s="2">
        <v>98.48</v>
      </c>
      <c r="D556" s="2">
        <v>95.7</v>
      </c>
      <c r="E556" s="2">
        <v>97.71</v>
      </c>
      <c r="F556" s="2">
        <v>62388911</v>
      </c>
      <c r="G556" s="2" t="s">
        <v>558</v>
      </c>
      <c r="H556" s="2" t="s">
        <v>559</v>
      </c>
      <c r="I556" s="2" t="s">
        <v>560</v>
      </c>
      <c r="J556" s="4">
        <v>-1.2529999999999999</v>
      </c>
      <c r="K556" s="2" t="s">
        <v>63</v>
      </c>
      <c r="L556" s="2">
        <v>2023</v>
      </c>
      <c r="M556" s="2" t="s">
        <v>64</v>
      </c>
      <c r="N556" s="2" t="s">
        <v>23</v>
      </c>
      <c r="O556">
        <f t="shared" si="16"/>
        <v>2.7800000000000011</v>
      </c>
      <c r="P556">
        <f t="shared" si="17"/>
        <v>14.684000000000001</v>
      </c>
    </row>
    <row r="557" spans="1:16" x14ac:dyDescent="0.35">
      <c r="A557" s="9" t="s">
        <v>78</v>
      </c>
      <c r="B557" s="2">
        <v>98.14</v>
      </c>
      <c r="C557" s="2">
        <v>100.845</v>
      </c>
      <c r="D557" s="2">
        <v>98</v>
      </c>
      <c r="E557" s="2">
        <v>100.61</v>
      </c>
      <c r="F557" s="2">
        <v>58597275</v>
      </c>
      <c r="G557" s="2" t="s">
        <v>558</v>
      </c>
      <c r="H557" s="2" t="s">
        <v>559</v>
      </c>
      <c r="I557" s="2" t="s">
        <v>560</v>
      </c>
      <c r="J557" s="3">
        <v>2.968</v>
      </c>
      <c r="K557" s="2" t="s">
        <v>63</v>
      </c>
      <c r="L557" s="2">
        <v>2023</v>
      </c>
      <c r="M557" s="2" t="s">
        <v>64</v>
      </c>
      <c r="N557" s="2" t="s">
        <v>21</v>
      </c>
      <c r="O557">
        <f t="shared" si="16"/>
        <v>2.8449999999999989</v>
      </c>
      <c r="P557">
        <f t="shared" si="17"/>
        <v>17.652000000000001</v>
      </c>
    </row>
    <row r="558" spans="1:16" x14ac:dyDescent="0.35">
      <c r="A558" s="9" t="s">
        <v>79</v>
      </c>
      <c r="B558" s="2">
        <v>100.45</v>
      </c>
      <c r="C558" s="2">
        <v>102.1</v>
      </c>
      <c r="D558" s="2">
        <v>98.61</v>
      </c>
      <c r="E558" s="2">
        <v>98.7</v>
      </c>
      <c r="F558" s="2">
        <v>57475365</v>
      </c>
      <c r="G558" s="2" t="s">
        <v>558</v>
      </c>
      <c r="H558" s="2" t="s">
        <v>559</v>
      </c>
      <c r="I558" s="2" t="s">
        <v>560</v>
      </c>
      <c r="J558" s="4">
        <v>-1.8979999999999999</v>
      </c>
      <c r="K558" s="2" t="s">
        <v>63</v>
      </c>
      <c r="L558" s="2">
        <v>2023</v>
      </c>
      <c r="M558" s="2" t="s">
        <v>64</v>
      </c>
      <c r="N558" s="2" t="s">
        <v>23</v>
      </c>
      <c r="O558">
        <f t="shared" si="16"/>
        <v>3.4899999999999949</v>
      </c>
      <c r="P558">
        <f t="shared" si="17"/>
        <v>15.754000000000001</v>
      </c>
    </row>
    <row r="559" spans="1:16" x14ac:dyDescent="0.35">
      <c r="A559" s="9" t="s">
        <v>80</v>
      </c>
      <c r="B559" s="2">
        <v>100.43</v>
      </c>
      <c r="C559" s="2">
        <v>101.06</v>
      </c>
      <c r="D559" s="2">
        <v>97.62</v>
      </c>
      <c r="E559" s="2">
        <v>98.71</v>
      </c>
      <c r="F559" s="2">
        <v>57559310</v>
      </c>
      <c r="G559" s="2" t="s">
        <v>558</v>
      </c>
      <c r="H559" s="2" t="s">
        <v>559</v>
      </c>
      <c r="I559" s="2" t="s">
        <v>560</v>
      </c>
      <c r="J559" s="3">
        <v>0.01</v>
      </c>
      <c r="K559" s="2" t="s">
        <v>63</v>
      </c>
      <c r="L559" s="2">
        <v>2023</v>
      </c>
      <c r="M559" s="2" t="s">
        <v>64</v>
      </c>
      <c r="N559" s="2" t="s">
        <v>21</v>
      </c>
      <c r="O559">
        <f t="shared" si="16"/>
        <v>3.4399999999999977</v>
      </c>
      <c r="P559">
        <f t="shared" si="17"/>
        <v>15.764000000000001</v>
      </c>
    </row>
    <row r="560" spans="1:16" x14ac:dyDescent="0.35">
      <c r="A560" s="9" t="s">
        <v>81</v>
      </c>
      <c r="B560" s="2">
        <v>98.064999999999998</v>
      </c>
      <c r="C560" s="2">
        <v>98.3</v>
      </c>
      <c r="D560" s="2">
        <v>96.4</v>
      </c>
      <c r="E560" s="2">
        <v>98.13</v>
      </c>
      <c r="F560" s="2">
        <v>56144801</v>
      </c>
      <c r="G560" s="2" t="s">
        <v>558</v>
      </c>
      <c r="H560" s="2" t="s">
        <v>559</v>
      </c>
      <c r="I560" s="2" t="s">
        <v>560</v>
      </c>
      <c r="J560" s="4">
        <v>-0.58799999999999997</v>
      </c>
      <c r="K560" s="2" t="s">
        <v>63</v>
      </c>
      <c r="L560" s="2">
        <v>2023</v>
      </c>
      <c r="M560" s="2" t="s">
        <v>64</v>
      </c>
      <c r="N560" s="2" t="s">
        <v>23</v>
      </c>
      <c r="O560">
        <f t="shared" si="16"/>
        <v>1.8999999999999915</v>
      </c>
      <c r="P560">
        <f t="shared" si="17"/>
        <v>15.176000000000002</v>
      </c>
    </row>
    <row r="561" spans="1:16" x14ac:dyDescent="0.35">
      <c r="A561" s="9" t="s">
        <v>82</v>
      </c>
      <c r="B561" s="2">
        <v>99.07</v>
      </c>
      <c r="C561" s="2">
        <v>99.34</v>
      </c>
      <c r="D561" s="2">
        <v>97.08</v>
      </c>
      <c r="E561" s="2">
        <v>98.04</v>
      </c>
      <c r="F561" s="2">
        <v>46721296</v>
      </c>
      <c r="G561" s="2" t="s">
        <v>558</v>
      </c>
      <c r="H561" s="2" t="s">
        <v>559</v>
      </c>
      <c r="I561" s="2" t="s">
        <v>560</v>
      </c>
      <c r="J561" s="4">
        <v>-9.1999999999999998E-2</v>
      </c>
      <c r="K561" s="2" t="s">
        <v>63</v>
      </c>
      <c r="L561" s="2">
        <v>2023</v>
      </c>
      <c r="M561" s="2" t="s">
        <v>64</v>
      </c>
      <c r="N561" s="2" t="s">
        <v>23</v>
      </c>
      <c r="O561">
        <f t="shared" si="16"/>
        <v>2.2600000000000051</v>
      </c>
      <c r="P561">
        <f t="shared" si="17"/>
        <v>15.084000000000001</v>
      </c>
    </row>
    <row r="562" spans="1:16" x14ac:dyDescent="0.35">
      <c r="A562" s="9" t="s">
        <v>83</v>
      </c>
      <c r="B562" s="2">
        <v>98.11</v>
      </c>
      <c r="C562" s="2">
        <v>98.44</v>
      </c>
      <c r="D562" s="2">
        <v>96.29</v>
      </c>
      <c r="E562" s="2">
        <v>97.24</v>
      </c>
      <c r="F562" s="2">
        <v>38720050</v>
      </c>
      <c r="G562" s="2" t="s">
        <v>558</v>
      </c>
      <c r="H562" s="2" t="s">
        <v>559</v>
      </c>
      <c r="I562" s="2" t="s">
        <v>560</v>
      </c>
      <c r="J562" s="4">
        <v>-0.81599999999999995</v>
      </c>
      <c r="K562" s="2" t="s">
        <v>63</v>
      </c>
      <c r="L562" s="2">
        <v>2023</v>
      </c>
      <c r="M562" s="2" t="s">
        <v>64</v>
      </c>
      <c r="N562" s="2" t="s">
        <v>23</v>
      </c>
      <c r="O562">
        <f t="shared" si="16"/>
        <v>2.1499999999999915</v>
      </c>
      <c r="P562">
        <f t="shared" si="17"/>
        <v>14.268000000000001</v>
      </c>
    </row>
    <row r="563" spans="1:16" x14ac:dyDescent="0.35">
      <c r="A563" s="9" t="s">
        <v>84</v>
      </c>
      <c r="B563" s="2">
        <v>98.69</v>
      </c>
      <c r="C563" s="2">
        <v>100.422</v>
      </c>
      <c r="D563" s="2">
        <v>98.56</v>
      </c>
      <c r="E563" s="2">
        <v>100.25</v>
      </c>
      <c r="F563" s="2">
        <v>49783279</v>
      </c>
      <c r="G563" s="2" t="s">
        <v>558</v>
      </c>
      <c r="H563" s="2" t="s">
        <v>559</v>
      </c>
      <c r="I563" s="2" t="s">
        <v>560</v>
      </c>
      <c r="J563" s="3">
        <v>3.0950000000000002</v>
      </c>
      <c r="K563" s="2" t="s">
        <v>63</v>
      </c>
      <c r="L563" s="2">
        <v>2023</v>
      </c>
      <c r="M563" s="2" t="s">
        <v>64</v>
      </c>
      <c r="N563" s="2" t="s">
        <v>21</v>
      </c>
      <c r="O563">
        <f t="shared" si="16"/>
        <v>1.8619999999999948</v>
      </c>
      <c r="P563">
        <f t="shared" si="17"/>
        <v>17.363</v>
      </c>
    </row>
    <row r="564" spans="1:16" x14ac:dyDescent="0.35">
      <c r="A564" s="9" t="s">
        <v>85</v>
      </c>
      <c r="B564" s="2">
        <v>101.55</v>
      </c>
      <c r="C564" s="2">
        <v>103.04</v>
      </c>
      <c r="D564" s="2">
        <v>101.01</v>
      </c>
      <c r="E564" s="2">
        <v>102</v>
      </c>
      <c r="F564" s="2">
        <v>53633398</v>
      </c>
      <c r="G564" s="2" t="s">
        <v>558</v>
      </c>
      <c r="H564" s="2" t="s">
        <v>559</v>
      </c>
      <c r="I564" s="2" t="s">
        <v>560</v>
      </c>
      <c r="J564" s="3">
        <v>1.746</v>
      </c>
      <c r="K564" s="2" t="s">
        <v>63</v>
      </c>
      <c r="L564" s="2">
        <v>2023</v>
      </c>
      <c r="M564" s="2" t="s">
        <v>64</v>
      </c>
      <c r="N564" s="2" t="s">
        <v>21</v>
      </c>
      <c r="O564">
        <f t="shared" si="16"/>
        <v>2.0300000000000011</v>
      </c>
      <c r="P564">
        <f t="shared" si="17"/>
        <v>19.108999999999998</v>
      </c>
    </row>
    <row r="565" spans="1:16" x14ac:dyDescent="0.35">
      <c r="A565" s="9" t="s">
        <v>86</v>
      </c>
      <c r="B565" s="2">
        <v>102.16</v>
      </c>
      <c r="C565" s="2">
        <v>103.49</v>
      </c>
      <c r="D565" s="2">
        <v>101.95</v>
      </c>
      <c r="E565" s="2">
        <v>103.29</v>
      </c>
      <c r="F565" s="2">
        <v>56750317</v>
      </c>
      <c r="G565" s="2" t="s">
        <v>558</v>
      </c>
      <c r="H565" s="2" t="s">
        <v>559</v>
      </c>
      <c r="I565" s="2" t="s">
        <v>560</v>
      </c>
      <c r="J565" s="3">
        <v>1.2649999999999999</v>
      </c>
      <c r="K565" s="2" t="s">
        <v>63</v>
      </c>
      <c r="L565" s="2">
        <v>2023</v>
      </c>
      <c r="M565" s="2" t="s">
        <v>64</v>
      </c>
      <c r="N565" s="2" t="s">
        <v>21</v>
      </c>
      <c r="O565">
        <f t="shared" si="16"/>
        <v>1.539999999999992</v>
      </c>
      <c r="P565">
        <f t="shared" si="17"/>
        <v>20.373999999999999</v>
      </c>
    </row>
    <row r="566" spans="1:16" x14ac:dyDescent="0.35">
      <c r="A566" s="9" t="s">
        <v>87</v>
      </c>
      <c r="B566" s="2">
        <v>102.3</v>
      </c>
      <c r="C566" s="2">
        <v>103.29</v>
      </c>
      <c r="D566" s="2">
        <v>101.43</v>
      </c>
      <c r="E566" s="2">
        <v>102.41</v>
      </c>
      <c r="F566" s="2">
        <v>41135733</v>
      </c>
      <c r="G566" s="2" t="s">
        <v>558</v>
      </c>
      <c r="H566" s="2" t="s">
        <v>559</v>
      </c>
      <c r="I566" s="2" t="s">
        <v>560</v>
      </c>
      <c r="J566" s="4">
        <v>-0.85199999999999998</v>
      </c>
      <c r="K566" s="2" t="s">
        <v>88</v>
      </c>
      <c r="L566" s="2">
        <v>2023</v>
      </c>
      <c r="M566" s="2" t="s">
        <v>89</v>
      </c>
      <c r="N566" s="2" t="s">
        <v>23</v>
      </c>
      <c r="O566">
        <f t="shared" si="16"/>
        <v>1.8599999999999994</v>
      </c>
      <c r="P566">
        <f t="shared" si="17"/>
        <v>19.521999999999998</v>
      </c>
    </row>
    <row r="567" spans="1:16" x14ac:dyDescent="0.35">
      <c r="A567" s="9" t="s">
        <v>90</v>
      </c>
      <c r="B567" s="2">
        <v>102.75</v>
      </c>
      <c r="C567" s="2">
        <v>104.2</v>
      </c>
      <c r="D567" s="2">
        <v>102.11</v>
      </c>
      <c r="E567" s="2">
        <v>103.95</v>
      </c>
      <c r="F567" s="2">
        <v>48662496</v>
      </c>
      <c r="G567" s="2" t="s">
        <v>558</v>
      </c>
      <c r="H567" s="2" t="s">
        <v>559</v>
      </c>
      <c r="I567" s="2" t="s">
        <v>560</v>
      </c>
      <c r="J567" s="3">
        <v>1.504</v>
      </c>
      <c r="K567" s="2" t="s">
        <v>88</v>
      </c>
      <c r="L567" s="2">
        <v>2023</v>
      </c>
      <c r="M567" s="2" t="s">
        <v>89</v>
      </c>
      <c r="N567" s="2" t="s">
        <v>21</v>
      </c>
      <c r="O567">
        <f t="shared" si="16"/>
        <v>2.0900000000000034</v>
      </c>
      <c r="P567">
        <f t="shared" si="17"/>
        <v>21.026</v>
      </c>
    </row>
    <row r="568" spans="1:16" x14ac:dyDescent="0.35">
      <c r="A568" s="9" t="s">
        <v>91</v>
      </c>
      <c r="B568" s="2">
        <v>103.91</v>
      </c>
      <c r="C568" s="2">
        <v>103.91</v>
      </c>
      <c r="D568" s="2">
        <v>100.751</v>
      </c>
      <c r="E568" s="2">
        <v>101.1</v>
      </c>
      <c r="F568" s="2">
        <v>45175393</v>
      </c>
      <c r="G568" s="2" t="s">
        <v>558</v>
      </c>
      <c r="H568" s="2" t="s">
        <v>559</v>
      </c>
      <c r="I568" s="2" t="s">
        <v>560</v>
      </c>
      <c r="J568" s="4">
        <v>-2.742</v>
      </c>
      <c r="K568" s="2" t="s">
        <v>88</v>
      </c>
      <c r="L568" s="2">
        <v>2023</v>
      </c>
      <c r="M568" s="2" t="s">
        <v>89</v>
      </c>
      <c r="N568" s="2" t="s">
        <v>23</v>
      </c>
      <c r="O568">
        <f t="shared" si="16"/>
        <v>3.1589999999999918</v>
      </c>
      <c r="P568">
        <f t="shared" si="17"/>
        <v>18.283999999999999</v>
      </c>
    </row>
    <row r="569" spans="1:16" x14ac:dyDescent="0.35">
      <c r="A569" s="9" t="s">
        <v>92</v>
      </c>
      <c r="B569" s="2">
        <v>100.75</v>
      </c>
      <c r="C569" s="2">
        <v>102.38200000000001</v>
      </c>
      <c r="D569" s="2">
        <v>99.801000000000002</v>
      </c>
      <c r="E569" s="2">
        <v>102.06</v>
      </c>
      <c r="F569" s="2">
        <v>43808020</v>
      </c>
      <c r="G569" s="2" t="s">
        <v>558</v>
      </c>
      <c r="H569" s="2" t="s">
        <v>559</v>
      </c>
      <c r="I569" s="2" t="s">
        <v>560</v>
      </c>
      <c r="J569" s="3">
        <v>0.95</v>
      </c>
      <c r="K569" s="2" t="s">
        <v>88</v>
      </c>
      <c r="L569" s="2">
        <v>2023</v>
      </c>
      <c r="M569" s="2" t="s">
        <v>89</v>
      </c>
      <c r="N569" s="2" t="s">
        <v>21</v>
      </c>
      <c r="O569">
        <f t="shared" si="16"/>
        <v>2.5810000000000031</v>
      </c>
      <c r="P569">
        <f t="shared" si="17"/>
        <v>19.233999999999998</v>
      </c>
    </row>
    <row r="570" spans="1:16" x14ac:dyDescent="0.35">
      <c r="A570" s="9" t="s">
        <v>93</v>
      </c>
      <c r="B570" s="2">
        <v>100.96</v>
      </c>
      <c r="C570" s="2">
        <v>102.2</v>
      </c>
      <c r="D570" s="2">
        <v>99.57</v>
      </c>
      <c r="E570" s="2">
        <v>102.17</v>
      </c>
      <c r="F570" s="2">
        <v>37261185</v>
      </c>
      <c r="G570" s="2" t="s">
        <v>558</v>
      </c>
      <c r="H570" s="2" t="s">
        <v>559</v>
      </c>
      <c r="I570" s="2" t="s">
        <v>560</v>
      </c>
      <c r="J570" s="3">
        <v>0.108</v>
      </c>
      <c r="K570" s="2" t="s">
        <v>88</v>
      </c>
      <c r="L570" s="2">
        <v>2023</v>
      </c>
      <c r="M570" s="2" t="s">
        <v>89</v>
      </c>
      <c r="N570" s="2" t="s">
        <v>21</v>
      </c>
      <c r="O570">
        <f t="shared" si="16"/>
        <v>2.6300000000000097</v>
      </c>
      <c r="P570">
        <f t="shared" si="17"/>
        <v>19.341999999999999</v>
      </c>
    </row>
    <row r="571" spans="1:16" x14ac:dyDescent="0.35">
      <c r="A571" s="9" t="s">
        <v>94</v>
      </c>
      <c r="B571" s="2">
        <v>100.8</v>
      </c>
      <c r="C571" s="2">
        <v>101</v>
      </c>
      <c r="D571" s="2">
        <v>99.01</v>
      </c>
      <c r="E571" s="2">
        <v>99.92</v>
      </c>
      <c r="F571" s="2">
        <v>60417847</v>
      </c>
      <c r="G571" s="2" t="s">
        <v>558</v>
      </c>
      <c r="H571" s="2" t="s">
        <v>559</v>
      </c>
      <c r="I571" s="2" t="s">
        <v>560</v>
      </c>
      <c r="J571" s="4">
        <v>-2.202</v>
      </c>
      <c r="K571" s="2" t="s">
        <v>88</v>
      </c>
      <c r="L571" s="2">
        <v>2023</v>
      </c>
      <c r="M571" s="2" t="s">
        <v>89</v>
      </c>
      <c r="N571" s="2" t="s">
        <v>23</v>
      </c>
      <c r="O571">
        <f t="shared" si="16"/>
        <v>1.9899999999999949</v>
      </c>
      <c r="P571">
        <f t="shared" si="17"/>
        <v>17.14</v>
      </c>
    </row>
    <row r="572" spans="1:16" x14ac:dyDescent="0.35">
      <c r="A572" s="9" t="s">
        <v>95</v>
      </c>
      <c r="B572" s="2">
        <v>100.4</v>
      </c>
      <c r="C572" s="2">
        <v>100.51</v>
      </c>
      <c r="D572" s="2">
        <v>97.704999999999998</v>
      </c>
      <c r="E572" s="2">
        <v>97.83</v>
      </c>
      <c r="F572" s="2">
        <v>56735007</v>
      </c>
      <c r="G572" s="2" t="s">
        <v>558</v>
      </c>
      <c r="H572" s="2" t="s">
        <v>559</v>
      </c>
      <c r="I572" s="2" t="s">
        <v>560</v>
      </c>
      <c r="J572" s="4">
        <v>-2.0920000000000001</v>
      </c>
      <c r="K572" s="2" t="s">
        <v>88</v>
      </c>
      <c r="L572" s="2">
        <v>2023</v>
      </c>
      <c r="M572" s="2" t="s">
        <v>89</v>
      </c>
      <c r="N572" s="2" t="s">
        <v>23</v>
      </c>
      <c r="O572">
        <f t="shared" si="16"/>
        <v>2.8050000000000068</v>
      </c>
      <c r="P572">
        <f t="shared" si="17"/>
        <v>15.048</v>
      </c>
    </row>
    <row r="573" spans="1:16" x14ac:dyDescent="0.35">
      <c r="A573" s="9" t="s">
        <v>96</v>
      </c>
      <c r="B573" s="2">
        <v>98.95</v>
      </c>
      <c r="C573" s="2">
        <v>102.57</v>
      </c>
      <c r="D573" s="2">
        <v>98.71</v>
      </c>
      <c r="E573" s="2">
        <v>102.4</v>
      </c>
      <c r="F573" s="2">
        <v>67925138</v>
      </c>
      <c r="G573" s="2" t="s">
        <v>558</v>
      </c>
      <c r="H573" s="2" t="s">
        <v>559</v>
      </c>
      <c r="I573" s="2" t="s">
        <v>560</v>
      </c>
      <c r="J573" s="3">
        <v>4.6710000000000003</v>
      </c>
      <c r="K573" s="2" t="s">
        <v>88</v>
      </c>
      <c r="L573" s="2">
        <v>2023</v>
      </c>
      <c r="M573" s="2" t="s">
        <v>89</v>
      </c>
      <c r="N573" s="2" t="s">
        <v>21</v>
      </c>
      <c r="O573">
        <f t="shared" si="16"/>
        <v>3.8599999999999994</v>
      </c>
      <c r="P573">
        <f t="shared" si="17"/>
        <v>19.719000000000001</v>
      </c>
    </row>
    <row r="574" spans="1:16" x14ac:dyDescent="0.35">
      <c r="A574" s="9" t="s">
        <v>97</v>
      </c>
      <c r="B574" s="2">
        <v>102.07</v>
      </c>
      <c r="C574" s="2">
        <v>103.20099999999999</v>
      </c>
      <c r="D574" s="2">
        <v>101.11</v>
      </c>
      <c r="E574" s="2">
        <v>102.51</v>
      </c>
      <c r="F574" s="2">
        <v>51450522</v>
      </c>
      <c r="G574" s="2" t="s">
        <v>558</v>
      </c>
      <c r="H574" s="2" t="s">
        <v>559</v>
      </c>
      <c r="I574" s="2" t="s">
        <v>560</v>
      </c>
      <c r="J574" s="3">
        <v>0.107</v>
      </c>
      <c r="K574" s="2" t="s">
        <v>88</v>
      </c>
      <c r="L574" s="2">
        <v>2023</v>
      </c>
      <c r="M574" s="2" t="s">
        <v>89</v>
      </c>
      <c r="N574" s="2" t="s">
        <v>21</v>
      </c>
      <c r="O574">
        <f t="shared" si="16"/>
        <v>2.090999999999994</v>
      </c>
      <c r="P574">
        <f t="shared" si="17"/>
        <v>19.826000000000001</v>
      </c>
    </row>
    <row r="575" spans="1:16" x14ac:dyDescent="0.35">
      <c r="A575" s="9" t="s">
        <v>98</v>
      </c>
      <c r="B575" s="2">
        <v>103.16</v>
      </c>
      <c r="C575" s="2">
        <v>103.73</v>
      </c>
      <c r="D575" s="2">
        <v>101.59</v>
      </c>
      <c r="E575" s="2">
        <v>102.74</v>
      </c>
      <c r="F575" s="2">
        <v>39919457</v>
      </c>
      <c r="G575" s="2" t="s">
        <v>558</v>
      </c>
      <c r="H575" s="2" t="s">
        <v>559</v>
      </c>
      <c r="I575" s="2" t="s">
        <v>560</v>
      </c>
      <c r="J575" s="3">
        <v>0.224</v>
      </c>
      <c r="K575" s="2" t="s">
        <v>88</v>
      </c>
      <c r="L575" s="2">
        <v>2023</v>
      </c>
      <c r="M575" s="2" t="s">
        <v>89</v>
      </c>
      <c r="N575" s="2" t="s">
        <v>21</v>
      </c>
      <c r="O575">
        <f t="shared" si="16"/>
        <v>2.1400000000000006</v>
      </c>
      <c r="P575">
        <f t="shared" si="17"/>
        <v>20.05</v>
      </c>
    </row>
    <row r="576" spans="1:16" x14ac:dyDescent="0.35">
      <c r="A576" s="9" t="s">
        <v>99</v>
      </c>
      <c r="B576" s="2">
        <v>103.95</v>
      </c>
      <c r="C576" s="2">
        <v>104.2</v>
      </c>
      <c r="D576" s="2">
        <v>101.52</v>
      </c>
      <c r="E576" s="2">
        <v>102.3</v>
      </c>
      <c r="F576" s="2">
        <v>39790518</v>
      </c>
      <c r="G576" s="2" t="s">
        <v>558</v>
      </c>
      <c r="H576" s="2" t="s">
        <v>559</v>
      </c>
      <c r="I576" s="2" t="s">
        <v>560</v>
      </c>
      <c r="J576" s="4">
        <v>-0.42799999999999999</v>
      </c>
      <c r="K576" s="2" t="s">
        <v>88</v>
      </c>
      <c r="L576" s="2">
        <v>2023</v>
      </c>
      <c r="M576" s="2" t="s">
        <v>89</v>
      </c>
      <c r="N576" s="2" t="s">
        <v>23</v>
      </c>
      <c r="O576">
        <f t="shared" si="16"/>
        <v>2.6800000000000068</v>
      </c>
      <c r="P576">
        <f t="shared" si="17"/>
        <v>19.622</v>
      </c>
    </row>
    <row r="577" spans="1:16" x14ac:dyDescent="0.35">
      <c r="A577" s="9" t="s">
        <v>100</v>
      </c>
      <c r="B577" s="2">
        <v>101.58</v>
      </c>
      <c r="C577" s="2">
        <v>105.12</v>
      </c>
      <c r="D577" s="2">
        <v>101.39</v>
      </c>
      <c r="E577" s="2">
        <v>104.3</v>
      </c>
      <c r="F577" s="2">
        <v>58398890</v>
      </c>
      <c r="G577" s="2" t="s">
        <v>558</v>
      </c>
      <c r="H577" s="2" t="s">
        <v>559</v>
      </c>
      <c r="I577" s="2" t="s">
        <v>560</v>
      </c>
      <c r="J577" s="3">
        <v>1.9550000000000001</v>
      </c>
      <c r="K577" s="2" t="s">
        <v>88</v>
      </c>
      <c r="L577" s="2">
        <v>2023</v>
      </c>
      <c r="M577" s="2" t="s">
        <v>89</v>
      </c>
      <c r="N577" s="2" t="s">
        <v>21</v>
      </c>
      <c r="O577">
        <f t="shared" si="16"/>
        <v>3.730000000000004</v>
      </c>
      <c r="P577">
        <f t="shared" si="17"/>
        <v>21.576999999999998</v>
      </c>
    </row>
    <row r="578" spans="1:16" x14ac:dyDescent="0.35">
      <c r="A578" s="9" t="s">
        <v>101</v>
      </c>
      <c r="B578" s="2">
        <v>103.53</v>
      </c>
      <c r="C578" s="2">
        <v>105.25</v>
      </c>
      <c r="D578" s="2">
        <v>103.21</v>
      </c>
      <c r="E578" s="2">
        <v>103.81</v>
      </c>
      <c r="F578" s="2">
        <v>57696866</v>
      </c>
      <c r="G578" s="2" t="s">
        <v>558</v>
      </c>
      <c r="H578" s="2" t="s">
        <v>559</v>
      </c>
      <c r="I578" s="2" t="s">
        <v>560</v>
      </c>
      <c r="J578" s="4">
        <v>-0.47</v>
      </c>
      <c r="K578" s="2" t="s">
        <v>88</v>
      </c>
      <c r="L578" s="2">
        <v>2023</v>
      </c>
      <c r="M578" s="2" t="s">
        <v>89</v>
      </c>
      <c r="N578" s="2" t="s">
        <v>23</v>
      </c>
      <c r="O578">
        <f t="shared" si="16"/>
        <v>2.0400000000000063</v>
      </c>
      <c r="P578">
        <f t="shared" si="17"/>
        <v>21.106999999999999</v>
      </c>
    </row>
    <row r="579" spans="1:16" x14ac:dyDescent="0.35">
      <c r="A579" s="9" t="s">
        <v>102</v>
      </c>
      <c r="B579" s="2">
        <v>106.1</v>
      </c>
      <c r="C579" s="2">
        <v>108.15</v>
      </c>
      <c r="D579" s="2">
        <v>105.08</v>
      </c>
      <c r="E579" s="2">
        <v>106.96</v>
      </c>
      <c r="F579" s="2">
        <v>86774185</v>
      </c>
      <c r="G579" s="2" t="s">
        <v>558</v>
      </c>
      <c r="H579" s="2" t="s">
        <v>559</v>
      </c>
      <c r="I579" s="2" t="s">
        <v>560</v>
      </c>
      <c r="J579" s="3">
        <v>3.0339999999999998</v>
      </c>
      <c r="K579" s="2" t="s">
        <v>88</v>
      </c>
      <c r="L579" s="2">
        <v>2023</v>
      </c>
      <c r="M579" s="2" t="s">
        <v>89</v>
      </c>
      <c r="N579" s="2" t="s">
        <v>21</v>
      </c>
      <c r="O579">
        <f t="shared" ref="O579:O642" si="18">C579-D579</f>
        <v>3.0700000000000074</v>
      </c>
      <c r="P579">
        <f t="shared" si="17"/>
        <v>24.140999999999998</v>
      </c>
    </row>
    <row r="580" spans="1:16" x14ac:dyDescent="0.35">
      <c r="A580" s="9" t="s">
        <v>103</v>
      </c>
      <c r="B580" s="2">
        <v>107.655</v>
      </c>
      <c r="C580" s="2">
        <v>109.23</v>
      </c>
      <c r="D580" s="2">
        <v>105.07</v>
      </c>
      <c r="E580" s="2">
        <v>106.21</v>
      </c>
      <c r="F580" s="2">
        <v>69575610</v>
      </c>
      <c r="G580" s="2" t="s">
        <v>558</v>
      </c>
      <c r="H580" s="2" t="s">
        <v>559</v>
      </c>
      <c r="I580" s="2" t="s">
        <v>560</v>
      </c>
      <c r="J580" s="4">
        <v>-0.70099999999999996</v>
      </c>
      <c r="K580" s="2" t="s">
        <v>88</v>
      </c>
      <c r="L580" s="2">
        <v>2023</v>
      </c>
      <c r="M580" s="2" t="s">
        <v>89</v>
      </c>
      <c r="N580" s="2" t="s">
        <v>23</v>
      </c>
      <c r="O580">
        <f t="shared" si="18"/>
        <v>4.1600000000000108</v>
      </c>
      <c r="P580">
        <f t="shared" ref="P580:P643" si="19">IF(G580=G579, P579+J580, J580)</f>
        <v>23.439999999999998</v>
      </c>
    </row>
    <row r="581" spans="1:16" x14ac:dyDescent="0.35">
      <c r="A581" s="9" t="s">
        <v>104</v>
      </c>
      <c r="B581" s="2">
        <v>104.91</v>
      </c>
      <c r="C581" s="2">
        <v>105.45</v>
      </c>
      <c r="D581" s="2">
        <v>102.45</v>
      </c>
      <c r="E581" s="2">
        <v>102.57</v>
      </c>
      <c r="F581" s="2">
        <v>65026818</v>
      </c>
      <c r="G581" s="2" t="s">
        <v>558</v>
      </c>
      <c r="H581" s="2" t="s">
        <v>559</v>
      </c>
      <c r="I581" s="2" t="s">
        <v>560</v>
      </c>
      <c r="J581" s="4">
        <v>-3.427</v>
      </c>
      <c r="K581" s="2" t="s">
        <v>88</v>
      </c>
      <c r="L581" s="2">
        <v>2023</v>
      </c>
      <c r="M581" s="2" t="s">
        <v>89</v>
      </c>
      <c r="N581" s="2" t="s">
        <v>23</v>
      </c>
      <c r="O581">
        <f t="shared" si="18"/>
        <v>3</v>
      </c>
      <c r="P581">
        <f t="shared" si="19"/>
        <v>20.012999999999998</v>
      </c>
    </row>
    <row r="582" spans="1:16" x14ac:dyDescent="0.35">
      <c r="A582" s="9" t="s">
        <v>105</v>
      </c>
      <c r="B582" s="2">
        <v>105.04</v>
      </c>
      <c r="C582" s="2">
        <v>106.62</v>
      </c>
      <c r="D582" s="2">
        <v>104.1</v>
      </c>
      <c r="E582" s="2">
        <v>104.98</v>
      </c>
      <c r="F582" s="2">
        <v>73803790</v>
      </c>
      <c r="G582" s="2" t="s">
        <v>558</v>
      </c>
      <c r="H582" s="2" t="s">
        <v>559</v>
      </c>
      <c r="I582" s="2" t="s">
        <v>560</v>
      </c>
      <c r="J582" s="3">
        <v>2.35</v>
      </c>
      <c r="K582" s="2" t="s">
        <v>88</v>
      </c>
      <c r="L582" s="2">
        <v>2023</v>
      </c>
      <c r="M582" s="2" t="s">
        <v>89</v>
      </c>
      <c r="N582" s="2" t="s">
        <v>21</v>
      </c>
      <c r="O582">
        <f t="shared" si="18"/>
        <v>2.5200000000000102</v>
      </c>
      <c r="P582">
        <f t="shared" si="19"/>
        <v>22.363</v>
      </c>
    </row>
    <row r="583" spans="1:16" x14ac:dyDescent="0.35">
      <c r="A583" s="9" t="s">
        <v>106</v>
      </c>
      <c r="B583" s="2">
        <v>108.16</v>
      </c>
      <c r="C583" s="2">
        <v>110.86</v>
      </c>
      <c r="D583" s="2">
        <v>106.8</v>
      </c>
      <c r="E583" s="2">
        <v>109.82</v>
      </c>
      <c r="F583" s="2">
        <v>149961167</v>
      </c>
      <c r="G583" s="2" t="s">
        <v>558</v>
      </c>
      <c r="H583" s="2" t="s">
        <v>559</v>
      </c>
      <c r="I583" s="2" t="s">
        <v>560</v>
      </c>
      <c r="J583" s="3">
        <v>4.6100000000000003</v>
      </c>
      <c r="K583" s="2" t="s">
        <v>88</v>
      </c>
      <c r="L583" s="2">
        <v>2023</v>
      </c>
      <c r="M583" s="2" t="s">
        <v>89</v>
      </c>
      <c r="N583" s="2" t="s">
        <v>21</v>
      </c>
      <c r="O583">
        <f t="shared" si="18"/>
        <v>4.0600000000000023</v>
      </c>
      <c r="P583">
        <f t="shared" si="19"/>
        <v>26.972999999999999</v>
      </c>
    </row>
    <row r="584" spans="1:16" x14ac:dyDescent="0.35">
      <c r="A584" s="9" t="s">
        <v>107</v>
      </c>
      <c r="B584" s="2">
        <v>107.73</v>
      </c>
      <c r="C584" s="2">
        <v>109.48</v>
      </c>
      <c r="D584" s="2">
        <v>104.33</v>
      </c>
      <c r="E584" s="2">
        <v>105.45</v>
      </c>
      <c r="F584" s="2">
        <v>130715946</v>
      </c>
      <c r="G584" s="2" t="s">
        <v>558</v>
      </c>
      <c r="H584" s="2" t="s">
        <v>559</v>
      </c>
      <c r="I584" s="2" t="s">
        <v>560</v>
      </c>
      <c r="J584" s="4">
        <v>-3.9790000000000001</v>
      </c>
      <c r="K584" s="2" t="s">
        <v>88</v>
      </c>
      <c r="L584" s="2">
        <v>2023</v>
      </c>
      <c r="M584" s="2" t="s">
        <v>89</v>
      </c>
      <c r="N584" s="2" t="s">
        <v>23</v>
      </c>
      <c r="O584">
        <f t="shared" si="18"/>
        <v>5.1500000000000057</v>
      </c>
      <c r="P584">
        <f t="shared" si="19"/>
        <v>22.994</v>
      </c>
    </row>
    <row r="585" spans="1:16" x14ac:dyDescent="0.35">
      <c r="A585" s="9" t="s">
        <v>108</v>
      </c>
      <c r="B585" s="2">
        <v>104.95</v>
      </c>
      <c r="C585" s="2">
        <v>105.23</v>
      </c>
      <c r="D585" s="2">
        <v>101.82</v>
      </c>
      <c r="E585" s="2">
        <v>102.05</v>
      </c>
      <c r="F585" s="2">
        <v>74728096</v>
      </c>
      <c r="G585" s="2" t="s">
        <v>558</v>
      </c>
      <c r="H585" s="2" t="s">
        <v>559</v>
      </c>
      <c r="I585" s="2" t="s">
        <v>560</v>
      </c>
      <c r="J585" s="4">
        <v>-3.2240000000000002</v>
      </c>
      <c r="K585" s="2" t="s">
        <v>109</v>
      </c>
      <c r="L585" s="2">
        <v>2023</v>
      </c>
      <c r="M585" s="2" t="s">
        <v>110</v>
      </c>
      <c r="N585" s="2" t="s">
        <v>23</v>
      </c>
      <c r="O585">
        <f t="shared" si="18"/>
        <v>3.4100000000000108</v>
      </c>
      <c r="P585">
        <f t="shared" si="19"/>
        <v>19.77</v>
      </c>
    </row>
    <row r="586" spans="1:16" x14ac:dyDescent="0.35">
      <c r="A586" s="9" t="s">
        <v>111</v>
      </c>
      <c r="B586" s="2">
        <v>101.47</v>
      </c>
      <c r="C586" s="2">
        <v>103.9</v>
      </c>
      <c r="D586" s="2">
        <v>101.15</v>
      </c>
      <c r="E586" s="2">
        <v>103.63</v>
      </c>
      <c r="F586" s="2">
        <v>73469350</v>
      </c>
      <c r="G586" s="2" t="s">
        <v>558</v>
      </c>
      <c r="H586" s="2" t="s">
        <v>559</v>
      </c>
      <c r="I586" s="2" t="s">
        <v>560</v>
      </c>
      <c r="J586" s="3">
        <v>1.548</v>
      </c>
      <c r="K586" s="2" t="s">
        <v>109</v>
      </c>
      <c r="L586" s="2">
        <v>2023</v>
      </c>
      <c r="M586" s="2" t="s">
        <v>110</v>
      </c>
      <c r="N586" s="2" t="s">
        <v>21</v>
      </c>
      <c r="O586">
        <f t="shared" si="18"/>
        <v>2.75</v>
      </c>
      <c r="P586">
        <f t="shared" si="19"/>
        <v>21.317999999999998</v>
      </c>
    </row>
    <row r="587" spans="1:16" x14ac:dyDescent="0.35">
      <c r="A587" s="9" t="s">
        <v>112</v>
      </c>
      <c r="B587" s="2">
        <v>103.735</v>
      </c>
      <c r="C587" s="2">
        <v>105.96</v>
      </c>
      <c r="D587" s="2">
        <v>103.28</v>
      </c>
      <c r="E587" s="2">
        <v>103.65</v>
      </c>
      <c r="F587" s="2">
        <v>65051925</v>
      </c>
      <c r="G587" s="2" t="s">
        <v>558</v>
      </c>
      <c r="H587" s="2" t="s">
        <v>559</v>
      </c>
      <c r="I587" s="2" t="s">
        <v>560</v>
      </c>
      <c r="J587" s="3">
        <v>1.9E-2</v>
      </c>
      <c r="K587" s="2" t="s">
        <v>109</v>
      </c>
      <c r="L587" s="2">
        <v>2023</v>
      </c>
      <c r="M587" s="2" t="s">
        <v>110</v>
      </c>
      <c r="N587" s="2" t="s">
        <v>21</v>
      </c>
      <c r="O587">
        <f t="shared" si="18"/>
        <v>2.6799999999999926</v>
      </c>
      <c r="P587">
        <f t="shared" si="19"/>
        <v>21.336999999999996</v>
      </c>
    </row>
    <row r="588" spans="1:16" x14ac:dyDescent="0.35">
      <c r="A588" s="9" t="s">
        <v>113</v>
      </c>
      <c r="B588" s="2">
        <v>104.04</v>
      </c>
      <c r="C588" s="2">
        <v>105.39</v>
      </c>
      <c r="D588" s="2">
        <v>103.312</v>
      </c>
      <c r="E588" s="2">
        <v>104</v>
      </c>
      <c r="F588" s="2">
        <v>45345523</v>
      </c>
      <c r="G588" s="2" t="s">
        <v>558</v>
      </c>
      <c r="H588" s="2" t="s">
        <v>559</v>
      </c>
      <c r="I588" s="2" t="s">
        <v>560</v>
      </c>
      <c r="J588" s="3">
        <v>0.33800000000000002</v>
      </c>
      <c r="K588" s="2" t="s">
        <v>109</v>
      </c>
      <c r="L588" s="2">
        <v>2023</v>
      </c>
      <c r="M588" s="2" t="s">
        <v>110</v>
      </c>
      <c r="N588" s="2" t="s">
        <v>21</v>
      </c>
      <c r="O588">
        <f t="shared" si="18"/>
        <v>2.078000000000003</v>
      </c>
      <c r="P588">
        <f t="shared" si="19"/>
        <v>21.674999999999997</v>
      </c>
    </row>
    <row r="589" spans="1:16" x14ac:dyDescent="0.35">
      <c r="A589" s="9" t="s">
        <v>114</v>
      </c>
      <c r="B589" s="2">
        <v>104.27</v>
      </c>
      <c r="C589" s="2">
        <v>105.76</v>
      </c>
      <c r="D589" s="2">
        <v>103.55</v>
      </c>
      <c r="E589" s="2">
        <v>105.655</v>
      </c>
      <c r="F589" s="2">
        <v>56951744</v>
      </c>
      <c r="G589" s="2" t="s">
        <v>558</v>
      </c>
      <c r="H589" s="2" t="s">
        <v>559</v>
      </c>
      <c r="I589" s="2" t="s">
        <v>560</v>
      </c>
      <c r="J589" s="3">
        <v>1.591</v>
      </c>
      <c r="K589" s="2" t="s">
        <v>109</v>
      </c>
      <c r="L589" s="2">
        <v>2023</v>
      </c>
      <c r="M589" s="2" t="s">
        <v>110</v>
      </c>
      <c r="N589" s="2" t="s">
        <v>21</v>
      </c>
      <c r="O589">
        <f t="shared" si="18"/>
        <v>2.210000000000008</v>
      </c>
      <c r="P589">
        <f t="shared" si="19"/>
        <v>23.265999999999998</v>
      </c>
    </row>
    <row r="590" spans="1:16" x14ac:dyDescent="0.35">
      <c r="A590" s="9" t="s">
        <v>115</v>
      </c>
      <c r="B590" s="2">
        <v>105.04</v>
      </c>
      <c r="C590" s="2">
        <v>106.095</v>
      </c>
      <c r="D590" s="2">
        <v>104.7</v>
      </c>
      <c r="E590" s="2">
        <v>105.83</v>
      </c>
      <c r="F590" s="2">
        <v>49430909</v>
      </c>
      <c r="G590" s="2" t="s">
        <v>558</v>
      </c>
      <c r="H590" s="2" t="s">
        <v>559</v>
      </c>
      <c r="I590" s="2" t="s">
        <v>560</v>
      </c>
      <c r="J590" s="3">
        <v>0.16600000000000001</v>
      </c>
      <c r="K590" s="2" t="s">
        <v>109</v>
      </c>
      <c r="L590" s="2">
        <v>2023</v>
      </c>
      <c r="M590" s="2" t="s">
        <v>110</v>
      </c>
      <c r="N590" s="2" t="s">
        <v>21</v>
      </c>
      <c r="O590">
        <f t="shared" si="18"/>
        <v>1.394999999999996</v>
      </c>
      <c r="P590">
        <f t="shared" si="19"/>
        <v>23.431999999999999</v>
      </c>
    </row>
    <row r="591" spans="1:16" x14ac:dyDescent="0.35">
      <c r="A591" s="9" t="s">
        <v>116</v>
      </c>
      <c r="B591" s="2">
        <v>105.48</v>
      </c>
      <c r="C591" s="2">
        <v>106.79</v>
      </c>
      <c r="D591" s="2">
        <v>105.157</v>
      </c>
      <c r="E591" s="2">
        <v>106.62</v>
      </c>
      <c r="F591" s="2">
        <v>44089359</v>
      </c>
      <c r="G591" s="2" t="s">
        <v>558</v>
      </c>
      <c r="H591" s="2" t="s">
        <v>559</v>
      </c>
      <c r="I591" s="2" t="s">
        <v>560</v>
      </c>
      <c r="J591" s="3">
        <v>0.746</v>
      </c>
      <c r="K591" s="2" t="s">
        <v>109</v>
      </c>
      <c r="L591" s="2">
        <v>2023</v>
      </c>
      <c r="M591" s="2" t="s">
        <v>110</v>
      </c>
      <c r="N591" s="2" t="s">
        <v>21</v>
      </c>
      <c r="O591">
        <f t="shared" si="18"/>
        <v>1.6330000000000098</v>
      </c>
      <c r="P591">
        <f t="shared" si="19"/>
        <v>24.177999999999997</v>
      </c>
    </row>
    <row r="592" spans="1:16" x14ac:dyDescent="0.35">
      <c r="A592" s="9" t="s">
        <v>117</v>
      </c>
      <c r="B592" s="2">
        <v>108.1</v>
      </c>
      <c r="C592" s="2">
        <v>110.67</v>
      </c>
      <c r="D592" s="2">
        <v>108.05</v>
      </c>
      <c r="E592" s="2">
        <v>110.19</v>
      </c>
      <c r="F592" s="2">
        <v>78627616</v>
      </c>
      <c r="G592" s="2" t="s">
        <v>558</v>
      </c>
      <c r="H592" s="2" t="s">
        <v>559</v>
      </c>
      <c r="I592" s="2" t="s">
        <v>560</v>
      </c>
      <c r="J592" s="3">
        <v>3.3479999999999999</v>
      </c>
      <c r="K592" s="2" t="s">
        <v>109</v>
      </c>
      <c r="L592" s="2">
        <v>2023</v>
      </c>
      <c r="M592" s="2" t="s">
        <v>110</v>
      </c>
      <c r="N592" s="2" t="s">
        <v>21</v>
      </c>
      <c r="O592">
        <f t="shared" si="18"/>
        <v>2.6200000000000045</v>
      </c>
      <c r="P592">
        <f t="shared" si="19"/>
        <v>27.525999999999996</v>
      </c>
    </row>
    <row r="593" spans="1:16" x14ac:dyDescent="0.35">
      <c r="A593" s="9" t="s">
        <v>118</v>
      </c>
      <c r="B593" s="2">
        <v>111.03</v>
      </c>
      <c r="C593" s="2">
        <v>113.28</v>
      </c>
      <c r="D593" s="2">
        <v>110.49</v>
      </c>
      <c r="E593" s="2">
        <v>112.18</v>
      </c>
      <c r="F593" s="2">
        <v>74924841</v>
      </c>
      <c r="G593" s="2" t="s">
        <v>558</v>
      </c>
      <c r="H593" s="2" t="s">
        <v>559</v>
      </c>
      <c r="I593" s="2" t="s">
        <v>560</v>
      </c>
      <c r="J593" s="3">
        <v>1.806</v>
      </c>
      <c r="K593" s="2" t="s">
        <v>109</v>
      </c>
      <c r="L593" s="2">
        <v>2023</v>
      </c>
      <c r="M593" s="2" t="s">
        <v>110</v>
      </c>
      <c r="N593" s="2" t="s">
        <v>21</v>
      </c>
      <c r="O593">
        <f t="shared" si="18"/>
        <v>2.7900000000000063</v>
      </c>
      <c r="P593">
        <f t="shared" si="19"/>
        <v>29.331999999999997</v>
      </c>
    </row>
    <row r="594" spans="1:16" x14ac:dyDescent="0.35">
      <c r="A594" s="9" t="s">
        <v>119</v>
      </c>
      <c r="B594" s="2">
        <v>112.16</v>
      </c>
      <c r="C594" s="2">
        <v>112.64</v>
      </c>
      <c r="D594" s="2">
        <v>109.319</v>
      </c>
      <c r="E594" s="2">
        <v>110.26</v>
      </c>
      <c r="F594" s="2">
        <v>49852671</v>
      </c>
      <c r="G594" s="2" t="s">
        <v>558</v>
      </c>
      <c r="H594" s="2" t="s">
        <v>559</v>
      </c>
      <c r="I594" s="2" t="s">
        <v>560</v>
      </c>
      <c r="J594" s="4">
        <v>-1.712</v>
      </c>
      <c r="K594" s="2" t="s">
        <v>109</v>
      </c>
      <c r="L594" s="2">
        <v>2023</v>
      </c>
      <c r="M594" s="2" t="s">
        <v>110</v>
      </c>
      <c r="N594" s="2" t="s">
        <v>23</v>
      </c>
      <c r="O594">
        <f t="shared" si="18"/>
        <v>3.320999999999998</v>
      </c>
      <c r="P594">
        <f t="shared" si="19"/>
        <v>27.619999999999997</v>
      </c>
    </row>
    <row r="595" spans="1:16" x14ac:dyDescent="0.35">
      <c r="A595" s="9" t="s">
        <v>120</v>
      </c>
      <c r="B595" s="2">
        <v>111.15</v>
      </c>
      <c r="C595" s="2">
        <v>112.29</v>
      </c>
      <c r="D595" s="2">
        <v>109.25</v>
      </c>
      <c r="E595" s="2">
        <v>111.2</v>
      </c>
      <c r="F595" s="2">
        <v>53011145</v>
      </c>
      <c r="G595" s="2" t="s">
        <v>558</v>
      </c>
      <c r="H595" s="2" t="s">
        <v>559</v>
      </c>
      <c r="I595" s="2" t="s">
        <v>560</v>
      </c>
      <c r="J595" s="3">
        <v>0.85299999999999998</v>
      </c>
      <c r="K595" s="2" t="s">
        <v>109</v>
      </c>
      <c r="L595" s="2">
        <v>2023</v>
      </c>
      <c r="M595" s="2" t="s">
        <v>110</v>
      </c>
      <c r="N595" s="2" t="s">
        <v>21</v>
      </c>
      <c r="O595">
        <f t="shared" si="18"/>
        <v>3.0400000000000063</v>
      </c>
      <c r="P595">
        <f t="shared" si="19"/>
        <v>28.472999999999999</v>
      </c>
    </row>
    <row r="596" spans="1:16" x14ac:dyDescent="0.35">
      <c r="A596" s="9" t="s">
        <v>121</v>
      </c>
      <c r="B596" s="2">
        <v>111.05</v>
      </c>
      <c r="C596" s="2">
        <v>114.79</v>
      </c>
      <c r="D596" s="2">
        <v>111.05</v>
      </c>
      <c r="E596" s="2">
        <v>113.4</v>
      </c>
      <c r="F596" s="2">
        <v>71472908</v>
      </c>
      <c r="G596" s="2" t="s">
        <v>558</v>
      </c>
      <c r="H596" s="2" t="s">
        <v>559</v>
      </c>
      <c r="I596" s="2" t="s">
        <v>560</v>
      </c>
      <c r="J596" s="3">
        <v>1.978</v>
      </c>
      <c r="K596" s="2" t="s">
        <v>109</v>
      </c>
      <c r="L596" s="2">
        <v>2023</v>
      </c>
      <c r="M596" s="2" t="s">
        <v>110</v>
      </c>
      <c r="N596" s="2" t="s">
        <v>21</v>
      </c>
      <c r="O596">
        <f t="shared" si="18"/>
        <v>3.7400000000000091</v>
      </c>
      <c r="P596">
        <f t="shared" si="19"/>
        <v>30.451000000000001</v>
      </c>
    </row>
    <row r="597" spans="1:16" x14ac:dyDescent="0.35">
      <c r="A597" s="9" t="s">
        <v>123</v>
      </c>
      <c r="B597" s="2">
        <v>114.89</v>
      </c>
      <c r="C597" s="2">
        <v>115.83</v>
      </c>
      <c r="D597" s="2">
        <v>114.22</v>
      </c>
      <c r="E597" s="2">
        <v>115.5</v>
      </c>
      <c r="F597" s="2">
        <v>65655177</v>
      </c>
      <c r="G597" s="2" t="s">
        <v>558</v>
      </c>
      <c r="H597" s="2" t="s">
        <v>559</v>
      </c>
      <c r="I597" s="2" t="s">
        <v>560</v>
      </c>
      <c r="J597" s="3">
        <v>1.8520000000000001</v>
      </c>
      <c r="K597" s="2" t="s">
        <v>109</v>
      </c>
      <c r="L597" s="2">
        <v>2023</v>
      </c>
      <c r="M597" s="2" t="s">
        <v>110</v>
      </c>
      <c r="N597" s="2" t="s">
        <v>21</v>
      </c>
      <c r="O597">
        <f t="shared" si="18"/>
        <v>1.6099999999999994</v>
      </c>
      <c r="P597">
        <f t="shared" si="19"/>
        <v>32.302999999999997</v>
      </c>
    </row>
    <row r="598" spans="1:16" x14ac:dyDescent="0.35">
      <c r="A598" s="9" t="s">
        <v>124</v>
      </c>
      <c r="B598" s="2">
        <v>116.69</v>
      </c>
      <c r="C598" s="2">
        <v>118.6</v>
      </c>
      <c r="D598" s="2">
        <v>116.33499999999999</v>
      </c>
      <c r="E598" s="2">
        <v>118.15</v>
      </c>
      <c r="F598" s="2">
        <v>73174087</v>
      </c>
      <c r="G598" s="2" t="s">
        <v>558</v>
      </c>
      <c r="H598" s="2" t="s">
        <v>559</v>
      </c>
      <c r="I598" s="2" t="s">
        <v>560</v>
      </c>
      <c r="J598" s="3">
        <v>2.294</v>
      </c>
      <c r="K598" s="2" t="s">
        <v>109</v>
      </c>
      <c r="L598" s="2">
        <v>2023</v>
      </c>
      <c r="M598" s="2" t="s">
        <v>110</v>
      </c>
      <c r="N598" s="2" t="s">
        <v>21</v>
      </c>
      <c r="O598">
        <f t="shared" si="18"/>
        <v>2.2650000000000006</v>
      </c>
      <c r="P598">
        <f t="shared" si="19"/>
        <v>34.596999999999994</v>
      </c>
    </row>
    <row r="599" spans="1:16" x14ac:dyDescent="0.35">
      <c r="A599" s="9" t="s">
        <v>125</v>
      </c>
      <c r="B599" s="2">
        <v>118.16</v>
      </c>
      <c r="C599" s="2">
        <v>118.31</v>
      </c>
      <c r="D599" s="2">
        <v>115.7</v>
      </c>
      <c r="E599" s="2">
        <v>116.25</v>
      </c>
      <c r="F599" s="2">
        <v>55056307</v>
      </c>
      <c r="G599" s="2" t="s">
        <v>558</v>
      </c>
      <c r="H599" s="2" t="s">
        <v>559</v>
      </c>
      <c r="I599" s="2" t="s">
        <v>560</v>
      </c>
      <c r="J599" s="4">
        <v>-1.6080000000000001</v>
      </c>
      <c r="K599" s="2" t="s">
        <v>109</v>
      </c>
      <c r="L599" s="2">
        <v>2023</v>
      </c>
      <c r="M599" s="2" t="s">
        <v>110</v>
      </c>
      <c r="N599" s="2" t="s">
        <v>23</v>
      </c>
      <c r="O599">
        <f t="shared" si="18"/>
        <v>2.6099999999999994</v>
      </c>
      <c r="P599">
        <f t="shared" si="19"/>
        <v>32.988999999999997</v>
      </c>
    </row>
    <row r="600" spans="1:16" x14ac:dyDescent="0.35">
      <c r="A600" s="9" t="s">
        <v>126</v>
      </c>
      <c r="B600" s="2">
        <v>116.77</v>
      </c>
      <c r="C600" s="2">
        <v>116.77</v>
      </c>
      <c r="D600" s="2">
        <v>114.25</v>
      </c>
      <c r="E600" s="2">
        <v>115.01</v>
      </c>
      <c r="F600" s="2">
        <v>70741123</v>
      </c>
      <c r="G600" s="2" t="s">
        <v>558</v>
      </c>
      <c r="H600" s="2" t="s">
        <v>559</v>
      </c>
      <c r="I600" s="2" t="s">
        <v>560</v>
      </c>
      <c r="J600" s="4">
        <v>-1.0669999999999999</v>
      </c>
      <c r="K600" s="2" t="s">
        <v>109</v>
      </c>
      <c r="L600" s="2">
        <v>2023</v>
      </c>
      <c r="M600" s="2" t="s">
        <v>110</v>
      </c>
      <c r="N600" s="2" t="s">
        <v>23</v>
      </c>
      <c r="O600">
        <f t="shared" si="18"/>
        <v>2.519999999999996</v>
      </c>
      <c r="P600">
        <f t="shared" si="19"/>
        <v>31.921999999999997</v>
      </c>
    </row>
    <row r="601" spans="1:16" x14ac:dyDescent="0.35">
      <c r="A601" s="9" t="s">
        <v>127</v>
      </c>
      <c r="B601" s="2">
        <v>114.27</v>
      </c>
      <c r="C601" s="2">
        <v>117.14</v>
      </c>
      <c r="D601" s="2">
        <v>113.78</v>
      </c>
      <c r="E601" s="2">
        <v>114.99</v>
      </c>
      <c r="F601" s="2">
        <v>67576262</v>
      </c>
      <c r="G601" s="2" t="s">
        <v>558</v>
      </c>
      <c r="H601" s="2" t="s">
        <v>559</v>
      </c>
      <c r="I601" s="2" t="s">
        <v>560</v>
      </c>
      <c r="J601" s="4">
        <v>-1.7000000000000001E-2</v>
      </c>
      <c r="K601" s="2" t="s">
        <v>109</v>
      </c>
      <c r="L601" s="2">
        <v>2023</v>
      </c>
      <c r="M601" s="2" t="s">
        <v>110</v>
      </c>
      <c r="N601" s="2" t="s">
        <v>23</v>
      </c>
      <c r="O601">
        <f t="shared" si="18"/>
        <v>3.3599999999999994</v>
      </c>
      <c r="P601">
        <f t="shared" si="19"/>
        <v>31.904999999999998</v>
      </c>
    </row>
    <row r="602" spans="1:16" x14ac:dyDescent="0.35">
      <c r="A602" s="9" t="s">
        <v>128</v>
      </c>
      <c r="B602" s="2">
        <v>115.35</v>
      </c>
      <c r="C602" s="2">
        <v>117.34</v>
      </c>
      <c r="D602" s="2">
        <v>115.02</v>
      </c>
      <c r="E602" s="2">
        <v>116.75</v>
      </c>
      <c r="F602" s="2">
        <v>63487938</v>
      </c>
      <c r="G602" s="2" t="s">
        <v>558</v>
      </c>
      <c r="H602" s="2" t="s">
        <v>559</v>
      </c>
      <c r="I602" s="2" t="s">
        <v>560</v>
      </c>
      <c r="J602" s="3">
        <v>1.5309999999999999</v>
      </c>
      <c r="K602" s="2" t="s">
        <v>109</v>
      </c>
      <c r="L602" s="2">
        <v>2023</v>
      </c>
      <c r="M602" s="2" t="s">
        <v>110</v>
      </c>
      <c r="N602" s="2" t="s">
        <v>21</v>
      </c>
      <c r="O602">
        <f t="shared" si="18"/>
        <v>2.3200000000000074</v>
      </c>
      <c r="P602">
        <f t="shared" si="19"/>
        <v>33.436</v>
      </c>
    </row>
    <row r="603" spans="1:16" x14ac:dyDescent="0.35">
      <c r="A603" s="9" t="s">
        <v>129</v>
      </c>
      <c r="B603" s="2">
        <v>116.63</v>
      </c>
      <c r="C603" s="2">
        <v>116.87</v>
      </c>
      <c r="D603" s="2">
        <v>114.31</v>
      </c>
      <c r="E603" s="2">
        <v>115</v>
      </c>
      <c r="F603" s="2">
        <v>66496681</v>
      </c>
      <c r="G603" s="2" t="s">
        <v>558</v>
      </c>
      <c r="H603" s="2" t="s">
        <v>559</v>
      </c>
      <c r="I603" s="2" t="s">
        <v>560</v>
      </c>
      <c r="J603" s="4">
        <v>-1.4990000000000001</v>
      </c>
      <c r="K603" s="2" t="s">
        <v>109</v>
      </c>
      <c r="L603" s="2">
        <v>2023</v>
      </c>
      <c r="M603" s="2" t="s">
        <v>110</v>
      </c>
      <c r="N603" s="2" t="s">
        <v>23</v>
      </c>
      <c r="O603">
        <f t="shared" si="18"/>
        <v>2.5600000000000023</v>
      </c>
      <c r="P603">
        <f t="shared" si="19"/>
        <v>31.937000000000001</v>
      </c>
    </row>
    <row r="604" spans="1:16" x14ac:dyDescent="0.35">
      <c r="A604" s="9" t="s">
        <v>130</v>
      </c>
      <c r="B604" s="2">
        <v>116.04</v>
      </c>
      <c r="C604" s="2">
        <v>121.5</v>
      </c>
      <c r="D604" s="2">
        <v>116.02</v>
      </c>
      <c r="E604" s="2">
        <v>120.11</v>
      </c>
      <c r="F604" s="2">
        <v>96779889</v>
      </c>
      <c r="G604" s="2" t="s">
        <v>558</v>
      </c>
      <c r="H604" s="2" t="s">
        <v>559</v>
      </c>
      <c r="I604" s="2" t="s">
        <v>560</v>
      </c>
      <c r="J604" s="3">
        <v>4.4429999999999996</v>
      </c>
      <c r="K604" s="2" t="s">
        <v>109</v>
      </c>
      <c r="L604" s="2">
        <v>2023</v>
      </c>
      <c r="M604" s="2" t="s">
        <v>110</v>
      </c>
      <c r="N604" s="2" t="s">
        <v>21</v>
      </c>
      <c r="O604">
        <f t="shared" si="18"/>
        <v>5.480000000000004</v>
      </c>
      <c r="P604">
        <f t="shared" si="19"/>
        <v>36.380000000000003</v>
      </c>
    </row>
    <row r="605" spans="1:16" x14ac:dyDescent="0.35">
      <c r="A605" s="9" t="s">
        <v>131</v>
      </c>
      <c r="B605" s="2">
        <v>122.37</v>
      </c>
      <c r="C605" s="2">
        <v>122.92</v>
      </c>
      <c r="D605" s="2">
        <v>119.855</v>
      </c>
      <c r="E605" s="2">
        <v>121.66</v>
      </c>
      <c r="F605" s="2">
        <v>64314808</v>
      </c>
      <c r="G605" s="2" t="s">
        <v>558</v>
      </c>
      <c r="H605" s="2" t="s">
        <v>559</v>
      </c>
      <c r="I605" s="2" t="s">
        <v>560</v>
      </c>
      <c r="J605" s="3">
        <v>1.29</v>
      </c>
      <c r="K605" s="2" t="s">
        <v>109</v>
      </c>
      <c r="L605" s="2">
        <v>2023</v>
      </c>
      <c r="M605" s="2" t="s">
        <v>110</v>
      </c>
      <c r="N605" s="2" t="s">
        <v>21</v>
      </c>
      <c r="O605">
        <f t="shared" si="18"/>
        <v>3.0649999999999977</v>
      </c>
      <c r="P605">
        <f t="shared" si="19"/>
        <v>37.67</v>
      </c>
    </row>
    <row r="606" spans="1:16" x14ac:dyDescent="0.35">
      <c r="A606" s="9" t="s">
        <v>132</v>
      </c>
      <c r="B606" s="2">
        <v>121.45</v>
      </c>
      <c r="C606" s="2">
        <v>122.04</v>
      </c>
      <c r="D606" s="2">
        <v>119.17</v>
      </c>
      <c r="E606" s="2">
        <v>120.58</v>
      </c>
      <c r="F606" s="2">
        <v>72800787</v>
      </c>
      <c r="G606" s="2" t="s">
        <v>558</v>
      </c>
      <c r="H606" s="2" t="s">
        <v>559</v>
      </c>
      <c r="I606" s="2" t="s">
        <v>560</v>
      </c>
      <c r="J606" s="4">
        <v>-0.88800000000000001</v>
      </c>
      <c r="K606" s="2" t="s">
        <v>109</v>
      </c>
      <c r="L606" s="2">
        <v>2023</v>
      </c>
      <c r="M606" s="2" t="s">
        <v>110</v>
      </c>
      <c r="N606" s="2" t="s">
        <v>23</v>
      </c>
      <c r="O606">
        <f t="shared" si="18"/>
        <v>2.8700000000000045</v>
      </c>
      <c r="P606">
        <f t="shared" si="19"/>
        <v>36.782000000000004</v>
      </c>
    </row>
    <row r="607" spans="1:16" x14ac:dyDescent="0.35">
      <c r="A607" s="9" t="s">
        <v>133</v>
      </c>
      <c r="B607" s="2">
        <v>120.69</v>
      </c>
      <c r="C607" s="2">
        <v>123.49</v>
      </c>
      <c r="D607" s="2">
        <v>119.93</v>
      </c>
      <c r="E607" s="2">
        <v>122.77</v>
      </c>
      <c r="F607" s="2">
        <v>54375131</v>
      </c>
      <c r="G607" s="2" t="s">
        <v>558</v>
      </c>
      <c r="H607" s="2" t="s">
        <v>559</v>
      </c>
      <c r="I607" s="2" t="s">
        <v>560</v>
      </c>
      <c r="J607" s="3">
        <v>1.8160000000000001</v>
      </c>
      <c r="K607" s="2" t="s">
        <v>134</v>
      </c>
      <c r="L607" s="2">
        <v>2023</v>
      </c>
      <c r="M607" s="2" t="s">
        <v>135</v>
      </c>
      <c r="N607" s="2" t="s">
        <v>21</v>
      </c>
      <c r="O607">
        <f t="shared" si="18"/>
        <v>3.5599999999999881</v>
      </c>
      <c r="P607">
        <f t="shared" si="19"/>
        <v>38.598000000000006</v>
      </c>
    </row>
    <row r="608" spans="1:16" x14ac:dyDescent="0.35">
      <c r="A608" s="9" t="s">
        <v>136</v>
      </c>
      <c r="B608" s="2">
        <v>124.92</v>
      </c>
      <c r="C608" s="2">
        <v>126.39</v>
      </c>
      <c r="D608" s="2">
        <v>124.015</v>
      </c>
      <c r="E608" s="2">
        <v>124.25</v>
      </c>
      <c r="F608" s="2">
        <v>61264414</v>
      </c>
      <c r="G608" s="2" t="s">
        <v>558</v>
      </c>
      <c r="H608" s="2" t="s">
        <v>559</v>
      </c>
      <c r="I608" s="2" t="s">
        <v>560</v>
      </c>
      <c r="J608" s="3">
        <v>1.206</v>
      </c>
      <c r="K608" s="2" t="s">
        <v>134</v>
      </c>
      <c r="L608" s="2">
        <v>2023</v>
      </c>
      <c r="M608" s="2" t="s">
        <v>135</v>
      </c>
      <c r="N608" s="2" t="s">
        <v>21</v>
      </c>
      <c r="O608">
        <f t="shared" si="18"/>
        <v>2.375</v>
      </c>
      <c r="P608">
        <f t="shared" si="19"/>
        <v>39.804000000000009</v>
      </c>
    </row>
    <row r="609" spans="1:16" x14ac:dyDescent="0.35">
      <c r="A609" s="9" t="s">
        <v>137</v>
      </c>
      <c r="B609" s="2">
        <v>123.36</v>
      </c>
      <c r="C609" s="2">
        <v>125.8</v>
      </c>
      <c r="D609" s="2">
        <v>123.03</v>
      </c>
      <c r="E609" s="2">
        <v>125.3</v>
      </c>
      <c r="F609" s="2">
        <v>47950128</v>
      </c>
      <c r="G609" s="2" t="s">
        <v>558</v>
      </c>
      <c r="H609" s="2" t="s">
        <v>559</v>
      </c>
      <c r="I609" s="2" t="s">
        <v>560</v>
      </c>
      <c r="J609" s="3">
        <v>0.84499999999999997</v>
      </c>
      <c r="K609" s="2" t="s">
        <v>134</v>
      </c>
      <c r="L609" s="2">
        <v>2023</v>
      </c>
      <c r="M609" s="2" t="s">
        <v>135</v>
      </c>
      <c r="N609" s="2" t="s">
        <v>21</v>
      </c>
      <c r="O609">
        <f t="shared" si="18"/>
        <v>2.769999999999996</v>
      </c>
      <c r="P609">
        <f t="shared" si="19"/>
        <v>40.649000000000008</v>
      </c>
    </row>
    <row r="610" spans="1:16" x14ac:dyDescent="0.35">
      <c r="A610" s="9" t="s">
        <v>138</v>
      </c>
      <c r="B610" s="2">
        <v>125.07</v>
      </c>
      <c r="C610" s="2">
        <v>127.4</v>
      </c>
      <c r="D610" s="2">
        <v>125</v>
      </c>
      <c r="E610" s="2">
        <v>126.61</v>
      </c>
      <c r="F610" s="2">
        <v>45695212</v>
      </c>
      <c r="G610" s="2" t="s">
        <v>558</v>
      </c>
      <c r="H610" s="2" t="s">
        <v>559</v>
      </c>
      <c r="I610" s="2" t="s">
        <v>560</v>
      </c>
      <c r="J610" s="3">
        <v>1.0449999999999999</v>
      </c>
      <c r="K610" s="2" t="s">
        <v>134</v>
      </c>
      <c r="L610" s="2">
        <v>2023</v>
      </c>
      <c r="M610" s="2" t="s">
        <v>135</v>
      </c>
      <c r="N610" s="2" t="s">
        <v>21</v>
      </c>
      <c r="O610">
        <f t="shared" si="18"/>
        <v>2.4000000000000057</v>
      </c>
      <c r="P610">
        <f t="shared" si="19"/>
        <v>41.69400000000001</v>
      </c>
    </row>
    <row r="611" spans="1:16" x14ac:dyDescent="0.35">
      <c r="A611" s="9" t="s">
        <v>139</v>
      </c>
      <c r="B611" s="2">
        <v>127.01</v>
      </c>
      <c r="C611" s="2">
        <v>127.36499999999999</v>
      </c>
      <c r="D611" s="2">
        <v>120.63</v>
      </c>
      <c r="E611" s="2">
        <v>121.23</v>
      </c>
      <c r="F611" s="2">
        <v>95663275</v>
      </c>
      <c r="G611" s="2" t="s">
        <v>558</v>
      </c>
      <c r="H611" s="2" t="s">
        <v>559</v>
      </c>
      <c r="I611" s="2" t="s">
        <v>560</v>
      </c>
      <c r="J611" s="4">
        <v>-4.2489999999999997</v>
      </c>
      <c r="K611" s="2" t="s">
        <v>134</v>
      </c>
      <c r="L611" s="2">
        <v>2023</v>
      </c>
      <c r="M611" s="2" t="s">
        <v>135</v>
      </c>
      <c r="N611" s="2" t="s">
        <v>23</v>
      </c>
      <c r="O611">
        <f t="shared" si="18"/>
        <v>6.7349999999999994</v>
      </c>
      <c r="P611">
        <f t="shared" si="19"/>
        <v>37.445000000000007</v>
      </c>
    </row>
    <row r="612" spans="1:16" x14ac:dyDescent="0.35">
      <c r="A612" s="9" t="s">
        <v>140</v>
      </c>
      <c r="B612" s="2">
        <v>123.01</v>
      </c>
      <c r="C612" s="2">
        <v>125.625</v>
      </c>
      <c r="D612" s="2">
        <v>122.258</v>
      </c>
      <c r="E612" s="2">
        <v>124.25</v>
      </c>
      <c r="F612" s="2">
        <v>62159270</v>
      </c>
      <c r="G612" s="2" t="s">
        <v>558</v>
      </c>
      <c r="H612" s="2" t="s">
        <v>559</v>
      </c>
      <c r="I612" s="2" t="s">
        <v>560</v>
      </c>
      <c r="J612" s="3">
        <v>2.4910000000000001</v>
      </c>
      <c r="K612" s="2" t="s">
        <v>134</v>
      </c>
      <c r="L612" s="2">
        <v>2023</v>
      </c>
      <c r="M612" s="2" t="s">
        <v>135</v>
      </c>
      <c r="N612" s="2" t="s">
        <v>21</v>
      </c>
      <c r="O612">
        <f t="shared" si="18"/>
        <v>3.3670000000000044</v>
      </c>
      <c r="P612">
        <f t="shared" si="19"/>
        <v>39.936000000000007</v>
      </c>
    </row>
    <row r="613" spans="1:16" x14ac:dyDescent="0.35">
      <c r="A613" s="9" t="s">
        <v>141</v>
      </c>
      <c r="B613" s="2">
        <v>124.08</v>
      </c>
      <c r="C613" s="2">
        <v>125.8</v>
      </c>
      <c r="D613" s="2">
        <v>123.19</v>
      </c>
      <c r="E613" s="2">
        <v>123.43</v>
      </c>
      <c r="F613" s="2">
        <v>51396018</v>
      </c>
      <c r="G613" s="2" t="s">
        <v>558</v>
      </c>
      <c r="H613" s="2" t="s">
        <v>559</v>
      </c>
      <c r="I613" s="2" t="s">
        <v>560</v>
      </c>
      <c r="J613" s="4">
        <v>-0.66</v>
      </c>
      <c r="K613" s="2" t="s">
        <v>134</v>
      </c>
      <c r="L613" s="2">
        <v>2023</v>
      </c>
      <c r="M613" s="2" t="s">
        <v>135</v>
      </c>
      <c r="N613" s="2" t="s">
        <v>23</v>
      </c>
      <c r="O613">
        <f t="shared" si="18"/>
        <v>2.6099999999999994</v>
      </c>
      <c r="P613">
        <f t="shared" si="19"/>
        <v>39.27600000000001</v>
      </c>
    </row>
    <row r="614" spans="1:16" x14ac:dyDescent="0.35">
      <c r="A614" s="9" t="s">
        <v>142</v>
      </c>
      <c r="B614" s="2">
        <v>124.02</v>
      </c>
      <c r="C614" s="2">
        <v>126.78</v>
      </c>
      <c r="D614" s="2">
        <v>123.53</v>
      </c>
      <c r="E614" s="2">
        <v>126.57</v>
      </c>
      <c r="F614" s="2">
        <v>51473376</v>
      </c>
      <c r="G614" s="2" t="s">
        <v>558</v>
      </c>
      <c r="H614" s="2" t="s">
        <v>559</v>
      </c>
      <c r="I614" s="2" t="s">
        <v>560</v>
      </c>
      <c r="J614" s="3">
        <v>2.544</v>
      </c>
      <c r="K614" s="2" t="s">
        <v>134</v>
      </c>
      <c r="L614" s="2">
        <v>2023</v>
      </c>
      <c r="M614" s="2" t="s">
        <v>135</v>
      </c>
      <c r="N614" s="2" t="s">
        <v>21</v>
      </c>
      <c r="O614">
        <f t="shared" si="18"/>
        <v>3.25</v>
      </c>
      <c r="P614">
        <f t="shared" si="19"/>
        <v>41.820000000000007</v>
      </c>
    </row>
    <row r="615" spans="1:16" x14ac:dyDescent="0.35">
      <c r="A615" s="9" t="s">
        <v>143</v>
      </c>
      <c r="B615" s="2">
        <v>128.12</v>
      </c>
      <c r="C615" s="2">
        <v>128.41</v>
      </c>
      <c r="D615" s="2">
        <v>125.18</v>
      </c>
      <c r="E615" s="2">
        <v>126.66</v>
      </c>
      <c r="F615" s="2">
        <v>50564785</v>
      </c>
      <c r="G615" s="2" t="s">
        <v>558</v>
      </c>
      <c r="H615" s="2" t="s">
        <v>559</v>
      </c>
      <c r="I615" s="2" t="s">
        <v>560</v>
      </c>
      <c r="J615" s="3">
        <v>7.0999999999999994E-2</v>
      </c>
      <c r="K615" s="2" t="s">
        <v>134</v>
      </c>
      <c r="L615" s="2">
        <v>2023</v>
      </c>
      <c r="M615" s="2" t="s">
        <v>135</v>
      </c>
      <c r="N615" s="2" t="s">
        <v>21</v>
      </c>
      <c r="O615">
        <f t="shared" si="18"/>
        <v>3.2299999999999898</v>
      </c>
      <c r="P615">
        <f t="shared" si="19"/>
        <v>41.891000000000005</v>
      </c>
    </row>
    <row r="616" spans="1:16" x14ac:dyDescent="0.35">
      <c r="A616" s="9" t="s">
        <v>144</v>
      </c>
      <c r="B616" s="2">
        <v>126.7</v>
      </c>
      <c r="C616" s="2">
        <v>126.95</v>
      </c>
      <c r="D616" s="2">
        <v>124.12</v>
      </c>
      <c r="E616" s="2">
        <v>126.42</v>
      </c>
      <c r="F616" s="2">
        <v>52422463</v>
      </c>
      <c r="G616" s="2" t="s">
        <v>558</v>
      </c>
      <c r="H616" s="2" t="s">
        <v>559</v>
      </c>
      <c r="I616" s="2" t="s">
        <v>560</v>
      </c>
      <c r="J616" s="4">
        <v>-0.189</v>
      </c>
      <c r="K616" s="2" t="s">
        <v>134</v>
      </c>
      <c r="L616" s="2">
        <v>2023</v>
      </c>
      <c r="M616" s="2" t="s">
        <v>135</v>
      </c>
      <c r="N616" s="2" t="s">
        <v>23</v>
      </c>
      <c r="O616">
        <f t="shared" si="18"/>
        <v>2.8299999999999983</v>
      </c>
      <c r="P616">
        <f t="shared" si="19"/>
        <v>41.702000000000005</v>
      </c>
    </row>
    <row r="617" spans="1:16" x14ac:dyDescent="0.35">
      <c r="A617" s="9" t="s">
        <v>145</v>
      </c>
      <c r="B617" s="2">
        <v>125.21</v>
      </c>
      <c r="C617" s="2">
        <v>127.69</v>
      </c>
      <c r="D617" s="2">
        <v>124.32</v>
      </c>
      <c r="E617" s="2">
        <v>127.11</v>
      </c>
      <c r="F617" s="2">
        <v>60458471</v>
      </c>
      <c r="G617" s="2" t="s">
        <v>558</v>
      </c>
      <c r="H617" s="2" t="s">
        <v>559</v>
      </c>
      <c r="I617" s="2" t="s">
        <v>560</v>
      </c>
      <c r="J617" s="3">
        <v>0.54600000000000004</v>
      </c>
      <c r="K617" s="2" t="s">
        <v>134</v>
      </c>
      <c r="L617" s="2">
        <v>2023</v>
      </c>
      <c r="M617" s="2" t="s">
        <v>135</v>
      </c>
      <c r="N617" s="2" t="s">
        <v>21</v>
      </c>
      <c r="O617">
        <f t="shared" si="18"/>
        <v>3.3700000000000045</v>
      </c>
      <c r="P617">
        <f t="shared" si="19"/>
        <v>42.248000000000005</v>
      </c>
    </row>
    <row r="618" spans="1:16" x14ac:dyDescent="0.35">
      <c r="A618" s="9" t="s">
        <v>146</v>
      </c>
      <c r="B618" s="2">
        <v>127.71</v>
      </c>
      <c r="C618" s="2">
        <v>127.9</v>
      </c>
      <c r="D618" s="2">
        <v>125.3</v>
      </c>
      <c r="E618" s="2">
        <v>125.49</v>
      </c>
      <c r="F618" s="2">
        <v>84247104</v>
      </c>
      <c r="G618" s="2" t="s">
        <v>558</v>
      </c>
      <c r="H618" s="2" t="s">
        <v>559</v>
      </c>
      <c r="I618" s="2" t="s">
        <v>560</v>
      </c>
      <c r="J618" s="4">
        <v>-1.274</v>
      </c>
      <c r="K618" s="2" t="s">
        <v>134</v>
      </c>
      <c r="L618" s="2">
        <v>2023</v>
      </c>
      <c r="M618" s="2" t="s">
        <v>135</v>
      </c>
      <c r="N618" s="2" t="s">
        <v>23</v>
      </c>
      <c r="O618">
        <f t="shared" si="18"/>
        <v>2.6000000000000085</v>
      </c>
      <c r="P618">
        <f t="shared" si="19"/>
        <v>40.974000000000004</v>
      </c>
    </row>
    <row r="619" spans="1:16" x14ac:dyDescent="0.35">
      <c r="A619" s="9" t="s">
        <v>147</v>
      </c>
      <c r="B619" s="2">
        <v>124.97</v>
      </c>
      <c r="C619" s="2">
        <v>127.25</v>
      </c>
      <c r="D619" s="2">
        <v>124.5</v>
      </c>
      <c r="E619" s="2">
        <v>125.78</v>
      </c>
      <c r="F619" s="2">
        <v>56930122</v>
      </c>
      <c r="G619" s="2" t="s">
        <v>558</v>
      </c>
      <c r="H619" s="2" t="s">
        <v>559</v>
      </c>
      <c r="I619" s="2" t="s">
        <v>560</v>
      </c>
      <c r="J619" s="3">
        <v>0.23100000000000001</v>
      </c>
      <c r="K619" s="2" t="s">
        <v>134</v>
      </c>
      <c r="L619" s="2">
        <v>2023</v>
      </c>
      <c r="M619" s="2" t="s">
        <v>135</v>
      </c>
      <c r="N619" s="2" t="s">
        <v>21</v>
      </c>
      <c r="O619">
        <f t="shared" si="18"/>
        <v>2.75</v>
      </c>
      <c r="P619">
        <f t="shared" si="19"/>
        <v>41.205000000000005</v>
      </c>
    </row>
    <row r="620" spans="1:16" x14ac:dyDescent="0.35">
      <c r="A620" s="9" t="s">
        <v>148</v>
      </c>
      <c r="B620" s="2">
        <v>125.64</v>
      </c>
      <c r="C620" s="2">
        <v>126.73</v>
      </c>
      <c r="D620" s="2">
        <v>123.85</v>
      </c>
      <c r="E620" s="2">
        <v>124.83</v>
      </c>
      <c r="F620" s="2">
        <v>52137670</v>
      </c>
      <c r="G620" s="2" t="s">
        <v>558</v>
      </c>
      <c r="H620" s="2" t="s">
        <v>559</v>
      </c>
      <c r="I620" s="2" t="s">
        <v>560</v>
      </c>
      <c r="J620" s="4">
        <v>-0.755</v>
      </c>
      <c r="K620" s="2" t="s">
        <v>134</v>
      </c>
      <c r="L620" s="2">
        <v>2023</v>
      </c>
      <c r="M620" s="2" t="s">
        <v>135</v>
      </c>
      <c r="N620" s="2" t="s">
        <v>23</v>
      </c>
      <c r="O620">
        <f t="shared" si="18"/>
        <v>2.8800000000000097</v>
      </c>
      <c r="P620">
        <f t="shared" si="19"/>
        <v>40.450000000000003</v>
      </c>
    </row>
    <row r="621" spans="1:16" x14ac:dyDescent="0.35">
      <c r="A621" s="9" t="s">
        <v>149</v>
      </c>
      <c r="B621" s="2">
        <v>125.31</v>
      </c>
      <c r="C621" s="2">
        <v>130.33000000000001</v>
      </c>
      <c r="D621" s="2">
        <v>125.14</v>
      </c>
      <c r="E621" s="2">
        <v>130.15</v>
      </c>
      <c r="F621" s="2">
        <v>90354572</v>
      </c>
      <c r="G621" s="2" t="s">
        <v>558</v>
      </c>
      <c r="H621" s="2" t="s">
        <v>559</v>
      </c>
      <c r="I621" s="2" t="s">
        <v>560</v>
      </c>
      <c r="J621" s="3">
        <v>4.2619999999999996</v>
      </c>
      <c r="K621" s="2" t="s">
        <v>134</v>
      </c>
      <c r="L621" s="2">
        <v>2023</v>
      </c>
      <c r="M621" s="2" t="s">
        <v>135</v>
      </c>
      <c r="N621" s="2" t="s">
        <v>21</v>
      </c>
      <c r="O621">
        <f t="shared" si="18"/>
        <v>5.1900000000000119</v>
      </c>
      <c r="P621">
        <f t="shared" si="19"/>
        <v>44.712000000000003</v>
      </c>
    </row>
    <row r="622" spans="1:16" x14ac:dyDescent="0.35">
      <c r="A622" s="9" t="s">
        <v>150</v>
      </c>
      <c r="B622" s="2">
        <v>129.11000000000001</v>
      </c>
      <c r="C622" s="2">
        <v>130.84</v>
      </c>
      <c r="D622" s="2">
        <v>128.28</v>
      </c>
      <c r="E622" s="2">
        <v>129.33000000000001</v>
      </c>
      <c r="F622" s="2">
        <v>71927776</v>
      </c>
      <c r="G622" s="2" t="s">
        <v>558</v>
      </c>
      <c r="H622" s="2" t="s">
        <v>559</v>
      </c>
      <c r="I622" s="2" t="s">
        <v>560</v>
      </c>
      <c r="J622" s="4">
        <v>-0.63</v>
      </c>
      <c r="K622" s="2" t="s">
        <v>134</v>
      </c>
      <c r="L622" s="2">
        <v>2023</v>
      </c>
      <c r="M622" s="2" t="s">
        <v>135</v>
      </c>
      <c r="N622" s="2" t="s">
        <v>23</v>
      </c>
      <c r="O622">
        <f t="shared" si="18"/>
        <v>2.5600000000000023</v>
      </c>
      <c r="P622">
        <f t="shared" si="19"/>
        <v>44.082000000000001</v>
      </c>
    </row>
    <row r="623" spans="1:16" x14ac:dyDescent="0.35">
      <c r="A623" s="9" t="s">
        <v>151</v>
      </c>
      <c r="B623" s="2">
        <v>130.27000000000001</v>
      </c>
      <c r="C623" s="2">
        <v>131.49</v>
      </c>
      <c r="D623" s="2">
        <v>127.1</v>
      </c>
      <c r="E623" s="2">
        <v>127.33</v>
      </c>
      <c r="F623" s="2">
        <v>59989317</v>
      </c>
      <c r="G623" s="2" t="s">
        <v>558</v>
      </c>
      <c r="H623" s="2" t="s">
        <v>559</v>
      </c>
      <c r="I623" s="2" t="s">
        <v>560</v>
      </c>
      <c r="J623" s="4">
        <v>-1.546</v>
      </c>
      <c r="K623" s="2" t="s">
        <v>134</v>
      </c>
      <c r="L623" s="2">
        <v>2023</v>
      </c>
      <c r="M623" s="2" t="s">
        <v>135</v>
      </c>
      <c r="N623" s="2" t="s">
        <v>23</v>
      </c>
      <c r="O623">
        <f t="shared" si="18"/>
        <v>4.3900000000000148</v>
      </c>
      <c r="P623">
        <f t="shared" si="19"/>
        <v>42.536000000000001</v>
      </c>
    </row>
    <row r="624" spans="1:16" x14ac:dyDescent="0.35">
      <c r="A624" s="9" t="s">
        <v>152</v>
      </c>
      <c r="B624" s="2">
        <v>128.63</v>
      </c>
      <c r="C624" s="2">
        <v>130.08500000000001</v>
      </c>
      <c r="D624" s="2">
        <v>127.55</v>
      </c>
      <c r="E624" s="2">
        <v>129.18</v>
      </c>
      <c r="F624" s="2">
        <v>46801008</v>
      </c>
      <c r="G624" s="2" t="s">
        <v>558</v>
      </c>
      <c r="H624" s="2" t="s">
        <v>559</v>
      </c>
      <c r="I624" s="2" t="s">
        <v>560</v>
      </c>
      <c r="J624" s="3">
        <v>1.4530000000000001</v>
      </c>
      <c r="K624" s="2" t="s">
        <v>134</v>
      </c>
      <c r="L624" s="2">
        <v>2023</v>
      </c>
      <c r="M624" s="2" t="s">
        <v>135</v>
      </c>
      <c r="N624" s="2" t="s">
        <v>21</v>
      </c>
      <c r="O624">
        <f t="shared" si="18"/>
        <v>2.5350000000000108</v>
      </c>
      <c r="P624">
        <f t="shared" si="19"/>
        <v>43.989000000000004</v>
      </c>
    </row>
    <row r="625" spans="1:16" x14ac:dyDescent="0.35">
      <c r="A625" s="9" t="s">
        <v>153</v>
      </c>
      <c r="B625" s="2">
        <v>128.94</v>
      </c>
      <c r="C625" s="2">
        <v>131.47999999999999</v>
      </c>
      <c r="D625" s="2">
        <v>128.44</v>
      </c>
      <c r="E625" s="2">
        <v>129.04</v>
      </c>
      <c r="F625" s="2">
        <v>52149512</v>
      </c>
      <c r="G625" s="2" t="s">
        <v>558</v>
      </c>
      <c r="H625" s="2" t="s">
        <v>559</v>
      </c>
      <c r="I625" s="2" t="s">
        <v>560</v>
      </c>
      <c r="J625" s="4">
        <v>-0.108</v>
      </c>
      <c r="K625" s="2" t="s">
        <v>134</v>
      </c>
      <c r="L625" s="2">
        <v>2023</v>
      </c>
      <c r="M625" s="2" t="s">
        <v>135</v>
      </c>
      <c r="N625" s="2" t="s">
        <v>23</v>
      </c>
      <c r="O625">
        <f t="shared" si="18"/>
        <v>3.039999999999992</v>
      </c>
      <c r="P625">
        <f t="shared" si="19"/>
        <v>43.881000000000007</v>
      </c>
    </row>
    <row r="626" spans="1:16" x14ac:dyDescent="0.35">
      <c r="A626" s="9" t="s">
        <v>154</v>
      </c>
      <c r="B626" s="2">
        <v>128.77000000000001</v>
      </c>
      <c r="C626" s="2">
        <v>129.26</v>
      </c>
      <c r="D626" s="2">
        <v>127.255</v>
      </c>
      <c r="E626" s="2">
        <v>127.9</v>
      </c>
      <c r="F626" s="2">
        <v>40760959</v>
      </c>
      <c r="G626" s="2" t="s">
        <v>558</v>
      </c>
      <c r="H626" s="2" t="s">
        <v>559</v>
      </c>
      <c r="I626" s="2" t="s">
        <v>560</v>
      </c>
      <c r="J626" s="4">
        <v>-0.88300000000000001</v>
      </c>
      <c r="K626" s="2" t="s">
        <v>134</v>
      </c>
      <c r="L626" s="2">
        <v>2023</v>
      </c>
      <c r="M626" s="2" t="s">
        <v>135</v>
      </c>
      <c r="N626" s="2" t="s">
        <v>23</v>
      </c>
      <c r="O626">
        <f t="shared" si="18"/>
        <v>2.0049999999999955</v>
      </c>
      <c r="P626">
        <f t="shared" si="19"/>
        <v>42.998000000000005</v>
      </c>
    </row>
    <row r="627" spans="1:16" x14ac:dyDescent="0.35">
      <c r="A627" s="9" t="s">
        <v>155</v>
      </c>
      <c r="B627" s="2">
        <v>129.47</v>
      </c>
      <c r="C627" s="2">
        <v>131.245</v>
      </c>
      <c r="D627" s="2">
        <v>128.94999999999999</v>
      </c>
      <c r="E627" s="2">
        <v>130.36000000000001</v>
      </c>
      <c r="F627" s="2">
        <v>54350684</v>
      </c>
      <c r="G627" s="2" t="s">
        <v>558</v>
      </c>
      <c r="H627" s="2" t="s">
        <v>559</v>
      </c>
      <c r="I627" s="2" t="s">
        <v>560</v>
      </c>
      <c r="J627" s="3">
        <v>1.923</v>
      </c>
      <c r="K627" s="2" t="s">
        <v>134</v>
      </c>
      <c r="L627" s="2">
        <v>2023</v>
      </c>
      <c r="M627" s="2" t="s">
        <v>135</v>
      </c>
      <c r="N627" s="2" t="s">
        <v>21</v>
      </c>
      <c r="O627">
        <f t="shared" si="18"/>
        <v>2.2950000000000159</v>
      </c>
      <c r="P627">
        <f t="shared" si="19"/>
        <v>44.921000000000006</v>
      </c>
    </row>
    <row r="628" spans="1:16" x14ac:dyDescent="0.35">
      <c r="A628" s="9" t="s">
        <v>156</v>
      </c>
      <c r="B628" s="2">
        <v>130.82</v>
      </c>
      <c r="C628" s="2">
        <v>131.85</v>
      </c>
      <c r="D628" s="2">
        <v>130.065</v>
      </c>
      <c r="E628" s="2">
        <v>130.22</v>
      </c>
      <c r="F628" s="2">
        <v>28264785</v>
      </c>
      <c r="G628" s="2" t="s">
        <v>558</v>
      </c>
      <c r="H628" s="2" t="s">
        <v>559</v>
      </c>
      <c r="I628" s="2" t="s">
        <v>560</v>
      </c>
      <c r="J628" s="4">
        <v>-0.107</v>
      </c>
      <c r="K628" s="2" t="s">
        <v>157</v>
      </c>
      <c r="L628" s="2">
        <v>2023</v>
      </c>
      <c r="M628" s="2" t="s">
        <v>158</v>
      </c>
      <c r="N628" s="2" t="s">
        <v>23</v>
      </c>
      <c r="O628">
        <f t="shared" si="18"/>
        <v>1.7849999999999966</v>
      </c>
      <c r="P628">
        <f t="shared" si="19"/>
        <v>44.814000000000007</v>
      </c>
    </row>
    <row r="629" spans="1:16" x14ac:dyDescent="0.35">
      <c r="A629" s="9" t="s">
        <v>159</v>
      </c>
      <c r="B629" s="2">
        <v>130.24</v>
      </c>
      <c r="C629" s="2">
        <v>131.4</v>
      </c>
      <c r="D629" s="2">
        <v>129.63999999999999</v>
      </c>
      <c r="E629" s="2">
        <v>130.38</v>
      </c>
      <c r="F629" s="2">
        <v>35895409</v>
      </c>
      <c r="G629" s="2" t="s">
        <v>558</v>
      </c>
      <c r="H629" s="2" t="s">
        <v>559</v>
      </c>
      <c r="I629" s="2" t="s">
        <v>560</v>
      </c>
      <c r="J629" s="3">
        <v>0.123</v>
      </c>
      <c r="K629" s="2" t="s">
        <v>157</v>
      </c>
      <c r="L629" s="2">
        <v>2023</v>
      </c>
      <c r="M629" s="2" t="s">
        <v>158</v>
      </c>
      <c r="N629" s="2" t="s">
        <v>21</v>
      </c>
      <c r="O629">
        <f t="shared" si="18"/>
        <v>1.7600000000000193</v>
      </c>
      <c r="P629">
        <f t="shared" si="19"/>
        <v>44.937000000000005</v>
      </c>
    </row>
    <row r="630" spans="1:16" x14ac:dyDescent="0.35">
      <c r="A630" s="9" t="s">
        <v>160</v>
      </c>
      <c r="B630" s="2">
        <v>128.25</v>
      </c>
      <c r="C630" s="2">
        <v>128.72999999999999</v>
      </c>
      <c r="D630" s="2">
        <v>127.37</v>
      </c>
      <c r="E630" s="2">
        <v>128.36000000000001</v>
      </c>
      <c r="F630" s="2">
        <v>40697848</v>
      </c>
      <c r="G630" s="2" t="s">
        <v>558</v>
      </c>
      <c r="H630" s="2" t="s">
        <v>559</v>
      </c>
      <c r="I630" s="2" t="s">
        <v>560</v>
      </c>
      <c r="J630" s="4">
        <v>-1.5489999999999999</v>
      </c>
      <c r="K630" s="2" t="s">
        <v>157</v>
      </c>
      <c r="L630" s="2">
        <v>2023</v>
      </c>
      <c r="M630" s="2" t="s">
        <v>158</v>
      </c>
      <c r="N630" s="2" t="s">
        <v>23</v>
      </c>
      <c r="O630">
        <f t="shared" si="18"/>
        <v>1.3599999999999852</v>
      </c>
      <c r="P630">
        <f t="shared" si="19"/>
        <v>43.388000000000005</v>
      </c>
    </row>
    <row r="631" spans="1:16" x14ac:dyDescent="0.35">
      <c r="A631" s="9" t="s">
        <v>161</v>
      </c>
      <c r="B631" s="2">
        <v>128.59</v>
      </c>
      <c r="C631" s="2">
        <v>130.97</v>
      </c>
      <c r="D631" s="2">
        <v>128.12899999999999</v>
      </c>
      <c r="E631" s="2">
        <v>129.78</v>
      </c>
      <c r="F631" s="2">
        <v>41992251</v>
      </c>
      <c r="G631" s="2" t="s">
        <v>558</v>
      </c>
      <c r="H631" s="2" t="s">
        <v>559</v>
      </c>
      <c r="I631" s="2" t="s">
        <v>560</v>
      </c>
      <c r="J631" s="3">
        <v>1.1060000000000001</v>
      </c>
      <c r="K631" s="2" t="s">
        <v>157</v>
      </c>
      <c r="L631" s="2">
        <v>2023</v>
      </c>
      <c r="M631" s="2" t="s">
        <v>158</v>
      </c>
      <c r="N631" s="2" t="s">
        <v>21</v>
      </c>
      <c r="O631">
        <f t="shared" si="18"/>
        <v>2.8410000000000082</v>
      </c>
      <c r="P631">
        <f t="shared" si="19"/>
        <v>44.494000000000007</v>
      </c>
    </row>
    <row r="632" spans="1:16" x14ac:dyDescent="0.35">
      <c r="A632" s="9" t="s">
        <v>162</v>
      </c>
      <c r="B632" s="2">
        <v>129.07</v>
      </c>
      <c r="C632" s="2">
        <v>129.28</v>
      </c>
      <c r="D632" s="2">
        <v>125.91500000000001</v>
      </c>
      <c r="E632" s="2">
        <v>127.13</v>
      </c>
      <c r="F632" s="2">
        <v>61889289</v>
      </c>
      <c r="G632" s="2" t="s">
        <v>558</v>
      </c>
      <c r="H632" s="2" t="s">
        <v>559</v>
      </c>
      <c r="I632" s="2" t="s">
        <v>560</v>
      </c>
      <c r="J632" s="4">
        <v>-2.0419999999999998</v>
      </c>
      <c r="K632" s="2" t="s">
        <v>157</v>
      </c>
      <c r="L632" s="2">
        <v>2023</v>
      </c>
      <c r="M632" s="2" t="s">
        <v>158</v>
      </c>
      <c r="N632" s="2" t="s">
        <v>23</v>
      </c>
      <c r="O632">
        <f t="shared" si="18"/>
        <v>3.3649999999999949</v>
      </c>
      <c r="P632">
        <f t="shared" si="19"/>
        <v>42.452000000000005</v>
      </c>
    </row>
    <row r="633" spans="1:16" x14ac:dyDescent="0.35">
      <c r="A633" s="9" t="s">
        <v>163</v>
      </c>
      <c r="B633" s="2">
        <v>127.75</v>
      </c>
      <c r="C633" s="2">
        <v>129.77000000000001</v>
      </c>
      <c r="D633" s="2">
        <v>127.35</v>
      </c>
      <c r="E633" s="2">
        <v>128.78</v>
      </c>
      <c r="F633" s="2">
        <v>49951460</v>
      </c>
      <c r="G633" s="2" t="s">
        <v>558</v>
      </c>
      <c r="H633" s="2" t="s">
        <v>559</v>
      </c>
      <c r="I633" s="2" t="s">
        <v>560</v>
      </c>
      <c r="J633" s="3">
        <v>1.298</v>
      </c>
      <c r="K633" s="2" t="s">
        <v>157</v>
      </c>
      <c r="L633" s="2">
        <v>2023</v>
      </c>
      <c r="M633" s="2" t="s">
        <v>158</v>
      </c>
      <c r="N633" s="2" t="s">
        <v>21</v>
      </c>
      <c r="O633">
        <f t="shared" si="18"/>
        <v>2.4200000000000159</v>
      </c>
      <c r="P633">
        <f t="shared" si="19"/>
        <v>43.750000000000007</v>
      </c>
    </row>
    <row r="634" spans="1:16" x14ac:dyDescent="0.35">
      <c r="A634" s="9" t="s">
        <v>164</v>
      </c>
      <c r="B634" s="2">
        <v>130.31</v>
      </c>
      <c r="C634" s="2">
        <v>131.26</v>
      </c>
      <c r="D634" s="2">
        <v>128.83000000000001</v>
      </c>
      <c r="E634" s="2">
        <v>130.80000000000001</v>
      </c>
      <c r="F634" s="2">
        <v>54022847</v>
      </c>
      <c r="G634" s="2" t="s">
        <v>558</v>
      </c>
      <c r="H634" s="2" t="s">
        <v>559</v>
      </c>
      <c r="I634" s="2" t="s">
        <v>560</v>
      </c>
      <c r="J634" s="3">
        <v>1.569</v>
      </c>
      <c r="K634" s="2" t="s">
        <v>157</v>
      </c>
      <c r="L634" s="2">
        <v>2023</v>
      </c>
      <c r="M634" s="2" t="s">
        <v>158</v>
      </c>
      <c r="N634" s="2" t="s">
        <v>21</v>
      </c>
      <c r="O634">
        <f t="shared" si="18"/>
        <v>2.4299999999999784</v>
      </c>
      <c r="P634">
        <f t="shared" si="19"/>
        <v>45.31900000000001</v>
      </c>
    </row>
    <row r="635" spans="1:16" x14ac:dyDescent="0.35">
      <c r="A635" s="9" t="s">
        <v>165</v>
      </c>
      <c r="B635" s="2">
        <v>134.04</v>
      </c>
      <c r="C635" s="2">
        <v>134.66999999999999</v>
      </c>
      <c r="D635" s="2">
        <v>132.71</v>
      </c>
      <c r="E635" s="2">
        <v>134.30000000000001</v>
      </c>
      <c r="F635" s="2">
        <v>61170883</v>
      </c>
      <c r="G635" s="2" t="s">
        <v>558</v>
      </c>
      <c r="H635" s="2" t="s">
        <v>559</v>
      </c>
      <c r="I635" s="2" t="s">
        <v>560</v>
      </c>
      <c r="J635" s="3">
        <v>2.6760000000000002</v>
      </c>
      <c r="K635" s="2" t="s">
        <v>157</v>
      </c>
      <c r="L635" s="2">
        <v>2023</v>
      </c>
      <c r="M635" s="2" t="s">
        <v>158</v>
      </c>
      <c r="N635" s="2" t="s">
        <v>21</v>
      </c>
      <c r="O635">
        <f t="shared" si="18"/>
        <v>1.9599999999999795</v>
      </c>
      <c r="P635">
        <f t="shared" si="19"/>
        <v>47.995000000000012</v>
      </c>
    </row>
    <row r="636" spans="1:16" x14ac:dyDescent="0.35">
      <c r="A636" s="9" t="s">
        <v>166</v>
      </c>
      <c r="B636" s="2">
        <v>134.06</v>
      </c>
      <c r="C636" s="2">
        <v>136.65</v>
      </c>
      <c r="D636" s="2">
        <v>134.06</v>
      </c>
      <c r="E636" s="2">
        <v>134.68</v>
      </c>
      <c r="F636" s="2">
        <v>54487090</v>
      </c>
      <c r="G636" s="2" t="s">
        <v>558</v>
      </c>
      <c r="H636" s="2" t="s">
        <v>559</v>
      </c>
      <c r="I636" s="2" t="s">
        <v>560</v>
      </c>
      <c r="J636" s="3">
        <v>0.28299999999999997</v>
      </c>
      <c r="K636" s="2" t="s">
        <v>157</v>
      </c>
      <c r="L636" s="2">
        <v>2023</v>
      </c>
      <c r="M636" s="2" t="s">
        <v>158</v>
      </c>
      <c r="N636" s="2" t="s">
        <v>21</v>
      </c>
      <c r="O636">
        <f t="shared" si="18"/>
        <v>2.5900000000000034</v>
      </c>
      <c r="P636">
        <f t="shared" si="19"/>
        <v>48.278000000000013</v>
      </c>
    </row>
    <row r="637" spans="1:16" x14ac:dyDescent="0.35">
      <c r="A637" s="9" t="s">
        <v>167</v>
      </c>
      <c r="B637" s="2">
        <v>134.56</v>
      </c>
      <c r="C637" s="2">
        <v>135.62</v>
      </c>
      <c r="D637" s="2">
        <v>133.21</v>
      </c>
      <c r="E637" s="2">
        <v>133.56</v>
      </c>
      <c r="F637" s="2">
        <v>48450198</v>
      </c>
      <c r="G637" s="2" t="s">
        <v>558</v>
      </c>
      <c r="H637" s="2" t="s">
        <v>559</v>
      </c>
      <c r="I637" s="2" t="s">
        <v>560</v>
      </c>
      <c r="J637" s="4">
        <v>-0.83199999999999996</v>
      </c>
      <c r="K637" s="2" t="s">
        <v>157</v>
      </c>
      <c r="L637" s="2">
        <v>2023</v>
      </c>
      <c r="M637" s="2" t="s">
        <v>158</v>
      </c>
      <c r="N637" s="2" t="s">
        <v>23</v>
      </c>
      <c r="O637">
        <f t="shared" si="18"/>
        <v>2.4099999999999966</v>
      </c>
      <c r="P637">
        <f t="shared" si="19"/>
        <v>47.446000000000012</v>
      </c>
    </row>
    <row r="638" spans="1:16" x14ac:dyDescent="0.35">
      <c r="A638" s="9" t="s">
        <v>168</v>
      </c>
      <c r="B638" s="2">
        <v>132.71</v>
      </c>
      <c r="C638" s="2">
        <v>133.86000000000001</v>
      </c>
      <c r="D638" s="2">
        <v>131.35499999999999</v>
      </c>
      <c r="E638" s="2">
        <v>132.83000000000001</v>
      </c>
      <c r="F638" s="2">
        <v>54969133</v>
      </c>
      <c r="G638" s="2" t="s">
        <v>558</v>
      </c>
      <c r="H638" s="2" t="s">
        <v>559</v>
      </c>
      <c r="I638" s="2" t="s">
        <v>560</v>
      </c>
      <c r="J638" s="4">
        <v>-0.54700000000000004</v>
      </c>
      <c r="K638" s="2" t="s">
        <v>157</v>
      </c>
      <c r="L638" s="2">
        <v>2023</v>
      </c>
      <c r="M638" s="2" t="s">
        <v>158</v>
      </c>
      <c r="N638" s="2" t="s">
        <v>23</v>
      </c>
      <c r="O638">
        <f t="shared" si="18"/>
        <v>2.5050000000000239</v>
      </c>
      <c r="P638">
        <f t="shared" si="19"/>
        <v>46.899000000000015</v>
      </c>
    </row>
    <row r="639" spans="1:16" x14ac:dyDescent="0.35">
      <c r="A639" s="9" t="s">
        <v>169</v>
      </c>
      <c r="B639" s="2">
        <v>133.38999999999999</v>
      </c>
      <c r="C639" s="2">
        <v>135.99</v>
      </c>
      <c r="D639" s="2">
        <v>132.53</v>
      </c>
      <c r="E639" s="2">
        <v>135.36000000000001</v>
      </c>
      <c r="F639" s="2">
        <v>54531037</v>
      </c>
      <c r="G639" s="2" t="s">
        <v>558</v>
      </c>
      <c r="H639" s="2" t="s">
        <v>559</v>
      </c>
      <c r="I639" s="2" t="s">
        <v>560</v>
      </c>
      <c r="J639" s="3">
        <v>1.905</v>
      </c>
      <c r="K639" s="2" t="s">
        <v>157</v>
      </c>
      <c r="L639" s="2">
        <v>2023</v>
      </c>
      <c r="M639" s="2" t="s">
        <v>158</v>
      </c>
      <c r="N639" s="2" t="s">
        <v>21</v>
      </c>
      <c r="O639">
        <f t="shared" si="18"/>
        <v>3.460000000000008</v>
      </c>
      <c r="P639">
        <f t="shared" si="19"/>
        <v>48.804000000000016</v>
      </c>
    </row>
    <row r="640" spans="1:16" x14ac:dyDescent="0.35">
      <c r="A640" s="9" t="s">
        <v>170</v>
      </c>
      <c r="B640" s="2">
        <v>134.07</v>
      </c>
      <c r="C640" s="2">
        <v>134.792</v>
      </c>
      <c r="D640" s="2">
        <v>129.33000000000001</v>
      </c>
      <c r="E640" s="2">
        <v>129.96</v>
      </c>
      <c r="F640" s="2">
        <v>59820579</v>
      </c>
      <c r="G640" s="2" t="s">
        <v>558</v>
      </c>
      <c r="H640" s="2" t="s">
        <v>559</v>
      </c>
      <c r="I640" s="2" t="s">
        <v>560</v>
      </c>
      <c r="J640" s="4">
        <v>-3.9889999999999999</v>
      </c>
      <c r="K640" s="2" t="s">
        <v>157</v>
      </c>
      <c r="L640" s="2">
        <v>2023</v>
      </c>
      <c r="M640" s="2" t="s">
        <v>158</v>
      </c>
      <c r="N640" s="2" t="s">
        <v>23</v>
      </c>
      <c r="O640">
        <f t="shared" si="18"/>
        <v>5.4619999999999891</v>
      </c>
      <c r="P640">
        <f t="shared" si="19"/>
        <v>44.815000000000019</v>
      </c>
    </row>
    <row r="641" spans="1:16" x14ac:dyDescent="0.35">
      <c r="A641" s="9" t="s">
        <v>171</v>
      </c>
      <c r="B641" s="2">
        <v>131.34</v>
      </c>
      <c r="C641" s="2">
        <v>131.37</v>
      </c>
      <c r="D641" s="2">
        <v>128.41499999999999</v>
      </c>
      <c r="E641" s="2">
        <v>130</v>
      </c>
      <c r="F641" s="2">
        <v>133307294</v>
      </c>
      <c r="G641" s="2" t="s">
        <v>558</v>
      </c>
      <c r="H641" s="2" t="s">
        <v>559</v>
      </c>
      <c r="I641" s="2" t="s">
        <v>560</v>
      </c>
      <c r="J641" s="3">
        <v>3.1E-2</v>
      </c>
      <c r="K641" s="2" t="s">
        <v>157</v>
      </c>
      <c r="L641" s="2">
        <v>2023</v>
      </c>
      <c r="M641" s="2" t="s">
        <v>158</v>
      </c>
      <c r="N641" s="2" t="s">
        <v>21</v>
      </c>
      <c r="O641">
        <f t="shared" si="18"/>
        <v>2.9550000000000125</v>
      </c>
      <c r="P641">
        <f t="shared" si="19"/>
        <v>44.846000000000018</v>
      </c>
    </row>
    <row r="642" spans="1:16" x14ac:dyDescent="0.35">
      <c r="A642" s="9" t="s">
        <v>172</v>
      </c>
      <c r="B642" s="2">
        <v>130.30500000000001</v>
      </c>
      <c r="C642" s="2">
        <v>131.66</v>
      </c>
      <c r="D642" s="2">
        <v>128.35</v>
      </c>
      <c r="E642" s="2">
        <v>128.80000000000001</v>
      </c>
      <c r="F642" s="2">
        <v>45671535</v>
      </c>
      <c r="G642" s="2" t="s">
        <v>558</v>
      </c>
      <c r="H642" s="2" t="s">
        <v>559</v>
      </c>
      <c r="I642" s="2" t="s">
        <v>560</v>
      </c>
      <c r="J642" s="4">
        <v>-0.92300000000000004</v>
      </c>
      <c r="K642" s="2" t="s">
        <v>157</v>
      </c>
      <c r="L642" s="2">
        <v>2023</v>
      </c>
      <c r="M642" s="2" t="s">
        <v>158</v>
      </c>
      <c r="N642" s="2" t="s">
        <v>23</v>
      </c>
      <c r="O642">
        <f t="shared" si="18"/>
        <v>3.3100000000000023</v>
      </c>
      <c r="P642">
        <f t="shared" si="19"/>
        <v>43.923000000000016</v>
      </c>
    </row>
    <row r="643" spans="1:16" x14ac:dyDescent="0.35">
      <c r="A643" s="9" t="s">
        <v>173</v>
      </c>
      <c r="B643" s="2">
        <v>129.31</v>
      </c>
      <c r="C643" s="2">
        <v>129.58000000000001</v>
      </c>
      <c r="D643" s="2">
        <v>128.53</v>
      </c>
      <c r="E643" s="2">
        <v>129.13</v>
      </c>
      <c r="F643" s="2">
        <v>39236663</v>
      </c>
      <c r="G643" s="2" t="s">
        <v>558</v>
      </c>
      <c r="H643" s="2" t="s">
        <v>559</v>
      </c>
      <c r="I643" s="2" t="s">
        <v>560</v>
      </c>
      <c r="J643" s="3">
        <v>0.25600000000000001</v>
      </c>
      <c r="K643" s="2" t="s">
        <v>157</v>
      </c>
      <c r="L643" s="2">
        <v>2023</v>
      </c>
      <c r="M643" s="2" t="s">
        <v>158</v>
      </c>
      <c r="N643" s="2" t="s">
        <v>21</v>
      </c>
      <c r="O643">
        <f t="shared" ref="O643:O706" si="20">C643-D643</f>
        <v>1.0500000000000114</v>
      </c>
      <c r="P643">
        <f t="shared" si="19"/>
        <v>44.179000000000016</v>
      </c>
    </row>
    <row r="644" spans="1:16" x14ac:dyDescent="0.35">
      <c r="A644" s="9" t="s">
        <v>174</v>
      </c>
      <c r="B644" s="2">
        <v>126.51</v>
      </c>
      <c r="C644" s="2">
        <v>129.08000000000001</v>
      </c>
      <c r="D644" s="2">
        <v>126.11</v>
      </c>
      <c r="E644" s="2">
        <v>128.15</v>
      </c>
      <c r="F644" s="2">
        <v>53910087</v>
      </c>
      <c r="G644" s="2" t="s">
        <v>558</v>
      </c>
      <c r="H644" s="2" t="s">
        <v>559</v>
      </c>
      <c r="I644" s="2" t="s">
        <v>560</v>
      </c>
      <c r="J644" s="4">
        <v>-0.75900000000000001</v>
      </c>
      <c r="K644" s="2" t="s">
        <v>157</v>
      </c>
      <c r="L644" s="2">
        <v>2023</v>
      </c>
      <c r="M644" s="2" t="s">
        <v>158</v>
      </c>
      <c r="N644" s="2" t="s">
        <v>23</v>
      </c>
      <c r="O644">
        <f t="shared" si="20"/>
        <v>2.9700000000000131</v>
      </c>
      <c r="P644">
        <f t="shared" ref="P644:P707" si="21">IF(G644=G643, P643+J644, J644)</f>
        <v>43.420000000000016</v>
      </c>
    </row>
    <row r="645" spans="1:16" x14ac:dyDescent="0.35">
      <c r="A645" s="9" t="s">
        <v>175</v>
      </c>
      <c r="B645" s="2">
        <v>131</v>
      </c>
      <c r="C645" s="2">
        <v>132.63</v>
      </c>
      <c r="D645" s="2">
        <v>127.79</v>
      </c>
      <c r="E645" s="2">
        <v>128.25</v>
      </c>
      <c r="F645" s="2">
        <v>52610661</v>
      </c>
      <c r="G645" s="2" t="s">
        <v>558</v>
      </c>
      <c r="H645" s="2" t="s">
        <v>559</v>
      </c>
      <c r="I645" s="2" t="s">
        <v>560</v>
      </c>
      <c r="J645" s="3">
        <v>7.8E-2</v>
      </c>
      <c r="K645" s="2" t="s">
        <v>157</v>
      </c>
      <c r="L645" s="2">
        <v>2023</v>
      </c>
      <c r="M645" s="2" t="s">
        <v>158</v>
      </c>
      <c r="N645" s="2" t="s">
        <v>21</v>
      </c>
      <c r="O645">
        <f t="shared" si="20"/>
        <v>4.8399999999999892</v>
      </c>
      <c r="P645">
        <f t="shared" si="21"/>
        <v>43.498000000000019</v>
      </c>
    </row>
    <row r="646" spans="1:16" x14ac:dyDescent="0.35">
      <c r="A646" s="9" t="s">
        <v>176</v>
      </c>
      <c r="B646" s="2">
        <v>129.69</v>
      </c>
      <c r="C646" s="2">
        <v>133.01</v>
      </c>
      <c r="D646" s="2">
        <v>129.33000000000001</v>
      </c>
      <c r="E646" s="2">
        <v>132.21</v>
      </c>
      <c r="F646" s="2">
        <v>46317381</v>
      </c>
      <c r="G646" s="2" t="s">
        <v>558</v>
      </c>
      <c r="H646" s="2" t="s">
        <v>559</v>
      </c>
      <c r="I646" s="2" t="s">
        <v>560</v>
      </c>
      <c r="J646" s="3">
        <v>3.0880000000000001</v>
      </c>
      <c r="K646" s="2" t="s">
        <v>157</v>
      </c>
      <c r="L646" s="2">
        <v>2023</v>
      </c>
      <c r="M646" s="2" t="s">
        <v>158</v>
      </c>
      <c r="N646" s="2" t="s">
        <v>21</v>
      </c>
      <c r="O646">
        <f t="shared" si="20"/>
        <v>3.6799999999999784</v>
      </c>
      <c r="P646">
        <f t="shared" si="21"/>
        <v>46.58600000000002</v>
      </c>
    </row>
    <row r="647" spans="1:16" x14ac:dyDescent="0.35">
      <c r="A647" s="9" t="s">
        <v>177</v>
      </c>
      <c r="B647" s="2">
        <v>133.19999999999999</v>
      </c>
      <c r="C647" s="2">
        <v>133.87</v>
      </c>
      <c r="D647" s="2">
        <v>132.38</v>
      </c>
      <c r="E647" s="2">
        <v>133.68</v>
      </c>
      <c r="F647" s="2">
        <v>41901516</v>
      </c>
      <c r="G647" s="2" t="s">
        <v>558</v>
      </c>
      <c r="H647" s="2" t="s">
        <v>559</v>
      </c>
      <c r="I647" s="2" t="s">
        <v>560</v>
      </c>
      <c r="J647" s="3">
        <v>1.1120000000000001</v>
      </c>
      <c r="K647" s="2" t="s">
        <v>157</v>
      </c>
      <c r="L647" s="2">
        <v>2023</v>
      </c>
      <c r="M647" s="2" t="s">
        <v>158</v>
      </c>
      <c r="N647" s="2" t="s">
        <v>21</v>
      </c>
      <c r="O647">
        <f t="shared" si="20"/>
        <v>1.4900000000000091</v>
      </c>
      <c r="P647">
        <f t="shared" si="21"/>
        <v>47.698000000000022</v>
      </c>
    </row>
    <row r="648" spans="1:16" x14ac:dyDescent="0.35">
      <c r="A648" s="9" t="s">
        <v>178</v>
      </c>
      <c r="B648" s="2">
        <v>133.55000000000001</v>
      </c>
      <c r="C648" s="2">
        <v>133.69</v>
      </c>
      <c r="D648" s="2">
        <v>131.62</v>
      </c>
      <c r="E648" s="2">
        <v>131.69</v>
      </c>
      <c r="F648" s="2">
        <v>42298925</v>
      </c>
      <c r="G648" s="2" t="s">
        <v>558</v>
      </c>
      <c r="H648" s="2" t="s">
        <v>559</v>
      </c>
      <c r="I648" s="2" t="s">
        <v>560</v>
      </c>
      <c r="J648" s="4">
        <v>-1.4890000000000001</v>
      </c>
      <c r="K648" s="2" t="s">
        <v>179</v>
      </c>
      <c r="L648" s="2">
        <v>2023</v>
      </c>
      <c r="M648" s="2" t="s">
        <v>180</v>
      </c>
      <c r="N648" s="2" t="s">
        <v>23</v>
      </c>
      <c r="O648">
        <f t="shared" si="20"/>
        <v>2.0699999999999932</v>
      </c>
      <c r="P648">
        <f t="shared" si="21"/>
        <v>46.209000000000024</v>
      </c>
    </row>
    <row r="649" spans="1:16" x14ac:dyDescent="0.35">
      <c r="A649" s="9" t="s">
        <v>181</v>
      </c>
      <c r="B649" s="2">
        <v>130.154</v>
      </c>
      <c r="C649" s="2">
        <v>130.22999999999999</v>
      </c>
      <c r="D649" s="2">
        <v>126.82</v>
      </c>
      <c r="E649" s="2">
        <v>128.21</v>
      </c>
      <c r="F649" s="2">
        <v>51027614</v>
      </c>
      <c r="G649" s="2" t="s">
        <v>558</v>
      </c>
      <c r="H649" s="2" t="s">
        <v>559</v>
      </c>
      <c r="I649" s="2" t="s">
        <v>560</v>
      </c>
      <c r="J649" s="4">
        <v>-2.6429999999999998</v>
      </c>
      <c r="K649" s="2" t="s">
        <v>179</v>
      </c>
      <c r="L649" s="2">
        <v>2023</v>
      </c>
      <c r="M649" s="2" t="s">
        <v>180</v>
      </c>
      <c r="N649" s="2" t="s">
        <v>23</v>
      </c>
      <c r="O649">
        <f t="shared" si="20"/>
        <v>3.4099999999999966</v>
      </c>
      <c r="P649">
        <f t="shared" si="21"/>
        <v>43.566000000000024</v>
      </c>
    </row>
    <row r="650" spans="1:16" x14ac:dyDescent="0.35">
      <c r="A650" s="9" t="s">
        <v>182</v>
      </c>
      <c r="B650" s="2">
        <v>127.48</v>
      </c>
      <c r="C650" s="2">
        <v>129.84</v>
      </c>
      <c r="D650" s="2">
        <v>126.41</v>
      </c>
      <c r="E650" s="2">
        <v>128.91</v>
      </c>
      <c r="F650" s="2">
        <v>91163736</v>
      </c>
      <c r="G650" s="2" t="s">
        <v>558</v>
      </c>
      <c r="H650" s="2" t="s">
        <v>559</v>
      </c>
      <c r="I650" s="2" t="s">
        <v>560</v>
      </c>
      <c r="J650" s="3">
        <v>0.54600000000000004</v>
      </c>
      <c r="K650" s="2" t="s">
        <v>179</v>
      </c>
      <c r="L650" s="2">
        <v>2023</v>
      </c>
      <c r="M650" s="2" t="s">
        <v>180</v>
      </c>
      <c r="N650" s="2" t="s">
        <v>21</v>
      </c>
      <c r="O650">
        <f t="shared" si="20"/>
        <v>3.4300000000000068</v>
      </c>
      <c r="P650">
        <f t="shared" si="21"/>
        <v>44.112000000000023</v>
      </c>
    </row>
    <row r="651" spans="1:16" x14ac:dyDescent="0.35">
      <c r="A651" s="9" t="s">
        <v>183</v>
      </c>
      <c r="B651" s="2">
        <v>141.06</v>
      </c>
      <c r="C651" s="2">
        <v>143.63</v>
      </c>
      <c r="D651" s="2">
        <v>139.32</v>
      </c>
      <c r="E651" s="2">
        <v>139.57</v>
      </c>
      <c r="F651" s="2">
        <v>153128470</v>
      </c>
      <c r="G651" s="2" t="s">
        <v>558</v>
      </c>
      <c r="H651" s="2" t="s">
        <v>559</v>
      </c>
      <c r="I651" s="2" t="s">
        <v>560</v>
      </c>
      <c r="J651" s="3">
        <v>8.2690000000000001</v>
      </c>
      <c r="K651" s="2" t="s">
        <v>179</v>
      </c>
      <c r="L651" s="2">
        <v>2023</v>
      </c>
      <c r="M651" s="2" t="s">
        <v>180</v>
      </c>
      <c r="N651" s="2" t="s">
        <v>21</v>
      </c>
      <c r="O651">
        <f t="shared" si="20"/>
        <v>4.3100000000000023</v>
      </c>
      <c r="P651">
        <f t="shared" si="21"/>
        <v>52.381000000000022</v>
      </c>
    </row>
    <row r="652" spans="1:16" x14ac:dyDescent="0.35">
      <c r="A652" s="9" t="s">
        <v>184</v>
      </c>
      <c r="B652" s="2">
        <v>140.99</v>
      </c>
      <c r="C652" s="2">
        <v>142.54</v>
      </c>
      <c r="D652" s="2">
        <v>138.94999999999999</v>
      </c>
      <c r="E652" s="2">
        <v>142.22</v>
      </c>
      <c r="F652" s="2">
        <v>71213112</v>
      </c>
      <c r="G652" s="2" t="s">
        <v>558</v>
      </c>
      <c r="H652" s="2" t="s">
        <v>559</v>
      </c>
      <c r="I652" s="2" t="s">
        <v>560</v>
      </c>
      <c r="J652" s="3">
        <v>1.899</v>
      </c>
      <c r="K652" s="2" t="s">
        <v>179</v>
      </c>
      <c r="L652" s="2">
        <v>2023</v>
      </c>
      <c r="M652" s="2" t="s">
        <v>180</v>
      </c>
      <c r="N652" s="2" t="s">
        <v>21</v>
      </c>
      <c r="O652">
        <f t="shared" si="20"/>
        <v>3.5900000000000034</v>
      </c>
      <c r="P652">
        <f t="shared" si="21"/>
        <v>54.280000000000022</v>
      </c>
    </row>
    <row r="653" spans="1:16" x14ac:dyDescent="0.35">
      <c r="A653" s="9" t="s">
        <v>185</v>
      </c>
      <c r="B653" s="2">
        <v>140.62</v>
      </c>
      <c r="C653" s="2">
        <v>140.84</v>
      </c>
      <c r="D653" s="2">
        <v>138.41999999999999</v>
      </c>
      <c r="E653" s="2">
        <v>139.94</v>
      </c>
      <c r="F653" s="2">
        <v>51710497</v>
      </c>
      <c r="G653" s="2" t="s">
        <v>558</v>
      </c>
      <c r="H653" s="2" t="s">
        <v>559</v>
      </c>
      <c r="I653" s="2" t="s">
        <v>560</v>
      </c>
      <c r="J653" s="4">
        <v>-1.603</v>
      </c>
      <c r="K653" s="2" t="s">
        <v>179</v>
      </c>
      <c r="L653" s="2">
        <v>2023</v>
      </c>
      <c r="M653" s="2" t="s">
        <v>180</v>
      </c>
      <c r="N653" s="2" t="s">
        <v>23</v>
      </c>
      <c r="O653">
        <f t="shared" si="20"/>
        <v>2.4200000000000159</v>
      </c>
      <c r="P653">
        <f t="shared" si="21"/>
        <v>52.677000000000021</v>
      </c>
    </row>
    <row r="654" spans="1:16" x14ac:dyDescent="0.35">
      <c r="A654" s="9" t="s">
        <v>186</v>
      </c>
      <c r="B654" s="2">
        <v>139.97</v>
      </c>
      <c r="C654" s="2">
        <v>140.32</v>
      </c>
      <c r="D654" s="2">
        <v>137.1</v>
      </c>
      <c r="E654" s="2">
        <v>137.85</v>
      </c>
      <c r="F654" s="2">
        <v>50017349</v>
      </c>
      <c r="G654" s="2" t="s">
        <v>558</v>
      </c>
      <c r="H654" s="2" t="s">
        <v>559</v>
      </c>
      <c r="I654" s="2" t="s">
        <v>560</v>
      </c>
      <c r="J654" s="4">
        <v>-1.4930000000000001</v>
      </c>
      <c r="K654" s="2" t="s">
        <v>179</v>
      </c>
      <c r="L654" s="2">
        <v>2023</v>
      </c>
      <c r="M654" s="2" t="s">
        <v>180</v>
      </c>
      <c r="N654" s="2" t="s">
        <v>23</v>
      </c>
      <c r="O654">
        <f t="shared" si="20"/>
        <v>3.2199999999999989</v>
      </c>
      <c r="P654">
        <f t="shared" si="21"/>
        <v>51.184000000000019</v>
      </c>
    </row>
    <row r="655" spans="1:16" x14ac:dyDescent="0.35">
      <c r="A655" s="9" t="s">
        <v>187</v>
      </c>
      <c r="B655" s="2">
        <v>139.07499999999999</v>
      </c>
      <c r="C655" s="2">
        <v>140.41</v>
      </c>
      <c r="D655" s="2">
        <v>137.49</v>
      </c>
      <c r="E655" s="2">
        <v>138.56</v>
      </c>
      <c r="F655" s="2">
        <v>58928402</v>
      </c>
      <c r="G655" s="2" t="s">
        <v>558</v>
      </c>
      <c r="H655" s="2" t="s">
        <v>559</v>
      </c>
      <c r="I655" s="2" t="s">
        <v>560</v>
      </c>
      <c r="J655" s="3">
        <v>0.51500000000000001</v>
      </c>
      <c r="K655" s="2" t="s">
        <v>179</v>
      </c>
      <c r="L655" s="2">
        <v>2023</v>
      </c>
      <c r="M655" s="2" t="s">
        <v>180</v>
      </c>
      <c r="N655" s="2" t="s">
        <v>21</v>
      </c>
      <c r="O655">
        <f t="shared" si="20"/>
        <v>2.9199999999999875</v>
      </c>
      <c r="P655">
        <f t="shared" si="21"/>
        <v>51.699000000000019</v>
      </c>
    </row>
    <row r="656" spans="1:16" x14ac:dyDescent="0.35">
      <c r="A656" s="9" t="s">
        <v>188</v>
      </c>
      <c r="B656" s="2">
        <v>137.4</v>
      </c>
      <c r="C656" s="2">
        <v>139.33000000000001</v>
      </c>
      <c r="D656" s="2">
        <v>137</v>
      </c>
      <c r="E656" s="2">
        <v>138.41</v>
      </c>
      <c r="F656" s="2">
        <v>42905833</v>
      </c>
      <c r="G656" s="2" t="s">
        <v>558</v>
      </c>
      <c r="H656" s="2" t="s">
        <v>559</v>
      </c>
      <c r="I656" s="2" t="s">
        <v>560</v>
      </c>
      <c r="J656" s="4">
        <v>-0.108</v>
      </c>
      <c r="K656" s="2" t="s">
        <v>179</v>
      </c>
      <c r="L656" s="2">
        <v>2023</v>
      </c>
      <c r="M656" s="2" t="s">
        <v>180</v>
      </c>
      <c r="N656" s="2" t="s">
        <v>23</v>
      </c>
      <c r="O656">
        <f t="shared" si="20"/>
        <v>2.3300000000000125</v>
      </c>
      <c r="P656">
        <f t="shared" si="21"/>
        <v>51.591000000000022</v>
      </c>
    </row>
    <row r="657" spans="1:16" x14ac:dyDescent="0.35">
      <c r="A657" s="9" t="s">
        <v>189</v>
      </c>
      <c r="B657" s="2">
        <v>138.30000000000001</v>
      </c>
      <c r="C657" s="2">
        <v>140.59</v>
      </c>
      <c r="D657" s="2">
        <v>137.75</v>
      </c>
      <c r="E657" s="2">
        <v>140.57</v>
      </c>
      <c r="F657" s="2">
        <v>47148699</v>
      </c>
      <c r="G657" s="2" t="s">
        <v>558</v>
      </c>
      <c r="H657" s="2" t="s">
        <v>559</v>
      </c>
      <c r="I657" s="2" t="s">
        <v>560</v>
      </c>
      <c r="J657" s="3">
        <v>1.5609999999999999</v>
      </c>
      <c r="K657" s="2" t="s">
        <v>179</v>
      </c>
      <c r="L657" s="2">
        <v>2023</v>
      </c>
      <c r="M657" s="2" t="s">
        <v>180</v>
      </c>
      <c r="N657" s="2" t="s">
        <v>21</v>
      </c>
      <c r="O657">
        <f t="shared" si="20"/>
        <v>2.8400000000000034</v>
      </c>
      <c r="P657">
        <f t="shared" si="21"/>
        <v>53.152000000000022</v>
      </c>
    </row>
    <row r="658" spans="1:16" x14ac:dyDescent="0.35">
      <c r="A658" s="9" t="s">
        <v>190</v>
      </c>
      <c r="B658" s="2">
        <v>140.05000000000001</v>
      </c>
      <c r="C658" s="2">
        <v>141.27799999999999</v>
      </c>
      <c r="D658" s="2">
        <v>137.22999999999999</v>
      </c>
      <c r="E658" s="2">
        <v>137.66999999999999</v>
      </c>
      <c r="F658" s="2">
        <v>42781521</v>
      </c>
      <c r="G658" s="2" t="s">
        <v>558</v>
      </c>
      <c r="H658" s="2" t="s">
        <v>559</v>
      </c>
      <c r="I658" s="2" t="s">
        <v>560</v>
      </c>
      <c r="J658" s="4">
        <v>-2.0630000000000002</v>
      </c>
      <c r="K658" s="2" t="s">
        <v>179</v>
      </c>
      <c r="L658" s="2">
        <v>2023</v>
      </c>
      <c r="M658" s="2" t="s">
        <v>180</v>
      </c>
      <c r="N658" s="2" t="s">
        <v>23</v>
      </c>
      <c r="O658">
        <f t="shared" si="20"/>
        <v>4.0480000000000018</v>
      </c>
      <c r="P658">
        <f t="shared" si="21"/>
        <v>51.08900000000002</v>
      </c>
    </row>
    <row r="659" spans="1:16" x14ac:dyDescent="0.35">
      <c r="A659" s="9" t="s">
        <v>191</v>
      </c>
      <c r="B659" s="2">
        <v>137.19</v>
      </c>
      <c r="C659" s="2">
        <v>137.27000000000001</v>
      </c>
      <c r="D659" s="2">
        <v>135.01</v>
      </c>
      <c r="E659" s="2">
        <v>135.07</v>
      </c>
      <c r="F659" s="2">
        <v>41675903</v>
      </c>
      <c r="G659" s="2" t="s">
        <v>558</v>
      </c>
      <c r="H659" s="2" t="s">
        <v>559</v>
      </c>
      <c r="I659" s="2" t="s">
        <v>560</v>
      </c>
      <c r="J659" s="4">
        <v>-1.889</v>
      </c>
      <c r="K659" s="2" t="s">
        <v>179</v>
      </c>
      <c r="L659" s="2">
        <v>2023</v>
      </c>
      <c r="M659" s="2" t="s">
        <v>180</v>
      </c>
      <c r="N659" s="2" t="s">
        <v>23</v>
      </c>
      <c r="O659">
        <f t="shared" si="20"/>
        <v>2.2600000000000193</v>
      </c>
      <c r="P659">
        <f t="shared" si="21"/>
        <v>49.200000000000017</v>
      </c>
    </row>
    <row r="660" spans="1:16" x14ac:dyDescent="0.35">
      <c r="A660" s="9" t="s">
        <v>192</v>
      </c>
      <c r="B660" s="2">
        <v>135.46</v>
      </c>
      <c r="C660" s="2">
        <v>136.08500000000001</v>
      </c>
      <c r="D660" s="2">
        <v>133.53</v>
      </c>
      <c r="E660" s="2">
        <v>133.97999999999999</v>
      </c>
      <c r="F660" s="2">
        <v>48354085</v>
      </c>
      <c r="G660" s="2" t="s">
        <v>558</v>
      </c>
      <c r="H660" s="2" t="s">
        <v>559</v>
      </c>
      <c r="I660" s="2" t="s">
        <v>560</v>
      </c>
      <c r="J660" s="4">
        <v>-0.80700000000000005</v>
      </c>
      <c r="K660" s="2" t="s">
        <v>179</v>
      </c>
      <c r="L660" s="2">
        <v>2023</v>
      </c>
      <c r="M660" s="2" t="s">
        <v>180</v>
      </c>
      <c r="N660" s="2" t="s">
        <v>23</v>
      </c>
      <c r="O660">
        <f t="shared" si="20"/>
        <v>2.5550000000000068</v>
      </c>
      <c r="P660">
        <f t="shared" si="21"/>
        <v>48.393000000000015</v>
      </c>
    </row>
    <row r="661" spans="1:16" x14ac:dyDescent="0.35">
      <c r="A661" s="9" t="s">
        <v>193</v>
      </c>
      <c r="B661" s="2">
        <v>131.62</v>
      </c>
      <c r="C661" s="2">
        <v>134.065</v>
      </c>
      <c r="D661" s="2">
        <v>131.15</v>
      </c>
      <c r="E661" s="2">
        <v>133.22</v>
      </c>
      <c r="F661" s="2">
        <v>48497698</v>
      </c>
      <c r="G661" s="2" t="s">
        <v>558</v>
      </c>
      <c r="H661" s="2" t="s">
        <v>559</v>
      </c>
      <c r="I661" s="2" t="s">
        <v>560</v>
      </c>
      <c r="J661" s="4">
        <v>-0.56699999999999995</v>
      </c>
      <c r="K661" s="2" t="s">
        <v>179</v>
      </c>
      <c r="L661" s="2">
        <v>2023</v>
      </c>
      <c r="M661" s="2" t="s">
        <v>180</v>
      </c>
      <c r="N661" s="2" t="s">
        <v>23</v>
      </c>
      <c r="O661">
        <f t="shared" si="20"/>
        <v>2.914999999999992</v>
      </c>
      <c r="P661">
        <f t="shared" si="21"/>
        <v>47.826000000000015</v>
      </c>
    </row>
    <row r="662" spans="1:16" x14ac:dyDescent="0.35">
      <c r="A662" s="9" t="s">
        <v>194</v>
      </c>
      <c r="B662" s="2">
        <v>133.74</v>
      </c>
      <c r="C662" s="2">
        <v>135.185</v>
      </c>
      <c r="D662" s="2">
        <v>132.71</v>
      </c>
      <c r="E662" s="2">
        <v>134.68</v>
      </c>
      <c r="F662" s="2">
        <v>41442483</v>
      </c>
      <c r="G662" s="2" t="s">
        <v>558</v>
      </c>
      <c r="H662" s="2" t="s">
        <v>559</v>
      </c>
      <c r="I662" s="2" t="s">
        <v>560</v>
      </c>
      <c r="J662" s="3">
        <v>1.0960000000000001</v>
      </c>
      <c r="K662" s="2" t="s">
        <v>179</v>
      </c>
      <c r="L662" s="2">
        <v>2023</v>
      </c>
      <c r="M662" s="2" t="s">
        <v>180</v>
      </c>
      <c r="N662" s="2" t="s">
        <v>21</v>
      </c>
      <c r="O662">
        <f t="shared" si="20"/>
        <v>2.4749999999999943</v>
      </c>
      <c r="P662">
        <f t="shared" si="21"/>
        <v>48.922000000000011</v>
      </c>
    </row>
    <row r="663" spans="1:16" x14ac:dyDescent="0.35">
      <c r="A663" s="9" t="s">
        <v>195</v>
      </c>
      <c r="B663" s="2">
        <v>135.08000000000001</v>
      </c>
      <c r="C663" s="2">
        <v>135.65</v>
      </c>
      <c r="D663" s="2">
        <v>133.72999999999999</v>
      </c>
      <c r="E663" s="2">
        <v>134.25</v>
      </c>
      <c r="F663" s="2">
        <v>32935104</v>
      </c>
      <c r="G663" s="2" t="s">
        <v>558</v>
      </c>
      <c r="H663" s="2" t="s">
        <v>559</v>
      </c>
      <c r="I663" s="2" t="s">
        <v>560</v>
      </c>
      <c r="J663" s="4">
        <v>-0.31900000000000001</v>
      </c>
      <c r="K663" s="2" t="s">
        <v>179</v>
      </c>
      <c r="L663" s="2">
        <v>2023</v>
      </c>
      <c r="M663" s="2" t="s">
        <v>180</v>
      </c>
      <c r="N663" s="2" t="s">
        <v>23</v>
      </c>
      <c r="O663">
        <f t="shared" si="20"/>
        <v>1.9200000000000159</v>
      </c>
      <c r="P663">
        <f t="shared" si="21"/>
        <v>48.603000000000009</v>
      </c>
    </row>
    <row r="664" spans="1:16" x14ac:dyDescent="0.35">
      <c r="A664" s="9" t="s">
        <v>196</v>
      </c>
      <c r="B664" s="2">
        <v>134.5</v>
      </c>
      <c r="C664" s="2">
        <v>135.94999999999999</v>
      </c>
      <c r="D664" s="2">
        <v>133.22</v>
      </c>
      <c r="E664" s="2">
        <v>135.52000000000001</v>
      </c>
      <c r="F664" s="2">
        <v>42801043</v>
      </c>
      <c r="G664" s="2" t="s">
        <v>558</v>
      </c>
      <c r="H664" s="2" t="s">
        <v>559</v>
      </c>
      <c r="I664" s="2" t="s">
        <v>560</v>
      </c>
      <c r="J664" s="3">
        <v>0.94599999999999995</v>
      </c>
      <c r="K664" s="2" t="s">
        <v>179</v>
      </c>
      <c r="L664" s="2">
        <v>2023</v>
      </c>
      <c r="M664" s="2" t="s">
        <v>180</v>
      </c>
      <c r="N664" s="2" t="s">
        <v>21</v>
      </c>
      <c r="O664">
        <f t="shared" si="20"/>
        <v>2.7299999999999898</v>
      </c>
      <c r="P664">
        <f t="shared" si="21"/>
        <v>49.549000000000007</v>
      </c>
    </row>
    <row r="665" spans="1:16" x14ac:dyDescent="0.35">
      <c r="A665" s="9" t="s">
        <v>197</v>
      </c>
      <c r="B665" s="2">
        <v>136.4</v>
      </c>
      <c r="C665" s="2">
        <v>136.77500000000001</v>
      </c>
      <c r="D665" s="2">
        <v>131.83000000000001</v>
      </c>
      <c r="E665" s="2">
        <v>131.84</v>
      </c>
      <c r="F665" s="2">
        <v>43646250</v>
      </c>
      <c r="G665" s="2" t="s">
        <v>558</v>
      </c>
      <c r="H665" s="2" t="s">
        <v>559</v>
      </c>
      <c r="I665" s="2" t="s">
        <v>560</v>
      </c>
      <c r="J665" s="4">
        <v>-2.7149999999999999</v>
      </c>
      <c r="K665" s="2" t="s">
        <v>179</v>
      </c>
      <c r="L665" s="2">
        <v>2023</v>
      </c>
      <c r="M665" s="2" t="s">
        <v>180</v>
      </c>
      <c r="N665" s="2" t="s">
        <v>23</v>
      </c>
      <c r="O665">
        <f t="shared" si="20"/>
        <v>4.9449999999999932</v>
      </c>
      <c r="P665">
        <f t="shared" si="21"/>
        <v>46.834000000000003</v>
      </c>
    </row>
    <row r="666" spans="1:16" x14ac:dyDescent="0.35">
      <c r="A666" s="9" t="s">
        <v>198</v>
      </c>
      <c r="B666" s="2">
        <v>132.47</v>
      </c>
      <c r="C666" s="2">
        <v>133.87</v>
      </c>
      <c r="D666" s="2">
        <v>130.58000000000001</v>
      </c>
      <c r="E666" s="2">
        <v>133.26</v>
      </c>
      <c r="F666" s="2">
        <v>44147451</v>
      </c>
      <c r="G666" s="2" t="s">
        <v>558</v>
      </c>
      <c r="H666" s="2" t="s">
        <v>559</v>
      </c>
      <c r="I666" s="2" t="s">
        <v>560</v>
      </c>
      <c r="J666" s="3">
        <v>1.077</v>
      </c>
      <c r="K666" s="2" t="s">
        <v>179</v>
      </c>
      <c r="L666" s="2">
        <v>2023</v>
      </c>
      <c r="M666" s="2" t="s">
        <v>180</v>
      </c>
      <c r="N666" s="2" t="s">
        <v>21</v>
      </c>
      <c r="O666">
        <f t="shared" si="20"/>
        <v>3.289999999999992</v>
      </c>
      <c r="P666">
        <f t="shared" si="21"/>
        <v>47.911000000000001</v>
      </c>
    </row>
    <row r="667" spans="1:16" x14ac:dyDescent="0.35">
      <c r="A667" s="9" t="s">
        <v>199</v>
      </c>
      <c r="B667" s="2">
        <v>133.78</v>
      </c>
      <c r="C667" s="2">
        <v>133.94999999999999</v>
      </c>
      <c r="D667" s="2">
        <v>131.85</v>
      </c>
      <c r="E667" s="2">
        <v>133.13999999999999</v>
      </c>
      <c r="F667" s="2">
        <v>34108410</v>
      </c>
      <c r="G667" s="2" t="s">
        <v>558</v>
      </c>
      <c r="H667" s="2" t="s">
        <v>559</v>
      </c>
      <c r="I667" s="2" t="s">
        <v>560</v>
      </c>
      <c r="J667" s="4">
        <v>-0.09</v>
      </c>
      <c r="K667" s="2" t="s">
        <v>179</v>
      </c>
      <c r="L667" s="2">
        <v>2023</v>
      </c>
      <c r="M667" s="2" t="s">
        <v>180</v>
      </c>
      <c r="N667" s="2" t="s">
        <v>23</v>
      </c>
      <c r="O667">
        <f t="shared" si="20"/>
        <v>2.0999999999999943</v>
      </c>
      <c r="P667">
        <f t="shared" si="21"/>
        <v>47.820999999999998</v>
      </c>
    </row>
    <row r="668" spans="1:16" x14ac:dyDescent="0.35">
      <c r="A668" s="9" t="s">
        <v>200</v>
      </c>
      <c r="B668" s="2">
        <v>133.38</v>
      </c>
      <c r="C668" s="2">
        <v>135.13999999999999</v>
      </c>
      <c r="D668" s="2">
        <v>133.25</v>
      </c>
      <c r="E668" s="2">
        <v>134.91</v>
      </c>
      <c r="F668" s="2">
        <v>38646093</v>
      </c>
      <c r="G668" s="2" t="s">
        <v>558</v>
      </c>
      <c r="H668" s="2" t="s">
        <v>559</v>
      </c>
      <c r="I668" s="2" t="s">
        <v>560</v>
      </c>
      <c r="J668" s="3">
        <v>1.329</v>
      </c>
      <c r="K668" s="2" t="s">
        <v>179</v>
      </c>
      <c r="L668" s="2">
        <v>2023</v>
      </c>
      <c r="M668" s="2" t="s">
        <v>180</v>
      </c>
      <c r="N668" s="2" t="s">
        <v>21</v>
      </c>
      <c r="O668">
        <f t="shared" si="20"/>
        <v>1.8899999999999864</v>
      </c>
      <c r="P668">
        <f t="shared" si="21"/>
        <v>49.15</v>
      </c>
    </row>
    <row r="669" spans="1:16" x14ac:dyDescent="0.35">
      <c r="A669" s="9" t="s">
        <v>201</v>
      </c>
      <c r="B669" s="2">
        <v>134.93</v>
      </c>
      <c r="C669" s="2">
        <v>135.68</v>
      </c>
      <c r="D669" s="2">
        <v>133.91999999999999</v>
      </c>
      <c r="E669" s="2">
        <v>135.07</v>
      </c>
      <c r="F669" s="2">
        <v>36137015</v>
      </c>
      <c r="G669" s="2" t="s">
        <v>558</v>
      </c>
      <c r="H669" s="2" t="s">
        <v>559</v>
      </c>
      <c r="I669" s="2" t="s">
        <v>560</v>
      </c>
      <c r="J669" s="3">
        <v>0.11899999999999999</v>
      </c>
      <c r="K669" s="2" t="s">
        <v>179</v>
      </c>
      <c r="L669" s="2">
        <v>2023</v>
      </c>
      <c r="M669" s="2" t="s">
        <v>180</v>
      </c>
      <c r="N669" s="2" t="s">
        <v>21</v>
      </c>
      <c r="O669">
        <f t="shared" si="20"/>
        <v>1.7600000000000193</v>
      </c>
      <c r="P669">
        <f t="shared" si="21"/>
        <v>49.268999999999998</v>
      </c>
    </row>
    <row r="670" spans="1:16" x14ac:dyDescent="0.35">
      <c r="A670" s="9" t="s">
        <v>202</v>
      </c>
      <c r="B670" s="2">
        <v>135.06</v>
      </c>
      <c r="C670" s="2">
        <v>138.78800000000001</v>
      </c>
      <c r="D670" s="2">
        <v>135</v>
      </c>
      <c r="E670" s="2">
        <v>138.01</v>
      </c>
      <c r="F670" s="2">
        <v>58781314</v>
      </c>
      <c r="G670" s="2" t="s">
        <v>558</v>
      </c>
      <c r="H670" s="2" t="s">
        <v>559</v>
      </c>
      <c r="I670" s="2" t="s">
        <v>560</v>
      </c>
      <c r="J670" s="3">
        <v>2.177</v>
      </c>
      <c r="K670" s="2" t="s">
        <v>179</v>
      </c>
      <c r="L670" s="2">
        <v>2023</v>
      </c>
      <c r="M670" s="2" t="s">
        <v>180</v>
      </c>
      <c r="N670" s="2" t="s">
        <v>21</v>
      </c>
      <c r="O670">
        <f t="shared" si="20"/>
        <v>3.7880000000000109</v>
      </c>
      <c r="P670">
        <f t="shared" si="21"/>
        <v>51.445999999999998</v>
      </c>
    </row>
    <row r="671" spans="1:16" x14ac:dyDescent="0.35">
      <c r="A671" s="9" t="s">
        <v>203</v>
      </c>
      <c r="B671" s="2">
        <v>139.45500000000001</v>
      </c>
      <c r="C671" s="2">
        <v>139.96</v>
      </c>
      <c r="D671" s="2">
        <v>136.875</v>
      </c>
      <c r="E671" s="2">
        <v>138.12</v>
      </c>
      <c r="F671" s="2">
        <v>40991536</v>
      </c>
      <c r="G671" s="2" t="s">
        <v>558</v>
      </c>
      <c r="H671" s="2" t="s">
        <v>559</v>
      </c>
      <c r="I671" s="2" t="s">
        <v>560</v>
      </c>
      <c r="J671" s="3">
        <v>0.08</v>
      </c>
      <c r="K671" s="2" t="s">
        <v>204</v>
      </c>
      <c r="L671" s="2">
        <v>2023</v>
      </c>
      <c r="M671" s="2" t="s">
        <v>205</v>
      </c>
      <c r="N671" s="2" t="s">
        <v>21</v>
      </c>
      <c r="O671">
        <f t="shared" si="20"/>
        <v>3.085000000000008</v>
      </c>
      <c r="P671">
        <f t="shared" si="21"/>
        <v>51.525999999999996</v>
      </c>
    </row>
    <row r="672" spans="1:16" x14ac:dyDescent="0.35">
      <c r="A672" s="9" t="s">
        <v>206</v>
      </c>
      <c r="B672" s="2">
        <v>137.72999999999999</v>
      </c>
      <c r="C672" s="2">
        <v>137.80000000000001</v>
      </c>
      <c r="D672" s="2">
        <v>135.82</v>
      </c>
      <c r="E672" s="2">
        <v>137.27000000000001</v>
      </c>
      <c r="F672" s="2">
        <v>40636738</v>
      </c>
      <c r="G672" s="2" t="s">
        <v>558</v>
      </c>
      <c r="H672" s="2" t="s">
        <v>559</v>
      </c>
      <c r="I672" s="2" t="s">
        <v>560</v>
      </c>
      <c r="J672" s="4">
        <v>-0.61499999999999999</v>
      </c>
      <c r="K672" s="2" t="s">
        <v>204</v>
      </c>
      <c r="L672" s="2">
        <v>2023</v>
      </c>
      <c r="M672" s="2" t="s">
        <v>205</v>
      </c>
      <c r="N672" s="2" t="s">
        <v>23</v>
      </c>
      <c r="O672">
        <f t="shared" si="20"/>
        <v>1.9800000000000182</v>
      </c>
      <c r="P672">
        <f t="shared" si="21"/>
        <v>50.910999999999994</v>
      </c>
    </row>
    <row r="673" spans="1:16" x14ac:dyDescent="0.35">
      <c r="A673" s="9" t="s">
        <v>207</v>
      </c>
      <c r="B673" s="2">
        <v>136.32</v>
      </c>
      <c r="C673" s="2">
        <v>137.44999999999999</v>
      </c>
      <c r="D673" s="2">
        <v>134.61000000000001</v>
      </c>
      <c r="E673" s="2">
        <v>135.36000000000001</v>
      </c>
      <c r="F673" s="2">
        <v>41785507</v>
      </c>
      <c r="G673" s="2" t="s">
        <v>558</v>
      </c>
      <c r="H673" s="2" t="s">
        <v>559</v>
      </c>
      <c r="I673" s="2" t="s">
        <v>560</v>
      </c>
      <c r="J673" s="4">
        <v>-1.391</v>
      </c>
      <c r="K673" s="2" t="s">
        <v>204</v>
      </c>
      <c r="L673" s="2">
        <v>2023</v>
      </c>
      <c r="M673" s="2" t="s">
        <v>205</v>
      </c>
      <c r="N673" s="2" t="s">
        <v>23</v>
      </c>
      <c r="O673">
        <f t="shared" si="20"/>
        <v>2.839999999999975</v>
      </c>
      <c r="P673">
        <f t="shared" si="21"/>
        <v>49.519999999999996</v>
      </c>
    </row>
    <row r="674" spans="1:16" x14ac:dyDescent="0.35">
      <c r="A674" s="9" t="s">
        <v>208</v>
      </c>
      <c r="B674" s="2">
        <v>133.9</v>
      </c>
      <c r="C674" s="2">
        <v>138.03</v>
      </c>
      <c r="D674" s="2">
        <v>133.16</v>
      </c>
      <c r="E674" s="2">
        <v>137.85</v>
      </c>
      <c r="F674" s="2">
        <v>48498912</v>
      </c>
      <c r="G674" s="2" t="s">
        <v>558</v>
      </c>
      <c r="H674" s="2" t="s">
        <v>559</v>
      </c>
      <c r="I674" s="2" t="s">
        <v>560</v>
      </c>
      <c r="J674" s="3">
        <v>1.84</v>
      </c>
      <c r="K674" s="2" t="s">
        <v>204</v>
      </c>
      <c r="L674" s="2">
        <v>2023</v>
      </c>
      <c r="M674" s="2" t="s">
        <v>205</v>
      </c>
      <c r="N674" s="2" t="s">
        <v>21</v>
      </c>
      <c r="O674">
        <f t="shared" si="20"/>
        <v>4.8700000000000045</v>
      </c>
      <c r="P674">
        <f t="shared" si="21"/>
        <v>51.36</v>
      </c>
    </row>
    <row r="675" spans="1:16" x14ac:dyDescent="0.35">
      <c r="A675" s="9" t="s">
        <v>209</v>
      </c>
      <c r="B675" s="2">
        <v>136.86000000000001</v>
      </c>
      <c r="C675" s="2">
        <v>138.852</v>
      </c>
      <c r="D675" s="2">
        <v>136.75</v>
      </c>
      <c r="E675" s="2">
        <v>138.22999999999999</v>
      </c>
      <c r="F675" s="2">
        <v>38365929</v>
      </c>
      <c r="G675" s="2" t="s">
        <v>558</v>
      </c>
      <c r="H675" s="2" t="s">
        <v>559</v>
      </c>
      <c r="I675" s="2" t="s">
        <v>560</v>
      </c>
      <c r="J675" s="3">
        <v>0.27600000000000002</v>
      </c>
      <c r="K675" s="2" t="s">
        <v>204</v>
      </c>
      <c r="L675" s="2">
        <v>2023</v>
      </c>
      <c r="M675" s="2" t="s">
        <v>205</v>
      </c>
      <c r="N675" s="2" t="s">
        <v>21</v>
      </c>
      <c r="O675">
        <f t="shared" si="20"/>
        <v>2.1020000000000039</v>
      </c>
      <c r="P675">
        <f t="shared" si="21"/>
        <v>51.636000000000003</v>
      </c>
    </row>
    <row r="676" spans="1:16" x14ac:dyDescent="0.35">
      <c r="A676" s="9" t="s">
        <v>210</v>
      </c>
      <c r="B676" s="2">
        <v>138.75</v>
      </c>
      <c r="C676" s="2">
        <v>143.62</v>
      </c>
      <c r="D676" s="2">
        <v>138.63999999999999</v>
      </c>
      <c r="E676" s="2">
        <v>143.1</v>
      </c>
      <c r="F676" s="2">
        <v>56764525</v>
      </c>
      <c r="G676" s="2" t="s">
        <v>558</v>
      </c>
      <c r="H676" s="2" t="s">
        <v>559</v>
      </c>
      <c r="I676" s="2" t="s">
        <v>560</v>
      </c>
      <c r="J676" s="3">
        <v>3.5230000000000001</v>
      </c>
      <c r="K676" s="2" t="s">
        <v>204</v>
      </c>
      <c r="L676" s="2">
        <v>2023</v>
      </c>
      <c r="M676" s="2" t="s">
        <v>205</v>
      </c>
      <c r="N676" s="2" t="s">
        <v>21</v>
      </c>
      <c r="O676">
        <f t="shared" si="20"/>
        <v>4.9800000000000182</v>
      </c>
      <c r="P676">
        <f t="shared" si="21"/>
        <v>55.159000000000006</v>
      </c>
    </row>
    <row r="677" spans="1:16" x14ac:dyDescent="0.35">
      <c r="A677" s="9" t="s">
        <v>211</v>
      </c>
      <c r="B677" s="2">
        <v>142.32</v>
      </c>
      <c r="C677" s="2">
        <v>143</v>
      </c>
      <c r="D677" s="2">
        <v>140.61000000000001</v>
      </c>
      <c r="E677" s="2">
        <v>141.22999999999999</v>
      </c>
      <c r="F677" s="2">
        <v>42668452</v>
      </c>
      <c r="G677" s="2" t="s">
        <v>558</v>
      </c>
      <c r="H677" s="2" t="s">
        <v>559</v>
      </c>
      <c r="I677" s="2" t="s">
        <v>560</v>
      </c>
      <c r="J677" s="4">
        <v>-1.3069999999999999</v>
      </c>
      <c r="K677" s="2" t="s">
        <v>204</v>
      </c>
      <c r="L677" s="2">
        <v>2023</v>
      </c>
      <c r="M677" s="2" t="s">
        <v>205</v>
      </c>
      <c r="N677" s="2" t="s">
        <v>23</v>
      </c>
      <c r="O677">
        <f t="shared" si="20"/>
        <v>2.3899999999999864</v>
      </c>
      <c r="P677">
        <f t="shared" si="21"/>
        <v>53.852000000000004</v>
      </c>
    </row>
    <row r="678" spans="1:16" x14ac:dyDescent="0.35">
      <c r="A678" s="9" t="s">
        <v>212</v>
      </c>
      <c r="B678" s="2">
        <v>140.94999999999999</v>
      </c>
      <c r="C678" s="2">
        <v>144.97999999999999</v>
      </c>
      <c r="D678" s="2">
        <v>140.86500000000001</v>
      </c>
      <c r="E678" s="2">
        <v>144.85</v>
      </c>
      <c r="F678" s="2">
        <v>60465175</v>
      </c>
      <c r="G678" s="2" t="s">
        <v>558</v>
      </c>
      <c r="H678" s="2" t="s">
        <v>559</v>
      </c>
      <c r="I678" s="2" t="s">
        <v>560</v>
      </c>
      <c r="J678" s="3">
        <v>2.5630000000000002</v>
      </c>
      <c r="K678" s="2" t="s">
        <v>204</v>
      </c>
      <c r="L678" s="2">
        <v>2023</v>
      </c>
      <c r="M678" s="2" t="s">
        <v>205</v>
      </c>
      <c r="N678" s="2" t="s">
        <v>21</v>
      </c>
      <c r="O678">
        <f t="shared" si="20"/>
        <v>4.1149999999999807</v>
      </c>
      <c r="P678">
        <f t="shared" si="21"/>
        <v>56.415000000000006</v>
      </c>
    </row>
    <row r="679" spans="1:16" x14ac:dyDescent="0.35">
      <c r="A679" s="9" t="s">
        <v>213</v>
      </c>
      <c r="B679" s="2">
        <v>145.08000000000001</v>
      </c>
      <c r="C679" s="2">
        <v>145.86000000000001</v>
      </c>
      <c r="D679" s="2">
        <v>142.94999999999999</v>
      </c>
      <c r="E679" s="2">
        <v>144.72</v>
      </c>
      <c r="F679" s="2">
        <v>64033607</v>
      </c>
      <c r="G679" s="2" t="s">
        <v>558</v>
      </c>
      <c r="H679" s="2" t="s">
        <v>559</v>
      </c>
      <c r="I679" s="2" t="s">
        <v>560</v>
      </c>
      <c r="J679" s="4">
        <v>-0.09</v>
      </c>
      <c r="K679" s="2" t="s">
        <v>204</v>
      </c>
      <c r="L679" s="2">
        <v>2023</v>
      </c>
      <c r="M679" s="2" t="s">
        <v>205</v>
      </c>
      <c r="N679" s="2" t="s">
        <v>23</v>
      </c>
      <c r="O679">
        <f t="shared" si="20"/>
        <v>2.910000000000025</v>
      </c>
      <c r="P679">
        <f t="shared" si="21"/>
        <v>56.325000000000003</v>
      </c>
    </row>
    <row r="680" spans="1:16" x14ac:dyDescent="0.35">
      <c r="A680" s="9" t="s">
        <v>214</v>
      </c>
      <c r="B680" s="2">
        <v>142.69</v>
      </c>
      <c r="C680" s="2">
        <v>143.57</v>
      </c>
      <c r="D680" s="2">
        <v>140.09</v>
      </c>
      <c r="E680" s="2">
        <v>140.38999999999999</v>
      </c>
      <c r="F680" s="2">
        <v>102909327</v>
      </c>
      <c r="G680" s="2" t="s">
        <v>558</v>
      </c>
      <c r="H680" s="2" t="s">
        <v>559</v>
      </c>
      <c r="I680" s="2" t="s">
        <v>560</v>
      </c>
      <c r="J680" s="4">
        <v>-2.992</v>
      </c>
      <c r="K680" s="2" t="s">
        <v>204</v>
      </c>
      <c r="L680" s="2">
        <v>2023</v>
      </c>
      <c r="M680" s="2" t="s">
        <v>205</v>
      </c>
      <c r="N680" s="2" t="s">
        <v>23</v>
      </c>
      <c r="O680">
        <f t="shared" si="20"/>
        <v>3.4799999999999898</v>
      </c>
      <c r="P680">
        <f t="shared" si="21"/>
        <v>53.333000000000006</v>
      </c>
    </row>
    <row r="681" spans="1:16" x14ac:dyDescent="0.35">
      <c r="A681" s="9" t="s">
        <v>215</v>
      </c>
      <c r="B681" s="2">
        <v>140.47999999999999</v>
      </c>
      <c r="C681" s="2">
        <v>141.75</v>
      </c>
      <c r="D681" s="2">
        <v>139.22</v>
      </c>
      <c r="E681" s="2">
        <v>139.97999999999999</v>
      </c>
      <c r="F681" s="2">
        <v>42823480</v>
      </c>
      <c r="G681" s="2" t="s">
        <v>558</v>
      </c>
      <c r="H681" s="2" t="s">
        <v>559</v>
      </c>
      <c r="I681" s="2" t="s">
        <v>560</v>
      </c>
      <c r="J681" s="4">
        <v>-0.29199999999999998</v>
      </c>
      <c r="K681" s="2" t="s">
        <v>204</v>
      </c>
      <c r="L681" s="2">
        <v>2023</v>
      </c>
      <c r="M681" s="2" t="s">
        <v>205</v>
      </c>
      <c r="N681" s="2" t="s">
        <v>23</v>
      </c>
      <c r="O681">
        <f t="shared" si="20"/>
        <v>2.5300000000000011</v>
      </c>
      <c r="P681">
        <f t="shared" si="21"/>
        <v>53.041000000000004</v>
      </c>
    </row>
    <row r="682" spans="1:16" x14ac:dyDescent="0.35">
      <c r="A682" s="9" t="s">
        <v>216</v>
      </c>
      <c r="B682" s="2">
        <v>138.69999999999999</v>
      </c>
      <c r="C682" s="2">
        <v>138.84</v>
      </c>
      <c r="D682" s="2">
        <v>135.56</v>
      </c>
      <c r="E682" s="2">
        <v>137.63</v>
      </c>
      <c r="F682" s="2">
        <v>61482470</v>
      </c>
      <c r="G682" s="2" t="s">
        <v>558</v>
      </c>
      <c r="H682" s="2" t="s">
        <v>559</v>
      </c>
      <c r="I682" s="2" t="s">
        <v>560</v>
      </c>
      <c r="J682" s="4">
        <v>-1.679</v>
      </c>
      <c r="K682" s="2" t="s">
        <v>204</v>
      </c>
      <c r="L682" s="2">
        <v>2023</v>
      </c>
      <c r="M682" s="2" t="s">
        <v>205</v>
      </c>
      <c r="N682" s="2" t="s">
        <v>23</v>
      </c>
      <c r="O682">
        <f t="shared" si="20"/>
        <v>3.2800000000000011</v>
      </c>
      <c r="P682">
        <f t="shared" si="21"/>
        <v>51.362000000000002</v>
      </c>
    </row>
    <row r="683" spans="1:16" x14ac:dyDescent="0.35">
      <c r="A683" s="9" t="s">
        <v>217</v>
      </c>
      <c r="B683" s="2">
        <v>138.55000000000001</v>
      </c>
      <c r="C683" s="2">
        <v>139.37</v>
      </c>
      <c r="D683" s="2">
        <v>135.19999999999999</v>
      </c>
      <c r="E683" s="2">
        <v>135.29</v>
      </c>
      <c r="F683" s="2">
        <v>46263716</v>
      </c>
      <c r="G683" s="2" t="s">
        <v>558</v>
      </c>
      <c r="H683" s="2" t="s">
        <v>559</v>
      </c>
      <c r="I683" s="2" t="s">
        <v>560</v>
      </c>
      <c r="J683" s="4">
        <v>-1.7</v>
      </c>
      <c r="K683" s="2" t="s">
        <v>204</v>
      </c>
      <c r="L683" s="2">
        <v>2023</v>
      </c>
      <c r="M683" s="2" t="s">
        <v>205</v>
      </c>
      <c r="N683" s="2" t="s">
        <v>23</v>
      </c>
      <c r="O683">
        <f t="shared" si="20"/>
        <v>4.1700000000000159</v>
      </c>
      <c r="P683">
        <f t="shared" si="21"/>
        <v>49.661999999999999</v>
      </c>
    </row>
    <row r="684" spans="1:16" x14ac:dyDescent="0.35">
      <c r="A684" s="9" t="s">
        <v>218</v>
      </c>
      <c r="B684" s="2">
        <v>131.94</v>
      </c>
      <c r="C684" s="2">
        <v>132.24</v>
      </c>
      <c r="D684" s="2">
        <v>129.31</v>
      </c>
      <c r="E684" s="2">
        <v>129.33000000000001</v>
      </c>
      <c r="F684" s="2">
        <v>70343342</v>
      </c>
      <c r="G684" s="2" t="s">
        <v>558</v>
      </c>
      <c r="H684" s="2" t="s">
        <v>559</v>
      </c>
      <c r="I684" s="2" t="s">
        <v>560</v>
      </c>
      <c r="J684" s="4">
        <v>-4.4050000000000002</v>
      </c>
      <c r="K684" s="2" t="s">
        <v>204</v>
      </c>
      <c r="L684" s="2">
        <v>2023</v>
      </c>
      <c r="M684" s="2" t="s">
        <v>205</v>
      </c>
      <c r="N684" s="2" t="s">
        <v>23</v>
      </c>
      <c r="O684">
        <f t="shared" si="20"/>
        <v>2.9300000000000068</v>
      </c>
      <c r="P684">
        <f t="shared" si="21"/>
        <v>45.256999999999998</v>
      </c>
    </row>
    <row r="685" spans="1:16" x14ac:dyDescent="0.35">
      <c r="A685" s="9" t="s">
        <v>219</v>
      </c>
      <c r="B685" s="2">
        <v>131.11000000000001</v>
      </c>
      <c r="C685" s="2">
        <v>132.03</v>
      </c>
      <c r="D685" s="2">
        <v>128.52000000000001</v>
      </c>
      <c r="E685" s="2">
        <v>129.12</v>
      </c>
      <c r="F685" s="2">
        <v>59904348</v>
      </c>
      <c r="G685" s="2" t="s">
        <v>558</v>
      </c>
      <c r="H685" s="2" t="s">
        <v>559</v>
      </c>
      <c r="I685" s="2" t="s">
        <v>560</v>
      </c>
      <c r="J685" s="4">
        <v>-0.16200000000000001</v>
      </c>
      <c r="K685" s="2" t="s">
        <v>204</v>
      </c>
      <c r="L685" s="2">
        <v>2023</v>
      </c>
      <c r="M685" s="2" t="s">
        <v>205</v>
      </c>
      <c r="N685" s="2" t="s">
        <v>23</v>
      </c>
      <c r="O685">
        <f t="shared" si="20"/>
        <v>3.5099999999999909</v>
      </c>
      <c r="P685">
        <f t="shared" si="21"/>
        <v>45.094999999999999</v>
      </c>
    </row>
    <row r="686" spans="1:16" x14ac:dyDescent="0.35">
      <c r="A686" s="9" t="s">
        <v>220</v>
      </c>
      <c r="B686" s="2">
        <v>129.36000000000001</v>
      </c>
      <c r="C686" s="2">
        <v>131.78</v>
      </c>
      <c r="D686" s="2">
        <v>128.77000000000001</v>
      </c>
      <c r="E686" s="2">
        <v>131.27000000000001</v>
      </c>
      <c r="F686" s="2">
        <v>46017825</v>
      </c>
      <c r="G686" s="2" t="s">
        <v>558</v>
      </c>
      <c r="H686" s="2" t="s">
        <v>559</v>
      </c>
      <c r="I686" s="2" t="s">
        <v>560</v>
      </c>
      <c r="J686" s="3">
        <v>1.665</v>
      </c>
      <c r="K686" s="2" t="s">
        <v>204</v>
      </c>
      <c r="L686" s="2">
        <v>2023</v>
      </c>
      <c r="M686" s="2" t="s">
        <v>205</v>
      </c>
      <c r="N686" s="2" t="s">
        <v>21</v>
      </c>
      <c r="O686">
        <f t="shared" si="20"/>
        <v>3.0099999999999909</v>
      </c>
      <c r="P686">
        <f t="shared" si="21"/>
        <v>46.76</v>
      </c>
    </row>
    <row r="687" spans="1:16" x14ac:dyDescent="0.35">
      <c r="A687" s="9" t="s">
        <v>221</v>
      </c>
      <c r="B687" s="2">
        <v>130.12</v>
      </c>
      <c r="C687" s="2">
        <v>130.38999999999999</v>
      </c>
      <c r="D687" s="2">
        <v>125.28</v>
      </c>
      <c r="E687" s="2">
        <v>125.98</v>
      </c>
      <c r="F687" s="2">
        <v>73048207</v>
      </c>
      <c r="G687" s="2" t="s">
        <v>558</v>
      </c>
      <c r="H687" s="2" t="s">
        <v>559</v>
      </c>
      <c r="I687" s="2" t="s">
        <v>560</v>
      </c>
      <c r="J687" s="4">
        <v>-4.03</v>
      </c>
      <c r="K687" s="2" t="s">
        <v>204</v>
      </c>
      <c r="L687" s="2">
        <v>2023</v>
      </c>
      <c r="M687" s="2" t="s">
        <v>205</v>
      </c>
      <c r="N687" s="2" t="s">
        <v>23</v>
      </c>
      <c r="O687">
        <f t="shared" si="20"/>
        <v>5.1099999999999852</v>
      </c>
      <c r="P687">
        <f t="shared" si="21"/>
        <v>42.73</v>
      </c>
    </row>
    <row r="688" spans="1:16" x14ac:dyDescent="0.35">
      <c r="A688" s="9" t="s">
        <v>222</v>
      </c>
      <c r="B688" s="2">
        <v>125.76</v>
      </c>
      <c r="C688" s="2">
        <v>127.48</v>
      </c>
      <c r="D688" s="2">
        <v>124.13</v>
      </c>
      <c r="E688" s="2">
        <v>125.98</v>
      </c>
      <c r="F688" s="2">
        <v>66553449</v>
      </c>
      <c r="G688" s="2" t="s">
        <v>558</v>
      </c>
      <c r="H688" s="2" t="s">
        <v>559</v>
      </c>
      <c r="I688" s="2" t="s">
        <v>560</v>
      </c>
      <c r="J688" s="2">
        <v>0</v>
      </c>
      <c r="K688" s="2" t="s">
        <v>204</v>
      </c>
      <c r="L688" s="2">
        <v>2023</v>
      </c>
      <c r="M688" s="2" t="s">
        <v>205</v>
      </c>
      <c r="N688" s="2" t="s">
        <v>122</v>
      </c>
      <c r="O688">
        <f t="shared" si="20"/>
        <v>3.3500000000000085</v>
      </c>
      <c r="P688">
        <f t="shared" si="21"/>
        <v>42.73</v>
      </c>
    </row>
    <row r="689" spans="1:16" x14ac:dyDescent="0.35">
      <c r="A689" s="9" t="s">
        <v>223</v>
      </c>
      <c r="B689" s="2">
        <v>124.04</v>
      </c>
      <c r="C689" s="2">
        <v>126.58</v>
      </c>
      <c r="D689" s="2">
        <v>123.04</v>
      </c>
      <c r="E689" s="2">
        <v>125.98</v>
      </c>
      <c r="F689" s="2">
        <v>54554968</v>
      </c>
      <c r="G689" s="2" t="s">
        <v>558</v>
      </c>
      <c r="H689" s="2" t="s">
        <v>559</v>
      </c>
      <c r="I689" s="2" t="s">
        <v>560</v>
      </c>
      <c r="J689" s="2">
        <v>0</v>
      </c>
      <c r="K689" s="2" t="s">
        <v>204</v>
      </c>
      <c r="L689" s="2">
        <v>2023</v>
      </c>
      <c r="M689" s="2" t="s">
        <v>205</v>
      </c>
      <c r="N689" s="2" t="s">
        <v>122</v>
      </c>
      <c r="O689">
        <f t="shared" si="20"/>
        <v>3.539999999999992</v>
      </c>
      <c r="P689">
        <f t="shared" si="21"/>
        <v>42.73</v>
      </c>
    </row>
    <row r="690" spans="1:16" x14ac:dyDescent="0.35">
      <c r="A690" s="9" t="s">
        <v>224</v>
      </c>
      <c r="B690" s="2">
        <v>128.19999999999999</v>
      </c>
      <c r="C690" s="2">
        <v>129.15</v>
      </c>
      <c r="D690" s="2">
        <v>126.32</v>
      </c>
      <c r="E690" s="2">
        <v>127.12</v>
      </c>
      <c r="F690" s="2">
        <v>62411730</v>
      </c>
      <c r="G690" s="2" t="s">
        <v>558</v>
      </c>
      <c r="H690" s="2" t="s">
        <v>559</v>
      </c>
      <c r="I690" s="2" t="s">
        <v>560</v>
      </c>
      <c r="J690" s="3">
        <v>0.90500000000000003</v>
      </c>
      <c r="K690" s="2" t="s">
        <v>204</v>
      </c>
      <c r="L690" s="2">
        <v>2023</v>
      </c>
      <c r="M690" s="2" t="s">
        <v>205</v>
      </c>
      <c r="N690" s="2" t="s">
        <v>21</v>
      </c>
      <c r="O690">
        <f t="shared" si="20"/>
        <v>2.8300000000000125</v>
      </c>
      <c r="P690">
        <f t="shared" si="21"/>
        <v>43.634999999999998</v>
      </c>
    </row>
    <row r="691" spans="1:16" x14ac:dyDescent="0.35">
      <c r="A691" s="9" t="s">
        <v>225</v>
      </c>
      <c r="B691" s="2">
        <v>127.28</v>
      </c>
      <c r="C691" s="2">
        <v>130.47</v>
      </c>
      <c r="D691" s="2">
        <v>126.54</v>
      </c>
      <c r="E691" s="2">
        <v>129.46</v>
      </c>
      <c r="F691" s="2">
        <v>48029744</v>
      </c>
      <c r="G691" s="2" t="s">
        <v>558</v>
      </c>
      <c r="H691" s="2" t="s">
        <v>559</v>
      </c>
      <c r="I691" s="2" t="s">
        <v>560</v>
      </c>
      <c r="J691" s="3">
        <v>1.841</v>
      </c>
      <c r="K691" s="2" t="s">
        <v>226</v>
      </c>
      <c r="L691" s="2">
        <v>2023</v>
      </c>
      <c r="M691" s="2" t="s">
        <v>227</v>
      </c>
      <c r="N691" s="2" t="s">
        <v>21</v>
      </c>
      <c r="O691">
        <f t="shared" si="20"/>
        <v>3.9299999999999926</v>
      </c>
      <c r="P691">
        <f t="shared" si="21"/>
        <v>45.475999999999999</v>
      </c>
    </row>
    <row r="692" spans="1:16" x14ac:dyDescent="0.35">
      <c r="A692" s="9" t="s">
        <v>228</v>
      </c>
      <c r="B692" s="2">
        <v>128.06</v>
      </c>
      <c r="C692" s="2">
        <v>128.52000000000001</v>
      </c>
      <c r="D692" s="2">
        <v>124.254</v>
      </c>
      <c r="E692" s="2">
        <v>124.72</v>
      </c>
      <c r="F692" s="2">
        <v>51564991</v>
      </c>
      <c r="G692" s="2" t="s">
        <v>558</v>
      </c>
      <c r="H692" s="2" t="s">
        <v>559</v>
      </c>
      <c r="I692" s="2" t="s">
        <v>560</v>
      </c>
      <c r="J692" s="4">
        <v>-3.661</v>
      </c>
      <c r="K692" s="2" t="s">
        <v>226</v>
      </c>
      <c r="L692" s="2">
        <v>2023</v>
      </c>
      <c r="M692" s="2" t="s">
        <v>227</v>
      </c>
      <c r="N692" s="2" t="s">
        <v>23</v>
      </c>
      <c r="O692">
        <f t="shared" si="20"/>
        <v>4.2660000000000053</v>
      </c>
      <c r="P692">
        <f t="shared" si="21"/>
        <v>41.814999999999998</v>
      </c>
    </row>
    <row r="693" spans="1:16" x14ac:dyDescent="0.35">
      <c r="A693" s="9" t="s">
        <v>229</v>
      </c>
      <c r="B693" s="2">
        <v>126.06</v>
      </c>
      <c r="C693" s="2">
        <v>127.36</v>
      </c>
      <c r="D693" s="2">
        <v>125.68</v>
      </c>
      <c r="E693" s="2">
        <v>127</v>
      </c>
      <c r="F693" s="2">
        <v>44203870</v>
      </c>
      <c r="G693" s="2" t="s">
        <v>558</v>
      </c>
      <c r="H693" s="2" t="s">
        <v>559</v>
      </c>
      <c r="I693" s="2" t="s">
        <v>560</v>
      </c>
      <c r="J693" s="3">
        <v>1.8280000000000001</v>
      </c>
      <c r="K693" s="2" t="s">
        <v>226</v>
      </c>
      <c r="L693" s="2">
        <v>2023</v>
      </c>
      <c r="M693" s="2" t="s">
        <v>227</v>
      </c>
      <c r="N693" s="2" t="s">
        <v>21</v>
      </c>
      <c r="O693">
        <f t="shared" si="20"/>
        <v>1.6799999999999926</v>
      </c>
      <c r="P693">
        <f t="shared" si="21"/>
        <v>43.643000000000001</v>
      </c>
    </row>
    <row r="694" spans="1:16" x14ac:dyDescent="0.35">
      <c r="A694" s="9" t="s">
        <v>230</v>
      </c>
      <c r="B694" s="2">
        <v>126.71</v>
      </c>
      <c r="C694" s="2">
        <v>126.73</v>
      </c>
      <c r="D694" s="2">
        <v>124.33</v>
      </c>
      <c r="E694" s="2">
        <v>125.96</v>
      </c>
      <c r="F694" s="2">
        <v>39660643</v>
      </c>
      <c r="G694" s="2" t="s">
        <v>558</v>
      </c>
      <c r="H694" s="2" t="s">
        <v>559</v>
      </c>
      <c r="I694" s="2" t="s">
        <v>560</v>
      </c>
      <c r="J694" s="4">
        <v>-0.81899999999999995</v>
      </c>
      <c r="K694" s="2" t="s">
        <v>226</v>
      </c>
      <c r="L694" s="2">
        <v>2023</v>
      </c>
      <c r="M694" s="2" t="s">
        <v>227</v>
      </c>
      <c r="N694" s="2" t="s">
        <v>23</v>
      </c>
      <c r="O694">
        <f t="shared" si="20"/>
        <v>2.4000000000000057</v>
      </c>
      <c r="P694">
        <f t="shared" si="21"/>
        <v>42.823999999999998</v>
      </c>
    </row>
    <row r="695" spans="1:16" x14ac:dyDescent="0.35">
      <c r="A695" s="9" t="s">
        <v>231</v>
      </c>
      <c r="B695" s="2">
        <v>124.16</v>
      </c>
      <c r="C695" s="2">
        <v>128.44999999999999</v>
      </c>
      <c r="D695" s="2">
        <v>124.13</v>
      </c>
      <c r="E695" s="2">
        <v>127.96</v>
      </c>
      <c r="F695" s="2">
        <v>46836698</v>
      </c>
      <c r="G695" s="2" t="s">
        <v>558</v>
      </c>
      <c r="H695" s="2" t="s">
        <v>559</v>
      </c>
      <c r="I695" s="2" t="s">
        <v>560</v>
      </c>
      <c r="J695" s="3">
        <v>1.5880000000000001</v>
      </c>
      <c r="K695" s="2" t="s">
        <v>226</v>
      </c>
      <c r="L695" s="2">
        <v>2023</v>
      </c>
      <c r="M695" s="2" t="s">
        <v>227</v>
      </c>
      <c r="N695" s="2" t="s">
        <v>21</v>
      </c>
      <c r="O695">
        <f t="shared" si="20"/>
        <v>4.3199999999999932</v>
      </c>
      <c r="P695">
        <f t="shared" si="21"/>
        <v>44.411999999999999</v>
      </c>
    </row>
    <row r="696" spans="1:16" x14ac:dyDescent="0.35">
      <c r="A696" s="9" t="s">
        <v>232</v>
      </c>
      <c r="B696" s="2">
        <v>126.22</v>
      </c>
      <c r="C696" s="2">
        <v>128.79</v>
      </c>
      <c r="D696" s="2">
        <v>124.76</v>
      </c>
      <c r="E696" s="2">
        <v>128.26</v>
      </c>
      <c r="F696" s="2">
        <v>38773738</v>
      </c>
      <c r="G696" s="2" t="s">
        <v>558</v>
      </c>
      <c r="H696" s="2" t="s">
        <v>559</v>
      </c>
      <c r="I696" s="2" t="s">
        <v>560</v>
      </c>
      <c r="J696" s="3">
        <v>0.23400000000000001</v>
      </c>
      <c r="K696" s="2" t="s">
        <v>226</v>
      </c>
      <c r="L696" s="2">
        <v>2023</v>
      </c>
      <c r="M696" s="2" t="s">
        <v>227</v>
      </c>
      <c r="N696" s="2" t="s">
        <v>21</v>
      </c>
      <c r="O696">
        <f t="shared" si="20"/>
        <v>4.0299999999999869</v>
      </c>
      <c r="P696">
        <f t="shared" si="21"/>
        <v>44.646000000000001</v>
      </c>
    </row>
    <row r="697" spans="1:16" x14ac:dyDescent="0.35">
      <c r="A697" s="9" t="s">
        <v>233</v>
      </c>
      <c r="B697" s="2">
        <v>128.82</v>
      </c>
      <c r="C697" s="2">
        <v>130.74</v>
      </c>
      <c r="D697" s="2">
        <v>128.05000000000001</v>
      </c>
      <c r="E697" s="2">
        <v>129.47999999999999</v>
      </c>
      <c r="F697" s="2">
        <v>42178619</v>
      </c>
      <c r="G697" s="2" t="s">
        <v>558</v>
      </c>
      <c r="H697" s="2" t="s">
        <v>559</v>
      </c>
      <c r="I697" s="2" t="s">
        <v>560</v>
      </c>
      <c r="J697" s="3">
        <v>0.95099999999999996</v>
      </c>
      <c r="K697" s="2" t="s">
        <v>226</v>
      </c>
      <c r="L697" s="2">
        <v>2023</v>
      </c>
      <c r="M697" s="2" t="s">
        <v>227</v>
      </c>
      <c r="N697" s="2" t="s">
        <v>21</v>
      </c>
      <c r="O697">
        <f t="shared" si="20"/>
        <v>2.6899999999999977</v>
      </c>
      <c r="P697">
        <f t="shared" si="21"/>
        <v>45.597000000000001</v>
      </c>
    </row>
    <row r="698" spans="1:16" x14ac:dyDescent="0.35">
      <c r="A698" s="9" t="s">
        <v>234</v>
      </c>
      <c r="B698" s="2">
        <v>129.74</v>
      </c>
      <c r="C698" s="2">
        <v>132.05000000000001</v>
      </c>
      <c r="D698" s="2">
        <v>129.61000000000001</v>
      </c>
      <c r="E698" s="2">
        <v>131.83000000000001</v>
      </c>
      <c r="F698" s="2">
        <v>40741842</v>
      </c>
      <c r="G698" s="2" t="s">
        <v>558</v>
      </c>
      <c r="H698" s="2" t="s">
        <v>559</v>
      </c>
      <c r="I698" s="2" t="s">
        <v>560</v>
      </c>
      <c r="J698" s="3">
        <v>1.8149999999999999</v>
      </c>
      <c r="K698" s="2" t="s">
        <v>226</v>
      </c>
      <c r="L698" s="2">
        <v>2023</v>
      </c>
      <c r="M698" s="2" t="s">
        <v>227</v>
      </c>
      <c r="N698" s="2" t="s">
        <v>21</v>
      </c>
      <c r="O698">
        <f t="shared" si="20"/>
        <v>2.4399999999999977</v>
      </c>
      <c r="P698">
        <f t="shared" si="21"/>
        <v>47.411999999999999</v>
      </c>
    </row>
    <row r="699" spans="1:16" x14ac:dyDescent="0.35">
      <c r="A699" s="9" t="s">
        <v>235</v>
      </c>
      <c r="B699" s="2">
        <v>132.16999999999999</v>
      </c>
      <c r="C699" s="2">
        <v>134.47999999999999</v>
      </c>
      <c r="D699" s="2">
        <v>131.22999999999999</v>
      </c>
      <c r="E699" s="2">
        <v>132.33000000000001</v>
      </c>
      <c r="F699" s="2">
        <v>55528581</v>
      </c>
      <c r="G699" s="2" t="s">
        <v>558</v>
      </c>
      <c r="H699" s="2" t="s">
        <v>559</v>
      </c>
      <c r="I699" s="2" t="s">
        <v>560</v>
      </c>
      <c r="J699" s="3">
        <v>0.379</v>
      </c>
      <c r="K699" s="2" t="s">
        <v>226</v>
      </c>
      <c r="L699" s="2">
        <v>2023</v>
      </c>
      <c r="M699" s="2" t="s">
        <v>227</v>
      </c>
      <c r="N699" s="2" t="s">
        <v>21</v>
      </c>
      <c r="O699">
        <f t="shared" si="20"/>
        <v>3.25</v>
      </c>
      <c r="P699">
        <f t="shared" si="21"/>
        <v>47.790999999999997</v>
      </c>
    </row>
    <row r="700" spans="1:16" x14ac:dyDescent="0.35">
      <c r="A700" s="9" t="s">
        <v>236</v>
      </c>
      <c r="B700" s="2">
        <v>132.97999999999999</v>
      </c>
      <c r="C700" s="2">
        <v>133.315</v>
      </c>
      <c r="D700" s="2">
        <v>128.94999999999999</v>
      </c>
      <c r="E700" s="2">
        <v>129.79</v>
      </c>
      <c r="F700" s="2">
        <v>45824685</v>
      </c>
      <c r="G700" s="2" t="s">
        <v>558</v>
      </c>
      <c r="H700" s="2" t="s">
        <v>559</v>
      </c>
      <c r="I700" s="2" t="s">
        <v>560</v>
      </c>
      <c r="J700" s="4">
        <v>-1.919</v>
      </c>
      <c r="K700" s="2" t="s">
        <v>226</v>
      </c>
      <c r="L700" s="2">
        <v>2023</v>
      </c>
      <c r="M700" s="2" t="s">
        <v>227</v>
      </c>
      <c r="N700" s="2" t="s">
        <v>23</v>
      </c>
      <c r="O700">
        <f t="shared" si="20"/>
        <v>4.3650000000000091</v>
      </c>
      <c r="P700">
        <f t="shared" si="21"/>
        <v>45.872</v>
      </c>
    </row>
    <row r="701" spans="1:16" x14ac:dyDescent="0.35">
      <c r="A701" s="9" t="s">
        <v>237</v>
      </c>
      <c r="B701" s="2">
        <v>130.69</v>
      </c>
      <c r="C701" s="2">
        <v>133.07</v>
      </c>
      <c r="D701" s="2">
        <v>130.42500000000001</v>
      </c>
      <c r="E701" s="2">
        <v>132.55000000000001</v>
      </c>
      <c r="F701" s="2">
        <v>42832918</v>
      </c>
      <c r="G701" s="2" t="s">
        <v>558</v>
      </c>
      <c r="H701" s="2" t="s">
        <v>559</v>
      </c>
      <c r="I701" s="2" t="s">
        <v>560</v>
      </c>
      <c r="J701" s="3">
        <v>2.1269999999999998</v>
      </c>
      <c r="K701" s="2" t="s">
        <v>226</v>
      </c>
      <c r="L701" s="2">
        <v>2023</v>
      </c>
      <c r="M701" s="2" t="s">
        <v>227</v>
      </c>
      <c r="N701" s="2" t="s">
        <v>21</v>
      </c>
      <c r="O701">
        <f t="shared" si="20"/>
        <v>2.6449999999999818</v>
      </c>
      <c r="P701">
        <f t="shared" si="21"/>
        <v>47.999000000000002</v>
      </c>
    </row>
    <row r="702" spans="1:16" x14ac:dyDescent="0.35">
      <c r="A702" s="9" t="s">
        <v>238</v>
      </c>
      <c r="B702" s="2">
        <v>130.38999999999999</v>
      </c>
      <c r="C702" s="2">
        <v>132.58000000000001</v>
      </c>
      <c r="D702" s="2">
        <v>128.71</v>
      </c>
      <c r="E702" s="2">
        <v>131.47</v>
      </c>
      <c r="F702" s="2">
        <v>49344550</v>
      </c>
      <c r="G702" s="2" t="s">
        <v>558</v>
      </c>
      <c r="H702" s="2" t="s">
        <v>559</v>
      </c>
      <c r="I702" s="2" t="s">
        <v>560</v>
      </c>
      <c r="J702" s="4">
        <v>-0.81499999999999995</v>
      </c>
      <c r="K702" s="2" t="s">
        <v>226</v>
      </c>
      <c r="L702" s="2">
        <v>2023</v>
      </c>
      <c r="M702" s="2" t="s">
        <v>227</v>
      </c>
      <c r="N702" s="2" t="s">
        <v>23</v>
      </c>
      <c r="O702">
        <f t="shared" si="20"/>
        <v>3.8700000000000045</v>
      </c>
      <c r="P702">
        <f t="shared" si="21"/>
        <v>47.184000000000005</v>
      </c>
    </row>
    <row r="703" spans="1:16" x14ac:dyDescent="0.35">
      <c r="A703" s="9" t="s">
        <v>239</v>
      </c>
      <c r="B703" s="2">
        <v>129.9</v>
      </c>
      <c r="C703" s="2">
        <v>130.66999999999999</v>
      </c>
      <c r="D703" s="2">
        <v>127.51</v>
      </c>
      <c r="E703" s="2">
        <v>128.13</v>
      </c>
      <c r="F703" s="2">
        <v>42699479</v>
      </c>
      <c r="G703" s="2" t="s">
        <v>558</v>
      </c>
      <c r="H703" s="2" t="s">
        <v>559</v>
      </c>
      <c r="I703" s="2" t="s">
        <v>560</v>
      </c>
      <c r="J703" s="4">
        <v>-2.5409999999999999</v>
      </c>
      <c r="K703" s="2" t="s">
        <v>226</v>
      </c>
      <c r="L703" s="2">
        <v>2023</v>
      </c>
      <c r="M703" s="2" t="s">
        <v>227</v>
      </c>
      <c r="N703" s="2" t="s">
        <v>23</v>
      </c>
      <c r="O703">
        <f t="shared" si="20"/>
        <v>3.1599999999999824</v>
      </c>
      <c r="P703">
        <f t="shared" si="21"/>
        <v>44.643000000000008</v>
      </c>
    </row>
    <row r="704" spans="1:16" x14ac:dyDescent="0.35">
      <c r="A704" s="9" t="s">
        <v>240</v>
      </c>
      <c r="B704" s="2">
        <v>130.565</v>
      </c>
      <c r="C704" s="2">
        <v>132.24</v>
      </c>
      <c r="D704" s="2">
        <v>127.47</v>
      </c>
      <c r="E704" s="2">
        <v>128.4</v>
      </c>
      <c r="F704" s="2">
        <v>60961355</v>
      </c>
      <c r="G704" s="2" t="s">
        <v>558</v>
      </c>
      <c r="H704" s="2" t="s">
        <v>559</v>
      </c>
      <c r="I704" s="2" t="s">
        <v>560</v>
      </c>
      <c r="J704" s="3">
        <v>0.21099999999999999</v>
      </c>
      <c r="K704" s="2" t="s">
        <v>226</v>
      </c>
      <c r="L704" s="2">
        <v>2023</v>
      </c>
      <c r="M704" s="2" t="s">
        <v>227</v>
      </c>
      <c r="N704" s="2" t="s">
        <v>21</v>
      </c>
      <c r="O704">
        <f t="shared" si="20"/>
        <v>4.7700000000000102</v>
      </c>
      <c r="P704">
        <f t="shared" si="21"/>
        <v>44.854000000000006</v>
      </c>
    </row>
    <row r="705" spans="1:16" x14ac:dyDescent="0.35">
      <c r="A705" s="9" t="s">
        <v>241</v>
      </c>
      <c r="B705" s="2">
        <v>128.05000000000001</v>
      </c>
      <c r="C705" s="2">
        <v>128.16999999999999</v>
      </c>
      <c r="D705" s="2">
        <v>124.97</v>
      </c>
      <c r="E705" s="2">
        <v>125.17</v>
      </c>
      <c r="F705" s="2">
        <v>56406410</v>
      </c>
      <c r="G705" s="2" t="s">
        <v>558</v>
      </c>
      <c r="H705" s="2" t="s">
        <v>559</v>
      </c>
      <c r="I705" s="2" t="s">
        <v>560</v>
      </c>
      <c r="J705" s="4">
        <v>-2.516</v>
      </c>
      <c r="K705" s="2" t="s">
        <v>226</v>
      </c>
      <c r="L705" s="2">
        <v>2023</v>
      </c>
      <c r="M705" s="2" t="s">
        <v>227</v>
      </c>
      <c r="N705" s="2" t="s">
        <v>23</v>
      </c>
      <c r="O705">
        <f t="shared" si="20"/>
        <v>3.1999999999999886</v>
      </c>
      <c r="P705">
        <f t="shared" si="21"/>
        <v>42.338000000000008</v>
      </c>
    </row>
    <row r="706" spans="1:16" x14ac:dyDescent="0.35">
      <c r="A706" s="9" t="s">
        <v>242</v>
      </c>
      <c r="B706" s="2">
        <v>124.63</v>
      </c>
      <c r="C706" s="2">
        <v>127.88</v>
      </c>
      <c r="D706" s="2">
        <v>123.98</v>
      </c>
      <c r="E706" s="2">
        <v>126.56</v>
      </c>
      <c r="F706" s="2">
        <v>48259953</v>
      </c>
      <c r="G706" s="2" t="s">
        <v>558</v>
      </c>
      <c r="H706" s="2" t="s">
        <v>559</v>
      </c>
      <c r="I706" s="2" t="s">
        <v>560</v>
      </c>
      <c r="J706" s="3">
        <v>1.1100000000000001</v>
      </c>
      <c r="K706" s="2" t="s">
        <v>226</v>
      </c>
      <c r="L706" s="2">
        <v>2023</v>
      </c>
      <c r="M706" s="2" t="s">
        <v>227</v>
      </c>
      <c r="N706" s="2" t="s">
        <v>21</v>
      </c>
      <c r="O706">
        <f t="shared" si="20"/>
        <v>3.8999999999999915</v>
      </c>
      <c r="P706">
        <f t="shared" si="21"/>
        <v>43.448000000000008</v>
      </c>
    </row>
    <row r="707" spans="1:16" x14ac:dyDescent="0.35">
      <c r="A707" s="9" t="s">
        <v>243</v>
      </c>
      <c r="B707" s="2">
        <v>127.74</v>
      </c>
      <c r="C707" s="2">
        <v>128.80000000000001</v>
      </c>
      <c r="D707" s="2">
        <v>126.34</v>
      </c>
      <c r="E707" s="2">
        <v>128.56</v>
      </c>
      <c r="F707" s="2">
        <v>46477355</v>
      </c>
      <c r="G707" s="2" t="s">
        <v>558</v>
      </c>
      <c r="H707" s="2" t="s">
        <v>559</v>
      </c>
      <c r="I707" s="2" t="s">
        <v>560</v>
      </c>
      <c r="J707" s="3">
        <v>1.58</v>
      </c>
      <c r="K707" s="2" t="s">
        <v>226</v>
      </c>
      <c r="L707" s="2">
        <v>2023</v>
      </c>
      <c r="M707" s="2" t="s">
        <v>227</v>
      </c>
      <c r="N707" s="2" t="s">
        <v>21</v>
      </c>
      <c r="O707">
        <f t="shared" ref="O707:O770" si="22">C707-D707</f>
        <v>2.460000000000008</v>
      </c>
      <c r="P707">
        <f t="shared" si="21"/>
        <v>45.028000000000006</v>
      </c>
    </row>
    <row r="708" spans="1:16" x14ac:dyDescent="0.35">
      <c r="A708" s="9" t="s">
        <v>244</v>
      </c>
      <c r="B708" s="2">
        <v>126.04</v>
      </c>
      <c r="C708" s="2">
        <v>126.34</v>
      </c>
      <c r="D708" s="2">
        <v>120.79</v>
      </c>
      <c r="E708" s="2">
        <v>121.39</v>
      </c>
      <c r="F708" s="2">
        <v>74577544</v>
      </c>
      <c r="G708" s="2" t="s">
        <v>558</v>
      </c>
      <c r="H708" s="2" t="s">
        <v>559</v>
      </c>
      <c r="I708" s="2" t="s">
        <v>560</v>
      </c>
      <c r="J708" s="4">
        <v>-5.577</v>
      </c>
      <c r="K708" s="2" t="s">
        <v>226</v>
      </c>
      <c r="L708" s="2">
        <v>2023</v>
      </c>
      <c r="M708" s="2" t="s">
        <v>227</v>
      </c>
      <c r="N708" s="2" t="s">
        <v>23</v>
      </c>
      <c r="O708">
        <f t="shared" si="22"/>
        <v>5.5499999999999972</v>
      </c>
      <c r="P708">
        <f t="shared" ref="P708:P771" si="23">IF(G708=G707, P707+J708, J708)</f>
        <v>39.451000000000008</v>
      </c>
    </row>
    <row r="709" spans="1:16" x14ac:dyDescent="0.35">
      <c r="A709" s="9" t="s">
        <v>245</v>
      </c>
      <c r="B709" s="2">
        <v>120.63</v>
      </c>
      <c r="C709" s="2">
        <v>121.639</v>
      </c>
      <c r="D709" s="2">
        <v>118.35</v>
      </c>
      <c r="E709" s="2">
        <v>119.57</v>
      </c>
      <c r="F709" s="2">
        <v>100419516</v>
      </c>
      <c r="G709" s="2" t="s">
        <v>558</v>
      </c>
      <c r="H709" s="2" t="s">
        <v>559</v>
      </c>
      <c r="I709" s="2" t="s">
        <v>560</v>
      </c>
      <c r="J709" s="4">
        <v>-1.4990000000000001</v>
      </c>
      <c r="K709" s="2" t="s">
        <v>226</v>
      </c>
      <c r="L709" s="2">
        <v>2023</v>
      </c>
      <c r="M709" s="2" t="s">
        <v>227</v>
      </c>
      <c r="N709" s="2" t="s">
        <v>23</v>
      </c>
      <c r="O709">
        <f t="shared" si="22"/>
        <v>3.2890000000000015</v>
      </c>
      <c r="P709">
        <f t="shared" si="23"/>
        <v>37.952000000000005</v>
      </c>
    </row>
    <row r="710" spans="1:16" x14ac:dyDescent="0.35">
      <c r="A710" s="9" t="s">
        <v>246</v>
      </c>
      <c r="B710" s="2">
        <v>126.2</v>
      </c>
      <c r="C710" s="2">
        <v>130.02000000000001</v>
      </c>
      <c r="D710" s="2">
        <v>125.52</v>
      </c>
      <c r="E710" s="2">
        <v>127.74</v>
      </c>
      <c r="F710" s="2">
        <v>125309313</v>
      </c>
      <c r="G710" s="2" t="s">
        <v>558</v>
      </c>
      <c r="H710" s="2" t="s">
        <v>559</v>
      </c>
      <c r="I710" s="2" t="s">
        <v>560</v>
      </c>
      <c r="J710" s="3">
        <v>6.8330000000000002</v>
      </c>
      <c r="K710" s="2" t="s">
        <v>226</v>
      </c>
      <c r="L710" s="2">
        <v>2023</v>
      </c>
      <c r="M710" s="2" t="s">
        <v>227</v>
      </c>
      <c r="N710" s="2" t="s">
        <v>21</v>
      </c>
      <c r="O710">
        <f t="shared" si="22"/>
        <v>4.5000000000000142</v>
      </c>
      <c r="P710">
        <f t="shared" si="23"/>
        <v>44.785000000000004</v>
      </c>
    </row>
    <row r="711" spans="1:16" x14ac:dyDescent="0.35">
      <c r="A711" s="9" t="s">
        <v>247</v>
      </c>
      <c r="B711" s="2">
        <v>129.72</v>
      </c>
      <c r="C711" s="2">
        <v>133</v>
      </c>
      <c r="D711" s="2">
        <v>128.56</v>
      </c>
      <c r="E711" s="2">
        <v>132.71</v>
      </c>
      <c r="F711" s="2">
        <v>72485542</v>
      </c>
      <c r="G711" s="2" t="s">
        <v>558</v>
      </c>
      <c r="H711" s="2" t="s">
        <v>559</v>
      </c>
      <c r="I711" s="2" t="s">
        <v>560</v>
      </c>
      <c r="J711" s="3">
        <v>3.891</v>
      </c>
      <c r="K711" s="2" t="s">
        <v>226</v>
      </c>
      <c r="L711" s="2">
        <v>2023</v>
      </c>
      <c r="M711" s="2" t="s">
        <v>227</v>
      </c>
      <c r="N711" s="2" t="s">
        <v>21</v>
      </c>
      <c r="O711">
        <f t="shared" si="22"/>
        <v>4.4399999999999977</v>
      </c>
      <c r="P711">
        <f t="shared" si="23"/>
        <v>48.676000000000002</v>
      </c>
    </row>
    <row r="712" spans="1:16" x14ac:dyDescent="0.35">
      <c r="A712" s="9" t="s">
        <v>248</v>
      </c>
      <c r="B712" s="2">
        <v>132.75</v>
      </c>
      <c r="C712" s="2">
        <v>133.57</v>
      </c>
      <c r="D712" s="2">
        <v>131.71</v>
      </c>
      <c r="E712" s="2">
        <v>133.09</v>
      </c>
      <c r="F712" s="2">
        <v>51589380</v>
      </c>
      <c r="G712" s="2" t="s">
        <v>558</v>
      </c>
      <c r="H712" s="2" t="s">
        <v>559</v>
      </c>
      <c r="I712" s="2" t="s">
        <v>560</v>
      </c>
      <c r="J712" s="3">
        <v>0.28599999999999998</v>
      </c>
      <c r="K712" s="2" t="s">
        <v>226</v>
      </c>
      <c r="L712" s="2">
        <v>2023</v>
      </c>
      <c r="M712" s="2" t="s">
        <v>227</v>
      </c>
      <c r="N712" s="2" t="s">
        <v>21</v>
      </c>
      <c r="O712">
        <f t="shared" si="22"/>
        <v>1.8599999999999852</v>
      </c>
      <c r="P712">
        <f t="shared" si="23"/>
        <v>48.962000000000003</v>
      </c>
    </row>
    <row r="713" spans="1:16" x14ac:dyDescent="0.35">
      <c r="A713" s="9" t="s">
        <v>249</v>
      </c>
      <c r="B713" s="2">
        <v>133.96</v>
      </c>
      <c r="C713" s="2">
        <v>137.35</v>
      </c>
      <c r="D713" s="2">
        <v>133.71</v>
      </c>
      <c r="E713" s="2">
        <v>137</v>
      </c>
      <c r="F713" s="2">
        <v>61529409</v>
      </c>
      <c r="G713" s="2" t="s">
        <v>558</v>
      </c>
      <c r="H713" s="2" t="s">
        <v>559</v>
      </c>
      <c r="I713" s="2" t="s">
        <v>560</v>
      </c>
      <c r="J713" s="3">
        <v>2.9380000000000002</v>
      </c>
      <c r="K713" s="2" t="s">
        <v>250</v>
      </c>
      <c r="L713" s="2">
        <v>2023</v>
      </c>
      <c r="M713" s="2" t="s">
        <v>251</v>
      </c>
      <c r="N713" s="2" t="s">
        <v>21</v>
      </c>
      <c r="O713">
        <f t="shared" si="22"/>
        <v>3.6399999999999864</v>
      </c>
      <c r="P713">
        <f t="shared" si="23"/>
        <v>51.900000000000006</v>
      </c>
    </row>
    <row r="714" spans="1:16" x14ac:dyDescent="0.35">
      <c r="A714" s="9" t="s">
        <v>252</v>
      </c>
      <c r="B714" s="2">
        <v>138.72999999999999</v>
      </c>
      <c r="C714" s="2">
        <v>138.81</v>
      </c>
      <c r="D714" s="2">
        <v>136.47</v>
      </c>
      <c r="E714" s="2">
        <v>138.07</v>
      </c>
      <c r="F714" s="2">
        <v>52236693</v>
      </c>
      <c r="G714" s="2" t="s">
        <v>558</v>
      </c>
      <c r="H714" s="2" t="s">
        <v>559</v>
      </c>
      <c r="I714" s="2" t="s">
        <v>560</v>
      </c>
      <c r="J714" s="3">
        <v>0.78100000000000003</v>
      </c>
      <c r="K714" s="2" t="s">
        <v>250</v>
      </c>
      <c r="L714" s="2">
        <v>2023</v>
      </c>
      <c r="M714" s="2" t="s">
        <v>251</v>
      </c>
      <c r="N714" s="2" t="s">
        <v>21</v>
      </c>
      <c r="O714">
        <f t="shared" si="22"/>
        <v>2.3400000000000034</v>
      </c>
      <c r="P714">
        <f t="shared" si="23"/>
        <v>52.681000000000004</v>
      </c>
    </row>
    <row r="715" spans="1:16" x14ac:dyDescent="0.35">
      <c r="A715" s="9" t="s">
        <v>253</v>
      </c>
      <c r="B715" s="2">
        <v>138.99</v>
      </c>
      <c r="C715" s="2">
        <v>139.49</v>
      </c>
      <c r="D715" s="2">
        <v>137.44999999999999</v>
      </c>
      <c r="E715" s="2">
        <v>138.6</v>
      </c>
      <c r="F715" s="2">
        <v>44059805</v>
      </c>
      <c r="G715" s="2" t="s">
        <v>558</v>
      </c>
      <c r="H715" s="2" t="s">
        <v>559</v>
      </c>
      <c r="I715" s="2" t="s">
        <v>560</v>
      </c>
      <c r="J715" s="3">
        <v>0.38400000000000001</v>
      </c>
      <c r="K715" s="2" t="s">
        <v>250</v>
      </c>
      <c r="L715" s="2">
        <v>2023</v>
      </c>
      <c r="M715" s="2" t="s">
        <v>251</v>
      </c>
      <c r="N715" s="2" t="s">
        <v>21</v>
      </c>
      <c r="O715">
        <f t="shared" si="22"/>
        <v>2.0400000000000205</v>
      </c>
      <c r="P715">
        <f t="shared" si="23"/>
        <v>53.065000000000005</v>
      </c>
    </row>
    <row r="716" spans="1:16" x14ac:dyDescent="0.35">
      <c r="A716" s="9" t="s">
        <v>254</v>
      </c>
      <c r="B716" s="2">
        <v>138.76</v>
      </c>
      <c r="C716" s="2">
        <v>140.72999999999999</v>
      </c>
      <c r="D716" s="2">
        <v>138.36000000000001</v>
      </c>
      <c r="E716" s="2">
        <v>139.74</v>
      </c>
      <c r="F716" s="2">
        <v>44970417</v>
      </c>
      <c r="G716" s="2" t="s">
        <v>558</v>
      </c>
      <c r="H716" s="2" t="s">
        <v>559</v>
      </c>
      <c r="I716" s="2" t="s">
        <v>560</v>
      </c>
      <c r="J716" s="3">
        <v>0.82299999999999995</v>
      </c>
      <c r="K716" s="2" t="s">
        <v>250</v>
      </c>
      <c r="L716" s="2">
        <v>2023</v>
      </c>
      <c r="M716" s="2" t="s">
        <v>251</v>
      </c>
      <c r="N716" s="2" t="s">
        <v>21</v>
      </c>
      <c r="O716">
        <f t="shared" si="22"/>
        <v>2.3699999999999761</v>
      </c>
      <c r="P716">
        <f t="shared" si="23"/>
        <v>53.888000000000005</v>
      </c>
    </row>
    <row r="717" spans="1:16" x14ac:dyDescent="0.35">
      <c r="A717" s="9" t="s">
        <v>255</v>
      </c>
      <c r="B717" s="2">
        <v>140.55000000000001</v>
      </c>
      <c r="C717" s="2">
        <v>143.37</v>
      </c>
      <c r="D717" s="2">
        <v>140.5</v>
      </c>
      <c r="E717" s="2">
        <v>142.71</v>
      </c>
      <c r="F717" s="2">
        <v>53553537</v>
      </c>
      <c r="G717" s="2" t="s">
        <v>558</v>
      </c>
      <c r="H717" s="2" t="s">
        <v>559</v>
      </c>
      <c r="I717" s="2" t="s">
        <v>560</v>
      </c>
      <c r="J717" s="3">
        <v>2.125</v>
      </c>
      <c r="K717" s="2" t="s">
        <v>250</v>
      </c>
      <c r="L717" s="2">
        <v>2023</v>
      </c>
      <c r="M717" s="2" t="s">
        <v>251</v>
      </c>
      <c r="N717" s="2" t="s">
        <v>21</v>
      </c>
      <c r="O717">
        <f t="shared" si="22"/>
        <v>2.8700000000000045</v>
      </c>
      <c r="P717">
        <f t="shared" si="23"/>
        <v>56.013000000000005</v>
      </c>
    </row>
    <row r="718" spans="1:16" x14ac:dyDescent="0.35">
      <c r="A718" s="9" t="s">
        <v>256</v>
      </c>
      <c r="B718" s="2">
        <v>142.97</v>
      </c>
      <c r="C718" s="2">
        <v>143.12</v>
      </c>
      <c r="D718" s="2">
        <v>141.21799999999999</v>
      </c>
      <c r="E718" s="2">
        <v>142.08000000000001</v>
      </c>
      <c r="F718" s="2">
        <v>44521658</v>
      </c>
      <c r="G718" s="2" t="s">
        <v>558</v>
      </c>
      <c r="H718" s="2" t="s">
        <v>559</v>
      </c>
      <c r="I718" s="2" t="s">
        <v>560</v>
      </c>
      <c r="J718" s="4">
        <v>-0.441</v>
      </c>
      <c r="K718" s="2" t="s">
        <v>250</v>
      </c>
      <c r="L718" s="2">
        <v>2023</v>
      </c>
      <c r="M718" s="2" t="s">
        <v>251</v>
      </c>
      <c r="N718" s="2" t="s">
        <v>23</v>
      </c>
      <c r="O718">
        <f t="shared" si="22"/>
        <v>1.9020000000000152</v>
      </c>
      <c r="P718">
        <f t="shared" si="23"/>
        <v>55.572000000000003</v>
      </c>
    </row>
    <row r="719" spans="1:16" x14ac:dyDescent="0.35">
      <c r="A719" s="9" t="s">
        <v>257</v>
      </c>
      <c r="B719" s="2">
        <v>142.02000000000001</v>
      </c>
      <c r="C719" s="2">
        <v>142.65</v>
      </c>
      <c r="D719" s="2">
        <v>139.84</v>
      </c>
      <c r="E719" s="2">
        <v>140.6</v>
      </c>
      <c r="F719" s="2">
        <v>36235367</v>
      </c>
      <c r="G719" s="2" t="s">
        <v>558</v>
      </c>
      <c r="H719" s="2" t="s">
        <v>559</v>
      </c>
      <c r="I719" s="2" t="s">
        <v>560</v>
      </c>
      <c r="J719" s="4">
        <v>-1.042</v>
      </c>
      <c r="K719" s="2" t="s">
        <v>250</v>
      </c>
      <c r="L719" s="2">
        <v>2023</v>
      </c>
      <c r="M719" s="2" t="s">
        <v>251</v>
      </c>
      <c r="N719" s="2" t="s">
        <v>23</v>
      </c>
      <c r="O719">
        <f t="shared" si="22"/>
        <v>2.8100000000000023</v>
      </c>
      <c r="P719">
        <f t="shared" si="23"/>
        <v>54.53</v>
      </c>
    </row>
    <row r="720" spans="1:16" x14ac:dyDescent="0.35">
      <c r="A720" s="9" t="s">
        <v>258</v>
      </c>
      <c r="B720" s="2">
        <v>140.46</v>
      </c>
      <c r="C720" s="2">
        <v>143.65</v>
      </c>
      <c r="D720" s="2">
        <v>139.91</v>
      </c>
      <c r="E720" s="2">
        <v>143.56</v>
      </c>
      <c r="F720" s="2">
        <v>49349937</v>
      </c>
      <c r="G720" s="2" t="s">
        <v>558</v>
      </c>
      <c r="H720" s="2" t="s">
        <v>559</v>
      </c>
      <c r="I720" s="2" t="s">
        <v>560</v>
      </c>
      <c r="J720" s="3">
        <v>2.105</v>
      </c>
      <c r="K720" s="2" t="s">
        <v>250</v>
      </c>
      <c r="L720" s="2">
        <v>2023</v>
      </c>
      <c r="M720" s="2" t="s">
        <v>251</v>
      </c>
      <c r="N720" s="2" t="s">
        <v>21</v>
      </c>
      <c r="O720">
        <f t="shared" si="22"/>
        <v>3.7400000000000091</v>
      </c>
      <c r="P720">
        <f t="shared" si="23"/>
        <v>56.634999999999998</v>
      </c>
    </row>
    <row r="721" spans="1:16" x14ac:dyDescent="0.35">
      <c r="A721" s="9" t="s">
        <v>259</v>
      </c>
      <c r="B721" s="2">
        <v>142.08000000000001</v>
      </c>
      <c r="C721" s="2">
        <v>143.22999999999999</v>
      </c>
      <c r="D721" s="2">
        <v>140.66999999999999</v>
      </c>
      <c r="E721" s="2">
        <v>142.59</v>
      </c>
      <c r="F721" s="2">
        <v>35680570</v>
      </c>
      <c r="G721" s="2" t="s">
        <v>558</v>
      </c>
      <c r="H721" s="2" t="s">
        <v>559</v>
      </c>
      <c r="I721" s="2" t="s">
        <v>560</v>
      </c>
      <c r="J721" s="4">
        <v>-0.67600000000000005</v>
      </c>
      <c r="K721" s="2" t="s">
        <v>250</v>
      </c>
      <c r="L721" s="2">
        <v>2023</v>
      </c>
      <c r="M721" s="2" t="s">
        <v>251</v>
      </c>
      <c r="N721" s="2" t="s">
        <v>23</v>
      </c>
      <c r="O721">
        <f t="shared" si="22"/>
        <v>2.5600000000000023</v>
      </c>
      <c r="P721">
        <f t="shared" si="23"/>
        <v>55.958999999999996</v>
      </c>
    </row>
    <row r="722" spans="1:16" x14ac:dyDescent="0.35">
      <c r="A722" s="9" t="s">
        <v>260</v>
      </c>
      <c r="B722" s="2">
        <v>145</v>
      </c>
      <c r="C722" s="2">
        <v>147.26</v>
      </c>
      <c r="D722" s="2">
        <v>144.68</v>
      </c>
      <c r="E722" s="2">
        <v>145.80000000000001</v>
      </c>
      <c r="F722" s="2">
        <v>56674551</v>
      </c>
      <c r="G722" s="2" t="s">
        <v>558</v>
      </c>
      <c r="H722" s="2" t="s">
        <v>559</v>
      </c>
      <c r="I722" s="2" t="s">
        <v>560</v>
      </c>
      <c r="J722" s="3">
        <v>2.2509999999999999</v>
      </c>
      <c r="K722" s="2" t="s">
        <v>250</v>
      </c>
      <c r="L722" s="2">
        <v>2023</v>
      </c>
      <c r="M722" s="2" t="s">
        <v>251</v>
      </c>
      <c r="N722" s="2" t="s">
        <v>21</v>
      </c>
      <c r="O722">
        <f t="shared" si="22"/>
        <v>2.5799999999999841</v>
      </c>
      <c r="P722">
        <f t="shared" si="23"/>
        <v>58.209999999999994</v>
      </c>
    </row>
    <row r="723" spans="1:16" x14ac:dyDescent="0.35">
      <c r="A723" s="9" t="s">
        <v>261</v>
      </c>
      <c r="B723" s="2">
        <v>147.06</v>
      </c>
      <c r="C723" s="2">
        <v>147.29</v>
      </c>
      <c r="D723" s="2">
        <v>142.59</v>
      </c>
      <c r="E723" s="2">
        <v>143.19999999999999</v>
      </c>
      <c r="F723" s="2">
        <v>63875720</v>
      </c>
      <c r="G723" s="2" t="s">
        <v>558</v>
      </c>
      <c r="H723" s="2" t="s">
        <v>559</v>
      </c>
      <c r="I723" s="2" t="s">
        <v>560</v>
      </c>
      <c r="J723" s="4">
        <v>-1.7829999999999999</v>
      </c>
      <c r="K723" s="2" t="s">
        <v>250</v>
      </c>
      <c r="L723" s="2">
        <v>2023</v>
      </c>
      <c r="M723" s="2" t="s">
        <v>251</v>
      </c>
      <c r="N723" s="2" t="s">
        <v>23</v>
      </c>
      <c r="O723">
        <f t="shared" si="22"/>
        <v>4.6999999999999886</v>
      </c>
      <c r="P723">
        <f t="shared" si="23"/>
        <v>56.426999999999992</v>
      </c>
    </row>
    <row r="724" spans="1:16" x14ac:dyDescent="0.35">
      <c r="A724" s="9" t="s">
        <v>262</v>
      </c>
      <c r="B724" s="2">
        <v>140.91</v>
      </c>
      <c r="C724" s="2">
        <v>143.32</v>
      </c>
      <c r="D724" s="2">
        <v>139.52000000000001</v>
      </c>
      <c r="E724" s="2">
        <v>142.83000000000001</v>
      </c>
      <c r="F724" s="2">
        <v>49653512</v>
      </c>
      <c r="G724" s="2" t="s">
        <v>558</v>
      </c>
      <c r="H724" s="2" t="s">
        <v>559</v>
      </c>
      <c r="I724" s="2" t="s">
        <v>560</v>
      </c>
      <c r="J724" s="4">
        <v>-0.25800000000000001</v>
      </c>
      <c r="K724" s="2" t="s">
        <v>250</v>
      </c>
      <c r="L724" s="2">
        <v>2023</v>
      </c>
      <c r="M724" s="2" t="s">
        <v>251</v>
      </c>
      <c r="N724" s="2" t="s">
        <v>23</v>
      </c>
      <c r="O724">
        <f t="shared" si="22"/>
        <v>3.7999999999999829</v>
      </c>
      <c r="P724">
        <f t="shared" si="23"/>
        <v>56.16899999999999</v>
      </c>
    </row>
    <row r="725" spans="1:16" x14ac:dyDescent="0.35">
      <c r="A725" s="9" t="s">
        <v>263</v>
      </c>
      <c r="B725" s="2">
        <v>142.66</v>
      </c>
      <c r="C725" s="2">
        <v>145.22999999999999</v>
      </c>
      <c r="D725" s="2">
        <v>142.54499999999999</v>
      </c>
      <c r="E725" s="2">
        <v>145.18</v>
      </c>
      <c r="F725" s="2">
        <v>49678437</v>
      </c>
      <c r="G725" s="2" t="s">
        <v>558</v>
      </c>
      <c r="H725" s="2" t="s">
        <v>559</v>
      </c>
      <c r="I725" s="2" t="s">
        <v>560</v>
      </c>
      <c r="J725" s="3">
        <v>1.645</v>
      </c>
      <c r="K725" s="2" t="s">
        <v>250</v>
      </c>
      <c r="L725" s="2">
        <v>2023</v>
      </c>
      <c r="M725" s="2" t="s">
        <v>251</v>
      </c>
      <c r="N725" s="2" t="s">
        <v>21</v>
      </c>
      <c r="O725">
        <f t="shared" si="22"/>
        <v>2.6850000000000023</v>
      </c>
      <c r="P725">
        <f t="shared" si="23"/>
        <v>57.813999999999993</v>
      </c>
    </row>
    <row r="726" spans="1:16" x14ac:dyDescent="0.35">
      <c r="A726" s="9" t="s">
        <v>264</v>
      </c>
      <c r="B726" s="2">
        <v>145.13</v>
      </c>
      <c r="C726" s="2">
        <v>146.63</v>
      </c>
      <c r="D726" s="2">
        <v>144.72499999999999</v>
      </c>
      <c r="E726" s="2">
        <v>146.13</v>
      </c>
      <c r="F726" s="2">
        <v>41978766</v>
      </c>
      <c r="G726" s="2" t="s">
        <v>558</v>
      </c>
      <c r="H726" s="2" t="s">
        <v>559</v>
      </c>
      <c r="I726" s="2" t="s">
        <v>560</v>
      </c>
      <c r="J726" s="3">
        <v>0.65400000000000003</v>
      </c>
      <c r="K726" s="2" t="s">
        <v>250</v>
      </c>
      <c r="L726" s="2">
        <v>2023</v>
      </c>
      <c r="M726" s="2" t="s">
        <v>251</v>
      </c>
      <c r="N726" s="2" t="s">
        <v>21</v>
      </c>
      <c r="O726">
        <f t="shared" si="22"/>
        <v>1.9050000000000011</v>
      </c>
      <c r="P726">
        <f t="shared" si="23"/>
        <v>58.467999999999996</v>
      </c>
    </row>
    <row r="727" spans="1:16" x14ac:dyDescent="0.35">
      <c r="A727" s="9" t="s">
        <v>265</v>
      </c>
      <c r="B727" s="2">
        <v>143.91</v>
      </c>
      <c r="C727" s="2">
        <v>144.05000000000001</v>
      </c>
      <c r="D727" s="2">
        <v>141.5</v>
      </c>
      <c r="E727" s="2">
        <v>143.9</v>
      </c>
      <c r="F727" s="2">
        <v>71225992</v>
      </c>
      <c r="G727" s="2" t="s">
        <v>558</v>
      </c>
      <c r="H727" s="2" t="s">
        <v>559</v>
      </c>
      <c r="I727" s="2" t="s">
        <v>560</v>
      </c>
      <c r="J727" s="4">
        <v>-1.526</v>
      </c>
      <c r="K727" s="2" t="s">
        <v>250</v>
      </c>
      <c r="L727" s="2">
        <v>2023</v>
      </c>
      <c r="M727" s="2" t="s">
        <v>251</v>
      </c>
      <c r="N727" s="2" t="s">
        <v>23</v>
      </c>
      <c r="O727">
        <f t="shared" si="22"/>
        <v>2.5500000000000114</v>
      </c>
      <c r="P727">
        <f t="shared" si="23"/>
        <v>56.941999999999993</v>
      </c>
    </row>
    <row r="728" spans="1:16" x14ac:dyDescent="0.35">
      <c r="A728" s="9" t="s">
        <v>266</v>
      </c>
      <c r="B728" s="2">
        <v>144.57</v>
      </c>
      <c r="C728" s="2">
        <v>147.74</v>
      </c>
      <c r="D728" s="2">
        <v>144.57</v>
      </c>
      <c r="E728" s="2">
        <v>146.71</v>
      </c>
      <c r="F728" s="2">
        <v>45700002</v>
      </c>
      <c r="G728" s="2" t="s">
        <v>558</v>
      </c>
      <c r="H728" s="2" t="s">
        <v>559</v>
      </c>
      <c r="I728" s="2" t="s">
        <v>560</v>
      </c>
      <c r="J728" s="3">
        <v>1.9530000000000001</v>
      </c>
      <c r="K728" s="2" t="s">
        <v>250</v>
      </c>
      <c r="L728" s="2">
        <v>2023</v>
      </c>
      <c r="M728" s="2" t="s">
        <v>251</v>
      </c>
      <c r="N728" s="2" t="s">
        <v>21</v>
      </c>
      <c r="O728">
        <f t="shared" si="22"/>
        <v>3.1700000000000159</v>
      </c>
      <c r="P728">
        <f t="shared" si="23"/>
        <v>58.894999999999996</v>
      </c>
    </row>
    <row r="729" spans="1:16" x14ac:dyDescent="0.35">
      <c r="A729" s="9" t="s">
        <v>267</v>
      </c>
      <c r="B729" s="2">
        <v>146.69999999999999</v>
      </c>
      <c r="C729" s="2">
        <v>147.19999999999999</v>
      </c>
      <c r="D729" s="2">
        <v>145.32</v>
      </c>
      <c r="E729" s="2">
        <v>146.74</v>
      </c>
      <c r="F729" s="2">
        <v>22378379</v>
      </c>
      <c r="G729" s="2" t="s">
        <v>558</v>
      </c>
      <c r="H729" s="2" t="s">
        <v>559</v>
      </c>
      <c r="I729" s="2" t="s">
        <v>560</v>
      </c>
      <c r="J729" s="3">
        <v>0.02</v>
      </c>
      <c r="K729" s="2" t="s">
        <v>250</v>
      </c>
      <c r="L729" s="2">
        <v>2023</v>
      </c>
      <c r="M729" s="2" t="s">
        <v>251</v>
      </c>
      <c r="N729" s="2" t="s">
        <v>21</v>
      </c>
      <c r="O729">
        <f t="shared" si="22"/>
        <v>1.8799999999999955</v>
      </c>
      <c r="P729">
        <f t="shared" si="23"/>
        <v>58.914999999999999</v>
      </c>
    </row>
    <row r="730" spans="1:16" x14ac:dyDescent="0.35">
      <c r="A730" s="9" t="s">
        <v>268</v>
      </c>
      <c r="B730" s="2">
        <v>147.53</v>
      </c>
      <c r="C730" s="2">
        <v>149.26</v>
      </c>
      <c r="D730" s="2">
        <v>146.88</v>
      </c>
      <c r="E730" s="2">
        <v>147.72999999999999</v>
      </c>
      <c r="F730" s="2">
        <v>53762428</v>
      </c>
      <c r="G730" s="2" t="s">
        <v>558</v>
      </c>
      <c r="H730" s="2" t="s">
        <v>559</v>
      </c>
      <c r="I730" s="2" t="s">
        <v>560</v>
      </c>
      <c r="J730" s="3">
        <v>0.67500000000000004</v>
      </c>
      <c r="K730" s="2" t="s">
        <v>250</v>
      </c>
      <c r="L730" s="2">
        <v>2023</v>
      </c>
      <c r="M730" s="2" t="s">
        <v>251</v>
      </c>
      <c r="N730" s="2" t="s">
        <v>21</v>
      </c>
      <c r="O730">
        <f t="shared" si="22"/>
        <v>2.3799999999999955</v>
      </c>
      <c r="P730">
        <f t="shared" si="23"/>
        <v>59.589999999999996</v>
      </c>
    </row>
    <row r="731" spans="1:16" x14ac:dyDescent="0.35">
      <c r="A731" s="9" t="s">
        <v>269</v>
      </c>
      <c r="B731" s="2">
        <v>146.97999999999999</v>
      </c>
      <c r="C731" s="2">
        <v>147.6</v>
      </c>
      <c r="D731" s="2">
        <v>145.53</v>
      </c>
      <c r="E731" s="2">
        <v>147.03</v>
      </c>
      <c r="F731" s="2">
        <v>42711682</v>
      </c>
      <c r="G731" s="2" t="s">
        <v>558</v>
      </c>
      <c r="H731" s="2" t="s">
        <v>559</v>
      </c>
      <c r="I731" s="2" t="s">
        <v>560</v>
      </c>
      <c r="J731" s="4">
        <v>-0.47399999999999998</v>
      </c>
      <c r="K731" s="2" t="s">
        <v>250</v>
      </c>
      <c r="L731" s="2">
        <v>2023</v>
      </c>
      <c r="M731" s="2" t="s">
        <v>251</v>
      </c>
      <c r="N731" s="2" t="s">
        <v>23</v>
      </c>
      <c r="O731">
        <f t="shared" si="22"/>
        <v>2.0699999999999932</v>
      </c>
      <c r="P731">
        <f t="shared" si="23"/>
        <v>59.116</v>
      </c>
    </row>
    <row r="732" spans="1:16" x14ac:dyDescent="0.35">
      <c r="A732" s="9" t="s">
        <v>270</v>
      </c>
      <c r="B732" s="2">
        <v>147.85</v>
      </c>
      <c r="C732" s="2">
        <v>148.54</v>
      </c>
      <c r="D732" s="2">
        <v>145.97</v>
      </c>
      <c r="E732" s="2">
        <v>146.32</v>
      </c>
      <c r="F732" s="2">
        <v>40610907</v>
      </c>
      <c r="G732" s="2" t="s">
        <v>558</v>
      </c>
      <c r="H732" s="2" t="s">
        <v>559</v>
      </c>
      <c r="I732" s="2" t="s">
        <v>560</v>
      </c>
      <c r="J732" s="4">
        <v>-0.48299999999999998</v>
      </c>
      <c r="K732" s="2" t="s">
        <v>250</v>
      </c>
      <c r="L732" s="2">
        <v>2023</v>
      </c>
      <c r="M732" s="2" t="s">
        <v>251</v>
      </c>
      <c r="N732" s="2" t="s">
        <v>23</v>
      </c>
      <c r="O732">
        <f t="shared" si="22"/>
        <v>2.5699999999999932</v>
      </c>
      <c r="P732">
        <f t="shared" si="23"/>
        <v>58.633000000000003</v>
      </c>
    </row>
    <row r="733" spans="1:16" x14ac:dyDescent="0.35">
      <c r="A733" s="9" t="s">
        <v>271</v>
      </c>
      <c r="B733" s="2">
        <v>144.76</v>
      </c>
      <c r="C733" s="2">
        <v>146.93</v>
      </c>
      <c r="D733" s="2">
        <v>144.33199999999999</v>
      </c>
      <c r="E733" s="2">
        <v>146.09</v>
      </c>
      <c r="F733" s="2">
        <v>65814022</v>
      </c>
      <c r="G733" s="2" t="s">
        <v>558</v>
      </c>
      <c r="H733" s="2" t="s">
        <v>559</v>
      </c>
      <c r="I733" s="2" t="s">
        <v>560</v>
      </c>
      <c r="J733" s="4">
        <v>-0.157</v>
      </c>
      <c r="K733" s="2" t="s">
        <v>250</v>
      </c>
      <c r="L733" s="2">
        <v>2023</v>
      </c>
      <c r="M733" s="2" t="s">
        <v>251</v>
      </c>
      <c r="N733" s="2" t="s">
        <v>23</v>
      </c>
      <c r="O733">
        <f t="shared" si="22"/>
        <v>2.5980000000000132</v>
      </c>
      <c r="P733">
        <f t="shared" si="23"/>
        <v>58.476000000000006</v>
      </c>
    </row>
    <row r="734" spans="1:16" x14ac:dyDescent="0.35">
      <c r="A734" s="9" t="s">
        <v>272</v>
      </c>
      <c r="B734" s="2">
        <v>146</v>
      </c>
      <c r="C734" s="2">
        <v>147.245</v>
      </c>
      <c r="D734" s="2">
        <v>145.55000000000001</v>
      </c>
      <c r="E734" s="2">
        <v>147.03</v>
      </c>
      <c r="F734" s="2">
        <v>39951833</v>
      </c>
      <c r="G734" s="2" t="s">
        <v>558</v>
      </c>
      <c r="H734" s="2" t="s">
        <v>559</v>
      </c>
      <c r="I734" s="2" t="s">
        <v>560</v>
      </c>
      <c r="J734" s="3">
        <v>0.64300000000000002</v>
      </c>
      <c r="K734" s="2" t="s">
        <v>273</v>
      </c>
      <c r="L734" s="2">
        <v>2023</v>
      </c>
      <c r="M734" s="2" t="s">
        <v>274</v>
      </c>
      <c r="N734" s="2" t="s">
        <v>21</v>
      </c>
      <c r="O734">
        <f t="shared" si="22"/>
        <v>1.6949999999999932</v>
      </c>
      <c r="P734">
        <f t="shared" si="23"/>
        <v>59.119000000000007</v>
      </c>
    </row>
    <row r="735" spans="1:16" x14ac:dyDescent="0.35">
      <c r="A735" s="9" t="s">
        <v>275</v>
      </c>
      <c r="B735" s="2">
        <v>145.25</v>
      </c>
      <c r="C735" s="2">
        <v>145.35</v>
      </c>
      <c r="D735" s="2">
        <v>142.81</v>
      </c>
      <c r="E735" s="2">
        <v>144.84</v>
      </c>
      <c r="F735" s="2">
        <v>48294244</v>
      </c>
      <c r="G735" s="2" t="s">
        <v>558</v>
      </c>
      <c r="H735" s="2" t="s">
        <v>559</v>
      </c>
      <c r="I735" s="2" t="s">
        <v>560</v>
      </c>
      <c r="J735" s="4">
        <v>-1.4890000000000001</v>
      </c>
      <c r="K735" s="2" t="s">
        <v>273</v>
      </c>
      <c r="L735" s="2">
        <v>2023</v>
      </c>
      <c r="M735" s="2" t="s">
        <v>274</v>
      </c>
      <c r="N735" s="2" t="s">
        <v>23</v>
      </c>
      <c r="O735">
        <f t="shared" si="22"/>
        <v>2.539999999999992</v>
      </c>
      <c r="P735">
        <f t="shared" si="23"/>
        <v>57.63000000000001</v>
      </c>
    </row>
    <row r="736" spans="1:16" x14ac:dyDescent="0.35">
      <c r="A736" s="9" t="s">
        <v>276</v>
      </c>
      <c r="B736" s="2">
        <v>143.55000000000001</v>
      </c>
      <c r="C736" s="2">
        <v>148.57</v>
      </c>
      <c r="D736" s="2">
        <v>143.13</v>
      </c>
      <c r="E736" s="2">
        <v>146.88</v>
      </c>
      <c r="F736" s="2">
        <v>46822411</v>
      </c>
      <c r="G736" s="2" t="s">
        <v>558</v>
      </c>
      <c r="H736" s="2" t="s">
        <v>559</v>
      </c>
      <c r="I736" s="2" t="s">
        <v>560</v>
      </c>
      <c r="J736" s="3">
        <v>1.4079999999999999</v>
      </c>
      <c r="K736" s="2" t="s">
        <v>273</v>
      </c>
      <c r="L736" s="2">
        <v>2023</v>
      </c>
      <c r="M736" s="2" t="s">
        <v>274</v>
      </c>
      <c r="N736" s="2" t="s">
        <v>21</v>
      </c>
      <c r="O736">
        <f t="shared" si="22"/>
        <v>5.4399999999999977</v>
      </c>
      <c r="P736">
        <f t="shared" si="23"/>
        <v>59.038000000000011</v>
      </c>
    </row>
    <row r="737" spans="1:16" x14ac:dyDescent="0.35">
      <c r="A737" s="9" t="s">
        <v>277</v>
      </c>
      <c r="B737" s="2">
        <v>147.58000000000001</v>
      </c>
      <c r="C737" s="2">
        <v>147.85</v>
      </c>
      <c r="D737" s="2">
        <v>144.28</v>
      </c>
      <c r="E737" s="2">
        <v>144.52000000000001</v>
      </c>
      <c r="F737" s="2">
        <v>39678960</v>
      </c>
      <c r="G737" s="2" t="s">
        <v>558</v>
      </c>
      <c r="H737" s="2" t="s">
        <v>559</v>
      </c>
      <c r="I737" s="2" t="s">
        <v>560</v>
      </c>
      <c r="J737" s="4">
        <v>-1.607</v>
      </c>
      <c r="K737" s="2" t="s">
        <v>273</v>
      </c>
      <c r="L737" s="2">
        <v>2023</v>
      </c>
      <c r="M737" s="2" t="s">
        <v>274</v>
      </c>
      <c r="N737" s="2" t="s">
        <v>23</v>
      </c>
      <c r="O737">
        <f t="shared" si="22"/>
        <v>3.5699999999999932</v>
      </c>
      <c r="P737">
        <f t="shared" si="23"/>
        <v>57.431000000000012</v>
      </c>
    </row>
    <row r="738" spans="1:16" x14ac:dyDescent="0.35">
      <c r="A738" s="9" t="s">
        <v>278</v>
      </c>
      <c r="B738" s="2">
        <v>146.15</v>
      </c>
      <c r="C738" s="2">
        <v>147.91999999999999</v>
      </c>
      <c r="D738" s="2">
        <v>145.34</v>
      </c>
      <c r="E738" s="2">
        <v>146.88</v>
      </c>
      <c r="F738" s="2">
        <v>52352830</v>
      </c>
      <c r="G738" s="2" t="s">
        <v>558</v>
      </c>
      <c r="H738" s="2" t="s">
        <v>559</v>
      </c>
      <c r="I738" s="2" t="s">
        <v>560</v>
      </c>
      <c r="J738" s="3">
        <v>1.633</v>
      </c>
      <c r="K738" s="2" t="s">
        <v>273</v>
      </c>
      <c r="L738" s="2">
        <v>2023</v>
      </c>
      <c r="M738" s="2" t="s">
        <v>274</v>
      </c>
      <c r="N738" s="2" t="s">
        <v>21</v>
      </c>
      <c r="O738">
        <f t="shared" si="22"/>
        <v>2.5799999999999841</v>
      </c>
      <c r="P738">
        <f t="shared" si="23"/>
        <v>59.064000000000014</v>
      </c>
    </row>
    <row r="739" spans="1:16" x14ac:dyDescent="0.35">
      <c r="A739" s="9" t="s">
        <v>279</v>
      </c>
      <c r="B739" s="2">
        <v>145.47999999999999</v>
      </c>
      <c r="C739" s="2">
        <v>147.84</v>
      </c>
      <c r="D739" s="2">
        <v>145.4</v>
      </c>
      <c r="E739" s="2">
        <v>147.41999999999999</v>
      </c>
      <c r="F739" s="2">
        <v>41905965</v>
      </c>
      <c r="G739" s="2" t="s">
        <v>558</v>
      </c>
      <c r="H739" s="2" t="s">
        <v>559</v>
      </c>
      <c r="I739" s="2" t="s">
        <v>560</v>
      </c>
      <c r="J739" s="3">
        <v>0.36799999999999999</v>
      </c>
      <c r="K739" s="2" t="s">
        <v>273</v>
      </c>
      <c r="L739" s="2">
        <v>2023</v>
      </c>
      <c r="M739" s="2" t="s">
        <v>274</v>
      </c>
      <c r="N739" s="2" t="s">
        <v>21</v>
      </c>
      <c r="O739">
        <f t="shared" si="22"/>
        <v>2.4399999999999977</v>
      </c>
      <c r="P739">
        <f t="shared" si="23"/>
        <v>59.432000000000016</v>
      </c>
    </row>
    <row r="740" spans="1:16" x14ac:dyDescent="0.35">
      <c r="A740" s="9" t="s">
        <v>280</v>
      </c>
      <c r="B740" s="2">
        <v>145.66</v>
      </c>
      <c r="C740" s="2">
        <v>146.19</v>
      </c>
      <c r="D740" s="2">
        <v>143.63999999999999</v>
      </c>
      <c r="E740" s="2">
        <v>145.88999999999999</v>
      </c>
      <c r="F740" s="2">
        <v>50907288</v>
      </c>
      <c r="G740" s="2" t="s">
        <v>558</v>
      </c>
      <c r="H740" s="2" t="s">
        <v>559</v>
      </c>
      <c r="I740" s="2" t="s">
        <v>560</v>
      </c>
      <c r="J740" s="4">
        <v>-1.038</v>
      </c>
      <c r="K740" s="2" t="s">
        <v>273</v>
      </c>
      <c r="L740" s="2">
        <v>2023</v>
      </c>
      <c r="M740" s="2" t="s">
        <v>274</v>
      </c>
      <c r="N740" s="2" t="s">
        <v>23</v>
      </c>
      <c r="O740">
        <f t="shared" si="22"/>
        <v>2.5500000000000114</v>
      </c>
      <c r="P740">
        <f t="shared" si="23"/>
        <v>58.39400000000002</v>
      </c>
    </row>
    <row r="741" spans="1:16" x14ac:dyDescent="0.35">
      <c r="A741" s="9" t="s">
        <v>281</v>
      </c>
      <c r="B741" s="2">
        <v>145.52000000000001</v>
      </c>
      <c r="C741" s="2">
        <v>147.5</v>
      </c>
      <c r="D741" s="2">
        <v>145.30000000000001</v>
      </c>
      <c r="E741" s="2">
        <v>147.47999999999999</v>
      </c>
      <c r="F741" s="2">
        <v>44944264</v>
      </c>
      <c r="G741" s="2" t="s">
        <v>558</v>
      </c>
      <c r="H741" s="2" t="s">
        <v>559</v>
      </c>
      <c r="I741" s="2" t="s">
        <v>560</v>
      </c>
      <c r="J741" s="3">
        <v>1.0900000000000001</v>
      </c>
      <c r="K741" s="2" t="s">
        <v>273</v>
      </c>
      <c r="L741" s="2">
        <v>2023</v>
      </c>
      <c r="M741" s="2" t="s">
        <v>274</v>
      </c>
      <c r="N741" s="2" t="s">
        <v>21</v>
      </c>
      <c r="O741">
        <f t="shared" si="22"/>
        <v>2.1999999999999886</v>
      </c>
      <c r="P741">
        <f t="shared" si="23"/>
        <v>59.484000000000023</v>
      </c>
    </row>
    <row r="742" spans="1:16" x14ac:dyDescent="0.35">
      <c r="A742" s="9" t="s">
        <v>282</v>
      </c>
      <c r="B742" s="2">
        <v>148.12</v>
      </c>
      <c r="C742" s="2">
        <v>149.46</v>
      </c>
      <c r="D742" s="2">
        <v>146.82</v>
      </c>
      <c r="E742" s="2">
        <v>148.84</v>
      </c>
      <c r="F742" s="2">
        <v>52766196</v>
      </c>
      <c r="G742" s="2" t="s">
        <v>558</v>
      </c>
      <c r="H742" s="2" t="s">
        <v>559</v>
      </c>
      <c r="I742" s="2" t="s">
        <v>560</v>
      </c>
      <c r="J742" s="3">
        <v>0.92200000000000004</v>
      </c>
      <c r="K742" s="2" t="s">
        <v>273</v>
      </c>
      <c r="L742" s="2">
        <v>2023</v>
      </c>
      <c r="M742" s="2" t="s">
        <v>274</v>
      </c>
      <c r="N742" s="2" t="s">
        <v>21</v>
      </c>
      <c r="O742">
        <f t="shared" si="22"/>
        <v>2.6400000000000148</v>
      </c>
      <c r="P742">
        <f t="shared" si="23"/>
        <v>60.40600000000002</v>
      </c>
    </row>
    <row r="743" spans="1:16" x14ac:dyDescent="0.35">
      <c r="A743" s="9" t="s">
        <v>283</v>
      </c>
      <c r="B743" s="2">
        <v>149.93</v>
      </c>
      <c r="C743" s="2">
        <v>150.54</v>
      </c>
      <c r="D743" s="2">
        <v>145.52000000000001</v>
      </c>
      <c r="E743" s="2">
        <v>147.41999999999999</v>
      </c>
      <c r="F743" s="2">
        <v>58400848</v>
      </c>
      <c r="G743" s="2" t="s">
        <v>558</v>
      </c>
      <c r="H743" s="2" t="s">
        <v>559</v>
      </c>
      <c r="I743" s="2" t="s">
        <v>560</v>
      </c>
      <c r="J743" s="4">
        <v>-0.95399999999999996</v>
      </c>
      <c r="K743" s="2" t="s">
        <v>273</v>
      </c>
      <c r="L743" s="2">
        <v>2023</v>
      </c>
      <c r="M743" s="2" t="s">
        <v>274</v>
      </c>
      <c r="N743" s="2" t="s">
        <v>23</v>
      </c>
      <c r="O743">
        <f t="shared" si="22"/>
        <v>5.0199999999999818</v>
      </c>
      <c r="P743">
        <f t="shared" si="23"/>
        <v>59.452000000000019</v>
      </c>
    </row>
    <row r="744" spans="1:16" x14ac:dyDescent="0.35">
      <c r="A744" s="9" t="s">
        <v>284</v>
      </c>
      <c r="B744" s="2">
        <v>148.38</v>
      </c>
      <c r="C744" s="2">
        <v>150.57</v>
      </c>
      <c r="D744" s="2">
        <v>147.88</v>
      </c>
      <c r="E744" s="2">
        <v>149.97</v>
      </c>
      <c r="F744" s="2">
        <v>110089342</v>
      </c>
      <c r="G744" s="2" t="s">
        <v>558</v>
      </c>
      <c r="H744" s="2" t="s">
        <v>559</v>
      </c>
      <c r="I744" s="2" t="s">
        <v>560</v>
      </c>
      <c r="J744" s="3">
        <v>1.73</v>
      </c>
      <c r="K744" s="2" t="s">
        <v>273</v>
      </c>
      <c r="L744" s="2">
        <v>2023</v>
      </c>
      <c r="M744" s="2" t="s">
        <v>274</v>
      </c>
      <c r="N744" s="2" t="s">
        <v>21</v>
      </c>
      <c r="O744">
        <f t="shared" si="22"/>
        <v>2.6899999999999977</v>
      </c>
      <c r="P744">
        <f t="shared" si="23"/>
        <v>61.182000000000016</v>
      </c>
    </row>
    <row r="745" spans="1:16" x14ac:dyDescent="0.35">
      <c r="A745" s="9" t="s">
        <v>285</v>
      </c>
      <c r="B745" s="2">
        <v>150.56</v>
      </c>
      <c r="C745" s="2">
        <v>154.85499999999999</v>
      </c>
      <c r="D745" s="2">
        <v>150.05000000000001</v>
      </c>
      <c r="E745" s="2">
        <v>154.07</v>
      </c>
      <c r="F745" s="2">
        <v>62512828</v>
      </c>
      <c r="G745" s="2" t="s">
        <v>558</v>
      </c>
      <c r="H745" s="2" t="s">
        <v>559</v>
      </c>
      <c r="I745" s="2" t="s">
        <v>560</v>
      </c>
      <c r="J745" s="3">
        <v>2.734</v>
      </c>
      <c r="K745" s="2" t="s">
        <v>273</v>
      </c>
      <c r="L745" s="2">
        <v>2023</v>
      </c>
      <c r="M745" s="2" t="s">
        <v>274</v>
      </c>
      <c r="N745" s="2" t="s">
        <v>21</v>
      </c>
      <c r="O745">
        <f t="shared" si="22"/>
        <v>4.8049999999999784</v>
      </c>
      <c r="P745">
        <f t="shared" si="23"/>
        <v>63.916000000000018</v>
      </c>
    </row>
    <row r="746" spans="1:16" x14ac:dyDescent="0.35">
      <c r="A746" s="9" t="s">
        <v>286</v>
      </c>
      <c r="B746" s="2">
        <v>154.4</v>
      </c>
      <c r="C746" s="2">
        <v>155.12</v>
      </c>
      <c r="D746" s="2">
        <v>152.69</v>
      </c>
      <c r="E746" s="2">
        <v>153.79</v>
      </c>
      <c r="F746" s="2">
        <v>43171292</v>
      </c>
      <c r="G746" s="2" t="s">
        <v>558</v>
      </c>
      <c r="H746" s="2" t="s">
        <v>559</v>
      </c>
      <c r="I746" s="2" t="s">
        <v>560</v>
      </c>
      <c r="J746" s="4">
        <v>-0.182</v>
      </c>
      <c r="K746" s="2" t="s">
        <v>273</v>
      </c>
      <c r="L746" s="2">
        <v>2023</v>
      </c>
      <c r="M746" s="2" t="s">
        <v>274</v>
      </c>
      <c r="N746" s="2" t="s">
        <v>23</v>
      </c>
      <c r="O746">
        <f t="shared" si="22"/>
        <v>2.4300000000000068</v>
      </c>
      <c r="P746">
        <f t="shared" si="23"/>
        <v>63.734000000000016</v>
      </c>
    </row>
    <row r="747" spans="1:16" x14ac:dyDescent="0.35">
      <c r="A747" s="9" t="s">
        <v>287</v>
      </c>
      <c r="B747" s="2">
        <v>152.9</v>
      </c>
      <c r="C747" s="2">
        <v>155.63</v>
      </c>
      <c r="D747" s="2">
        <v>151.56</v>
      </c>
      <c r="E747" s="2">
        <v>152.12</v>
      </c>
      <c r="F747" s="2">
        <v>50322106</v>
      </c>
      <c r="G747" s="2" t="s">
        <v>558</v>
      </c>
      <c r="H747" s="2" t="s">
        <v>559</v>
      </c>
      <c r="I747" s="2" t="s">
        <v>560</v>
      </c>
      <c r="J747" s="4">
        <v>-1.0860000000000001</v>
      </c>
      <c r="K747" s="2" t="s">
        <v>273</v>
      </c>
      <c r="L747" s="2">
        <v>2023</v>
      </c>
      <c r="M747" s="2" t="s">
        <v>274</v>
      </c>
      <c r="N747" s="2" t="s">
        <v>23</v>
      </c>
      <c r="O747">
        <f t="shared" si="22"/>
        <v>4.0699999999999932</v>
      </c>
      <c r="P747">
        <f t="shared" si="23"/>
        <v>62.648000000000017</v>
      </c>
    </row>
    <row r="748" spans="1:16" x14ac:dyDescent="0.35">
      <c r="A748" s="9" t="s">
        <v>288</v>
      </c>
      <c r="B748" s="2">
        <v>153.30000000000001</v>
      </c>
      <c r="C748" s="2">
        <v>153.97</v>
      </c>
      <c r="D748" s="2">
        <v>152.1</v>
      </c>
      <c r="E748" s="2">
        <v>153.84</v>
      </c>
      <c r="F748" s="2">
        <v>36305733</v>
      </c>
      <c r="G748" s="2" t="s">
        <v>558</v>
      </c>
      <c r="H748" s="2" t="s">
        <v>559</v>
      </c>
      <c r="I748" s="2" t="s">
        <v>560</v>
      </c>
      <c r="J748" s="3">
        <v>1.131</v>
      </c>
      <c r="K748" s="2" t="s">
        <v>273</v>
      </c>
      <c r="L748" s="2">
        <v>2023</v>
      </c>
      <c r="M748" s="2" t="s">
        <v>274</v>
      </c>
      <c r="N748" s="2" t="s">
        <v>21</v>
      </c>
      <c r="O748">
        <f t="shared" si="22"/>
        <v>1.8700000000000045</v>
      </c>
      <c r="P748">
        <f t="shared" si="23"/>
        <v>63.779000000000018</v>
      </c>
    </row>
    <row r="749" spans="1:16" x14ac:dyDescent="0.35">
      <c r="A749" s="9" t="s">
        <v>289</v>
      </c>
      <c r="B749" s="2">
        <v>153.77000000000001</v>
      </c>
      <c r="C749" s="2">
        <v>154.35</v>
      </c>
      <c r="D749" s="2">
        <v>152.71</v>
      </c>
      <c r="E749" s="2">
        <v>153.41999999999999</v>
      </c>
      <c r="F749" s="2">
        <v>29514093</v>
      </c>
      <c r="G749" s="2" t="s">
        <v>558</v>
      </c>
      <c r="H749" s="2" t="s">
        <v>559</v>
      </c>
      <c r="I749" s="2" t="s">
        <v>560</v>
      </c>
      <c r="J749" s="4">
        <v>-0.27300000000000002</v>
      </c>
      <c r="K749" s="2" t="s">
        <v>273</v>
      </c>
      <c r="L749" s="2">
        <v>2023</v>
      </c>
      <c r="M749" s="2" t="s">
        <v>274</v>
      </c>
      <c r="N749" s="2" t="s">
        <v>23</v>
      </c>
      <c r="O749">
        <f t="shared" si="22"/>
        <v>1.6399999999999864</v>
      </c>
      <c r="P749">
        <f t="shared" si="23"/>
        <v>63.506000000000014</v>
      </c>
    </row>
    <row r="750" spans="1:16" x14ac:dyDescent="0.35">
      <c r="A750" s="9" t="s">
        <v>290</v>
      </c>
      <c r="B750" s="2">
        <v>153.56</v>
      </c>
      <c r="C750" s="2">
        <v>153.97499999999999</v>
      </c>
      <c r="D750" s="2">
        <v>153.03</v>
      </c>
      <c r="E750" s="2">
        <v>153.41</v>
      </c>
      <c r="F750" s="2">
        <v>25067222</v>
      </c>
      <c r="G750" s="2" t="s">
        <v>558</v>
      </c>
      <c r="H750" s="2" t="s">
        <v>559</v>
      </c>
      <c r="I750" s="2" t="s">
        <v>560</v>
      </c>
      <c r="J750" s="4">
        <v>-7.0000000000000001E-3</v>
      </c>
      <c r="K750" s="2" t="s">
        <v>273</v>
      </c>
      <c r="L750" s="2">
        <v>2023</v>
      </c>
      <c r="M750" s="2" t="s">
        <v>274</v>
      </c>
      <c r="N750" s="2" t="s">
        <v>23</v>
      </c>
      <c r="O750">
        <f t="shared" si="22"/>
        <v>0.94499999999999318</v>
      </c>
      <c r="P750">
        <f t="shared" si="23"/>
        <v>63.499000000000017</v>
      </c>
    </row>
    <row r="751" spans="1:16" x14ac:dyDescent="0.35">
      <c r="A751" s="9" t="s">
        <v>291</v>
      </c>
      <c r="B751" s="2">
        <v>153.56</v>
      </c>
      <c r="C751" s="2">
        <v>154.78</v>
      </c>
      <c r="D751" s="2">
        <v>153.12</v>
      </c>
      <c r="E751" s="2">
        <v>153.34</v>
      </c>
      <c r="F751" s="2">
        <v>31434733</v>
      </c>
      <c r="G751" s="2" t="s">
        <v>558</v>
      </c>
      <c r="H751" s="2" t="s">
        <v>559</v>
      </c>
      <c r="I751" s="2" t="s">
        <v>560</v>
      </c>
      <c r="J751" s="4">
        <v>-4.5999999999999999E-2</v>
      </c>
      <c r="K751" s="2" t="s">
        <v>273</v>
      </c>
      <c r="L751" s="2">
        <v>2023</v>
      </c>
      <c r="M751" s="2" t="s">
        <v>274</v>
      </c>
      <c r="N751" s="2" t="s">
        <v>23</v>
      </c>
      <c r="O751">
        <f t="shared" si="22"/>
        <v>1.6599999999999966</v>
      </c>
      <c r="P751">
        <f t="shared" si="23"/>
        <v>63.453000000000017</v>
      </c>
    </row>
    <row r="752" spans="1:16" x14ac:dyDescent="0.35">
      <c r="A752" s="9" t="s">
        <v>292</v>
      </c>
      <c r="B752" s="2">
        <v>153.72</v>
      </c>
      <c r="C752" s="2">
        <v>154.08000000000001</v>
      </c>
      <c r="D752" s="2">
        <v>152.94999999999999</v>
      </c>
      <c r="E752" s="2">
        <v>153.38</v>
      </c>
      <c r="F752" s="2">
        <v>27057002</v>
      </c>
      <c r="G752" s="2" t="s">
        <v>558</v>
      </c>
      <c r="H752" s="2" t="s">
        <v>559</v>
      </c>
      <c r="I752" s="2" t="s">
        <v>560</v>
      </c>
      <c r="J752" s="3">
        <v>2.5999999999999999E-2</v>
      </c>
      <c r="K752" s="2" t="s">
        <v>273</v>
      </c>
      <c r="L752" s="2">
        <v>2023</v>
      </c>
      <c r="M752" s="2" t="s">
        <v>274</v>
      </c>
      <c r="N752" s="2" t="s">
        <v>21</v>
      </c>
      <c r="O752">
        <f t="shared" si="22"/>
        <v>1.1300000000000239</v>
      </c>
      <c r="P752">
        <f t="shared" si="23"/>
        <v>63.479000000000021</v>
      </c>
    </row>
    <row r="753" spans="1:16" x14ac:dyDescent="0.35">
      <c r="A753" s="9" t="s">
        <v>293</v>
      </c>
      <c r="B753" s="2">
        <v>153.1</v>
      </c>
      <c r="C753" s="2">
        <v>153.88999999999999</v>
      </c>
      <c r="D753" s="2">
        <v>151.03</v>
      </c>
      <c r="E753" s="2">
        <v>151.94</v>
      </c>
      <c r="F753" s="2">
        <v>39823204</v>
      </c>
      <c r="G753" s="2" t="s">
        <v>558</v>
      </c>
      <c r="H753" s="2" t="s">
        <v>559</v>
      </c>
      <c r="I753" s="2" t="s">
        <v>560</v>
      </c>
      <c r="J753" s="4">
        <v>-0.93899999999999995</v>
      </c>
      <c r="K753" s="2" t="s">
        <v>273</v>
      </c>
      <c r="L753" s="2">
        <v>2023</v>
      </c>
      <c r="M753" s="2" t="s">
        <v>274</v>
      </c>
      <c r="N753" s="2" t="s">
        <v>23</v>
      </c>
      <c r="O753">
        <f t="shared" si="22"/>
        <v>2.8599999999999852</v>
      </c>
      <c r="P753">
        <f t="shared" si="23"/>
        <v>62.54000000000002</v>
      </c>
    </row>
    <row r="754" spans="1:16" x14ac:dyDescent="0.35">
      <c r="A754" s="9" t="s">
        <v>294</v>
      </c>
      <c r="B754" s="2">
        <v>151.54</v>
      </c>
      <c r="C754" s="2">
        <v>152.38</v>
      </c>
      <c r="D754" s="2">
        <v>148.38999999999999</v>
      </c>
      <c r="E754" s="2">
        <v>149.93</v>
      </c>
      <c r="F754" s="2">
        <v>47339424</v>
      </c>
      <c r="G754" s="2" t="s">
        <v>558</v>
      </c>
      <c r="H754" s="2" t="s">
        <v>559</v>
      </c>
      <c r="I754" s="2" t="s">
        <v>560</v>
      </c>
      <c r="J754" s="4">
        <v>-1.323</v>
      </c>
      <c r="K754" s="2" t="s">
        <v>295</v>
      </c>
      <c r="L754" s="2">
        <v>2024</v>
      </c>
      <c r="M754" s="2" t="s">
        <v>19</v>
      </c>
      <c r="N754" s="2" t="s">
        <v>23</v>
      </c>
      <c r="O754">
        <f t="shared" si="22"/>
        <v>3.9900000000000091</v>
      </c>
      <c r="P754">
        <f t="shared" si="23"/>
        <v>61.21700000000002</v>
      </c>
    </row>
    <row r="755" spans="1:16" x14ac:dyDescent="0.35">
      <c r="A755" s="9" t="s">
        <v>296</v>
      </c>
      <c r="B755" s="2">
        <v>149.19999999999999</v>
      </c>
      <c r="C755" s="2">
        <v>151.05000000000001</v>
      </c>
      <c r="D755" s="2">
        <v>148.33000000000001</v>
      </c>
      <c r="E755" s="2">
        <v>148.47</v>
      </c>
      <c r="F755" s="2">
        <v>49425495</v>
      </c>
      <c r="G755" s="2" t="s">
        <v>558</v>
      </c>
      <c r="H755" s="2" t="s">
        <v>559</v>
      </c>
      <c r="I755" s="2" t="s">
        <v>560</v>
      </c>
      <c r="J755" s="4">
        <v>-0.97399999999999998</v>
      </c>
      <c r="K755" s="2" t="s">
        <v>295</v>
      </c>
      <c r="L755" s="2">
        <v>2024</v>
      </c>
      <c r="M755" s="2" t="s">
        <v>19</v>
      </c>
      <c r="N755" s="2" t="s">
        <v>23</v>
      </c>
      <c r="O755">
        <f t="shared" si="22"/>
        <v>2.7199999999999989</v>
      </c>
      <c r="P755">
        <f t="shared" si="23"/>
        <v>60.243000000000023</v>
      </c>
    </row>
    <row r="756" spans="1:16" x14ac:dyDescent="0.35">
      <c r="A756" s="9" t="s">
        <v>297</v>
      </c>
      <c r="B756" s="2">
        <v>145.59</v>
      </c>
      <c r="C756" s="2">
        <v>147.38</v>
      </c>
      <c r="D756" s="2">
        <v>144.05000000000001</v>
      </c>
      <c r="E756" s="2">
        <v>144.57</v>
      </c>
      <c r="F756" s="2">
        <v>56039807</v>
      </c>
      <c r="G756" s="2" t="s">
        <v>558</v>
      </c>
      <c r="H756" s="2" t="s">
        <v>559</v>
      </c>
      <c r="I756" s="2" t="s">
        <v>560</v>
      </c>
      <c r="J756" s="4">
        <v>-2.6269999999999998</v>
      </c>
      <c r="K756" s="2" t="s">
        <v>295</v>
      </c>
      <c r="L756" s="2">
        <v>2024</v>
      </c>
      <c r="M756" s="2" t="s">
        <v>19</v>
      </c>
      <c r="N756" s="2" t="s">
        <v>23</v>
      </c>
      <c r="O756">
        <f t="shared" si="22"/>
        <v>3.3299999999999841</v>
      </c>
      <c r="P756">
        <f t="shared" si="23"/>
        <v>57.616000000000021</v>
      </c>
    </row>
    <row r="757" spans="1:16" x14ac:dyDescent="0.35">
      <c r="A757" s="9" t="s">
        <v>298</v>
      </c>
      <c r="B757" s="2">
        <v>144.69</v>
      </c>
      <c r="C757" s="2">
        <v>146.59</v>
      </c>
      <c r="D757" s="2">
        <v>144.53</v>
      </c>
      <c r="E757" s="2">
        <v>145.24</v>
      </c>
      <c r="F757" s="2">
        <v>45153147</v>
      </c>
      <c r="G757" s="2" t="s">
        <v>558</v>
      </c>
      <c r="H757" s="2" t="s">
        <v>559</v>
      </c>
      <c r="I757" s="2" t="s">
        <v>560</v>
      </c>
      <c r="J757" s="3">
        <v>0.46300000000000002</v>
      </c>
      <c r="K757" s="2" t="s">
        <v>295</v>
      </c>
      <c r="L757" s="2">
        <v>2024</v>
      </c>
      <c r="M757" s="2" t="s">
        <v>19</v>
      </c>
      <c r="N757" s="2" t="s">
        <v>21</v>
      </c>
      <c r="O757">
        <f t="shared" si="22"/>
        <v>2.0600000000000023</v>
      </c>
      <c r="P757">
        <f t="shared" si="23"/>
        <v>58.079000000000022</v>
      </c>
    </row>
    <row r="758" spans="1:16" x14ac:dyDescent="0.35">
      <c r="A758" s="9" t="s">
        <v>299</v>
      </c>
      <c r="B758" s="2">
        <v>146.74</v>
      </c>
      <c r="C758" s="2">
        <v>149.4</v>
      </c>
      <c r="D758" s="2">
        <v>146.15</v>
      </c>
      <c r="E758" s="2">
        <v>149.1</v>
      </c>
      <c r="F758" s="2">
        <v>46757053</v>
      </c>
      <c r="G758" s="2" t="s">
        <v>558</v>
      </c>
      <c r="H758" s="2" t="s">
        <v>559</v>
      </c>
      <c r="I758" s="2" t="s">
        <v>560</v>
      </c>
      <c r="J758" s="3">
        <v>2.6579999999999999</v>
      </c>
      <c r="K758" s="2" t="s">
        <v>295</v>
      </c>
      <c r="L758" s="2">
        <v>2024</v>
      </c>
      <c r="M758" s="2" t="s">
        <v>19</v>
      </c>
      <c r="N758" s="2" t="s">
        <v>21</v>
      </c>
      <c r="O758">
        <f t="shared" si="22"/>
        <v>3.25</v>
      </c>
      <c r="P758">
        <f t="shared" si="23"/>
        <v>60.737000000000023</v>
      </c>
    </row>
    <row r="759" spans="1:16" x14ac:dyDescent="0.35">
      <c r="A759" s="9" t="s">
        <v>300</v>
      </c>
      <c r="B759" s="2">
        <v>148.33000000000001</v>
      </c>
      <c r="C759" s="2">
        <v>151.71</v>
      </c>
      <c r="D759" s="2">
        <v>148.21</v>
      </c>
      <c r="E759" s="2">
        <v>151.37</v>
      </c>
      <c r="F759" s="2">
        <v>43812567</v>
      </c>
      <c r="G759" s="2" t="s">
        <v>558</v>
      </c>
      <c r="H759" s="2" t="s">
        <v>559</v>
      </c>
      <c r="I759" s="2" t="s">
        <v>560</v>
      </c>
      <c r="J759" s="3">
        <v>1.522</v>
      </c>
      <c r="K759" s="2" t="s">
        <v>295</v>
      </c>
      <c r="L759" s="2">
        <v>2024</v>
      </c>
      <c r="M759" s="2" t="s">
        <v>19</v>
      </c>
      <c r="N759" s="2" t="s">
        <v>21</v>
      </c>
      <c r="O759">
        <f t="shared" si="22"/>
        <v>3.5</v>
      </c>
      <c r="P759">
        <f t="shared" si="23"/>
        <v>62.259000000000022</v>
      </c>
    </row>
    <row r="760" spans="1:16" x14ac:dyDescent="0.35">
      <c r="A760" s="9" t="s">
        <v>301</v>
      </c>
      <c r="B760" s="2">
        <v>152.06</v>
      </c>
      <c r="C760" s="2">
        <v>154.41999999999999</v>
      </c>
      <c r="D760" s="2">
        <v>151.881</v>
      </c>
      <c r="E760" s="2">
        <v>153.72999999999999</v>
      </c>
      <c r="F760" s="2">
        <v>44421830</v>
      </c>
      <c r="G760" s="2" t="s">
        <v>558</v>
      </c>
      <c r="H760" s="2" t="s">
        <v>559</v>
      </c>
      <c r="I760" s="2" t="s">
        <v>560</v>
      </c>
      <c r="J760" s="3">
        <v>1.5589999999999999</v>
      </c>
      <c r="K760" s="2" t="s">
        <v>295</v>
      </c>
      <c r="L760" s="2">
        <v>2024</v>
      </c>
      <c r="M760" s="2" t="s">
        <v>19</v>
      </c>
      <c r="N760" s="2" t="s">
        <v>21</v>
      </c>
      <c r="O760">
        <f t="shared" si="22"/>
        <v>2.5389999999999873</v>
      </c>
      <c r="P760">
        <f t="shared" si="23"/>
        <v>63.818000000000019</v>
      </c>
    </row>
    <row r="761" spans="1:16" x14ac:dyDescent="0.35">
      <c r="A761" s="9" t="s">
        <v>302</v>
      </c>
      <c r="B761" s="2">
        <v>155.04</v>
      </c>
      <c r="C761" s="2">
        <v>157.16999999999999</v>
      </c>
      <c r="D761" s="2">
        <v>153.12</v>
      </c>
      <c r="E761" s="2">
        <v>155.18</v>
      </c>
      <c r="F761" s="2">
        <v>49072691</v>
      </c>
      <c r="G761" s="2" t="s">
        <v>558</v>
      </c>
      <c r="H761" s="2" t="s">
        <v>559</v>
      </c>
      <c r="I761" s="2" t="s">
        <v>560</v>
      </c>
      <c r="J761" s="3">
        <v>0.94299999999999995</v>
      </c>
      <c r="K761" s="2" t="s">
        <v>295</v>
      </c>
      <c r="L761" s="2">
        <v>2024</v>
      </c>
      <c r="M761" s="2" t="s">
        <v>19</v>
      </c>
      <c r="N761" s="2" t="s">
        <v>21</v>
      </c>
      <c r="O761">
        <f t="shared" si="22"/>
        <v>4.0499999999999829</v>
      </c>
      <c r="P761">
        <f t="shared" si="23"/>
        <v>64.761000000000024</v>
      </c>
    </row>
    <row r="762" spans="1:16" x14ac:dyDescent="0.35">
      <c r="A762" s="9" t="s">
        <v>303</v>
      </c>
      <c r="B762" s="2">
        <v>155.38999999999999</v>
      </c>
      <c r="C762" s="2">
        <v>156.19999999999999</v>
      </c>
      <c r="D762" s="2">
        <v>154.01</v>
      </c>
      <c r="E762" s="2">
        <v>154.62</v>
      </c>
      <c r="F762" s="2">
        <v>40484155</v>
      </c>
      <c r="G762" s="2" t="s">
        <v>558</v>
      </c>
      <c r="H762" s="2" t="s">
        <v>559</v>
      </c>
      <c r="I762" s="2" t="s">
        <v>560</v>
      </c>
      <c r="J762" s="4">
        <v>-0.36099999999999999</v>
      </c>
      <c r="K762" s="2" t="s">
        <v>295</v>
      </c>
      <c r="L762" s="2">
        <v>2024</v>
      </c>
      <c r="M762" s="2" t="s">
        <v>19</v>
      </c>
      <c r="N762" s="2" t="s">
        <v>23</v>
      </c>
      <c r="O762">
        <f t="shared" si="22"/>
        <v>2.1899999999999977</v>
      </c>
      <c r="P762">
        <f t="shared" si="23"/>
        <v>64.40000000000002</v>
      </c>
    </row>
    <row r="763" spans="1:16" x14ac:dyDescent="0.35">
      <c r="A763" s="9" t="s">
        <v>304</v>
      </c>
      <c r="B763" s="2">
        <v>153.53</v>
      </c>
      <c r="C763" s="2">
        <v>154.99</v>
      </c>
      <c r="D763" s="2">
        <v>152.15</v>
      </c>
      <c r="E763" s="2">
        <v>153.16</v>
      </c>
      <c r="F763" s="2">
        <v>41384636</v>
      </c>
      <c r="G763" s="2" t="s">
        <v>558</v>
      </c>
      <c r="H763" s="2" t="s">
        <v>559</v>
      </c>
      <c r="I763" s="2" t="s">
        <v>560</v>
      </c>
      <c r="J763" s="4">
        <v>-0.94399999999999995</v>
      </c>
      <c r="K763" s="2" t="s">
        <v>295</v>
      </c>
      <c r="L763" s="2">
        <v>2024</v>
      </c>
      <c r="M763" s="2" t="s">
        <v>19</v>
      </c>
      <c r="N763" s="2" t="s">
        <v>23</v>
      </c>
      <c r="O763">
        <f t="shared" si="22"/>
        <v>2.8400000000000034</v>
      </c>
      <c r="P763">
        <f t="shared" si="23"/>
        <v>63.456000000000017</v>
      </c>
    </row>
    <row r="764" spans="1:16" x14ac:dyDescent="0.35">
      <c r="A764" s="9" t="s">
        <v>305</v>
      </c>
      <c r="B764" s="2">
        <v>151.49</v>
      </c>
      <c r="C764" s="2">
        <v>152.15</v>
      </c>
      <c r="D764" s="2">
        <v>149.91</v>
      </c>
      <c r="E764" s="2">
        <v>151.71</v>
      </c>
      <c r="F764" s="2">
        <v>34953363</v>
      </c>
      <c r="G764" s="2" t="s">
        <v>558</v>
      </c>
      <c r="H764" s="2" t="s">
        <v>559</v>
      </c>
      <c r="I764" s="2" t="s">
        <v>560</v>
      </c>
      <c r="J764" s="4">
        <v>-0.94699999999999995</v>
      </c>
      <c r="K764" s="2" t="s">
        <v>295</v>
      </c>
      <c r="L764" s="2">
        <v>2024</v>
      </c>
      <c r="M764" s="2" t="s">
        <v>19</v>
      </c>
      <c r="N764" s="2" t="s">
        <v>23</v>
      </c>
      <c r="O764">
        <f t="shared" si="22"/>
        <v>2.2400000000000091</v>
      </c>
      <c r="P764">
        <f t="shared" si="23"/>
        <v>62.509000000000015</v>
      </c>
    </row>
    <row r="765" spans="1:16" x14ac:dyDescent="0.35">
      <c r="A765" s="9" t="s">
        <v>306</v>
      </c>
      <c r="B765" s="2">
        <v>152.77000000000001</v>
      </c>
      <c r="C765" s="2">
        <v>153.77500000000001</v>
      </c>
      <c r="D765" s="2">
        <v>151.82</v>
      </c>
      <c r="E765" s="2">
        <v>153.5</v>
      </c>
      <c r="F765" s="2">
        <v>37850245</v>
      </c>
      <c r="G765" s="2" t="s">
        <v>558</v>
      </c>
      <c r="H765" s="2" t="s">
        <v>559</v>
      </c>
      <c r="I765" s="2" t="s">
        <v>560</v>
      </c>
      <c r="J765" s="3">
        <v>1.18</v>
      </c>
      <c r="K765" s="2" t="s">
        <v>295</v>
      </c>
      <c r="L765" s="2">
        <v>2024</v>
      </c>
      <c r="M765" s="2" t="s">
        <v>19</v>
      </c>
      <c r="N765" s="2" t="s">
        <v>21</v>
      </c>
      <c r="O765">
        <f t="shared" si="22"/>
        <v>1.9550000000000125</v>
      </c>
      <c r="P765">
        <f t="shared" si="23"/>
        <v>63.689000000000014</v>
      </c>
    </row>
    <row r="766" spans="1:16" x14ac:dyDescent="0.35">
      <c r="A766" s="9" t="s">
        <v>307</v>
      </c>
      <c r="B766" s="2">
        <v>153.83000000000001</v>
      </c>
      <c r="C766" s="2">
        <v>155.76</v>
      </c>
      <c r="D766" s="2">
        <v>152.74</v>
      </c>
      <c r="E766" s="2">
        <v>155.34</v>
      </c>
      <c r="F766" s="2">
        <v>51651628</v>
      </c>
      <c r="G766" s="2" t="s">
        <v>558</v>
      </c>
      <c r="H766" s="2" t="s">
        <v>559</v>
      </c>
      <c r="I766" s="2" t="s">
        <v>560</v>
      </c>
      <c r="J766" s="3">
        <v>1.1990000000000001</v>
      </c>
      <c r="K766" s="2" t="s">
        <v>295</v>
      </c>
      <c r="L766" s="2">
        <v>2024</v>
      </c>
      <c r="M766" s="2" t="s">
        <v>19</v>
      </c>
      <c r="N766" s="2" t="s">
        <v>21</v>
      </c>
      <c r="O766">
        <f t="shared" si="22"/>
        <v>3.0199999999999818</v>
      </c>
      <c r="P766">
        <f t="shared" si="23"/>
        <v>64.888000000000019</v>
      </c>
    </row>
    <row r="767" spans="1:16" x14ac:dyDescent="0.35">
      <c r="A767" s="9" t="s">
        <v>308</v>
      </c>
      <c r="B767" s="2">
        <v>156.88999999999999</v>
      </c>
      <c r="C767" s="2">
        <v>157.05000000000001</v>
      </c>
      <c r="D767" s="2">
        <v>153.9</v>
      </c>
      <c r="E767" s="2">
        <v>154.78</v>
      </c>
      <c r="F767" s="2">
        <v>43687468</v>
      </c>
      <c r="G767" s="2" t="s">
        <v>558</v>
      </c>
      <c r="H767" s="2" t="s">
        <v>559</v>
      </c>
      <c r="I767" s="2" t="s">
        <v>560</v>
      </c>
      <c r="J767" s="4">
        <v>-0.36</v>
      </c>
      <c r="K767" s="2" t="s">
        <v>295</v>
      </c>
      <c r="L767" s="2">
        <v>2024</v>
      </c>
      <c r="M767" s="2" t="s">
        <v>19</v>
      </c>
      <c r="N767" s="2" t="s">
        <v>23</v>
      </c>
      <c r="O767">
        <f t="shared" si="22"/>
        <v>3.1500000000000057</v>
      </c>
      <c r="P767">
        <f t="shared" si="23"/>
        <v>64.52800000000002</v>
      </c>
    </row>
    <row r="768" spans="1:16" x14ac:dyDescent="0.35">
      <c r="A768" s="9" t="s">
        <v>309</v>
      </c>
      <c r="B768" s="2">
        <v>154.85</v>
      </c>
      <c r="C768" s="2">
        <v>156.21</v>
      </c>
      <c r="D768" s="2">
        <v>153.93</v>
      </c>
      <c r="E768" s="2">
        <v>156.02000000000001</v>
      </c>
      <c r="F768" s="2">
        <v>37986039</v>
      </c>
      <c r="G768" s="2" t="s">
        <v>558</v>
      </c>
      <c r="H768" s="2" t="s">
        <v>559</v>
      </c>
      <c r="I768" s="2" t="s">
        <v>560</v>
      </c>
      <c r="J768" s="3">
        <v>0.80100000000000005</v>
      </c>
      <c r="K768" s="2" t="s">
        <v>295</v>
      </c>
      <c r="L768" s="2">
        <v>2024</v>
      </c>
      <c r="M768" s="2" t="s">
        <v>19</v>
      </c>
      <c r="N768" s="2" t="s">
        <v>21</v>
      </c>
      <c r="O768">
        <f t="shared" si="22"/>
        <v>2.2800000000000011</v>
      </c>
      <c r="P768">
        <f t="shared" si="23"/>
        <v>65.329000000000022</v>
      </c>
    </row>
    <row r="769" spans="1:16" x14ac:dyDescent="0.35">
      <c r="A769" s="9" t="s">
        <v>310</v>
      </c>
      <c r="B769" s="2">
        <v>157.80000000000001</v>
      </c>
      <c r="C769" s="2">
        <v>158.51</v>
      </c>
      <c r="D769" s="2">
        <v>156.47999999999999</v>
      </c>
      <c r="E769" s="2">
        <v>156.87</v>
      </c>
      <c r="F769" s="2">
        <v>48547315</v>
      </c>
      <c r="G769" s="2" t="s">
        <v>558</v>
      </c>
      <c r="H769" s="2" t="s">
        <v>559</v>
      </c>
      <c r="I769" s="2" t="s">
        <v>560</v>
      </c>
      <c r="J769" s="3">
        <v>0.54500000000000004</v>
      </c>
      <c r="K769" s="2" t="s">
        <v>295</v>
      </c>
      <c r="L769" s="2">
        <v>2024</v>
      </c>
      <c r="M769" s="2" t="s">
        <v>19</v>
      </c>
      <c r="N769" s="2" t="s">
        <v>21</v>
      </c>
      <c r="O769">
        <f t="shared" si="22"/>
        <v>2.0300000000000011</v>
      </c>
      <c r="P769">
        <f t="shared" si="23"/>
        <v>65.874000000000024</v>
      </c>
    </row>
    <row r="770" spans="1:16" x14ac:dyDescent="0.35">
      <c r="A770" s="9" t="s">
        <v>311</v>
      </c>
      <c r="B770" s="2">
        <v>156.94999999999999</v>
      </c>
      <c r="C770" s="2">
        <v>158.505</v>
      </c>
      <c r="D770" s="2">
        <v>154.55000000000001</v>
      </c>
      <c r="E770" s="2">
        <v>157.75</v>
      </c>
      <c r="F770" s="2">
        <v>43638592</v>
      </c>
      <c r="G770" s="2" t="s">
        <v>558</v>
      </c>
      <c r="H770" s="2" t="s">
        <v>559</v>
      </c>
      <c r="I770" s="2" t="s">
        <v>560</v>
      </c>
      <c r="J770" s="3">
        <v>0.56100000000000005</v>
      </c>
      <c r="K770" s="2" t="s">
        <v>295</v>
      </c>
      <c r="L770" s="2">
        <v>2024</v>
      </c>
      <c r="M770" s="2" t="s">
        <v>19</v>
      </c>
      <c r="N770" s="2" t="s">
        <v>21</v>
      </c>
      <c r="O770">
        <f t="shared" si="22"/>
        <v>3.9549999999999841</v>
      </c>
      <c r="P770">
        <f t="shared" si="23"/>
        <v>66.435000000000031</v>
      </c>
    </row>
    <row r="771" spans="1:16" x14ac:dyDescent="0.35">
      <c r="A771" s="9" t="s">
        <v>312</v>
      </c>
      <c r="B771" s="2">
        <v>158.41999999999999</v>
      </c>
      <c r="C771" s="2">
        <v>160.72</v>
      </c>
      <c r="D771" s="2">
        <v>157.91</v>
      </c>
      <c r="E771" s="2">
        <v>159.12</v>
      </c>
      <c r="F771" s="2">
        <v>51047353</v>
      </c>
      <c r="G771" s="2" t="s">
        <v>558</v>
      </c>
      <c r="H771" s="2" t="s">
        <v>559</v>
      </c>
      <c r="I771" s="2" t="s">
        <v>560</v>
      </c>
      <c r="J771" s="3">
        <v>0.86799999999999999</v>
      </c>
      <c r="K771" s="2" t="s">
        <v>295</v>
      </c>
      <c r="L771" s="2">
        <v>2024</v>
      </c>
      <c r="M771" s="2" t="s">
        <v>19</v>
      </c>
      <c r="N771" s="2" t="s">
        <v>21</v>
      </c>
      <c r="O771">
        <f t="shared" ref="O771:O834" si="24">C771-D771</f>
        <v>2.8100000000000023</v>
      </c>
      <c r="P771">
        <f t="shared" si="23"/>
        <v>67.303000000000026</v>
      </c>
    </row>
    <row r="772" spans="1:16" x14ac:dyDescent="0.35">
      <c r="A772" s="9" t="s">
        <v>313</v>
      </c>
      <c r="B772" s="2">
        <v>159.34</v>
      </c>
      <c r="C772" s="2">
        <v>161.29</v>
      </c>
      <c r="D772" s="2">
        <v>158.9</v>
      </c>
      <c r="E772" s="2">
        <v>161.26</v>
      </c>
      <c r="F772" s="2">
        <v>45270385</v>
      </c>
      <c r="G772" s="2" t="s">
        <v>558</v>
      </c>
      <c r="H772" s="2" t="s">
        <v>559</v>
      </c>
      <c r="I772" s="2" t="s">
        <v>560</v>
      </c>
      <c r="J772" s="3">
        <v>1.345</v>
      </c>
      <c r="K772" s="2" t="s">
        <v>295</v>
      </c>
      <c r="L772" s="2">
        <v>2024</v>
      </c>
      <c r="M772" s="2" t="s">
        <v>19</v>
      </c>
      <c r="N772" s="2" t="s">
        <v>21</v>
      </c>
      <c r="O772">
        <f t="shared" si="24"/>
        <v>2.3899999999999864</v>
      </c>
      <c r="P772">
        <f t="shared" ref="P772:P835" si="25">IF(G772=G771, P771+J772, J772)</f>
        <v>68.648000000000025</v>
      </c>
    </row>
    <row r="773" spans="1:16" x14ac:dyDescent="0.35">
      <c r="A773" s="9" t="s">
        <v>314</v>
      </c>
      <c r="B773" s="2">
        <v>160.69999999999999</v>
      </c>
      <c r="C773" s="2">
        <v>161.72999999999999</v>
      </c>
      <c r="D773" s="2">
        <v>158.49</v>
      </c>
      <c r="E773" s="2">
        <v>159</v>
      </c>
      <c r="F773" s="2">
        <v>45207430</v>
      </c>
      <c r="G773" s="2" t="s">
        <v>558</v>
      </c>
      <c r="H773" s="2" t="s">
        <v>559</v>
      </c>
      <c r="I773" s="2" t="s">
        <v>560</v>
      </c>
      <c r="J773" s="4">
        <v>-1.401</v>
      </c>
      <c r="K773" s="2" t="s">
        <v>295</v>
      </c>
      <c r="L773" s="2">
        <v>2024</v>
      </c>
      <c r="M773" s="2" t="s">
        <v>19</v>
      </c>
      <c r="N773" s="2" t="s">
        <v>23</v>
      </c>
      <c r="O773">
        <f t="shared" si="24"/>
        <v>3.2399999999999807</v>
      </c>
      <c r="P773">
        <f t="shared" si="25"/>
        <v>67.247000000000028</v>
      </c>
    </row>
    <row r="774" spans="1:16" x14ac:dyDescent="0.35">
      <c r="A774" s="9" t="s">
        <v>315</v>
      </c>
      <c r="B774" s="2">
        <v>157</v>
      </c>
      <c r="C774" s="2">
        <v>159.01</v>
      </c>
      <c r="D774" s="2">
        <v>154.81</v>
      </c>
      <c r="E774" s="2">
        <v>155.19999999999999</v>
      </c>
      <c r="F774" s="2">
        <v>50284371</v>
      </c>
      <c r="G774" s="2" t="s">
        <v>558</v>
      </c>
      <c r="H774" s="2" t="s">
        <v>559</v>
      </c>
      <c r="I774" s="2" t="s">
        <v>560</v>
      </c>
      <c r="J774" s="4">
        <v>-2.39</v>
      </c>
      <c r="K774" s="2" t="s">
        <v>295</v>
      </c>
      <c r="L774" s="2">
        <v>2024</v>
      </c>
      <c r="M774" s="2" t="s">
        <v>19</v>
      </c>
      <c r="N774" s="2" t="s">
        <v>23</v>
      </c>
      <c r="O774">
        <f t="shared" si="24"/>
        <v>4.1999999999999886</v>
      </c>
      <c r="P774">
        <f t="shared" si="25"/>
        <v>64.857000000000028</v>
      </c>
    </row>
    <row r="775" spans="1:16" x14ac:dyDescent="0.35">
      <c r="A775" s="9" t="s">
        <v>316</v>
      </c>
      <c r="B775" s="2">
        <v>155.87</v>
      </c>
      <c r="C775" s="2">
        <v>159.76</v>
      </c>
      <c r="D775" s="2">
        <v>155.62</v>
      </c>
      <c r="E775" s="2">
        <v>159.28</v>
      </c>
      <c r="F775" s="2">
        <v>76542419</v>
      </c>
      <c r="G775" s="2" t="s">
        <v>558</v>
      </c>
      <c r="H775" s="2" t="s">
        <v>559</v>
      </c>
      <c r="I775" s="2" t="s">
        <v>560</v>
      </c>
      <c r="J775" s="3">
        <v>2.629</v>
      </c>
      <c r="K775" s="2" t="s">
        <v>317</v>
      </c>
      <c r="L775" s="2">
        <v>2024</v>
      </c>
      <c r="M775" s="2" t="s">
        <v>43</v>
      </c>
      <c r="N775" s="2" t="s">
        <v>21</v>
      </c>
      <c r="O775">
        <f t="shared" si="24"/>
        <v>4.1399999999999864</v>
      </c>
      <c r="P775">
        <f t="shared" si="25"/>
        <v>67.486000000000033</v>
      </c>
    </row>
    <row r="776" spans="1:16" x14ac:dyDescent="0.35">
      <c r="A776" s="9" t="s">
        <v>318</v>
      </c>
      <c r="B776" s="2">
        <v>169.19</v>
      </c>
      <c r="C776" s="2">
        <v>172.5</v>
      </c>
      <c r="D776" s="2">
        <v>167.33</v>
      </c>
      <c r="E776" s="2">
        <v>171.81</v>
      </c>
      <c r="F776" s="2">
        <v>117218313</v>
      </c>
      <c r="G776" s="2" t="s">
        <v>558</v>
      </c>
      <c r="H776" s="2" t="s">
        <v>559</v>
      </c>
      <c r="I776" s="2" t="s">
        <v>560</v>
      </c>
      <c r="J776" s="3">
        <v>7.867</v>
      </c>
      <c r="K776" s="2" t="s">
        <v>317</v>
      </c>
      <c r="L776" s="2">
        <v>2024</v>
      </c>
      <c r="M776" s="2" t="s">
        <v>43</v>
      </c>
      <c r="N776" s="2" t="s">
        <v>21</v>
      </c>
      <c r="O776">
        <f t="shared" si="24"/>
        <v>5.1699999999999875</v>
      </c>
      <c r="P776">
        <f t="shared" si="25"/>
        <v>75.353000000000037</v>
      </c>
    </row>
    <row r="777" spans="1:16" x14ac:dyDescent="0.35">
      <c r="A777" s="9" t="s">
        <v>319</v>
      </c>
      <c r="B777" s="2">
        <v>170.2</v>
      </c>
      <c r="C777" s="2">
        <v>170.55</v>
      </c>
      <c r="D777" s="2">
        <v>167.7</v>
      </c>
      <c r="E777" s="2">
        <v>170.31</v>
      </c>
      <c r="F777" s="2">
        <v>55081297</v>
      </c>
      <c r="G777" s="2" t="s">
        <v>558</v>
      </c>
      <c r="H777" s="2" t="s">
        <v>559</v>
      </c>
      <c r="I777" s="2" t="s">
        <v>560</v>
      </c>
      <c r="J777" s="4">
        <v>-0.873</v>
      </c>
      <c r="K777" s="2" t="s">
        <v>317</v>
      </c>
      <c r="L777" s="2">
        <v>2024</v>
      </c>
      <c r="M777" s="2" t="s">
        <v>43</v>
      </c>
      <c r="N777" s="2" t="s">
        <v>23</v>
      </c>
      <c r="O777">
        <f t="shared" si="24"/>
        <v>2.8500000000000227</v>
      </c>
      <c r="P777">
        <f t="shared" si="25"/>
        <v>74.480000000000032</v>
      </c>
    </row>
    <row r="778" spans="1:16" x14ac:dyDescent="0.35">
      <c r="A778" s="9" t="s">
        <v>320</v>
      </c>
      <c r="B778" s="2">
        <v>169.39</v>
      </c>
      <c r="C778" s="2">
        <v>170.71</v>
      </c>
      <c r="D778" s="2">
        <v>167.65</v>
      </c>
      <c r="E778" s="2">
        <v>169.15</v>
      </c>
      <c r="F778" s="2">
        <v>42505518</v>
      </c>
      <c r="G778" s="2" t="s">
        <v>558</v>
      </c>
      <c r="H778" s="2" t="s">
        <v>559</v>
      </c>
      <c r="I778" s="2" t="s">
        <v>560</v>
      </c>
      <c r="J778" s="4">
        <v>-0.68100000000000005</v>
      </c>
      <c r="K778" s="2" t="s">
        <v>317</v>
      </c>
      <c r="L778" s="2">
        <v>2024</v>
      </c>
      <c r="M778" s="2" t="s">
        <v>43</v>
      </c>
      <c r="N778" s="2" t="s">
        <v>23</v>
      </c>
      <c r="O778">
        <f t="shared" si="24"/>
        <v>3.0600000000000023</v>
      </c>
      <c r="P778">
        <f t="shared" si="25"/>
        <v>73.799000000000035</v>
      </c>
    </row>
    <row r="779" spans="1:16" x14ac:dyDescent="0.35">
      <c r="A779" s="9" t="s">
        <v>321</v>
      </c>
      <c r="B779" s="2">
        <v>169.48</v>
      </c>
      <c r="C779" s="2">
        <v>170.88</v>
      </c>
      <c r="D779" s="2">
        <v>168.94</v>
      </c>
      <c r="E779" s="2">
        <v>170.53</v>
      </c>
      <c r="F779" s="2">
        <v>47174060</v>
      </c>
      <c r="G779" s="2" t="s">
        <v>558</v>
      </c>
      <c r="H779" s="2" t="s">
        <v>559</v>
      </c>
      <c r="I779" s="2" t="s">
        <v>560</v>
      </c>
      <c r="J779" s="3">
        <v>0.81599999999999995</v>
      </c>
      <c r="K779" s="2" t="s">
        <v>317</v>
      </c>
      <c r="L779" s="2">
        <v>2024</v>
      </c>
      <c r="M779" s="2" t="s">
        <v>43</v>
      </c>
      <c r="N779" s="2" t="s">
        <v>21</v>
      </c>
      <c r="O779">
        <f t="shared" si="24"/>
        <v>1.9399999999999977</v>
      </c>
      <c r="P779">
        <f t="shared" si="25"/>
        <v>74.615000000000038</v>
      </c>
    </row>
    <row r="780" spans="1:16" x14ac:dyDescent="0.35">
      <c r="A780" s="9" t="s">
        <v>322</v>
      </c>
      <c r="B780" s="2">
        <v>169.65</v>
      </c>
      <c r="C780" s="2">
        <v>171.43</v>
      </c>
      <c r="D780" s="2">
        <v>168.88</v>
      </c>
      <c r="E780" s="2">
        <v>169.84</v>
      </c>
      <c r="F780" s="2">
        <v>42316454</v>
      </c>
      <c r="G780" s="2" t="s">
        <v>558</v>
      </c>
      <c r="H780" s="2" t="s">
        <v>559</v>
      </c>
      <c r="I780" s="2" t="s">
        <v>560</v>
      </c>
      <c r="J780" s="4">
        <v>-0.40500000000000003</v>
      </c>
      <c r="K780" s="2" t="s">
        <v>317</v>
      </c>
      <c r="L780" s="2">
        <v>2024</v>
      </c>
      <c r="M780" s="2" t="s">
        <v>43</v>
      </c>
      <c r="N780" s="2" t="s">
        <v>23</v>
      </c>
      <c r="O780">
        <f t="shared" si="24"/>
        <v>2.5500000000000114</v>
      </c>
      <c r="P780">
        <f t="shared" si="25"/>
        <v>74.210000000000036</v>
      </c>
    </row>
    <row r="781" spans="1:16" x14ac:dyDescent="0.35">
      <c r="A781" s="9" t="s">
        <v>323</v>
      </c>
      <c r="B781" s="2">
        <v>170.9</v>
      </c>
      <c r="C781" s="2">
        <v>175</v>
      </c>
      <c r="D781" s="2">
        <v>170.58</v>
      </c>
      <c r="E781" s="2">
        <v>174.45</v>
      </c>
      <c r="F781" s="2">
        <v>56985986</v>
      </c>
      <c r="G781" s="2" t="s">
        <v>558</v>
      </c>
      <c r="H781" s="2" t="s">
        <v>559</v>
      </c>
      <c r="I781" s="2" t="s">
        <v>560</v>
      </c>
      <c r="J781" s="3">
        <v>2.714</v>
      </c>
      <c r="K781" s="2" t="s">
        <v>317</v>
      </c>
      <c r="L781" s="2">
        <v>2024</v>
      </c>
      <c r="M781" s="2" t="s">
        <v>43</v>
      </c>
      <c r="N781" s="2" t="s">
        <v>21</v>
      </c>
      <c r="O781">
        <f t="shared" si="24"/>
        <v>4.4199999999999875</v>
      </c>
      <c r="P781">
        <f t="shared" si="25"/>
        <v>76.924000000000035</v>
      </c>
    </row>
    <row r="782" spans="1:16" x14ac:dyDescent="0.35">
      <c r="A782" s="9" t="s">
        <v>324</v>
      </c>
      <c r="B782" s="2">
        <v>174.8</v>
      </c>
      <c r="C782" s="2">
        <v>175.39</v>
      </c>
      <c r="D782" s="2">
        <v>171.54</v>
      </c>
      <c r="E782" s="2">
        <v>172.34</v>
      </c>
      <c r="F782" s="2">
        <v>51050440</v>
      </c>
      <c r="G782" s="2" t="s">
        <v>558</v>
      </c>
      <c r="H782" s="2" t="s">
        <v>559</v>
      </c>
      <c r="I782" s="2" t="s">
        <v>560</v>
      </c>
      <c r="J782" s="4">
        <v>-1.21</v>
      </c>
      <c r="K782" s="2" t="s">
        <v>317</v>
      </c>
      <c r="L782" s="2">
        <v>2024</v>
      </c>
      <c r="M782" s="2" t="s">
        <v>43</v>
      </c>
      <c r="N782" s="2" t="s">
        <v>23</v>
      </c>
      <c r="O782">
        <f t="shared" si="24"/>
        <v>3.8499999999999943</v>
      </c>
      <c r="P782">
        <f t="shared" si="25"/>
        <v>75.714000000000041</v>
      </c>
    </row>
    <row r="783" spans="1:16" x14ac:dyDescent="0.35">
      <c r="A783" s="9" t="s">
        <v>325</v>
      </c>
      <c r="B783" s="2">
        <v>167.73</v>
      </c>
      <c r="C783" s="2">
        <v>170.95</v>
      </c>
      <c r="D783" s="2">
        <v>165.75</v>
      </c>
      <c r="E783" s="2">
        <v>168.64</v>
      </c>
      <c r="F783" s="2">
        <v>56345122</v>
      </c>
      <c r="G783" s="2" t="s">
        <v>558</v>
      </c>
      <c r="H783" s="2" t="s">
        <v>559</v>
      </c>
      <c r="I783" s="2" t="s">
        <v>560</v>
      </c>
      <c r="J783" s="4">
        <v>-2.1469999999999998</v>
      </c>
      <c r="K783" s="2" t="s">
        <v>317</v>
      </c>
      <c r="L783" s="2">
        <v>2024</v>
      </c>
      <c r="M783" s="2" t="s">
        <v>43</v>
      </c>
      <c r="N783" s="2" t="s">
        <v>23</v>
      </c>
      <c r="O783">
        <f t="shared" si="24"/>
        <v>5.1999999999999886</v>
      </c>
      <c r="P783">
        <f t="shared" si="25"/>
        <v>73.567000000000036</v>
      </c>
    </row>
    <row r="784" spans="1:16" x14ac:dyDescent="0.35">
      <c r="A784" s="9" t="s">
        <v>326</v>
      </c>
      <c r="B784" s="2">
        <v>169.21</v>
      </c>
      <c r="C784" s="2">
        <v>171.21</v>
      </c>
      <c r="D784" s="2">
        <v>168.28</v>
      </c>
      <c r="E784" s="2">
        <v>170.98</v>
      </c>
      <c r="F784" s="2">
        <v>42815544</v>
      </c>
      <c r="G784" s="2" t="s">
        <v>558</v>
      </c>
      <c r="H784" s="2" t="s">
        <v>559</v>
      </c>
      <c r="I784" s="2" t="s">
        <v>560</v>
      </c>
      <c r="J784" s="3">
        <v>1.3879999999999999</v>
      </c>
      <c r="K784" s="2" t="s">
        <v>317</v>
      </c>
      <c r="L784" s="2">
        <v>2024</v>
      </c>
      <c r="M784" s="2" t="s">
        <v>43</v>
      </c>
      <c r="N784" s="2" t="s">
        <v>21</v>
      </c>
      <c r="O784">
        <f t="shared" si="24"/>
        <v>2.9300000000000068</v>
      </c>
      <c r="P784">
        <f t="shared" si="25"/>
        <v>74.955000000000041</v>
      </c>
    </row>
    <row r="785" spans="1:16" x14ac:dyDescent="0.35">
      <c r="A785" s="9" t="s">
        <v>327</v>
      </c>
      <c r="B785" s="2">
        <v>170.58</v>
      </c>
      <c r="C785" s="2">
        <v>171.17</v>
      </c>
      <c r="D785" s="2">
        <v>167.59</v>
      </c>
      <c r="E785" s="2">
        <v>169.8</v>
      </c>
      <c r="F785" s="2">
        <v>49855196</v>
      </c>
      <c r="G785" s="2" t="s">
        <v>558</v>
      </c>
      <c r="H785" s="2" t="s">
        <v>559</v>
      </c>
      <c r="I785" s="2" t="s">
        <v>560</v>
      </c>
      <c r="J785" s="4">
        <v>-0.69</v>
      </c>
      <c r="K785" s="2" t="s">
        <v>317</v>
      </c>
      <c r="L785" s="2">
        <v>2024</v>
      </c>
      <c r="M785" s="2" t="s">
        <v>43</v>
      </c>
      <c r="N785" s="2" t="s">
        <v>23</v>
      </c>
      <c r="O785">
        <f t="shared" si="24"/>
        <v>3.5799999999999841</v>
      </c>
      <c r="P785">
        <f t="shared" si="25"/>
        <v>74.265000000000043</v>
      </c>
    </row>
    <row r="786" spans="1:16" x14ac:dyDescent="0.35">
      <c r="A786" s="9" t="s">
        <v>328</v>
      </c>
      <c r="B786" s="2">
        <v>168.74</v>
      </c>
      <c r="C786" s="2">
        <v>170.42</v>
      </c>
      <c r="D786" s="2">
        <v>167.17</v>
      </c>
      <c r="E786" s="2">
        <v>169.51</v>
      </c>
      <c r="F786" s="2">
        <v>48107744</v>
      </c>
      <c r="G786" s="2" t="s">
        <v>558</v>
      </c>
      <c r="H786" s="2" t="s">
        <v>559</v>
      </c>
      <c r="I786" s="2" t="s">
        <v>560</v>
      </c>
      <c r="J786" s="4">
        <v>-0.17100000000000001</v>
      </c>
      <c r="K786" s="2" t="s">
        <v>317</v>
      </c>
      <c r="L786" s="2">
        <v>2024</v>
      </c>
      <c r="M786" s="2" t="s">
        <v>43</v>
      </c>
      <c r="N786" s="2" t="s">
        <v>23</v>
      </c>
      <c r="O786">
        <f t="shared" si="24"/>
        <v>3.25</v>
      </c>
      <c r="P786">
        <f t="shared" si="25"/>
        <v>74.094000000000037</v>
      </c>
    </row>
    <row r="787" spans="1:16" x14ac:dyDescent="0.35">
      <c r="A787" s="9" t="s">
        <v>329</v>
      </c>
      <c r="B787" s="2">
        <v>167.83</v>
      </c>
      <c r="C787" s="2">
        <v>168.71</v>
      </c>
      <c r="D787" s="2">
        <v>165.74</v>
      </c>
      <c r="E787" s="2">
        <v>167.08</v>
      </c>
      <c r="F787" s="2">
        <v>41980326</v>
      </c>
      <c r="G787" s="2" t="s">
        <v>558</v>
      </c>
      <c r="H787" s="2" t="s">
        <v>559</v>
      </c>
      <c r="I787" s="2" t="s">
        <v>560</v>
      </c>
      <c r="J787" s="4">
        <v>-1.4339999999999999</v>
      </c>
      <c r="K787" s="2" t="s">
        <v>317</v>
      </c>
      <c r="L787" s="2">
        <v>2024</v>
      </c>
      <c r="M787" s="2" t="s">
        <v>43</v>
      </c>
      <c r="N787" s="2" t="s">
        <v>23</v>
      </c>
      <c r="O787">
        <f t="shared" si="24"/>
        <v>2.9699999999999989</v>
      </c>
      <c r="P787">
        <f t="shared" si="25"/>
        <v>72.660000000000039</v>
      </c>
    </row>
    <row r="788" spans="1:16" x14ac:dyDescent="0.35">
      <c r="A788" s="9" t="s">
        <v>330</v>
      </c>
      <c r="B788" s="2">
        <v>168.94</v>
      </c>
      <c r="C788" s="2">
        <v>170.23</v>
      </c>
      <c r="D788" s="2">
        <v>167.14</v>
      </c>
      <c r="E788" s="2">
        <v>168.59</v>
      </c>
      <c r="F788" s="2">
        <v>44575623</v>
      </c>
      <c r="G788" s="2" t="s">
        <v>558</v>
      </c>
      <c r="H788" s="2" t="s">
        <v>559</v>
      </c>
      <c r="I788" s="2" t="s">
        <v>560</v>
      </c>
      <c r="J788" s="3">
        <v>0.90400000000000003</v>
      </c>
      <c r="K788" s="2" t="s">
        <v>317</v>
      </c>
      <c r="L788" s="2">
        <v>2024</v>
      </c>
      <c r="M788" s="2" t="s">
        <v>43</v>
      </c>
      <c r="N788" s="2" t="s">
        <v>21</v>
      </c>
      <c r="O788">
        <f t="shared" si="24"/>
        <v>3.0900000000000034</v>
      </c>
      <c r="P788">
        <f t="shared" si="25"/>
        <v>73.564000000000036</v>
      </c>
    </row>
    <row r="789" spans="1:16" x14ac:dyDescent="0.35">
      <c r="A789" s="9" t="s">
        <v>331</v>
      </c>
      <c r="B789" s="2">
        <v>173.1</v>
      </c>
      <c r="C789" s="2">
        <v>174.8</v>
      </c>
      <c r="D789" s="2">
        <v>171.77</v>
      </c>
      <c r="E789" s="2">
        <v>174.58</v>
      </c>
      <c r="F789" s="2">
        <v>55392354</v>
      </c>
      <c r="G789" s="2" t="s">
        <v>558</v>
      </c>
      <c r="H789" s="2" t="s">
        <v>559</v>
      </c>
      <c r="I789" s="2" t="s">
        <v>560</v>
      </c>
      <c r="J789" s="3">
        <v>3.5529999999999999</v>
      </c>
      <c r="K789" s="2" t="s">
        <v>317</v>
      </c>
      <c r="L789" s="2">
        <v>2024</v>
      </c>
      <c r="M789" s="2" t="s">
        <v>43</v>
      </c>
      <c r="N789" s="2" t="s">
        <v>21</v>
      </c>
      <c r="O789">
        <f t="shared" si="24"/>
        <v>3.0300000000000011</v>
      </c>
      <c r="P789">
        <f t="shared" si="25"/>
        <v>77.117000000000033</v>
      </c>
    </row>
    <row r="790" spans="1:16" x14ac:dyDescent="0.35">
      <c r="A790" s="9" t="s">
        <v>332</v>
      </c>
      <c r="B790" s="2">
        <v>174.28</v>
      </c>
      <c r="C790" s="2">
        <v>175.75</v>
      </c>
      <c r="D790" s="2">
        <v>173.7</v>
      </c>
      <c r="E790" s="2">
        <v>174.99</v>
      </c>
      <c r="F790" s="2">
        <v>59715243</v>
      </c>
      <c r="G790" s="2" t="s">
        <v>558</v>
      </c>
      <c r="H790" s="2" t="s">
        <v>559</v>
      </c>
      <c r="I790" s="2" t="s">
        <v>560</v>
      </c>
      <c r="J790" s="3">
        <v>0.23499999999999999</v>
      </c>
      <c r="K790" s="2" t="s">
        <v>317</v>
      </c>
      <c r="L790" s="2">
        <v>2024</v>
      </c>
      <c r="M790" s="2" t="s">
        <v>43</v>
      </c>
      <c r="N790" s="2" t="s">
        <v>21</v>
      </c>
      <c r="O790">
        <f t="shared" si="24"/>
        <v>2.0500000000000114</v>
      </c>
      <c r="P790">
        <f t="shared" si="25"/>
        <v>77.352000000000032</v>
      </c>
    </row>
    <row r="791" spans="1:16" x14ac:dyDescent="0.35">
      <c r="A791" s="9" t="s">
        <v>333</v>
      </c>
      <c r="B791" s="2">
        <v>175.7</v>
      </c>
      <c r="C791" s="2">
        <v>176.37</v>
      </c>
      <c r="D791" s="2">
        <v>174.26</v>
      </c>
      <c r="E791" s="2">
        <v>174.73</v>
      </c>
      <c r="F791" s="2">
        <v>44368614</v>
      </c>
      <c r="G791" s="2" t="s">
        <v>558</v>
      </c>
      <c r="H791" s="2" t="s">
        <v>559</v>
      </c>
      <c r="I791" s="2" t="s">
        <v>560</v>
      </c>
      <c r="J791" s="4">
        <v>-0.14899999999999999</v>
      </c>
      <c r="K791" s="2" t="s">
        <v>317</v>
      </c>
      <c r="L791" s="2">
        <v>2024</v>
      </c>
      <c r="M791" s="2" t="s">
        <v>43</v>
      </c>
      <c r="N791" s="2" t="s">
        <v>23</v>
      </c>
      <c r="O791">
        <f t="shared" si="24"/>
        <v>2.1100000000000136</v>
      </c>
      <c r="P791">
        <f t="shared" si="25"/>
        <v>77.203000000000031</v>
      </c>
    </row>
    <row r="792" spans="1:16" x14ac:dyDescent="0.35">
      <c r="A792" s="9" t="s">
        <v>334</v>
      </c>
      <c r="B792" s="2">
        <v>174.07499999999999</v>
      </c>
      <c r="C792" s="2">
        <v>174.62</v>
      </c>
      <c r="D792" s="2">
        <v>172.86</v>
      </c>
      <c r="E792" s="2">
        <v>173.54</v>
      </c>
      <c r="F792" s="2">
        <v>31141732</v>
      </c>
      <c r="G792" s="2" t="s">
        <v>558</v>
      </c>
      <c r="H792" s="2" t="s">
        <v>559</v>
      </c>
      <c r="I792" s="2" t="s">
        <v>560</v>
      </c>
      <c r="J792" s="4">
        <v>-0.68100000000000005</v>
      </c>
      <c r="K792" s="2" t="s">
        <v>317</v>
      </c>
      <c r="L792" s="2">
        <v>2024</v>
      </c>
      <c r="M792" s="2" t="s">
        <v>43</v>
      </c>
      <c r="N792" s="2" t="s">
        <v>23</v>
      </c>
      <c r="O792">
        <f t="shared" si="24"/>
        <v>1.7599999999999909</v>
      </c>
      <c r="P792">
        <f t="shared" si="25"/>
        <v>76.522000000000034</v>
      </c>
    </row>
    <row r="793" spans="1:16" x14ac:dyDescent="0.35">
      <c r="A793" s="9" t="s">
        <v>335</v>
      </c>
      <c r="B793" s="2">
        <v>172.44</v>
      </c>
      <c r="C793" s="2">
        <v>174.05</v>
      </c>
      <c r="D793" s="2">
        <v>172.27</v>
      </c>
      <c r="E793" s="2">
        <v>173.16</v>
      </c>
      <c r="F793" s="2">
        <v>28180482</v>
      </c>
      <c r="G793" s="2" t="s">
        <v>558</v>
      </c>
      <c r="H793" s="2" t="s">
        <v>559</v>
      </c>
      <c r="I793" s="2" t="s">
        <v>560</v>
      </c>
      <c r="J793" s="4">
        <v>-0.219</v>
      </c>
      <c r="K793" s="2" t="s">
        <v>317</v>
      </c>
      <c r="L793" s="2">
        <v>2024</v>
      </c>
      <c r="M793" s="2" t="s">
        <v>43</v>
      </c>
      <c r="N793" s="2" t="s">
        <v>23</v>
      </c>
      <c r="O793">
        <f t="shared" si="24"/>
        <v>1.7800000000000011</v>
      </c>
      <c r="P793">
        <f t="shared" si="25"/>
        <v>76.30300000000004</v>
      </c>
    </row>
    <row r="794" spans="1:16" x14ac:dyDescent="0.35">
      <c r="A794" s="9" t="s">
        <v>336</v>
      </c>
      <c r="B794" s="2">
        <v>173.01</v>
      </c>
      <c r="C794" s="2">
        <v>177.22</v>
      </c>
      <c r="D794" s="2">
        <v>172.85</v>
      </c>
      <c r="E794" s="2">
        <v>176.76</v>
      </c>
      <c r="F794" s="2">
        <v>53805359</v>
      </c>
      <c r="G794" s="2" t="s">
        <v>558</v>
      </c>
      <c r="H794" s="2" t="s">
        <v>559</v>
      </c>
      <c r="I794" s="2" t="s">
        <v>560</v>
      </c>
      <c r="J794" s="3">
        <v>2.0790000000000002</v>
      </c>
      <c r="K794" s="2" t="s">
        <v>317</v>
      </c>
      <c r="L794" s="2">
        <v>2024</v>
      </c>
      <c r="M794" s="2" t="s">
        <v>43</v>
      </c>
      <c r="N794" s="2" t="s">
        <v>21</v>
      </c>
      <c r="O794">
        <f t="shared" si="24"/>
        <v>4.3700000000000045</v>
      </c>
      <c r="P794">
        <f t="shared" si="25"/>
        <v>78.382000000000033</v>
      </c>
    </row>
    <row r="795" spans="1:16" x14ac:dyDescent="0.35">
      <c r="A795" s="9" t="s">
        <v>337</v>
      </c>
      <c r="B795" s="2">
        <v>176.75</v>
      </c>
      <c r="C795" s="2">
        <v>178.72499999999999</v>
      </c>
      <c r="D795" s="2">
        <v>176.07</v>
      </c>
      <c r="E795" s="2">
        <v>178.22</v>
      </c>
      <c r="F795" s="2">
        <v>31981152</v>
      </c>
      <c r="G795" s="2" t="s">
        <v>558</v>
      </c>
      <c r="H795" s="2" t="s">
        <v>559</v>
      </c>
      <c r="I795" s="2" t="s">
        <v>560</v>
      </c>
      <c r="J795" s="3">
        <v>0.82599999999999996</v>
      </c>
      <c r="K795" s="2" t="s">
        <v>338</v>
      </c>
      <c r="L795" s="2">
        <v>2024</v>
      </c>
      <c r="M795" s="2" t="s">
        <v>64</v>
      </c>
      <c r="N795" s="2" t="s">
        <v>21</v>
      </c>
      <c r="O795">
        <f t="shared" si="24"/>
        <v>2.6550000000000011</v>
      </c>
      <c r="P795">
        <f t="shared" si="25"/>
        <v>79.208000000000027</v>
      </c>
    </row>
    <row r="796" spans="1:16" x14ac:dyDescent="0.35">
      <c r="A796" s="9" t="s">
        <v>339</v>
      </c>
      <c r="B796" s="2">
        <v>177.53</v>
      </c>
      <c r="C796" s="2">
        <v>180.14</v>
      </c>
      <c r="D796" s="2">
        <v>177.49</v>
      </c>
      <c r="E796" s="2">
        <v>177.58</v>
      </c>
      <c r="F796" s="2">
        <v>37381520</v>
      </c>
      <c r="G796" s="2" t="s">
        <v>558</v>
      </c>
      <c r="H796" s="2" t="s">
        <v>559</v>
      </c>
      <c r="I796" s="2" t="s">
        <v>560</v>
      </c>
      <c r="J796" s="4">
        <v>-0.35899999999999999</v>
      </c>
      <c r="K796" s="2" t="s">
        <v>338</v>
      </c>
      <c r="L796" s="2">
        <v>2024</v>
      </c>
      <c r="M796" s="2" t="s">
        <v>64</v>
      </c>
      <c r="N796" s="2" t="s">
        <v>23</v>
      </c>
      <c r="O796">
        <f t="shared" si="24"/>
        <v>2.6499999999999773</v>
      </c>
      <c r="P796">
        <f t="shared" si="25"/>
        <v>78.849000000000032</v>
      </c>
    </row>
    <row r="797" spans="1:16" x14ac:dyDescent="0.35">
      <c r="A797" s="9" t="s">
        <v>340</v>
      </c>
      <c r="B797" s="2">
        <v>176.93</v>
      </c>
      <c r="C797" s="2">
        <v>176.93</v>
      </c>
      <c r="D797" s="2">
        <v>173.303</v>
      </c>
      <c r="E797" s="2">
        <v>174.12</v>
      </c>
      <c r="F797" s="2">
        <v>37228343</v>
      </c>
      <c r="G797" s="2" t="s">
        <v>558</v>
      </c>
      <c r="H797" s="2" t="s">
        <v>559</v>
      </c>
      <c r="I797" s="2" t="s">
        <v>560</v>
      </c>
      <c r="J797" s="4">
        <v>-1.948</v>
      </c>
      <c r="K797" s="2" t="s">
        <v>338</v>
      </c>
      <c r="L797" s="2">
        <v>2024</v>
      </c>
      <c r="M797" s="2" t="s">
        <v>64</v>
      </c>
      <c r="N797" s="2" t="s">
        <v>23</v>
      </c>
      <c r="O797">
        <f t="shared" si="24"/>
        <v>3.6270000000000095</v>
      </c>
      <c r="P797">
        <f t="shared" si="25"/>
        <v>76.901000000000039</v>
      </c>
    </row>
    <row r="798" spans="1:16" x14ac:dyDescent="0.35">
      <c r="A798" s="9" t="s">
        <v>341</v>
      </c>
      <c r="B798" s="2">
        <v>175.54</v>
      </c>
      <c r="C798" s="2">
        <v>176.46</v>
      </c>
      <c r="D798" s="2">
        <v>173.26</v>
      </c>
      <c r="E798" s="2">
        <v>173.51</v>
      </c>
      <c r="F798" s="2">
        <v>32090926</v>
      </c>
      <c r="G798" s="2" t="s">
        <v>558</v>
      </c>
      <c r="H798" s="2" t="s">
        <v>559</v>
      </c>
      <c r="I798" s="2" t="s">
        <v>560</v>
      </c>
      <c r="J798" s="4">
        <v>-0.35</v>
      </c>
      <c r="K798" s="2" t="s">
        <v>338</v>
      </c>
      <c r="L798" s="2">
        <v>2024</v>
      </c>
      <c r="M798" s="2" t="s">
        <v>64</v>
      </c>
      <c r="N798" s="2" t="s">
        <v>23</v>
      </c>
      <c r="O798">
        <f t="shared" si="24"/>
        <v>3.2000000000000171</v>
      </c>
      <c r="P798">
        <f t="shared" si="25"/>
        <v>76.551000000000045</v>
      </c>
    </row>
    <row r="799" spans="1:16" x14ac:dyDescent="0.35">
      <c r="A799" s="9" t="s">
        <v>342</v>
      </c>
      <c r="B799" s="2">
        <v>174.83</v>
      </c>
      <c r="C799" s="2">
        <v>177.99</v>
      </c>
      <c r="D799" s="2">
        <v>173.72</v>
      </c>
      <c r="E799" s="2">
        <v>176.82</v>
      </c>
      <c r="F799" s="2">
        <v>34063283</v>
      </c>
      <c r="G799" s="2" t="s">
        <v>558</v>
      </c>
      <c r="H799" s="2" t="s">
        <v>559</v>
      </c>
      <c r="I799" s="2" t="s">
        <v>560</v>
      </c>
      <c r="J799" s="3">
        <v>1.9079999999999999</v>
      </c>
      <c r="K799" s="2" t="s">
        <v>338</v>
      </c>
      <c r="L799" s="2">
        <v>2024</v>
      </c>
      <c r="M799" s="2" t="s">
        <v>64</v>
      </c>
      <c r="N799" s="2" t="s">
        <v>21</v>
      </c>
      <c r="O799">
        <f t="shared" si="24"/>
        <v>4.2700000000000102</v>
      </c>
      <c r="P799">
        <f t="shared" si="25"/>
        <v>78.459000000000046</v>
      </c>
    </row>
    <row r="800" spans="1:16" x14ac:dyDescent="0.35">
      <c r="A800" s="9" t="s">
        <v>343</v>
      </c>
      <c r="B800" s="2">
        <v>176.44</v>
      </c>
      <c r="C800" s="2">
        <v>178.785</v>
      </c>
      <c r="D800" s="2">
        <v>174.33</v>
      </c>
      <c r="E800" s="2">
        <v>175.35</v>
      </c>
      <c r="F800" s="2">
        <v>37893242</v>
      </c>
      <c r="G800" s="2" t="s">
        <v>558</v>
      </c>
      <c r="H800" s="2" t="s">
        <v>559</v>
      </c>
      <c r="I800" s="2" t="s">
        <v>560</v>
      </c>
      <c r="J800" s="4">
        <v>-0.83099999999999996</v>
      </c>
      <c r="K800" s="2" t="s">
        <v>338</v>
      </c>
      <c r="L800" s="2">
        <v>2024</v>
      </c>
      <c r="M800" s="2" t="s">
        <v>64</v>
      </c>
      <c r="N800" s="2" t="s">
        <v>23</v>
      </c>
      <c r="O800">
        <f t="shared" si="24"/>
        <v>4.4549999999999841</v>
      </c>
      <c r="P800">
        <f t="shared" si="25"/>
        <v>77.628000000000043</v>
      </c>
    </row>
    <row r="801" spans="1:16" x14ac:dyDescent="0.35">
      <c r="A801" s="9" t="s">
        <v>344</v>
      </c>
      <c r="B801" s="2">
        <v>174.31</v>
      </c>
      <c r="C801" s="2">
        <v>174.47</v>
      </c>
      <c r="D801" s="2">
        <v>171.47</v>
      </c>
      <c r="E801" s="2">
        <v>171.96</v>
      </c>
      <c r="F801" s="2">
        <v>28484777</v>
      </c>
      <c r="G801" s="2" t="s">
        <v>558</v>
      </c>
      <c r="H801" s="2" t="s">
        <v>559</v>
      </c>
      <c r="I801" s="2" t="s">
        <v>560</v>
      </c>
      <c r="J801" s="4">
        <v>-1.9330000000000001</v>
      </c>
      <c r="K801" s="2" t="s">
        <v>338</v>
      </c>
      <c r="L801" s="2">
        <v>2024</v>
      </c>
      <c r="M801" s="2" t="s">
        <v>64</v>
      </c>
      <c r="N801" s="2" t="s">
        <v>23</v>
      </c>
      <c r="O801">
        <f t="shared" si="24"/>
        <v>3</v>
      </c>
      <c r="P801">
        <f t="shared" si="25"/>
        <v>75.695000000000036</v>
      </c>
    </row>
    <row r="802" spans="1:16" x14ac:dyDescent="0.35">
      <c r="A802" s="9" t="s">
        <v>345</v>
      </c>
      <c r="B802" s="2">
        <v>173.5</v>
      </c>
      <c r="C802" s="2">
        <v>176.76</v>
      </c>
      <c r="D802" s="2">
        <v>171.98</v>
      </c>
      <c r="E802" s="2">
        <v>175.39</v>
      </c>
      <c r="F802" s="2">
        <v>36610604</v>
      </c>
      <c r="G802" s="2" t="s">
        <v>558</v>
      </c>
      <c r="H802" s="2" t="s">
        <v>559</v>
      </c>
      <c r="I802" s="2" t="s">
        <v>560</v>
      </c>
      <c r="J802" s="3">
        <v>1.9950000000000001</v>
      </c>
      <c r="K802" s="2" t="s">
        <v>338</v>
      </c>
      <c r="L802" s="2">
        <v>2024</v>
      </c>
      <c r="M802" s="2" t="s">
        <v>64</v>
      </c>
      <c r="N802" s="2" t="s">
        <v>21</v>
      </c>
      <c r="O802">
        <f t="shared" si="24"/>
        <v>4.7800000000000011</v>
      </c>
      <c r="P802">
        <f t="shared" si="25"/>
        <v>77.69000000000004</v>
      </c>
    </row>
    <row r="803" spans="1:16" x14ac:dyDescent="0.35">
      <c r="A803" s="9" t="s">
        <v>346</v>
      </c>
      <c r="B803" s="2">
        <v>175.9</v>
      </c>
      <c r="C803" s="2">
        <v>177.62</v>
      </c>
      <c r="D803" s="2">
        <v>175.55</v>
      </c>
      <c r="E803" s="2">
        <v>176.55500000000001</v>
      </c>
      <c r="F803" s="2">
        <v>30772600</v>
      </c>
      <c r="G803" s="2" t="s">
        <v>558</v>
      </c>
      <c r="H803" s="2" t="s">
        <v>559</v>
      </c>
      <c r="I803" s="2" t="s">
        <v>560</v>
      </c>
      <c r="J803" s="3">
        <v>0.66400000000000003</v>
      </c>
      <c r="K803" s="2" t="s">
        <v>338</v>
      </c>
      <c r="L803" s="2">
        <v>2024</v>
      </c>
      <c r="M803" s="2" t="s">
        <v>64</v>
      </c>
      <c r="N803" s="2" t="s">
        <v>21</v>
      </c>
      <c r="O803">
        <f t="shared" si="24"/>
        <v>2.0699999999999932</v>
      </c>
      <c r="P803">
        <f t="shared" si="25"/>
        <v>78.354000000000042</v>
      </c>
    </row>
    <row r="804" spans="1:16" x14ac:dyDescent="0.35">
      <c r="A804" s="9" t="s">
        <v>347</v>
      </c>
      <c r="B804" s="2">
        <v>177.69</v>
      </c>
      <c r="C804" s="2">
        <v>179.53</v>
      </c>
      <c r="D804" s="2">
        <v>176.465</v>
      </c>
      <c r="E804" s="2">
        <v>178.75</v>
      </c>
      <c r="F804" s="2">
        <v>43705840</v>
      </c>
      <c r="G804" s="2" t="s">
        <v>558</v>
      </c>
      <c r="H804" s="2" t="s">
        <v>559</v>
      </c>
      <c r="I804" s="2" t="s">
        <v>560</v>
      </c>
      <c r="J804" s="3">
        <v>1.2430000000000001</v>
      </c>
      <c r="K804" s="2" t="s">
        <v>338</v>
      </c>
      <c r="L804" s="2">
        <v>2024</v>
      </c>
      <c r="M804" s="2" t="s">
        <v>64</v>
      </c>
      <c r="N804" s="2" t="s">
        <v>21</v>
      </c>
      <c r="O804">
        <f t="shared" si="24"/>
        <v>3.0649999999999977</v>
      </c>
      <c r="P804">
        <f t="shared" si="25"/>
        <v>79.597000000000037</v>
      </c>
    </row>
    <row r="805" spans="1:16" x14ac:dyDescent="0.35">
      <c r="A805" s="9" t="s">
        <v>348</v>
      </c>
      <c r="B805" s="2">
        <v>176.64</v>
      </c>
      <c r="C805" s="2">
        <v>177.93</v>
      </c>
      <c r="D805" s="2">
        <v>173.9</v>
      </c>
      <c r="E805" s="2">
        <v>174.42</v>
      </c>
      <c r="F805" s="2">
        <v>72147390</v>
      </c>
      <c r="G805" s="2" t="s">
        <v>558</v>
      </c>
      <c r="H805" s="2" t="s">
        <v>559</v>
      </c>
      <c r="I805" s="2" t="s">
        <v>560</v>
      </c>
      <c r="J805" s="4">
        <v>-2.4220000000000002</v>
      </c>
      <c r="K805" s="2" t="s">
        <v>338</v>
      </c>
      <c r="L805" s="2">
        <v>2024</v>
      </c>
      <c r="M805" s="2" t="s">
        <v>64</v>
      </c>
      <c r="N805" s="2" t="s">
        <v>23</v>
      </c>
      <c r="O805">
        <f t="shared" si="24"/>
        <v>4.0300000000000011</v>
      </c>
      <c r="P805">
        <f t="shared" si="25"/>
        <v>77.17500000000004</v>
      </c>
    </row>
    <row r="806" spans="1:16" x14ac:dyDescent="0.35">
      <c r="A806" s="9" t="s">
        <v>349</v>
      </c>
      <c r="B806" s="2">
        <v>175.8</v>
      </c>
      <c r="C806" s="2">
        <v>176.69</v>
      </c>
      <c r="D806" s="2">
        <v>174.28</v>
      </c>
      <c r="E806" s="2">
        <v>174.48</v>
      </c>
      <c r="F806" s="2">
        <v>31250688</v>
      </c>
      <c r="G806" s="2" t="s">
        <v>558</v>
      </c>
      <c r="H806" s="2" t="s">
        <v>559</v>
      </c>
      <c r="I806" s="2" t="s">
        <v>560</v>
      </c>
      <c r="J806" s="3">
        <v>3.4000000000000002E-2</v>
      </c>
      <c r="K806" s="2" t="s">
        <v>338</v>
      </c>
      <c r="L806" s="2">
        <v>2024</v>
      </c>
      <c r="M806" s="2" t="s">
        <v>64</v>
      </c>
      <c r="N806" s="2" t="s">
        <v>21</v>
      </c>
      <c r="O806">
        <f t="shared" si="24"/>
        <v>2.4099999999999966</v>
      </c>
      <c r="P806">
        <f t="shared" si="25"/>
        <v>77.209000000000046</v>
      </c>
    </row>
    <row r="807" spans="1:16" x14ac:dyDescent="0.35">
      <c r="A807" s="9" t="s">
        <v>350</v>
      </c>
      <c r="B807" s="2">
        <v>174.215</v>
      </c>
      <c r="C807" s="2">
        <v>176.09</v>
      </c>
      <c r="D807" s="2">
        <v>173.52</v>
      </c>
      <c r="E807" s="2">
        <v>175.9</v>
      </c>
      <c r="F807" s="2">
        <v>26880893</v>
      </c>
      <c r="G807" s="2" t="s">
        <v>558</v>
      </c>
      <c r="H807" s="2" t="s">
        <v>559</v>
      </c>
      <c r="I807" s="2" t="s">
        <v>560</v>
      </c>
      <c r="J807" s="3">
        <v>0.81399999999999995</v>
      </c>
      <c r="K807" s="2" t="s">
        <v>338</v>
      </c>
      <c r="L807" s="2">
        <v>2024</v>
      </c>
      <c r="M807" s="2" t="s">
        <v>64</v>
      </c>
      <c r="N807" s="2" t="s">
        <v>21</v>
      </c>
      <c r="O807">
        <f t="shared" si="24"/>
        <v>2.5699999999999932</v>
      </c>
      <c r="P807">
        <f t="shared" si="25"/>
        <v>78.023000000000039</v>
      </c>
    </row>
    <row r="808" spans="1:16" x14ac:dyDescent="0.35">
      <c r="A808" s="9" t="s">
        <v>351</v>
      </c>
      <c r="B808" s="2">
        <v>176.14</v>
      </c>
      <c r="C808" s="2">
        <v>178.53</v>
      </c>
      <c r="D808" s="2">
        <v>174.64</v>
      </c>
      <c r="E808" s="2">
        <v>178.15</v>
      </c>
      <c r="F808" s="2">
        <v>29947150</v>
      </c>
      <c r="G808" s="2" t="s">
        <v>558</v>
      </c>
      <c r="H808" s="2" t="s">
        <v>559</v>
      </c>
      <c r="I808" s="2" t="s">
        <v>560</v>
      </c>
      <c r="J808" s="3">
        <v>1.2789999999999999</v>
      </c>
      <c r="K808" s="2" t="s">
        <v>338</v>
      </c>
      <c r="L808" s="2">
        <v>2024</v>
      </c>
      <c r="M808" s="2" t="s">
        <v>64</v>
      </c>
      <c r="N808" s="2" t="s">
        <v>21</v>
      </c>
      <c r="O808">
        <f t="shared" si="24"/>
        <v>3.8900000000000148</v>
      </c>
      <c r="P808">
        <f t="shared" si="25"/>
        <v>79.302000000000035</v>
      </c>
    </row>
    <row r="809" spans="1:16" x14ac:dyDescent="0.35">
      <c r="A809" s="9" t="s">
        <v>352</v>
      </c>
      <c r="B809" s="2">
        <v>179.988</v>
      </c>
      <c r="C809" s="2">
        <v>181.41499999999999</v>
      </c>
      <c r="D809" s="2">
        <v>178.15</v>
      </c>
      <c r="E809" s="2">
        <v>178.15</v>
      </c>
      <c r="F809" s="2">
        <v>32824320</v>
      </c>
      <c r="G809" s="2" t="s">
        <v>558</v>
      </c>
      <c r="H809" s="2" t="s">
        <v>559</v>
      </c>
      <c r="I809" s="2" t="s">
        <v>560</v>
      </c>
      <c r="J809" s="2">
        <v>0</v>
      </c>
      <c r="K809" s="2" t="s">
        <v>338</v>
      </c>
      <c r="L809" s="2">
        <v>2024</v>
      </c>
      <c r="M809" s="2" t="s">
        <v>64</v>
      </c>
      <c r="N809" s="2" t="s">
        <v>122</v>
      </c>
      <c r="O809">
        <f t="shared" si="24"/>
        <v>3.2649999999999864</v>
      </c>
      <c r="P809">
        <f t="shared" si="25"/>
        <v>79.302000000000035</v>
      </c>
    </row>
    <row r="810" spans="1:16" x14ac:dyDescent="0.35">
      <c r="A810" s="9" t="s">
        <v>353</v>
      </c>
      <c r="B810" s="2">
        <v>177.75200000000001</v>
      </c>
      <c r="C810" s="2">
        <v>179.255</v>
      </c>
      <c r="D810" s="2">
        <v>176.75</v>
      </c>
      <c r="E810" s="2">
        <v>178.87</v>
      </c>
      <c r="F810" s="2">
        <v>27995378</v>
      </c>
      <c r="G810" s="2" t="s">
        <v>558</v>
      </c>
      <c r="H810" s="2" t="s">
        <v>559</v>
      </c>
      <c r="I810" s="2" t="s">
        <v>560</v>
      </c>
      <c r="J810" s="3">
        <v>0.40400000000000003</v>
      </c>
      <c r="K810" s="2" t="s">
        <v>338</v>
      </c>
      <c r="L810" s="2">
        <v>2024</v>
      </c>
      <c r="M810" s="2" t="s">
        <v>64</v>
      </c>
      <c r="N810" s="2" t="s">
        <v>21</v>
      </c>
      <c r="O810">
        <f t="shared" si="24"/>
        <v>2.5049999999999955</v>
      </c>
      <c r="P810">
        <f t="shared" si="25"/>
        <v>79.706000000000031</v>
      </c>
    </row>
    <row r="811" spans="1:16" x14ac:dyDescent="0.35">
      <c r="A811" s="9" t="s">
        <v>354</v>
      </c>
      <c r="B811" s="2">
        <v>178.01</v>
      </c>
      <c r="C811" s="2">
        <v>180.99</v>
      </c>
      <c r="D811" s="2">
        <v>177.24</v>
      </c>
      <c r="E811" s="2">
        <v>179.71</v>
      </c>
      <c r="F811" s="2">
        <v>29815464</v>
      </c>
      <c r="G811" s="2" t="s">
        <v>558</v>
      </c>
      <c r="H811" s="2" t="s">
        <v>559</v>
      </c>
      <c r="I811" s="2" t="s">
        <v>560</v>
      </c>
      <c r="J811" s="3">
        <v>0.47</v>
      </c>
      <c r="K811" s="2" t="s">
        <v>338</v>
      </c>
      <c r="L811" s="2">
        <v>2024</v>
      </c>
      <c r="M811" s="2" t="s">
        <v>64</v>
      </c>
      <c r="N811" s="2" t="s">
        <v>21</v>
      </c>
      <c r="O811">
        <f t="shared" si="24"/>
        <v>3.75</v>
      </c>
      <c r="P811">
        <f t="shared" si="25"/>
        <v>80.17600000000003</v>
      </c>
    </row>
    <row r="812" spans="1:16" x14ac:dyDescent="0.35">
      <c r="A812" s="9" t="s">
        <v>355</v>
      </c>
      <c r="B812" s="2">
        <v>180.15</v>
      </c>
      <c r="C812" s="2">
        <v>180.45</v>
      </c>
      <c r="D812" s="2">
        <v>177.95</v>
      </c>
      <c r="E812" s="2">
        <v>178.3</v>
      </c>
      <c r="F812" s="2">
        <v>29658982</v>
      </c>
      <c r="G812" s="2" t="s">
        <v>558</v>
      </c>
      <c r="H812" s="2" t="s">
        <v>559</v>
      </c>
      <c r="I812" s="2" t="s">
        <v>560</v>
      </c>
      <c r="J812" s="4">
        <v>-0.78500000000000003</v>
      </c>
      <c r="K812" s="2" t="s">
        <v>338</v>
      </c>
      <c r="L812" s="2">
        <v>2024</v>
      </c>
      <c r="M812" s="2" t="s">
        <v>64</v>
      </c>
      <c r="N812" s="2" t="s">
        <v>23</v>
      </c>
      <c r="O812">
        <f t="shared" si="24"/>
        <v>2.5</v>
      </c>
      <c r="P812">
        <f t="shared" si="25"/>
        <v>79.391000000000034</v>
      </c>
    </row>
    <row r="813" spans="1:16" x14ac:dyDescent="0.35">
      <c r="A813" s="9" t="s">
        <v>356</v>
      </c>
      <c r="B813" s="2">
        <v>179.88</v>
      </c>
      <c r="C813" s="2">
        <v>180</v>
      </c>
      <c r="D813" s="2">
        <v>177.31</v>
      </c>
      <c r="E813" s="2">
        <v>179.83</v>
      </c>
      <c r="F813" s="2">
        <v>33272551</v>
      </c>
      <c r="G813" s="2" t="s">
        <v>558</v>
      </c>
      <c r="H813" s="2" t="s">
        <v>559</v>
      </c>
      <c r="I813" s="2" t="s">
        <v>560</v>
      </c>
      <c r="J813" s="3">
        <v>0.85799999999999998</v>
      </c>
      <c r="K813" s="2" t="s">
        <v>338</v>
      </c>
      <c r="L813" s="2">
        <v>2024</v>
      </c>
      <c r="M813" s="2" t="s">
        <v>64</v>
      </c>
      <c r="N813" s="2" t="s">
        <v>21</v>
      </c>
      <c r="O813">
        <f t="shared" si="24"/>
        <v>2.6899999999999977</v>
      </c>
      <c r="P813">
        <f t="shared" si="25"/>
        <v>80.249000000000038</v>
      </c>
    </row>
    <row r="814" spans="1:16" x14ac:dyDescent="0.35">
      <c r="A814" s="9" t="s">
        <v>357</v>
      </c>
      <c r="B814" s="2">
        <v>180.17</v>
      </c>
      <c r="C814" s="2">
        <v>181.7</v>
      </c>
      <c r="D814" s="2">
        <v>179.26</v>
      </c>
      <c r="E814" s="2">
        <v>180.38</v>
      </c>
      <c r="F814" s="2">
        <v>38051588</v>
      </c>
      <c r="G814" s="2" t="s">
        <v>558</v>
      </c>
      <c r="H814" s="2" t="s">
        <v>559</v>
      </c>
      <c r="I814" s="2" t="s">
        <v>560</v>
      </c>
      <c r="J814" s="3">
        <v>0.30599999999999999</v>
      </c>
      <c r="K814" s="2" t="s">
        <v>338</v>
      </c>
      <c r="L814" s="2">
        <v>2024</v>
      </c>
      <c r="M814" s="2" t="s">
        <v>64</v>
      </c>
      <c r="N814" s="2" t="s">
        <v>21</v>
      </c>
      <c r="O814">
        <f t="shared" si="24"/>
        <v>2.4399999999999977</v>
      </c>
      <c r="P814">
        <f t="shared" si="25"/>
        <v>80.555000000000035</v>
      </c>
    </row>
    <row r="815" spans="1:16" x14ac:dyDescent="0.35">
      <c r="A815" s="9" t="s">
        <v>358</v>
      </c>
      <c r="B815" s="2">
        <v>180.79</v>
      </c>
      <c r="C815" s="2">
        <v>183</v>
      </c>
      <c r="D815" s="2">
        <v>179.95</v>
      </c>
      <c r="E815" s="2">
        <v>180.97</v>
      </c>
      <c r="F815" s="2">
        <v>29174521</v>
      </c>
      <c r="G815" s="2" t="s">
        <v>558</v>
      </c>
      <c r="H815" s="2" t="s">
        <v>559</v>
      </c>
      <c r="I815" s="2" t="s">
        <v>560</v>
      </c>
      <c r="J815" s="3">
        <v>0.32700000000000001</v>
      </c>
      <c r="K815" s="2" t="s">
        <v>359</v>
      </c>
      <c r="L815" s="2">
        <v>2024</v>
      </c>
      <c r="M815" s="2" t="s">
        <v>89</v>
      </c>
      <c r="N815" s="2" t="s">
        <v>21</v>
      </c>
      <c r="O815">
        <f t="shared" si="24"/>
        <v>3.0500000000000114</v>
      </c>
      <c r="P815">
        <f t="shared" si="25"/>
        <v>80.882000000000033</v>
      </c>
    </row>
    <row r="816" spans="1:16" x14ac:dyDescent="0.35">
      <c r="A816" s="9" t="s">
        <v>360</v>
      </c>
      <c r="B816" s="2">
        <v>179.07</v>
      </c>
      <c r="C816" s="2">
        <v>180.79</v>
      </c>
      <c r="D816" s="2">
        <v>178.376</v>
      </c>
      <c r="E816" s="2">
        <v>180.69</v>
      </c>
      <c r="F816" s="2">
        <v>32611546</v>
      </c>
      <c r="G816" s="2" t="s">
        <v>558</v>
      </c>
      <c r="H816" s="2" t="s">
        <v>559</v>
      </c>
      <c r="I816" s="2" t="s">
        <v>560</v>
      </c>
      <c r="J816" s="4">
        <v>-0.155</v>
      </c>
      <c r="K816" s="2" t="s">
        <v>359</v>
      </c>
      <c r="L816" s="2">
        <v>2024</v>
      </c>
      <c r="M816" s="2" t="s">
        <v>89</v>
      </c>
      <c r="N816" s="2" t="s">
        <v>23</v>
      </c>
      <c r="O816">
        <f t="shared" si="24"/>
        <v>2.4139999999999873</v>
      </c>
      <c r="P816">
        <f t="shared" si="25"/>
        <v>80.727000000000032</v>
      </c>
    </row>
    <row r="817" spans="1:16" x14ac:dyDescent="0.35">
      <c r="A817" s="9" t="s">
        <v>361</v>
      </c>
      <c r="B817" s="2">
        <v>179.9</v>
      </c>
      <c r="C817" s="2">
        <v>182.87</v>
      </c>
      <c r="D817" s="2">
        <v>179.8</v>
      </c>
      <c r="E817" s="2">
        <v>182.41</v>
      </c>
      <c r="F817" s="2">
        <v>31046638</v>
      </c>
      <c r="G817" s="2" t="s">
        <v>558</v>
      </c>
      <c r="H817" s="2" t="s">
        <v>559</v>
      </c>
      <c r="I817" s="2" t="s">
        <v>560</v>
      </c>
      <c r="J817" s="3">
        <v>0.95199999999999996</v>
      </c>
      <c r="K817" s="2" t="s">
        <v>359</v>
      </c>
      <c r="L817" s="2">
        <v>2024</v>
      </c>
      <c r="M817" s="2" t="s">
        <v>89</v>
      </c>
      <c r="N817" s="2" t="s">
        <v>21</v>
      </c>
      <c r="O817">
        <f t="shared" si="24"/>
        <v>3.0699999999999932</v>
      </c>
      <c r="P817">
        <f t="shared" si="25"/>
        <v>81.67900000000003</v>
      </c>
    </row>
    <row r="818" spans="1:16" x14ac:dyDescent="0.35">
      <c r="A818" s="9" t="s">
        <v>362</v>
      </c>
      <c r="B818" s="2">
        <v>184</v>
      </c>
      <c r="C818" s="2">
        <v>185.1</v>
      </c>
      <c r="D818" s="2">
        <v>180</v>
      </c>
      <c r="E818" s="2">
        <v>180</v>
      </c>
      <c r="F818" s="2">
        <v>41624261</v>
      </c>
      <c r="G818" s="2" t="s">
        <v>558</v>
      </c>
      <c r="H818" s="2" t="s">
        <v>559</v>
      </c>
      <c r="I818" s="2" t="s">
        <v>560</v>
      </c>
      <c r="J818" s="4">
        <v>-1.321</v>
      </c>
      <c r="K818" s="2" t="s">
        <v>359</v>
      </c>
      <c r="L818" s="2">
        <v>2024</v>
      </c>
      <c r="M818" s="2" t="s">
        <v>89</v>
      </c>
      <c r="N818" s="2" t="s">
        <v>23</v>
      </c>
      <c r="O818">
        <f t="shared" si="24"/>
        <v>5.0999999999999943</v>
      </c>
      <c r="P818">
        <f t="shared" si="25"/>
        <v>80.358000000000033</v>
      </c>
    </row>
    <row r="819" spans="1:16" x14ac:dyDescent="0.35">
      <c r="A819" s="9" t="s">
        <v>363</v>
      </c>
      <c r="B819" s="2">
        <v>182.38</v>
      </c>
      <c r="C819" s="2">
        <v>186.27</v>
      </c>
      <c r="D819" s="2">
        <v>181.97</v>
      </c>
      <c r="E819" s="2">
        <v>185.07</v>
      </c>
      <c r="F819" s="2">
        <v>42373992</v>
      </c>
      <c r="G819" s="2" t="s">
        <v>558</v>
      </c>
      <c r="H819" s="2" t="s">
        <v>559</v>
      </c>
      <c r="I819" s="2" t="s">
        <v>560</v>
      </c>
      <c r="J819" s="3">
        <v>2.8170000000000002</v>
      </c>
      <c r="K819" s="2" t="s">
        <v>359</v>
      </c>
      <c r="L819" s="2">
        <v>2024</v>
      </c>
      <c r="M819" s="2" t="s">
        <v>89</v>
      </c>
      <c r="N819" s="2" t="s">
        <v>21</v>
      </c>
      <c r="O819">
        <f t="shared" si="24"/>
        <v>4.3000000000000114</v>
      </c>
      <c r="P819">
        <f t="shared" si="25"/>
        <v>83.17500000000004</v>
      </c>
    </row>
    <row r="820" spans="1:16" x14ac:dyDescent="0.35">
      <c r="A820" s="9" t="s">
        <v>364</v>
      </c>
      <c r="B820" s="2">
        <v>186.9</v>
      </c>
      <c r="C820" s="2">
        <v>187.29</v>
      </c>
      <c r="D820" s="2">
        <v>184.81</v>
      </c>
      <c r="E820" s="2">
        <v>185.32</v>
      </c>
      <c r="F820" s="2">
        <v>39154806</v>
      </c>
      <c r="G820" s="2" t="s">
        <v>558</v>
      </c>
      <c r="H820" s="2" t="s">
        <v>559</v>
      </c>
      <c r="I820" s="2" t="s">
        <v>560</v>
      </c>
      <c r="J820" s="3">
        <v>0.13500000000000001</v>
      </c>
      <c r="K820" s="2" t="s">
        <v>359</v>
      </c>
      <c r="L820" s="2">
        <v>2024</v>
      </c>
      <c r="M820" s="2" t="s">
        <v>89</v>
      </c>
      <c r="N820" s="2" t="s">
        <v>21</v>
      </c>
      <c r="O820">
        <f t="shared" si="24"/>
        <v>2.4799999999999898</v>
      </c>
      <c r="P820">
        <f t="shared" si="25"/>
        <v>83.310000000000045</v>
      </c>
    </row>
    <row r="821" spans="1:16" x14ac:dyDescent="0.35">
      <c r="A821" s="9" t="s">
        <v>365</v>
      </c>
      <c r="B821" s="2">
        <v>187.24</v>
      </c>
      <c r="C821" s="2">
        <v>187.34</v>
      </c>
      <c r="D821" s="2">
        <v>184.2</v>
      </c>
      <c r="E821" s="2">
        <v>185.67</v>
      </c>
      <c r="F821" s="2">
        <v>36546946</v>
      </c>
      <c r="G821" s="2" t="s">
        <v>558</v>
      </c>
      <c r="H821" s="2" t="s">
        <v>559</v>
      </c>
      <c r="I821" s="2" t="s">
        <v>560</v>
      </c>
      <c r="J821" s="3">
        <v>0.189</v>
      </c>
      <c r="K821" s="2" t="s">
        <v>359</v>
      </c>
      <c r="L821" s="2">
        <v>2024</v>
      </c>
      <c r="M821" s="2" t="s">
        <v>89</v>
      </c>
      <c r="N821" s="2" t="s">
        <v>21</v>
      </c>
      <c r="O821">
        <f t="shared" si="24"/>
        <v>3.1400000000000148</v>
      </c>
      <c r="P821">
        <f t="shared" si="25"/>
        <v>83.499000000000038</v>
      </c>
    </row>
    <row r="822" spans="1:16" x14ac:dyDescent="0.35">
      <c r="A822" s="9" t="s">
        <v>366</v>
      </c>
      <c r="B822" s="2">
        <v>182.76499999999999</v>
      </c>
      <c r="C822" s="2">
        <v>186.27</v>
      </c>
      <c r="D822" s="2">
        <v>182.67</v>
      </c>
      <c r="E822" s="2">
        <v>185.95</v>
      </c>
      <c r="F822" s="2">
        <v>35879151</v>
      </c>
      <c r="G822" s="2" t="s">
        <v>558</v>
      </c>
      <c r="H822" s="2" t="s">
        <v>559</v>
      </c>
      <c r="I822" s="2" t="s">
        <v>560</v>
      </c>
      <c r="J822" s="3">
        <v>0.151</v>
      </c>
      <c r="K822" s="2" t="s">
        <v>359</v>
      </c>
      <c r="L822" s="2">
        <v>2024</v>
      </c>
      <c r="M822" s="2" t="s">
        <v>89</v>
      </c>
      <c r="N822" s="2" t="s">
        <v>21</v>
      </c>
      <c r="O822">
        <f t="shared" si="24"/>
        <v>3.6000000000000227</v>
      </c>
      <c r="P822">
        <f t="shared" si="25"/>
        <v>83.650000000000034</v>
      </c>
    </row>
    <row r="823" spans="1:16" x14ac:dyDescent="0.35">
      <c r="A823" s="9" t="s">
        <v>367</v>
      </c>
      <c r="B823" s="2">
        <v>186.74</v>
      </c>
      <c r="C823" s="2">
        <v>189.77</v>
      </c>
      <c r="D823" s="2">
        <v>185.51</v>
      </c>
      <c r="E823" s="2">
        <v>189.05</v>
      </c>
      <c r="F823" s="2">
        <v>40020742</v>
      </c>
      <c r="G823" s="2" t="s">
        <v>558</v>
      </c>
      <c r="H823" s="2" t="s">
        <v>559</v>
      </c>
      <c r="I823" s="2" t="s">
        <v>560</v>
      </c>
      <c r="J823" s="3">
        <v>1.667</v>
      </c>
      <c r="K823" s="2" t="s">
        <v>359</v>
      </c>
      <c r="L823" s="2">
        <v>2024</v>
      </c>
      <c r="M823" s="2" t="s">
        <v>89</v>
      </c>
      <c r="N823" s="2" t="s">
        <v>21</v>
      </c>
      <c r="O823">
        <f t="shared" si="24"/>
        <v>4.2600000000000193</v>
      </c>
      <c r="P823">
        <f t="shared" si="25"/>
        <v>85.317000000000036</v>
      </c>
    </row>
    <row r="824" spans="1:16" x14ac:dyDescent="0.35">
      <c r="A824" s="9" t="s">
        <v>368</v>
      </c>
      <c r="B824" s="2">
        <v>187.72</v>
      </c>
      <c r="C824" s="2">
        <v>188.38</v>
      </c>
      <c r="D824" s="2">
        <v>185.08</v>
      </c>
      <c r="E824" s="2">
        <v>186.13</v>
      </c>
      <c r="F824" s="2">
        <v>38608849</v>
      </c>
      <c r="G824" s="2" t="s">
        <v>558</v>
      </c>
      <c r="H824" s="2" t="s">
        <v>559</v>
      </c>
      <c r="I824" s="2" t="s">
        <v>560</v>
      </c>
      <c r="J824" s="4">
        <v>-1.5449999999999999</v>
      </c>
      <c r="K824" s="2" t="s">
        <v>359</v>
      </c>
      <c r="L824" s="2">
        <v>2024</v>
      </c>
      <c r="M824" s="2" t="s">
        <v>89</v>
      </c>
      <c r="N824" s="2" t="s">
        <v>23</v>
      </c>
      <c r="O824">
        <f t="shared" si="24"/>
        <v>3.2999999999999829</v>
      </c>
      <c r="P824">
        <f t="shared" si="25"/>
        <v>83.772000000000034</v>
      </c>
    </row>
    <row r="825" spans="1:16" x14ac:dyDescent="0.35">
      <c r="A825" s="9" t="s">
        <v>369</v>
      </c>
      <c r="B825" s="2">
        <v>187.42500000000001</v>
      </c>
      <c r="C825" s="2">
        <v>188.69</v>
      </c>
      <c r="D825" s="2">
        <v>183</v>
      </c>
      <c r="E825" s="2">
        <v>183.62</v>
      </c>
      <c r="F825" s="2">
        <v>48052395</v>
      </c>
      <c r="G825" s="2" t="s">
        <v>558</v>
      </c>
      <c r="H825" s="2" t="s">
        <v>559</v>
      </c>
      <c r="I825" s="2" t="s">
        <v>560</v>
      </c>
      <c r="J825" s="4">
        <v>-1.349</v>
      </c>
      <c r="K825" s="2" t="s">
        <v>359</v>
      </c>
      <c r="L825" s="2">
        <v>2024</v>
      </c>
      <c r="M825" s="2" t="s">
        <v>89</v>
      </c>
      <c r="N825" s="2" t="s">
        <v>23</v>
      </c>
      <c r="O825">
        <f t="shared" si="24"/>
        <v>5.6899999999999977</v>
      </c>
      <c r="P825">
        <f t="shared" si="25"/>
        <v>82.42300000000003</v>
      </c>
    </row>
    <row r="826" spans="1:16" x14ac:dyDescent="0.35">
      <c r="A826" s="9" t="s">
        <v>370</v>
      </c>
      <c r="B826" s="2">
        <v>183.27</v>
      </c>
      <c r="C826" s="2">
        <v>184.83</v>
      </c>
      <c r="D826" s="2">
        <v>182.26</v>
      </c>
      <c r="E826" s="2">
        <v>183.32</v>
      </c>
      <c r="F826" s="2">
        <v>32891265</v>
      </c>
      <c r="G826" s="2" t="s">
        <v>558</v>
      </c>
      <c r="H826" s="2" t="s">
        <v>559</v>
      </c>
      <c r="I826" s="2" t="s">
        <v>560</v>
      </c>
      <c r="J826" s="4">
        <v>-0.16300000000000001</v>
      </c>
      <c r="K826" s="2" t="s">
        <v>359</v>
      </c>
      <c r="L826" s="2">
        <v>2024</v>
      </c>
      <c r="M826" s="2" t="s">
        <v>89</v>
      </c>
      <c r="N826" s="2" t="s">
        <v>23</v>
      </c>
      <c r="O826">
        <f t="shared" si="24"/>
        <v>2.5700000000000216</v>
      </c>
      <c r="P826">
        <f t="shared" si="25"/>
        <v>82.260000000000034</v>
      </c>
    </row>
    <row r="827" spans="1:16" x14ac:dyDescent="0.35">
      <c r="A827" s="9" t="s">
        <v>371</v>
      </c>
      <c r="B827" s="2">
        <v>184.31</v>
      </c>
      <c r="C827" s="2">
        <v>184.57</v>
      </c>
      <c r="D827" s="2">
        <v>179.82</v>
      </c>
      <c r="E827" s="2">
        <v>181.28</v>
      </c>
      <c r="F827" s="2">
        <v>31359673</v>
      </c>
      <c r="G827" s="2" t="s">
        <v>558</v>
      </c>
      <c r="H827" s="2" t="s">
        <v>559</v>
      </c>
      <c r="I827" s="2" t="s">
        <v>560</v>
      </c>
      <c r="J827" s="4">
        <v>-1.113</v>
      </c>
      <c r="K827" s="2" t="s">
        <v>359</v>
      </c>
      <c r="L827" s="2">
        <v>2024</v>
      </c>
      <c r="M827" s="2" t="s">
        <v>89</v>
      </c>
      <c r="N827" s="2" t="s">
        <v>23</v>
      </c>
      <c r="O827">
        <f t="shared" si="24"/>
        <v>4.75</v>
      </c>
      <c r="P827">
        <f t="shared" si="25"/>
        <v>81.147000000000034</v>
      </c>
    </row>
    <row r="828" spans="1:16" x14ac:dyDescent="0.35">
      <c r="A828" s="9" t="s">
        <v>372</v>
      </c>
      <c r="B828" s="2">
        <v>181.47</v>
      </c>
      <c r="C828" s="2">
        <v>182.39</v>
      </c>
      <c r="D828" s="2">
        <v>178.65</v>
      </c>
      <c r="E828" s="2">
        <v>179.22</v>
      </c>
      <c r="F828" s="2">
        <v>30723793</v>
      </c>
      <c r="G828" s="2" t="s">
        <v>558</v>
      </c>
      <c r="H828" s="2" t="s">
        <v>559</v>
      </c>
      <c r="I828" s="2" t="s">
        <v>560</v>
      </c>
      <c r="J828" s="4">
        <v>-1.1359999999999999</v>
      </c>
      <c r="K828" s="2" t="s">
        <v>359</v>
      </c>
      <c r="L828" s="2">
        <v>2024</v>
      </c>
      <c r="M828" s="2" t="s">
        <v>89</v>
      </c>
      <c r="N828" s="2" t="s">
        <v>23</v>
      </c>
      <c r="O828">
        <f t="shared" si="24"/>
        <v>3.7399999999999807</v>
      </c>
      <c r="P828">
        <f t="shared" si="25"/>
        <v>80.011000000000038</v>
      </c>
    </row>
    <row r="829" spans="1:16" x14ac:dyDescent="0.35">
      <c r="A829" s="9" t="s">
        <v>373</v>
      </c>
      <c r="B829" s="2">
        <v>178.74</v>
      </c>
      <c r="C829" s="2">
        <v>179</v>
      </c>
      <c r="D829" s="2">
        <v>173.44</v>
      </c>
      <c r="E829" s="2">
        <v>174.62</v>
      </c>
      <c r="F829" s="2">
        <v>55944410</v>
      </c>
      <c r="G829" s="2" t="s">
        <v>558</v>
      </c>
      <c r="H829" s="2" t="s">
        <v>559</v>
      </c>
      <c r="I829" s="2" t="s">
        <v>560</v>
      </c>
      <c r="J829" s="4">
        <v>-2.5670000000000002</v>
      </c>
      <c r="K829" s="2" t="s">
        <v>359</v>
      </c>
      <c r="L829" s="2">
        <v>2024</v>
      </c>
      <c r="M829" s="2" t="s">
        <v>89</v>
      </c>
      <c r="N829" s="2" t="s">
        <v>23</v>
      </c>
      <c r="O829">
        <f t="shared" si="24"/>
        <v>5.5600000000000023</v>
      </c>
      <c r="P829">
        <f t="shared" si="25"/>
        <v>77.444000000000045</v>
      </c>
    </row>
    <row r="830" spans="1:16" x14ac:dyDescent="0.35">
      <c r="A830" s="9" t="s">
        <v>374</v>
      </c>
      <c r="B830" s="2">
        <v>176.94</v>
      </c>
      <c r="C830" s="2">
        <v>178.87</v>
      </c>
      <c r="D830" s="2">
        <v>174.56</v>
      </c>
      <c r="E830" s="2">
        <v>177.23</v>
      </c>
      <c r="F830" s="2">
        <v>37924890</v>
      </c>
      <c r="G830" s="2" t="s">
        <v>558</v>
      </c>
      <c r="H830" s="2" t="s">
        <v>559</v>
      </c>
      <c r="I830" s="2" t="s">
        <v>560</v>
      </c>
      <c r="J830" s="3">
        <v>1.4950000000000001</v>
      </c>
      <c r="K830" s="2" t="s">
        <v>359</v>
      </c>
      <c r="L830" s="2">
        <v>2024</v>
      </c>
      <c r="M830" s="2" t="s">
        <v>89</v>
      </c>
      <c r="N830" s="2" t="s">
        <v>21</v>
      </c>
      <c r="O830">
        <f t="shared" si="24"/>
        <v>4.3100000000000023</v>
      </c>
      <c r="P830">
        <f t="shared" si="25"/>
        <v>78.93900000000005</v>
      </c>
    </row>
    <row r="831" spans="1:16" x14ac:dyDescent="0.35">
      <c r="A831" s="9" t="s">
        <v>375</v>
      </c>
      <c r="B831" s="2">
        <v>178.08</v>
      </c>
      <c r="C831" s="2">
        <v>179.93</v>
      </c>
      <c r="D831" s="2">
        <v>175.97499999999999</v>
      </c>
      <c r="E831" s="2">
        <v>179.54</v>
      </c>
      <c r="F831" s="2">
        <v>37046519</v>
      </c>
      <c r="G831" s="2" t="s">
        <v>558</v>
      </c>
      <c r="H831" s="2" t="s">
        <v>559</v>
      </c>
      <c r="I831" s="2" t="s">
        <v>560</v>
      </c>
      <c r="J831" s="3">
        <v>1.3029999999999999</v>
      </c>
      <c r="K831" s="2" t="s">
        <v>359</v>
      </c>
      <c r="L831" s="2">
        <v>2024</v>
      </c>
      <c r="M831" s="2" t="s">
        <v>89</v>
      </c>
      <c r="N831" s="2" t="s">
        <v>21</v>
      </c>
      <c r="O831">
        <f t="shared" si="24"/>
        <v>3.9550000000000125</v>
      </c>
      <c r="P831">
        <f t="shared" si="25"/>
        <v>80.242000000000047</v>
      </c>
    </row>
    <row r="832" spans="1:16" x14ac:dyDescent="0.35">
      <c r="A832" s="9" t="s">
        <v>376</v>
      </c>
      <c r="B832" s="2">
        <v>179.94</v>
      </c>
      <c r="C832" s="2">
        <v>180.32300000000001</v>
      </c>
      <c r="D832" s="2">
        <v>176.18</v>
      </c>
      <c r="E832" s="2">
        <v>176.59</v>
      </c>
      <c r="F832" s="2">
        <v>34185109</v>
      </c>
      <c r="G832" s="2" t="s">
        <v>558</v>
      </c>
      <c r="H832" s="2" t="s">
        <v>559</v>
      </c>
      <c r="I832" s="2" t="s">
        <v>560</v>
      </c>
      <c r="J832" s="4">
        <v>-1.643</v>
      </c>
      <c r="K832" s="2" t="s">
        <v>359</v>
      </c>
      <c r="L832" s="2">
        <v>2024</v>
      </c>
      <c r="M832" s="2" t="s">
        <v>89</v>
      </c>
      <c r="N832" s="2" t="s">
        <v>23</v>
      </c>
      <c r="O832">
        <f t="shared" si="24"/>
        <v>4.1430000000000007</v>
      </c>
      <c r="P832">
        <f t="shared" si="25"/>
        <v>78.599000000000046</v>
      </c>
    </row>
    <row r="833" spans="1:16" x14ac:dyDescent="0.35">
      <c r="A833" s="9" t="s">
        <v>377</v>
      </c>
      <c r="B833" s="2">
        <v>169.68</v>
      </c>
      <c r="C833" s="2">
        <v>173.92</v>
      </c>
      <c r="D833" s="2">
        <v>166.32</v>
      </c>
      <c r="E833" s="2">
        <v>173.67</v>
      </c>
      <c r="F833" s="2">
        <v>49249390</v>
      </c>
      <c r="G833" s="2" t="s">
        <v>558</v>
      </c>
      <c r="H833" s="2" t="s">
        <v>559</v>
      </c>
      <c r="I833" s="2" t="s">
        <v>560</v>
      </c>
      <c r="J833" s="4">
        <v>-1.6539999999999999</v>
      </c>
      <c r="K833" s="2" t="s">
        <v>359</v>
      </c>
      <c r="L833" s="2">
        <v>2024</v>
      </c>
      <c r="M833" s="2" t="s">
        <v>89</v>
      </c>
      <c r="N833" s="2" t="s">
        <v>23</v>
      </c>
      <c r="O833">
        <f t="shared" si="24"/>
        <v>7.5999999999999943</v>
      </c>
      <c r="P833">
        <f t="shared" si="25"/>
        <v>76.94500000000005</v>
      </c>
    </row>
    <row r="834" spans="1:16" x14ac:dyDescent="0.35">
      <c r="A834" s="9" t="s">
        <v>378</v>
      </c>
      <c r="B834" s="2">
        <v>177.79499999999999</v>
      </c>
      <c r="C834" s="2">
        <v>180.82</v>
      </c>
      <c r="D834" s="2">
        <v>176.13</v>
      </c>
      <c r="E834" s="2">
        <v>179.62</v>
      </c>
      <c r="F834" s="2">
        <v>43919765</v>
      </c>
      <c r="G834" s="2" t="s">
        <v>558</v>
      </c>
      <c r="H834" s="2" t="s">
        <v>559</v>
      </c>
      <c r="I834" s="2" t="s">
        <v>560</v>
      </c>
      <c r="J834" s="3">
        <v>3.4260000000000002</v>
      </c>
      <c r="K834" s="2" t="s">
        <v>359</v>
      </c>
      <c r="L834" s="2">
        <v>2024</v>
      </c>
      <c r="M834" s="2" t="s">
        <v>89</v>
      </c>
      <c r="N834" s="2" t="s">
        <v>21</v>
      </c>
      <c r="O834">
        <f t="shared" si="24"/>
        <v>4.6899999999999977</v>
      </c>
      <c r="P834">
        <f t="shared" si="25"/>
        <v>80.371000000000052</v>
      </c>
    </row>
    <row r="835" spans="1:16" x14ac:dyDescent="0.35">
      <c r="A835" s="9" t="s">
        <v>379</v>
      </c>
      <c r="B835" s="2">
        <v>182.75</v>
      </c>
      <c r="C835" s="2">
        <v>183.53</v>
      </c>
      <c r="D835" s="2">
        <v>179.39</v>
      </c>
      <c r="E835" s="2">
        <v>180.96</v>
      </c>
      <c r="F835" s="2">
        <v>54063937</v>
      </c>
      <c r="G835" s="2" t="s">
        <v>558</v>
      </c>
      <c r="H835" s="2" t="s">
        <v>559</v>
      </c>
      <c r="I835" s="2" t="s">
        <v>560</v>
      </c>
      <c r="J835" s="3">
        <v>0.746</v>
      </c>
      <c r="K835" s="2" t="s">
        <v>359</v>
      </c>
      <c r="L835" s="2">
        <v>2024</v>
      </c>
      <c r="M835" s="2" t="s">
        <v>89</v>
      </c>
      <c r="N835" s="2" t="s">
        <v>21</v>
      </c>
      <c r="O835">
        <f t="shared" ref="O835:O898" si="26">C835-D835</f>
        <v>4.1400000000000148</v>
      </c>
      <c r="P835">
        <f t="shared" si="25"/>
        <v>81.117000000000047</v>
      </c>
    </row>
    <row r="836" spans="1:16" x14ac:dyDescent="0.35">
      <c r="A836" s="9" t="s">
        <v>380</v>
      </c>
      <c r="B836" s="2">
        <v>181.09</v>
      </c>
      <c r="C836" s="2">
        <v>182.99</v>
      </c>
      <c r="D836" s="2">
        <v>174.8</v>
      </c>
      <c r="E836" s="2">
        <v>175</v>
      </c>
      <c r="F836" s="2">
        <v>94639786</v>
      </c>
      <c r="G836" s="2" t="s">
        <v>558</v>
      </c>
      <c r="H836" s="2" t="s">
        <v>559</v>
      </c>
      <c r="I836" s="2" t="s">
        <v>560</v>
      </c>
      <c r="J836" s="4">
        <v>-3.294</v>
      </c>
      <c r="K836" s="2" t="s">
        <v>359</v>
      </c>
      <c r="L836" s="2">
        <v>2024</v>
      </c>
      <c r="M836" s="2" t="s">
        <v>89</v>
      </c>
      <c r="N836" s="2" t="s">
        <v>23</v>
      </c>
      <c r="O836">
        <f t="shared" si="26"/>
        <v>8.1899999999999977</v>
      </c>
      <c r="P836">
        <f t="shared" ref="P836:P899" si="27">IF(G836=G835, P835+J836, J836)</f>
        <v>77.82300000000005</v>
      </c>
    </row>
    <row r="837" spans="1:16" x14ac:dyDescent="0.35">
      <c r="A837" s="9" t="s">
        <v>381</v>
      </c>
      <c r="B837" s="2">
        <v>181.63499999999999</v>
      </c>
      <c r="C837" s="2">
        <v>185.15</v>
      </c>
      <c r="D837" s="2">
        <v>176.56</v>
      </c>
      <c r="E837" s="2">
        <v>179</v>
      </c>
      <c r="F837" s="2">
        <v>94645148</v>
      </c>
      <c r="G837" s="2" t="s">
        <v>558</v>
      </c>
      <c r="H837" s="2" t="s">
        <v>559</v>
      </c>
      <c r="I837" s="2" t="s">
        <v>560</v>
      </c>
      <c r="J837" s="3">
        <v>2.286</v>
      </c>
      <c r="K837" s="2" t="s">
        <v>382</v>
      </c>
      <c r="L837" s="2">
        <v>2024</v>
      </c>
      <c r="M837" s="2" t="s">
        <v>110</v>
      </c>
      <c r="N837" s="2" t="s">
        <v>21</v>
      </c>
      <c r="O837">
        <f t="shared" si="26"/>
        <v>8.5900000000000034</v>
      </c>
      <c r="P837">
        <f t="shared" si="27"/>
        <v>80.109000000000052</v>
      </c>
    </row>
    <row r="838" spans="1:16" x14ac:dyDescent="0.35">
      <c r="A838" s="9" t="s">
        <v>383</v>
      </c>
      <c r="B838" s="2">
        <v>180.85</v>
      </c>
      <c r="C838" s="2">
        <v>185.1</v>
      </c>
      <c r="D838" s="2">
        <v>179.91</v>
      </c>
      <c r="E838" s="2">
        <v>184.72</v>
      </c>
      <c r="F838" s="2">
        <v>54303510</v>
      </c>
      <c r="G838" s="2" t="s">
        <v>558</v>
      </c>
      <c r="H838" s="2" t="s">
        <v>559</v>
      </c>
      <c r="I838" s="2" t="s">
        <v>560</v>
      </c>
      <c r="J838" s="3">
        <v>3.1960000000000002</v>
      </c>
      <c r="K838" s="2" t="s">
        <v>382</v>
      </c>
      <c r="L838" s="2">
        <v>2024</v>
      </c>
      <c r="M838" s="2" t="s">
        <v>110</v>
      </c>
      <c r="N838" s="2" t="s">
        <v>21</v>
      </c>
      <c r="O838">
        <f t="shared" si="26"/>
        <v>5.1899999999999977</v>
      </c>
      <c r="P838">
        <f t="shared" si="27"/>
        <v>83.305000000000049</v>
      </c>
    </row>
    <row r="839" spans="1:16" x14ac:dyDescent="0.35">
      <c r="A839" s="9" t="s">
        <v>384</v>
      </c>
      <c r="B839" s="2">
        <v>186.99</v>
      </c>
      <c r="C839" s="2">
        <v>187.87</v>
      </c>
      <c r="D839" s="2">
        <v>185.42</v>
      </c>
      <c r="E839" s="2">
        <v>186.21</v>
      </c>
      <c r="F839" s="2">
        <v>39172004</v>
      </c>
      <c r="G839" s="2" t="s">
        <v>558</v>
      </c>
      <c r="H839" s="2" t="s">
        <v>559</v>
      </c>
      <c r="I839" s="2" t="s">
        <v>560</v>
      </c>
      <c r="J839" s="3">
        <v>0.80700000000000005</v>
      </c>
      <c r="K839" s="2" t="s">
        <v>382</v>
      </c>
      <c r="L839" s="2">
        <v>2024</v>
      </c>
      <c r="M839" s="2" t="s">
        <v>110</v>
      </c>
      <c r="N839" s="2" t="s">
        <v>21</v>
      </c>
      <c r="O839">
        <f t="shared" si="26"/>
        <v>2.4500000000000171</v>
      </c>
      <c r="P839">
        <f t="shared" si="27"/>
        <v>84.112000000000052</v>
      </c>
    </row>
    <row r="840" spans="1:16" x14ac:dyDescent="0.35">
      <c r="A840" s="9" t="s">
        <v>385</v>
      </c>
      <c r="B840" s="2">
        <v>186.28</v>
      </c>
      <c r="C840" s="2">
        <v>188.745</v>
      </c>
      <c r="D840" s="2">
        <v>184.8</v>
      </c>
      <c r="E840" s="2">
        <v>188.7</v>
      </c>
      <c r="F840" s="2">
        <v>34725295</v>
      </c>
      <c r="G840" s="2" t="s">
        <v>558</v>
      </c>
      <c r="H840" s="2" t="s">
        <v>559</v>
      </c>
      <c r="I840" s="2" t="s">
        <v>560</v>
      </c>
      <c r="J840" s="3">
        <v>1.337</v>
      </c>
      <c r="K840" s="2" t="s">
        <v>382</v>
      </c>
      <c r="L840" s="2">
        <v>2024</v>
      </c>
      <c r="M840" s="2" t="s">
        <v>110</v>
      </c>
      <c r="N840" s="2" t="s">
        <v>21</v>
      </c>
      <c r="O840">
        <f t="shared" si="26"/>
        <v>3.9449999999999932</v>
      </c>
      <c r="P840">
        <f t="shared" si="27"/>
        <v>85.449000000000055</v>
      </c>
    </row>
    <row r="841" spans="1:16" x14ac:dyDescent="0.35">
      <c r="A841" s="9" t="s">
        <v>386</v>
      </c>
      <c r="B841" s="2">
        <v>188.92</v>
      </c>
      <c r="C841" s="2">
        <v>189.94</v>
      </c>
      <c r="D841" s="2">
        <v>187.30500000000001</v>
      </c>
      <c r="E841" s="2">
        <v>188.76</v>
      </c>
      <c r="F841" s="2">
        <v>34048902</v>
      </c>
      <c r="G841" s="2" t="s">
        <v>558</v>
      </c>
      <c r="H841" s="2" t="s">
        <v>559</v>
      </c>
      <c r="I841" s="2" t="s">
        <v>560</v>
      </c>
      <c r="J841" s="3">
        <v>3.2000000000000001E-2</v>
      </c>
      <c r="K841" s="2" t="s">
        <v>382</v>
      </c>
      <c r="L841" s="2">
        <v>2024</v>
      </c>
      <c r="M841" s="2" t="s">
        <v>110</v>
      </c>
      <c r="N841" s="2" t="s">
        <v>21</v>
      </c>
      <c r="O841">
        <f t="shared" si="26"/>
        <v>2.6349999999999909</v>
      </c>
      <c r="P841">
        <f t="shared" si="27"/>
        <v>85.481000000000051</v>
      </c>
    </row>
    <row r="842" spans="1:16" x14ac:dyDescent="0.35">
      <c r="A842" s="9" t="s">
        <v>387</v>
      </c>
      <c r="B842" s="2">
        <v>187.44</v>
      </c>
      <c r="C842" s="2">
        <v>188.43</v>
      </c>
      <c r="D842" s="2">
        <v>186.38499999999999</v>
      </c>
      <c r="E842" s="2">
        <v>188</v>
      </c>
      <c r="F842" s="2">
        <v>26136350</v>
      </c>
      <c r="G842" s="2" t="s">
        <v>558</v>
      </c>
      <c r="H842" s="2" t="s">
        <v>559</v>
      </c>
      <c r="I842" s="2" t="s">
        <v>560</v>
      </c>
      <c r="J842" s="4">
        <v>-0.40300000000000002</v>
      </c>
      <c r="K842" s="2" t="s">
        <v>382</v>
      </c>
      <c r="L842" s="2">
        <v>2024</v>
      </c>
      <c r="M842" s="2" t="s">
        <v>110</v>
      </c>
      <c r="N842" s="2" t="s">
        <v>23</v>
      </c>
      <c r="O842">
        <f t="shared" si="26"/>
        <v>2.0450000000000159</v>
      </c>
      <c r="P842">
        <f t="shared" si="27"/>
        <v>85.078000000000046</v>
      </c>
    </row>
    <row r="843" spans="1:16" x14ac:dyDescent="0.35">
      <c r="A843" s="9" t="s">
        <v>388</v>
      </c>
      <c r="B843" s="2">
        <v>188.88</v>
      </c>
      <c r="C843" s="2">
        <v>191.7</v>
      </c>
      <c r="D843" s="2">
        <v>187.44</v>
      </c>
      <c r="E843" s="2">
        <v>189.5</v>
      </c>
      <c r="F843" s="2">
        <v>43368377</v>
      </c>
      <c r="G843" s="2" t="s">
        <v>558</v>
      </c>
      <c r="H843" s="2" t="s">
        <v>559</v>
      </c>
      <c r="I843" s="2" t="s">
        <v>560</v>
      </c>
      <c r="J843" s="3">
        <v>0.79800000000000004</v>
      </c>
      <c r="K843" s="2" t="s">
        <v>382</v>
      </c>
      <c r="L843" s="2">
        <v>2024</v>
      </c>
      <c r="M843" s="2" t="s">
        <v>110</v>
      </c>
      <c r="N843" s="2" t="s">
        <v>21</v>
      </c>
      <c r="O843">
        <f t="shared" si="26"/>
        <v>4.2599999999999909</v>
      </c>
      <c r="P843">
        <f t="shared" si="27"/>
        <v>85.876000000000047</v>
      </c>
    </row>
    <row r="844" spans="1:16" x14ac:dyDescent="0.35">
      <c r="A844" s="9" t="s">
        <v>389</v>
      </c>
      <c r="B844" s="2">
        <v>189.16</v>
      </c>
      <c r="C844" s="2">
        <v>189.892</v>
      </c>
      <c r="D844" s="2">
        <v>186.93</v>
      </c>
      <c r="E844" s="2">
        <v>187.48</v>
      </c>
      <c r="F844" s="2">
        <v>34141771</v>
      </c>
      <c r="G844" s="2" t="s">
        <v>558</v>
      </c>
      <c r="H844" s="2" t="s">
        <v>559</v>
      </c>
      <c r="I844" s="2" t="s">
        <v>560</v>
      </c>
      <c r="J844" s="4">
        <v>-1.0660000000000001</v>
      </c>
      <c r="K844" s="2" t="s">
        <v>382</v>
      </c>
      <c r="L844" s="2">
        <v>2024</v>
      </c>
      <c r="M844" s="2" t="s">
        <v>110</v>
      </c>
      <c r="N844" s="2" t="s">
        <v>23</v>
      </c>
      <c r="O844">
        <f t="shared" si="26"/>
        <v>2.9619999999999891</v>
      </c>
      <c r="P844">
        <f t="shared" si="27"/>
        <v>84.810000000000045</v>
      </c>
    </row>
    <row r="845" spans="1:16" x14ac:dyDescent="0.35">
      <c r="A845" s="9" t="s">
        <v>390</v>
      </c>
      <c r="B845" s="2">
        <v>188</v>
      </c>
      <c r="C845" s="2">
        <v>188.31</v>
      </c>
      <c r="D845" s="2">
        <v>185.36</v>
      </c>
      <c r="E845" s="2">
        <v>186.57</v>
      </c>
      <c r="F845" s="2">
        <v>24898613</v>
      </c>
      <c r="G845" s="2" t="s">
        <v>558</v>
      </c>
      <c r="H845" s="2" t="s">
        <v>559</v>
      </c>
      <c r="I845" s="2" t="s">
        <v>560</v>
      </c>
      <c r="J845" s="4">
        <v>-0.48499999999999999</v>
      </c>
      <c r="K845" s="2" t="s">
        <v>382</v>
      </c>
      <c r="L845" s="2">
        <v>2024</v>
      </c>
      <c r="M845" s="2" t="s">
        <v>110</v>
      </c>
      <c r="N845" s="2" t="s">
        <v>23</v>
      </c>
      <c r="O845">
        <f t="shared" si="26"/>
        <v>2.9499999999999886</v>
      </c>
      <c r="P845">
        <f t="shared" si="27"/>
        <v>84.325000000000045</v>
      </c>
    </row>
    <row r="846" spans="1:16" x14ac:dyDescent="0.35">
      <c r="A846" s="9" t="s">
        <v>391</v>
      </c>
      <c r="B846" s="2">
        <v>183.82</v>
      </c>
      <c r="C846" s="2">
        <v>187.72</v>
      </c>
      <c r="D846" s="2">
        <v>183.45</v>
      </c>
      <c r="E846" s="2">
        <v>187.07</v>
      </c>
      <c r="F846" s="2">
        <v>38698155</v>
      </c>
      <c r="G846" s="2" t="s">
        <v>558</v>
      </c>
      <c r="H846" s="2" t="s">
        <v>559</v>
      </c>
      <c r="I846" s="2" t="s">
        <v>560</v>
      </c>
      <c r="J846" s="3">
        <v>0.26800000000000002</v>
      </c>
      <c r="K846" s="2" t="s">
        <v>382</v>
      </c>
      <c r="L846" s="2">
        <v>2024</v>
      </c>
      <c r="M846" s="2" t="s">
        <v>110</v>
      </c>
      <c r="N846" s="2" t="s">
        <v>21</v>
      </c>
      <c r="O846">
        <f t="shared" si="26"/>
        <v>4.2700000000000102</v>
      </c>
      <c r="P846">
        <f t="shared" si="27"/>
        <v>84.593000000000046</v>
      </c>
    </row>
    <row r="847" spans="1:16" x14ac:dyDescent="0.35">
      <c r="A847" s="9" t="s">
        <v>392</v>
      </c>
      <c r="B847" s="2">
        <v>185.97</v>
      </c>
      <c r="C847" s="2">
        <v>186.71899999999999</v>
      </c>
      <c r="D847" s="2">
        <v>182.73</v>
      </c>
      <c r="E847" s="2">
        <v>185.99</v>
      </c>
      <c r="F847" s="2">
        <v>75459927</v>
      </c>
      <c r="G847" s="2" t="s">
        <v>558</v>
      </c>
      <c r="H847" s="2" t="s">
        <v>559</v>
      </c>
      <c r="I847" s="2" t="s">
        <v>560</v>
      </c>
      <c r="J847" s="4">
        <v>-0.57699999999999996</v>
      </c>
      <c r="K847" s="2" t="s">
        <v>382</v>
      </c>
      <c r="L847" s="2">
        <v>2024</v>
      </c>
      <c r="M847" s="2" t="s">
        <v>110</v>
      </c>
      <c r="N847" s="2" t="s">
        <v>23</v>
      </c>
      <c r="O847">
        <f t="shared" si="26"/>
        <v>3.9890000000000043</v>
      </c>
      <c r="P847">
        <f t="shared" si="27"/>
        <v>84.016000000000048</v>
      </c>
    </row>
    <row r="848" spans="1:16" x14ac:dyDescent="0.35">
      <c r="A848" s="9" t="s">
        <v>393</v>
      </c>
      <c r="B848" s="2">
        <v>185.6</v>
      </c>
      <c r="C848" s="2">
        <v>187.31</v>
      </c>
      <c r="D848" s="2">
        <v>183.46</v>
      </c>
      <c r="E848" s="2">
        <v>183.63</v>
      </c>
      <c r="F848" s="2">
        <v>38834450</v>
      </c>
      <c r="G848" s="2" t="s">
        <v>558</v>
      </c>
      <c r="H848" s="2" t="s">
        <v>559</v>
      </c>
      <c r="I848" s="2" t="s">
        <v>560</v>
      </c>
      <c r="J848" s="4">
        <v>-1.2689999999999999</v>
      </c>
      <c r="K848" s="2" t="s">
        <v>382</v>
      </c>
      <c r="L848" s="2">
        <v>2024</v>
      </c>
      <c r="M848" s="2" t="s">
        <v>110</v>
      </c>
      <c r="N848" s="2" t="s">
        <v>23</v>
      </c>
      <c r="O848">
        <f t="shared" si="26"/>
        <v>3.8499999999999943</v>
      </c>
      <c r="P848">
        <f t="shared" si="27"/>
        <v>82.747000000000043</v>
      </c>
    </row>
    <row r="849" spans="1:16" x14ac:dyDescent="0.35">
      <c r="A849" s="9" t="s">
        <v>394</v>
      </c>
      <c r="B849" s="2">
        <v>183.76</v>
      </c>
      <c r="C849" s="2">
        <v>185.3</v>
      </c>
      <c r="D849" s="2">
        <v>183.35</v>
      </c>
      <c r="E849" s="2">
        <v>184.7</v>
      </c>
      <c r="F849" s="2">
        <v>33175655</v>
      </c>
      <c r="G849" s="2" t="s">
        <v>558</v>
      </c>
      <c r="H849" s="2" t="s">
        <v>559</v>
      </c>
      <c r="I849" s="2" t="s">
        <v>560</v>
      </c>
      <c r="J849" s="3">
        <v>0.58299999999999996</v>
      </c>
      <c r="K849" s="2" t="s">
        <v>382</v>
      </c>
      <c r="L849" s="2">
        <v>2024</v>
      </c>
      <c r="M849" s="2" t="s">
        <v>110</v>
      </c>
      <c r="N849" s="2" t="s">
        <v>21</v>
      </c>
      <c r="O849">
        <f t="shared" si="26"/>
        <v>1.9500000000000171</v>
      </c>
      <c r="P849">
        <f t="shared" si="27"/>
        <v>83.330000000000041</v>
      </c>
    </row>
    <row r="850" spans="1:16" x14ac:dyDescent="0.35">
      <c r="A850" s="9" t="s">
        <v>395</v>
      </c>
      <c r="B850" s="2">
        <v>184.34</v>
      </c>
      <c r="C850" s="2">
        <v>186.66499999999999</v>
      </c>
      <c r="D850" s="2">
        <v>183.28</v>
      </c>
      <c r="E850" s="2">
        <v>183.54</v>
      </c>
      <c r="F850" s="2">
        <v>30511768</v>
      </c>
      <c r="G850" s="2" t="s">
        <v>558</v>
      </c>
      <c r="H850" s="2" t="s">
        <v>559</v>
      </c>
      <c r="I850" s="2" t="s">
        <v>560</v>
      </c>
      <c r="J850" s="4">
        <v>-0.628</v>
      </c>
      <c r="K850" s="2" t="s">
        <v>382</v>
      </c>
      <c r="L850" s="2">
        <v>2024</v>
      </c>
      <c r="M850" s="2" t="s">
        <v>110</v>
      </c>
      <c r="N850" s="2" t="s">
        <v>23</v>
      </c>
      <c r="O850">
        <f t="shared" si="26"/>
        <v>3.3849999999999909</v>
      </c>
      <c r="P850">
        <f t="shared" si="27"/>
        <v>82.702000000000041</v>
      </c>
    </row>
    <row r="851" spans="1:16" x14ac:dyDescent="0.35">
      <c r="A851" s="9" t="s">
        <v>396</v>
      </c>
      <c r="B851" s="2">
        <v>182.3</v>
      </c>
      <c r="C851" s="2">
        <v>183.26</v>
      </c>
      <c r="D851" s="2">
        <v>180.75</v>
      </c>
      <c r="E851" s="2">
        <v>183.15</v>
      </c>
      <c r="F851" s="2">
        <v>50839129</v>
      </c>
      <c r="G851" s="2" t="s">
        <v>558</v>
      </c>
      <c r="H851" s="2" t="s">
        <v>559</v>
      </c>
      <c r="I851" s="2" t="s">
        <v>560</v>
      </c>
      <c r="J851" s="4">
        <v>-0.21199999999999999</v>
      </c>
      <c r="K851" s="2" t="s">
        <v>382</v>
      </c>
      <c r="L851" s="2">
        <v>2024</v>
      </c>
      <c r="M851" s="2" t="s">
        <v>110</v>
      </c>
      <c r="N851" s="2" t="s">
        <v>23</v>
      </c>
      <c r="O851">
        <f t="shared" si="26"/>
        <v>2.5099999999999909</v>
      </c>
      <c r="P851">
        <f t="shared" si="27"/>
        <v>82.490000000000038</v>
      </c>
    </row>
    <row r="852" spans="1:16" x14ac:dyDescent="0.35">
      <c r="A852" s="9" t="s">
        <v>397</v>
      </c>
      <c r="B852" s="2">
        <v>183.88</v>
      </c>
      <c r="C852" s="2">
        <v>185.22</v>
      </c>
      <c r="D852" s="2">
        <v>181.971</v>
      </c>
      <c r="E852" s="2">
        <v>183.13</v>
      </c>
      <c r="F852" s="2">
        <v>28148784</v>
      </c>
      <c r="G852" s="2" t="s">
        <v>558</v>
      </c>
      <c r="H852" s="2" t="s">
        <v>559</v>
      </c>
      <c r="I852" s="2" t="s">
        <v>560</v>
      </c>
      <c r="J852" s="4">
        <v>-1.0999999999999999E-2</v>
      </c>
      <c r="K852" s="2" t="s">
        <v>382</v>
      </c>
      <c r="L852" s="2">
        <v>2024</v>
      </c>
      <c r="M852" s="2" t="s">
        <v>110</v>
      </c>
      <c r="N852" s="2" t="s">
        <v>23</v>
      </c>
      <c r="O852">
        <f t="shared" si="26"/>
        <v>3.2489999999999952</v>
      </c>
      <c r="P852">
        <f t="shared" si="27"/>
        <v>82.479000000000042</v>
      </c>
    </row>
    <row r="853" spans="1:16" x14ac:dyDescent="0.35">
      <c r="A853" s="9" t="s">
        <v>398</v>
      </c>
      <c r="B853" s="2">
        <v>183.66</v>
      </c>
      <c r="C853" s="2">
        <v>184.76</v>
      </c>
      <c r="D853" s="2">
        <v>180.08</v>
      </c>
      <c r="E853" s="2">
        <v>181.05</v>
      </c>
      <c r="F853" s="2">
        <v>33670173</v>
      </c>
      <c r="G853" s="2" t="s">
        <v>558</v>
      </c>
      <c r="H853" s="2" t="s">
        <v>559</v>
      </c>
      <c r="I853" s="2" t="s">
        <v>560</v>
      </c>
      <c r="J853" s="4">
        <v>-1.1359999999999999</v>
      </c>
      <c r="K853" s="2" t="s">
        <v>382</v>
      </c>
      <c r="L853" s="2">
        <v>2024</v>
      </c>
      <c r="M853" s="2" t="s">
        <v>110</v>
      </c>
      <c r="N853" s="2" t="s">
        <v>23</v>
      </c>
      <c r="O853">
        <f t="shared" si="26"/>
        <v>4.6799999999999784</v>
      </c>
      <c r="P853">
        <f t="shared" si="27"/>
        <v>81.343000000000046</v>
      </c>
    </row>
    <row r="854" spans="1:16" x14ac:dyDescent="0.35">
      <c r="A854" s="9" t="s">
        <v>399</v>
      </c>
      <c r="B854" s="2">
        <v>181.65</v>
      </c>
      <c r="C854" s="2">
        <v>182.435</v>
      </c>
      <c r="D854" s="2">
        <v>180.3</v>
      </c>
      <c r="E854" s="2">
        <v>180.75</v>
      </c>
      <c r="F854" s="2">
        <v>27471640</v>
      </c>
      <c r="G854" s="2" t="s">
        <v>558</v>
      </c>
      <c r="H854" s="2" t="s">
        <v>559</v>
      </c>
      <c r="I854" s="2" t="s">
        <v>560</v>
      </c>
      <c r="J854" s="4">
        <v>-0.16600000000000001</v>
      </c>
      <c r="K854" s="2" t="s">
        <v>382</v>
      </c>
      <c r="L854" s="2">
        <v>2024</v>
      </c>
      <c r="M854" s="2" t="s">
        <v>110</v>
      </c>
      <c r="N854" s="2" t="s">
        <v>23</v>
      </c>
      <c r="O854">
        <f t="shared" si="26"/>
        <v>2.1349999999999909</v>
      </c>
      <c r="P854">
        <f t="shared" si="27"/>
        <v>81.177000000000049</v>
      </c>
    </row>
    <row r="855" spans="1:16" x14ac:dyDescent="0.35">
      <c r="A855" s="9" t="s">
        <v>400</v>
      </c>
      <c r="B855" s="2">
        <v>179.93</v>
      </c>
      <c r="C855" s="2">
        <v>182.24</v>
      </c>
      <c r="D855" s="2">
        <v>179.49</v>
      </c>
      <c r="E855" s="2">
        <v>182.15</v>
      </c>
      <c r="F855" s="2">
        <v>29926963</v>
      </c>
      <c r="G855" s="2" t="s">
        <v>558</v>
      </c>
      <c r="H855" s="2" t="s">
        <v>559</v>
      </c>
      <c r="I855" s="2" t="s">
        <v>560</v>
      </c>
      <c r="J855" s="3">
        <v>0.77500000000000002</v>
      </c>
      <c r="K855" s="2" t="s">
        <v>382</v>
      </c>
      <c r="L855" s="2">
        <v>2024</v>
      </c>
      <c r="M855" s="2" t="s">
        <v>110</v>
      </c>
      <c r="N855" s="2" t="s">
        <v>21</v>
      </c>
      <c r="O855">
        <f t="shared" si="26"/>
        <v>2.75</v>
      </c>
      <c r="P855">
        <f t="shared" si="27"/>
        <v>81.952000000000055</v>
      </c>
    </row>
    <row r="856" spans="1:16" x14ac:dyDescent="0.35">
      <c r="A856" s="9" t="s">
        <v>401</v>
      </c>
      <c r="B856" s="2">
        <v>181.7</v>
      </c>
      <c r="C856" s="2">
        <v>184.08</v>
      </c>
      <c r="D856" s="2">
        <v>181.55</v>
      </c>
      <c r="E856" s="2">
        <v>182.02</v>
      </c>
      <c r="F856" s="2">
        <v>32009294</v>
      </c>
      <c r="G856" s="2" t="s">
        <v>558</v>
      </c>
      <c r="H856" s="2" t="s">
        <v>559</v>
      </c>
      <c r="I856" s="2" t="s">
        <v>560</v>
      </c>
      <c r="J856" s="4">
        <v>-7.0999999999999994E-2</v>
      </c>
      <c r="K856" s="2" t="s">
        <v>382</v>
      </c>
      <c r="L856" s="2">
        <v>2024</v>
      </c>
      <c r="M856" s="2" t="s">
        <v>110</v>
      </c>
      <c r="N856" s="2" t="s">
        <v>23</v>
      </c>
      <c r="O856">
        <f t="shared" si="26"/>
        <v>2.5300000000000011</v>
      </c>
      <c r="P856">
        <f t="shared" si="27"/>
        <v>81.881000000000057</v>
      </c>
    </row>
    <row r="857" spans="1:16" x14ac:dyDescent="0.35">
      <c r="A857" s="9" t="s">
        <v>402</v>
      </c>
      <c r="B857" s="2">
        <v>181.31</v>
      </c>
      <c r="C857" s="2">
        <v>181.34</v>
      </c>
      <c r="D857" s="2">
        <v>178.35499999999999</v>
      </c>
      <c r="E857" s="2">
        <v>179.32</v>
      </c>
      <c r="F857" s="2">
        <v>29249229</v>
      </c>
      <c r="G857" s="2" t="s">
        <v>558</v>
      </c>
      <c r="H857" s="2" t="s">
        <v>559</v>
      </c>
      <c r="I857" s="2" t="s">
        <v>560</v>
      </c>
      <c r="J857" s="4">
        <v>-1.4830000000000001</v>
      </c>
      <c r="K857" s="2" t="s">
        <v>382</v>
      </c>
      <c r="L857" s="2">
        <v>2024</v>
      </c>
      <c r="M857" s="2" t="s">
        <v>110</v>
      </c>
      <c r="N857" s="2" t="s">
        <v>23</v>
      </c>
      <c r="O857">
        <f t="shared" si="26"/>
        <v>2.9850000000000136</v>
      </c>
      <c r="P857">
        <f t="shared" si="27"/>
        <v>80.398000000000053</v>
      </c>
    </row>
    <row r="858" spans="1:16" x14ac:dyDescent="0.35">
      <c r="A858" s="9" t="s">
        <v>403</v>
      </c>
      <c r="B858" s="2">
        <v>178.3</v>
      </c>
      <c r="C858" s="2">
        <v>179.21</v>
      </c>
      <c r="D858" s="2">
        <v>173.87</v>
      </c>
      <c r="E858" s="2">
        <v>176.44</v>
      </c>
      <c r="F858" s="2">
        <v>58903939</v>
      </c>
      <c r="G858" s="2" t="s">
        <v>558</v>
      </c>
      <c r="H858" s="2" t="s">
        <v>559</v>
      </c>
      <c r="I858" s="2" t="s">
        <v>560</v>
      </c>
      <c r="J858" s="4">
        <v>-1.6060000000000001</v>
      </c>
      <c r="K858" s="2" t="s">
        <v>382</v>
      </c>
      <c r="L858" s="2">
        <v>2024</v>
      </c>
      <c r="M858" s="2" t="s">
        <v>110</v>
      </c>
      <c r="N858" s="2" t="s">
        <v>23</v>
      </c>
      <c r="O858">
        <f t="shared" si="26"/>
        <v>5.3400000000000034</v>
      </c>
      <c r="P858">
        <f t="shared" si="27"/>
        <v>78.792000000000058</v>
      </c>
    </row>
    <row r="859" spans="1:16" x14ac:dyDescent="0.35">
      <c r="A859" s="9" t="s">
        <v>404</v>
      </c>
      <c r="B859" s="2">
        <v>177.7</v>
      </c>
      <c r="C859" s="2">
        <v>178.7</v>
      </c>
      <c r="D859" s="2">
        <v>175.92</v>
      </c>
      <c r="E859" s="2">
        <v>178.34</v>
      </c>
      <c r="F859" s="2">
        <v>30786640</v>
      </c>
      <c r="G859" s="2" t="s">
        <v>558</v>
      </c>
      <c r="H859" s="2" t="s">
        <v>559</v>
      </c>
      <c r="I859" s="2" t="s">
        <v>560</v>
      </c>
      <c r="J859" s="3">
        <v>1.077</v>
      </c>
      <c r="K859" s="2" t="s">
        <v>405</v>
      </c>
      <c r="L859" s="2">
        <v>2024</v>
      </c>
      <c r="M859" s="2" t="s">
        <v>135</v>
      </c>
      <c r="N859" s="2" t="s">
        <v>21</v>
      </c>
      <c r="O859">
        <f t="shared" si="26"/>
        <v>2.7800000000000011</v>
      </c>
      <c r="P859">
        <f t="shared" si="27"/>
        <v>79.869000000000057</v>
      </c>
    </row>
    <row r="860" spans="1:16" x14ac:dyDescent="0.35">
      <c r="A860" s="9" t="s">
        <v>406</v>
      </c>
      <c r="B860" s="2">
        <v>177.64</v>
      </c>
      <c r="C860" s="2">
        <v>179.82</v>
      </c>
      <c r="D860" s="2">
        <v>176.44</v>
      </c>
      <c r="E860" s="2">
        <v>179.34</v>
      </c>
      <c r="F860" s="2">
        <v>27198388</v>
      </c>
      <c r="G860" s="2" t="s">
        <v>558</v>
      </c>
      <c r="H860" s="2" t="s">
        <v>559</v>
      </c>
      <c r="I860" s="2" t="s">
        <v>560</v>
      </c>
      <c r="J860" s="3">
        <v>0.56100000000000005</v>
      </c>
      <c r="K860" s="2" t="s">
        <v>405</v>
      </c>
      <c r="L860" s="2">
        <v>2024</v>
      </c>
      <c r="M860" s="2" t="s">
        <v>135</v>
      </c>
      <c r="N860" s="2" t="s">
        <v>21</v>
      </c>
      <c r="O860">
        <f t="shared" si="26"/>
        <v>3.3799999999999955</v>
      </c>
      <c r="P860">
        <f t="shared" si="27"/>
        <v>80.430000000000064</v>
      </c>
    </row>
    <row r="861" spans="1:16" x14ac:dyDescent="0.35">
      <c r="A861" s="9" t="s">
        <v>407</v>
      </c>
      <c r="B861" s="2">
        <v>180.1</v>
      </c>
      <c r="C861" s="2">
        <v>181.5</v>
      </c>
      <c r="D861" s="2">
        <v>178.75</v>
      </c>
      <c r="E861" s="2">
        <v>181.28</v>
      </c>
      <c r="F861" s="2">
        <v>32116394</v>
      </c>
      <c r="G861" s="2" t="s">
        <v>558</v>
      </c>
      <c r="H861" s="2" t="s">
        <v>559</v>
      </c>
      <c r="I861" s="2" t="s">
        <v>560</v>
      </c>
      <c r="J861" s="3">
        <v>1.0820000000000001</v>
      </c>
      <c r="K861" s="2" t="s">
        <v>405</v>
      </c>
      <c r="L861" s="2">
        <v>2024</v>
      </c>
      <c r="M861" s="2" t="s">
        <v>135</v>
      </c>
      <c r="N861" s="2" t="s">
        <v>21</v>
      </c>
      <c r="O861">
        <f t="shared" si="26"/>
        <v>2.75</v>
      </c>
      <c r="P861">
        <f t="shared" si="27"/>
        <v>81.512000000000057</v>
      </c>
    </row>
    <row r="862" spans="1:16" x14ac:dyDescent="0.35">
      <c r="A862" s="9" t="s">
        <v>408</v>
      </c>
      <c r="B862" s="2">
        <v>181.745</v>
      </c>
      <c r="C862" s="2">
        <v>185</v>
      </c>
      <c r="D862" s="2">
        <v>181.49</v>
      </c>
      <c r="E862" s="2">
        <v>185</v>
      </c>
      <c r="F862" s="2">
        <v>31371151</v>
      </c>
      <c r="G862" s="2" t="s">
        <v>558</v>
      </c>
      <c r="H862" s="2" t="s">
        <v>559</v>
      </c>
      <c r="I862" s="2" t="s">
        <v>560</v>
      </c>
      <c r="J862" s="3">
        <v>2.052</v>
      </c>
      <c r="K862" s="2" t="s">
        <v>405</v>
      </c>
      <c r="L862" s="2">
        <v>2024</v>
      </c>
      <c r="M862" s="2" t="s">
        <v>135</v>
      </c>
      <c r="N862" s="2" t="s">
        <v>21</v>
      </c>
      <c r="O862">
        <f t="shared" si="26"/>
        <v>3.5099999999999909</v>
      </c>
      <c r="P862">
        <f t="shared" si="27"/>
        <v>83.564000000000064</v>
      </c>
    </row>
    <row r="863" spans="1:16" x14ac:dyDescent="0.35">
      <c r="A863" s="9" t="s">
        <v>409</v>
      </c>
      <c r="B863" s="2">
        <v>184.9</v>
      </c>
      <c r="C863" s="2">
        <v>186.28899999999999</v>
      </c>
      <c r="D863" s="2">
        <v>183.36</v>
      </c>
      <c r="E863" s="2">
        <v>184.3</v>
      </c>
      <c r="F863" s="2">
        <v>28021473</v>
      </c>
      <c r="G863" s="2" t="s">
        <v>558</v>
      </c>
      <c r="H863" s="2" t="s">
        <v>559</v>
      </c>
      <c r="I863" s="2" t="s">
        <v>560</v>
      </c>
      <c r="J863" s="4">
        <v>-0.378</v>
      </c>
      <c r="K863" s="2" t="s">
        <v>405</v>
      </c>
      <c r="L863" s="2">
        <v>2024</v>
      </c>
      <c r="M863" s="2" t="s">
        <v>135</v>
      </c>
      <c r="N863" s="2" t="s">
        <v>23</v>
      </c>
      <c r="O863">
        <f t="shared" si="26"/>
        <v>2.9289999999999736</v>
      </c>
      <c r="P863">
        <f t="shared" si="27"/>
        <v>83.186000000000064</v>
      </c>
    </row>
    <row r="864" spans="1:16" x14ac:dyDescent="0.35">
      <c r="A864" s="9" t="s">
        <v>410</v>
      </c>
      <c r="B864" s="2">
        <v>184.07</v>
      </c>
      <c r="C864" s="2">
        <v>187.23</v>
      </c>
      <c r="D864" s="2">
        <v>183.79</v>
      </c>
      <c r="E864" s="2">
        <v>187.06</v>
      </c>
      <c r="F864" s="2">
        <v>34494498</v>
      </c>
      <c r="G864" s="2" t="s">
        <v>558</v>
      </c>
      <c r="H864" s="2" t="s">
        <v>559</v>
      </c>
      <c r="I864" s="2" t="s">
        <v>560</v>
      </c>
      <c r="J864" s="3">
        <v>1.498</v>
      </c>
      <c r="K864" s="2" t="s">
        <v>405</v>
      </c>
      <c r="L864" s="2">
        <v>2024</v>
      </c>
      <c r="M864" s="2" t="s">
        <v>135</v>
      </c>
      <c r="N864" s="2" t="s">
        <v>21</v>
      </c>
      <c r="O864">
        <f t="shared" si="26"/>
        <v>3.4399999999999977</v>
      </c>
      <c r="P864">
        <f t="shared" si="27"/>
        <v>84.684000000000069</v>
      </c>
    </row>
    <row r="865" spans="1:16" x14ac:dyDescent="0.35">
      <c r="A865" s="9" t="s">
        <v>411</v>
      </c>
      <c r="B865" s="2">
        <v>187.06</v>
      </c>
      <c r="C865" s="2">
        <v>187.77</v>
      </c>
      <c r="D865" s="2">
        <v>184.53700000000001</v>
      </c>
      <c r="E865" s="2">
        <v>187.23</v>
      </c>
      <c r="F865" s="2">
        <v>27265108</v>
      </c>
      <c r="G865" s="2" t="s">
        <v>558</v>
      </c>
      <c r="H865" s="2" t="s">
        <v>559</v>
      </c>
      <c r="I865" s="2" t="s">
        <v>560</v>
      </c>
      <c r="J865" s="3">
        <v>9.0999999999999998E-2</v>
      </c>
      <c r="K865" s="2" t="s">
        <v>405</v>
      </c>
      <c r="L865" s="2">
        <v>2024</v>
      </c>
      <c r="M865" s="2" t="s">
        <v>135</v>
      </c>
      <c r="N865" s="2" t="s">
        <v>21</v>
      </c>
      <c r="O865">
        <f t="shared" si="26"/>
        <v>3.2330000000000041</v>
      </c>
      <c r="P865">
        <f t="shared" si="27"/>
        <v>84.775000000000063</v>
      </c>
    </row>
    <row r="866" spans="1:16" x14ac:dyDescent="0.35">
      <c r="A866" s="9" t="s">
        <v>412</v>
      </c>
      <c r="B866" s="2">
        <v>188.01499999999999</v>
      </c>
      <c r="C866" s="2">
        <v>188.35</v>
      </c>
      <c r="D866" s="2">
        <v>185.43</v>
      </c>
      <c r="E866" s="2">
        <v>186.89</v>
      </c>
      <c r="F866" s="2">
        <v>33984216</v>
      </c>
      <c r="G866" s="2" t="s">
        <v>558</v>
      </c>
      <c r="H866" s="2" t="s">
        <v>559</v>
      </c>
      <c r="I866" s="2" t="s">
        <v>560</v>
      </c>
      <c r="J866" s="4">
        <v>-0.182</v>
      </c>
      <c r="K866" s="2" t="s">
        <v>405</v>
      </c>
      <c r="L866" s="2">
        <v>2024</v>
      </c>
      <c r="M866" s="2" t="s">
        <v>135</v>
      </c>
      <c r="N866" s="2" t="s">
        <v>23</v>
      </c>
      <c r="O866">
        <f t="shared" si="26"/>
        <v>2.9199999999999875</v>
      </c>
      <c r="P866">
        <f t="shared" si="27"/>
        <v>84.59300000000006</v>
      </c>
    </row>
    <row r="867" spans="1:16" x14ac:dyDescent="0.35">
      <c r="A867" s="9" t="s">
        <v>413</v>
      </c>
      <c r="B867" s="2">
        <v>186.09</v>
      </c>
      <c r="C867" s="2">
        <v>187.67</v>
      </c>
      <c r="D867" s="2">
        <v>182.666</v>
      </c>
      <c r="E867" s="2">
        <v>183.83</v>
      </c>
      <c r="F867" s="2">
        <v>39721545</v>
      </c>
      <c r="G867" s="2" t="s">
        <v>558</v>
      </c>
      <c r="H867" s="2" t="s">
        <v>559</v>
      </c>
      <c r="I867" s="2" t="s">
        <v>560</v>
      </c>
      <c r="J867" s="4">
        <v>-1.637</v>
      </c>
      <c r="K867" s="2" t="s">
        <v>405</v>
      </c>
      <c r="L867" s="2">
        <v>2024</v>
      </c>
      <c r="M867" s="2" t="s">
        <v>135</v>
      </c>
      <c r="N867" s="2" t="s">
        <v>23</v>
      </c>
      <c r="O867">
        <f t="shared" si="26"/>
        <v>5.0039999999999907</v>
      </c>
      <c r="P867">
        <f t="shared" si="27"/>
        <v>82.95600000000006</v>
      </c>
    </row>
    <row r="868" spans="1:16" x14ac:dyDescent="0.35">
      <c r="A868" s="9" t="s">
        <v>414</v>
      </c>
      <c r="B868" s="2">
        <v>183.08</v>
      </c>
      <c r="C868" s="2">
        <v>183.72</v>
      </c>
      <c r="D868" s="2">
        <v>182.23</v>
      </c>
      <c r="E868" s="2">
        <v>183.66</v>
      </c>
      <c r="F868" s="2">
        <v>25456410</v>
      </c>
      <c r="G868" s="2" t="s">
        <v>558</v>
      </c>
      <c r="H868" s="2" t="s">
        <v>559</v>
      </c>
      <c r="I868" s="2" t="s">
        <v>560</v>
      </c>
      <c r="J868" s="4">
        <v>-9.1999999999999998E-2</v>
      </c>
      <c r="K868" s="2" t="s">
        <v>405</v>
      </c>
      <c r="L868" s="2">
        <v>2024</v>
      </c>
      <c r="M868" s="2" t="s">
        <v>135</v>
      </c>
      <c r="N868" s="2" t="s">
        <v>23</v>
      </c>
      <c r="O868">
        <f t="shared" si="26"/>
        <v>1.4900000000000091</v>
      </c>
      <c r="P868">
        <f t="shared" si="27"/>
        <v>82.864000000000061</v>
      </c>
    </row>
    <row r="869" spans="1:16" x14ac:dyDescent="0.35">
      <c r="A869" s="9" t="s">
        <v>415</v>
      </c>
      <c r="B869" s="2">
        <v>182.52</v>
      </c>
      <c r="C869" s="2">
        <v>185</v>
      </c>
      <c r="D869" s="2">
        <v>181.22</v>
      </c>
      <c r="E869" s="2">
        <v>184.06</v>
      </c>
      <c r="F869" s="2">
        <v>35601907</v>
      </c>
      <c r="G869" s="2" t="s">
        <v>558</v>
      </c>
      <c r="H869" s="2" t="s">
        <v>559</v>
      </c>
      <c r="I869" s="2" t="s">
        <v>560</v>
      </c>
      <c r="J869" s="3">
        <v>0.218</v>
      </c>
      <c r="K869" s="2" t="s">
        <v>405</v>
      </c>
      <c r="L869" s="2">
        <v>2024</v>
      </c>
      <c r="M869" s="2" t="s">
        <v>135</v>
      </c>
      <c r="N869" s="2" t="s">
        <v>21</v>
      </c>
      <c r="O869">
        <f t="shared" si="26"/>
        <v>3.7800000000000011</v>
      </c>
      <c r="P869">
        <f t="shared" si="27"/>
        <v>83.082000000000065</v>
      </c>
    </row>
    <row r="870" spans="1:16" x14ac:dyDescent="0.35">
      <c r="A870" s="9" t="s">
        <v>416</v>
      </c>
      <c r="B870" s="2">
        <v>183.73500000000001</v>
      </c>
      <c r="C870" s="2">
        <v>184.29</v>
      </c>
      <c r="D870" s="2">
        <v>181.43</v>
      </c>
      <c r="E870" s="2">
        <v>182.81</v>
      </c>
      <c r="F870" s="2">
        <v>36659157</v>
      </c>
      <c r="G870" s="2" t="s">
        <v>558</v>
      </c>
      <c r="H870" s="2" t="s">
        <v>559</v>
      </c>
      <c r="I870" s="2" t="s">
        <v>560</v>
      </c>
      <c r="J870" s="4">
        <v>-0.67900000000000005</v>
      </c>
      <c r="K870" s="2" t="s">
        <v>405</v>
      </c>
      <c r="L870" s="2">
        <v>2024</v>
      </c>
      <c r="M870" s="2" t="s">
        <v>135</v>
      </c>
      <c r="N870" s="2" t="s">
        <v>23</v>
      </c>
      <c r="O870">
        <f t="shared" si="26"/>
        <v>2.8599999999999852</v>
      </c>
      <c r="P870">
        <f t="shared" si="27"/>
        <v>82.403000000000063</v>
      </c>
    </row>
    <row r="871" spans="1:16" x14ac:dyDescent="0.35">
      <c r="A871" s="9" t="s">
        <v>417</v>
      </c>
      <c r="B871" s="2">
        <v>182.91</v>
      </c>
      <c r="C871" s="2">
        <v>186.51</v>
      </c>
      <c r="D871" s="2">
        <v>182.72</v>
      </c>
      <c r="E871" s="2">
        <v>186.1</v>
      </c>
      <c r="F871" s="2">
        <v>44726779</v>
      </c>
      <c r="G871" s="2" t="s">
        <v>558</v>
      </c>
      <c r="H871" s="2" t="s">
        <v>559</v>
      </c>
      <c r="I871" s="2" t="s">
        <v>560</v>
      </c>
      <c r="J871" s="3">
        <v>1.8</v>
      </c>
      <c r="K871" s="2" t="s">
        <v>405</v>
      </c>
      <c r="L871" s="2">
        <v>2024</v>
      </c>
      <c r="M871" s="2" t="s">
        <v>135</v>
      </c>
      <c r="N871" s="2" t="s">
        <v>21</v>
      </c>
      <c r="O871">
        <f t="shared" si="26"/>
        <v>3.789999999999992</v>
      </c>
      <c r="P871">
        <f t="shared" si="27"/>
        <v>84.20300000000006</v>
      </c>
    </row>
    <row r="872" spans="1:16" x14ac:dyDescent="0.35">
      <c r="A872" s="9" t="s">
        <v>418</v>
      </c>
      <c r="B872" s="2">
        <v>187.8</v>
      </c>
      <c r="C872" s="2">
        <v>189.27500000000001</v>
      </c>
      <c r="D872" s="2">
        <v>185.86</v>
      </c>
      <c r="E872" s="2">
        <v>189.08</v>
      </c>
      <c r="F872" s="2">
        <v>72931754</v>
      </c>
      <c r="G872" s="2" t="s">
        <v>558</v>
      </c>
      <c r="H872" s="2" t="s">
        <v>559</v>
      </c>
      <c r="I872" s="2" t="s">
        <v>560</v>
      </c>
      <c r="J872" s="3">
        <v>1.601</v>
      </c>
      <c r="K872" s="2" t="s">
        <v>405</v>
      </c>
      <c r="L872" s="2">
        <v>2024</v>
      </c>
      <c r="M872" s="2" t="s">
        <v>135</v>
      </c>
      <c r="N872" s="2" t="s">
        <v>21</v>
      </c>
      <c r="O872">
        <f t="shared" si="26"/>
        <v>3.414999999999992</v>
      </c>
      <c r="P872">
        <f t="shared" si="27"/>
        <v>85.804000000000059</v>
      </c>
    </row>
    <row r="873" spans="1:16" x14ac:dyDescent="0.35">
      <c r="A873" s="9" t="s">
        <v>419</v>
      </c>
      <c r="B873" s="2">
        <v>189.33</v>
      </c>
      <c r="C873" s="2">
        <v>191</v>
      </c>
      <c r="D873" s="2">
        <v>185.33</v>
      </c>
      <c r="E873" s="2">
        <v>185.57</v>
      </c>
      <c r="F873" s="2">
        <v>50610379</v>
      </c>
      <c r="G873" s="2" t="s">
        <v>558</v>
      </c>
      <c r="H873" s="2" t="s">
        <v>559</v>
      </c>
      <c r="I873" s="2" t="s">
        <v>560</v>
      </c>
      <c r="J873" s="4">
        <v>-1.8560000000000001</v>
      </c>
      <c r="K873" s="2" t="s">
        <v>405</v>
      </c>
      <c r="L873" s="2">
        <v>2024</v>
      </c>
      <c r="M873" s="2" t="s">
        <v>135</v>
      </c>
      <c r="N873" s="2" t="s">
        <v>23</v>
      </c>
      <c r="O873">
        <f t="shared" si="26"/>
        <v>5.6699999999999875</v>
      </c>
      <c r="P873">
        <f t="shared" si="27"/>
        <v>83.948000000000064</v>
      </c>
    </row>
    <row r="874" spans="1:16" x14ac:dyDescent="0.35">
      <c r="A874" s="9" t="s">
        <v>420</v>
      </c>
      <c r="B874" s="2">
        <v>186.81</v>
      </c>
      <c r="C874" s="2">
        <v>188.84</v>
      </c>
      <c r="D874" s="2">
        <v>185.42</v>
      </c>
      <c r="E874" s="2">
        <v>186.34</v>
      </c>
      <c r="F874" s="2">
        <v>45898475</v>
      </c>
      <c r="G874" s="2" t="s">
        <v>558</v>
      </c>
      <c r="H874" s="2" t="s">
        <v>559</v>
      </c>
      <c r="I874" s="2" t="s">
        <v>560</v>
      </c>
      <c r="J874" s="3">
        <v>0.41499999999999998</v>
      </c>
      <c r="K874" s="2" t="s">
        <v>405</v>
      </c>
      <c r="L874" s="2">
        <v>2024</v>
      </c>
      <c r="M874" s="2" t="s">
        <v>135</v>
      </c>
      <c r="N874" s="2" t="s">
        <v>21</v>
      </c>
      <c r="O874">
        <f t="shared" si="26"/>
        <v>3.4200000000000159</v>
      </c>
      <c r="P874">
        <f t="shared" si="27"/>
        <v>84.363000000000071</v>
      </c>
    </row>
    <row r="875" spans="1:16" x14ac:dyDescent="0.35">
      <c r="A875" s="9" t="s">
        <v>421</v>
      </c>
      <c r="B875" s="2">
        <v>186.92</v>
      </c>
      <c r="C875" s="2">
        <v>194.8</v>
      </c>
      <c r="D875" s="2">
        <v>186.26</v>
      </c>
      <c r="E875" s="2">
        <v>193.61</v>
      </c>
      <c r="F875" s="2">
        <v>65103893</v>
      </c>
      <c r="G875" s="2" t="s">
        <v>558</v>
      </c>
      <c r="H875" s="2" t="s">
        <v>559</v>
      </c>
      <c r="I875" s="2" t="s">
        <v>560</v>
      </c>
      <c r="J875" s="3">
        <v>3.9009999999999998</v>
      </c>
      <c r="K875" s="2" t="s">
        <v>405</v>
      </c>
      <c r="L875" s="2">
        <v>2024</v>
      </c>
      <c r="M875" s="2" t="s">
        <v>135</v>
      </c>
      <c r="N875" s="2" t="s">
        <v>21</v>
      </c>
      <c r="O875">
        <f t="shared" si="26"/>
        <v>8.5400000000000205</v>
      </c>
      <c r="P875">
        <f t="shared" si="27"/>
        <v>88.264000000000067</v>
      </c>
    </row>
    <row r="876" spans="1:16" x14ac:dyDescent="0.35">
      <c r="A876" s="9" t="s">
        <v>422</v>
      </c>
      <c r="B876" s="2">
        <v>195.005</v>
      </c>
      <c r="C876" s="2">
        <v>199.84</v>
      </c>
      <c r="D876" s="2">
        <v>194.2</v>
      </c>
      <c r="E876" s="2">
        <v>197.85</v>
      </c>
      <c r="F876" s="2">
        <v>74397491</v>
      </c>
      <c r="G876" s="2" t="s">
        <v>558</v>
      </c>
      <c r="H876" s="2" t="s">
        <v>559</v>
      </c>
      <c r="I876" s="2" t="s">
        <v>560</v>
      </c>
      <c r="J876" s="3">
        <v>2.19</v>
      </c>
      <c r="K876" s="2" t="s">
        <v>405</v>
      </c>
      <c r="L876" s="2">
        <v>2024</v>
      </c>
      <c r="M876" s="2" t="s">
        <v>135</v>
      </c>
      <c r="N876" s="2" t="s">
        <v>21</v>
      </c>
      <c r="O876">
        <f t="shared" si="26"/>
        <v>5.6400000000000148</v>
      </c>
      <c r="P876">
        <f t="shared" si="27"/>
        <v>90.454000000000065</v>
      </c>
    </row>
    <row r="877" spans="1:16" x14ac:dyDescent="0.35">
      <c r="A877" s="9" t="s">
        <v>423</v>
      </c>
      <c r="B877" s="2">
        <v>197.73</v>
      </c>
      <c r="C877" s="2">
        <v>198.85</v>
      </c>
      <c r="D877" s="2">
        <v>192.5</v>
      </c>
      <c r="E877" s="2">
        <v>193.25</v>
      </c>
      <c r="F877" s="2">
        <v>76930192</v>
      </c>
      <c r="G877" s="2" t="s">
        <v>558</v>
      </c>
      <c r="H877" s="2" t="s">
        <v>559</v>
      </c>
      <c r="I877" s="2" t="s">
        <v>560</v>
      </c>
      <c r="J877" s="4">
        <v>-2.3250000000000002</v>
      </c>
      <c r="K877" s="2" t="s">
        <v>405</v>
      </c>
      <c r="L877" s="2">
        <v>2024</v>
      </c>
      <c r="M877" s="2" t="s">
        <v>135</v>
      </c>
      <c r="N877" s="2" t="s">
        <v>23</v>
      </c>
      <c r="O877">
        <f t="shared" si="26"/>
        <v>6.3499999999999943</v>
      </c>
      <c r="P877">
        <f t="shared" si="27"/>
        <v>88.129000000000062</v>
      </c>
    </row>
    <row r="878" spans="1:16" x14ac:dyDescent="0.35">
      <c r="A878" s="9" t="s">
        <v>424</v>
      </c>
      <c r="B878" s="2">
        <v>193.49</v>
      </c>
      <c r="C878" s="2">
        <v>198.29599999999999</v>
      </c>
      <c r="D878" s="2">
        <v>192.82</v>
      </c>
      <c r="E878" s="2">
        <v>197.2</v>
      </c>
      <c r="F878" s="2">
        <v>41192011</v>
      </c>
      <c r="G878" s="2" t="s">
        <v>558</v>
      </c>
      <c r="H878" s="2" t="s">
        <v>559</v>
      </c>
      <c r="I878" s="2" t="s">
        <v>560</v>
      </c>
      <c r="J878" s="3">
        <v>2.044</v>
      </c>
      <c r="K878" s="2" t="s">
        <v>425</v>
      </c>
      <c r="L878" s="2">
        <v>2024</v>
      </c>
      <c r="M878" s="2" t="s">
        <v>158</v>
      </c>
      <c r="N878" s="2" t="s">
        <v>21</v>
      </c>
      <c r="O878">
        <f t="shared" si="26"/>
        <v>5.4759999999999991</v>
      </c>
      <c r="P878">
        <f t="shared" si="27"/>
        <v>90.173000000000059</v>
      </c>
    </row>
    <row r="879" spans="1:16" x14ac:dyDescent="0.35">
      <c r="A879" s="9" t="s">
        <v>426</v>
      </c>
      <c r="B879" s="2">
        <v>197.28</v>
      </c>
      <c r="C879" s="2">
        <v>200.43</v>
      </c>
      <c r="D879" s="2">
        <v>195.93</v>
      </c>
      <c r="E879" s="2">
        <v>200</v>
      </c>
      <c r="F879" s="2">
        <v>45600013</v>
      </c>
      <c r="G879" s="2" t="s">
        <v>558</v>
      </c>
      <c r="H879" s="2" t="s">
        <v>559</v>
      </c>
      <c r="I879" s="2" t="s">
        <v>560</v>
      </c>
      <c r="J879" s="3">
        <v>1.42</v>
      </c>
      <c r="K879" s="2" t="s">
        <v>425</v>
      </c>
      <c r="L879" s="2">
        <v>2024</v>
      </c>
      <c r="M879" s="2" t="s">
        <v>158</v>
      </c>
      <c r="N879" s="2" t="s">
        <v>21</v>
      </c>
      <c r="O879">
        <f t="shared" si="26"/>
        <v>4.5</v>
      </c>
      <c r="P879">
        <f t="shared" si="27"/>
        <v>91.59300000000006</v>
      </c>
    </row>
    <row r="880" spans="1:16" x14ac:dyDescent="0.35">
      <c r="A880" s="9" t="s">
        <v>427</v>
      </c>
      <c r="B880" s="2">
        <v>199.94</v>
      </c>
      <c r="C880" s="2">
        <v>200.029</v>
      </c>
      <c r="D880" s="2">
        <v>196.76</v>
      </c>
      <c r="E880" s="2">
        <v>197.59</v>
      </c>
      <c r="F880" s="2">
        <v>31597926</v>
      </c>
      <c r="G880" s="2" t="s">
        <v>558</v>
      </c>
      <c r="H880" s="2" t="s">
        <v>559</v>
      </c>
      <c r="I880" s="2" t="s">
        <v>560</v>
      </c>
      <c r="J880" s="4">
        <v>-1.2050000000000001</v>
      </c>
      <c r="K880" s="2" t="s">
        <v>425</v>
      </c>
      <c r="L880" s="2">
        <v>2024</v>
      </c>
      <c r="M880" s="2" t="s">
        <v>158</v>
      </c>
      <c r="N880" s="2" t="s">
        <v>23</v>
      </c>
      <c r="O880">
        <f t="shared" si="26"/>
        <v>3.2690000000000055</v>
      </c>
      <c r="P880">
        <f t="shared" si="27"/>
        <v>90.388000000000062</v>
      </c>
    </row>
    <row r="881" spans="1:16" x14ac:dyDescent="0.35">
      <c r="A881" s="9" t="s">
        <v>428</v>
      </c>
      <c r="B881" s="2">
        <v>198.65</v>
      </c>
      <c r="C881" s="2">
        <v>200.55</v>
      </c>
      <c r="D881" s="2">
        <v>198.17</v>
      </c>
      <c r="E881" s="2">
        <v>200</v>
      </c>
      <c r="F881" s="2">
        <v>39858885</v>
      </c>
      <c r="G881" s="2" t="s">
        <v>558</v>
      </c>
      <c r="H881" s="2" t="s">
        <v>559</v>
      </c>
      <c r="I881" s="2" t="s">
        <v>560</v>
      </c>
      <c r="J881" s="3">
        <v>1.22</v>
      </c>
      <c r="K881" s="2" t="s">
        <v>425</v>
      </c>
      <c r="L881" s="2">
        <v>2024</v>
      </c>
      <c r="M881" s="2" t="s">
        <v>158</v>
      </c>
      <c r="N881" s="2" t="s">
        <v>21</v>
      </c>
      <c r="O881">
        <f t="shared" si="26"/>
        <v>2.3800000000000239</v>
      </c>
      <c r="P881">
        <f t="shared" si="27"/>
        <v>91.608000000000061</v>
      </c>
    </row>
    <row r="882" spans="1:16" x14ac:dyDescent="0.35">
      <c r="A882" s="9" t="s">
        <v>429</v>
      </c>
      <c r="B882" s="2">
        <v>200.04</v>
      </c>
      <c r="C882" s="2">
        <v>201.2</v>
      </c>
      <c r="D882" s="2">
        <v>197.96</v>
      </c>
      <c r="E882" s="2">
        <v>199.29</v>
      </c>
      <c r="F882" s="2">
        <v>34767261</v>
      </c>
      <c r="G882" s="2" t="s">
        <v>558</v>
      </c>
      <c r="H882" s="2" t="s">
        <v>559</v>
      </c>
      <c r="I882" s="2" t="s">
        <v>560</v>
      </c>
      <c r="J882" s="4">
        <v>-0.35499999999999998</v>
      </c>
      <c r="K882" s="2" t="s">
        <v>425</v>
      </c>
      <c r="L882" s="2">
        <v>2024</v>
      </c>
      <c r="M882" s="2" t="s">
        <v>158</v>
      </c>
      <c r="N882" s="2" t="s">
        <v>23</v>
      </c>
      <c r="O882">
        <f t="shared" si="26"/>
        <v>3.2399999999999807</v>
      </c>
      <c r="P882">
        <f t="shared" si="27"/>
        <v>91.253000000000057</v>
      </c>
    </row>
    <row r="883" spans="1:16" x14ac:dyDescent="0.35">
      <c r="A883" s="9" t="s">
        <v>430</v>
      </c>
      <c r="B883" s="2">
        <v>199.4</v>
      </c>
      <c r="C883" s="2">
        <v>200.57</v>
      </c>
      <c r="D883" s="2">
        <v>199.04499999999999</v>
      </c>
      <c r="E883" s="2">
        <v>199.34</v>
      </c>
      <c r="F883" s="2">
        <v>32756736</v>
      </c>
      <c r="G883" s="2" t="s">
        <v>558</v>
      </c>
      <c r="H883" s="2" t="s">
        <v>559</v>
      </c>
      <c r="I883" s="2" t="s">
        <v>560</v>
      </c>
      <c r="J883" s="3">
        <v>2.5000000000000001E-2</v>
      </c>
      <c r="K883" s="2" t="s">
        <v>425</v>
      </c>
      <c r="L883" s="2">
        <v>2024</v>
      </c>
      <c r="M883" s="2" t="s">
        <v>158</v>
      </c>
      <c r="N883" s="2" t="s">
        <v>21</v>
      </c>
      <c r="O883">
        <f t="shared" si="26"/>
        <v>1.5250000000000057</v>
      </c>
      <c r="P883">
        <f t="shared" si="27"/>
        <v>91.278000000000063</v>
      </c>
    </row>
    <row r="884" spans="1:16" x14ac:dyDescent="0.35">
      <c r="A884" s="9" t="s">
        <v>431</v>
      </c>
      <c r="B884" s="2">
        <v>199.995</v>
      </c>
      <c r="C884" s="2">
        <v>200.11</v>
      </c>
      <c r="D884" s="2">
        <v>197.69</v>
      </c>
      <c r="E884" s="2">
        <v>199.79</v>
      </c>
      <c r="F884" s="2">
        <v>32883753</v>
      </c>
      <c r="G884" s="2" t="s">
        <v>558</v>
      </c>
      <c r="H884" s="2" t="s">
        <v>559</v>
      </c>
      <c r="I884" s="2" t="s">
        <v>560</v>
      </c>
      <c r="J884" s="3">
        <v>0.22600000000000001</v>
      </c>
      <c r="K884" s="2" t="s">
        <v>425</v>
      </c>
      <c r="L884" s="2">
        <v>2024</v>
      </c>
      <c r="M884" s="2" t="s">
        <v>158</v>
      </c>
      <c r="N884" s="2" t="s">
        <v>21</v>
      </c>
      <c r="O884">
        <f t="shared" si="26"/>
        <v>2.4200000000000159</v>
      </c>
      <c r="P884">
        <f t="shared" si="27"/>
        <v>91.504000000000062</v>
      </c>
    </row>
    <row r="885" spans="1:16" x14ac:dyDescent="0.35">
      <c r="A885" s="9" t="s">
        <v>432</v>
      </c>
      <c r="B885" s="2">
        <v>200.09</v>
      </c>
      <c r="C885" s="2">
        <v>200.27</v>
      </c>
      <c r="D885" s="2">
        <v>192.86</v>
      </c>
      <c r="E885" s="2">
        <v>195.05</v>
      </c>
      <c r="F885" s="2">
        <v>44565041</v>
      </c>
      <c r="G885" s="2" t="s">
        <v>558</v>
      </c>
      <c r="H885" s="2" t="s">
        <v>559</v>
      </c>
      <c r="I885" s="2" t="s">
        <v>560</v>
      </c>
      <c r="J885" s="4">
        <v>-2.3719999999999999</v>
      </c>
      <c r="K885" s="2" t="s">
        <v>425</v>
      </c>
      <c r="L885" s="2">
        <v>2024</v>
      </c>
      <c r="M885" s="2" t="s">
        <v>158</v>
      </c>
      <c r="N885" s="2" t="s">
        <v>23</v>
      </c>
      <c r="O885">
        <f t="shared" si="26"/>
        <v>7.4099999999999966</v>
      </c>
      <c r="P885">
        <f t="shared" si="27"/>
        <v>89.132000000000062</v>
      </c>
    </row>
    <row r="886" spans="1:16" x14ac:dyDescent="0.35">
      <c r="A886" s="9" t="s">
        <v>433</v>
      </c>
      <c r="B886" s="2">
        <v>194.8</v>
      </c>
      <c r="C886" s="2">
        <v>196.47</v>
      </c>
      <c r="D886" s="2">
        <v>193.83</v>
      </c>
      <c r="E886" s="2">
        <v>194.49</v>
      </c>
      <c r="F886" s="2">
        <v>30598525</v>
      </c>
      <c r="G886" s="2" t="s">
        <v>558</v>
      </c>
      <c r="H886" s="2" t="s">
        <v>559</v>
      </c>
      <c r="I886" s="2" t="s">
        <v>560</v>
      </c>
      <c r="J886" s="4">
        <v>-0.28699999999999998</v>
      </c>
      <c r="K886" s="2" t="s">
        <v>425</v>
      </c>
      <c r="L886" s="2">
        <v>2024</v>
      </c>
      <c r="M886" s="2" t="s">
        <v>158</v>
      </c>
      <c r="N886" s="2" t="s">
        <v>23</v>
      </c>
      <c r="O886">
        <f t="shared" si="26"/>
        <v>2.6399999999999864</v>
      </c>
      <c r="P886">
        <f t="shared" si="27"/>
        <v>88.845000000000056</v>
      </c>
    </row>
    <row r="887" spans="1:16" x14ac:dyDescent="0.35">
      <c r="A887" s="9" t="s">
        <v>434</v>
      </c>
      <c r="B887" s="2">
        <v>194.56</v>
      </c>
      <c r="C887" s="2">
        <v>196.19</v>
      </c>
      <c r="D887" s="2">
        <v>190.83</v>
      </c>
      <c r="E887" s="2">
        <v>192.72</v>
      </c>
      <c r="F887" s="2">
        <v>40683227</v>
      </c>
      <c r="G887" s="2" t="s">
        <v>558</v>
      </c>
      <c r="H887" s="2" t="s">
        <v>559</v>
      </c>
      <c r="I887" s="2" t="s">
        <v>560</v>
      </c>
      <c r="J887" s="4">
        <v>-0.91</v>
      </c>
      <c r="K887" s="2" t="s">
        <v>425</v>
      </c>
      <c r="L887" s="2">
        <v>2024</v>
      </c>
      <c r="M887" s="2" t="s">
        <v>158</v>
      </c>
      <c r="N887" s="2" t="s">
        <v>23</v>
      </c>
      <c r="O887">
        <f t="shared" si="26"/>
        <v>5.3599999999999852</v>
      </c>
      <c r="P887">
        <f t="shared" si="27"/>
        <v>87.935000000000059</v>
      </c>
    </row>
    <row r="888" spans="1:16" x14ac:dyDescent="0.35">
      <c r="A888" s="9" t="s">
        <v>435</v>
      </c>
      <c r="B888" s="2">
        <v>195.59</v>
      </c>
      <c r="C888" s="2">
        <v>196.62</v>
      </c>
      <c r="D888" s="2">
        <v>192.24</v>
      </c>
      <c r="E888" s="2">
        <v>193.02</v>
      </c>
      <c r="F888" s="2">
        <v>33994714</v>
      </c>
      <c r="G888" s="2" t="s">
        <v>558</v>
      </c>
      <c r="H888" s="2" t="s">
        <v>559</v>
      </c>
      <c r="I888" s="2" t="s">
        <v>560</v>
      </c>
      <c r="J888" s="3">
        <v>0.156</v>
      </c>
      <c r="K888" s="2" t="s">
        <v>425</v>
      </c>
      <c r="L888" s="2">
        <v>2024</v>
      </c>
      <c r="M888" s="2" t="s">
        <v>158</v>
      </c>
      <c r="N888" s="2" t="s">
        <v>21</v>
      </c>
      <c r="O888">
        <f t="shared" si="26"/>
        <v>4.3799999999999955</v>
      </c>
      <c r="P888">
        <f t="shared" si="27"/>
        <v>88.091000000000065</v>
      </c>
    </row>
    <row r="889" spans="1:16" x14ac:dyDescent="0.35">
      <c r="A889" s="9" t="s">
        <v>436</v>
      </c>
      <c r="B889" s="2">
        <v>191.35</v>
      </c>
      <c r="C889" s="2">
        <v>191.58</v>
      </c>
      <c r="D889" s="2">
        <v>185.99</v>
      </c>
      <c r="E889" s="2">
        <v>187.93</v>
      </c>
      <c r="F889" s="2">
        <v>48076139</v>
      </c>
      <c r="G889" s="2" t="s">
        <v>558</v>
      </c>
      <c r="H889" s="2" t="s">
        <v>559</v>
      </c>
      <c r="I889" s="2" t="s">
        <v>560</v>
      </c>
      <c r="J889" s="4">
        <v>-2.637</v>
      </c>
      <c r="K889" s="2" t="s">
        <v>425</v>
      </c>
      <c r="L889" s="2">
        <v>2024</v>
      </c>
      <c r="M889" s="2" t="s">
        <v>158</v>
      </c>
      <c r="N889" s="2" t="s">
        <v>23</v>
      </c>
      <c r="O889">
        <f t="shared" si="26"/>
        <v>5.5900000000000034</v>
      </c>
      <c r="P889">
        <f t="shared" si="27"/>
        <v>85.454000000000065</v>
      </c>
    </row>
    <row r="890" spans="1:16" x14ac:dyDescent="0.35">
      <c r="A890" s="9" t="s">
        <v>437</v>
      </c>
      <c r="B890" s="2">
        <v>189.59</v>
      </c>
      <c r="C890" s="2">
        <v>189.68</v>
      </c>
      <c r="D890" s="2">
        <v>181.44800000000001</v>
      </c>
      <c r="E890" s="2">
        <v>183.75</v>
      </c>
      <c r="F890" s="2">
        <v>51043626</v>
      </c>
      <c r="G890" s="2" t="s">
        <v>558</v>
      </c>
      <c r="H890" s="2" t="s">
        <v>559</v>
      </c>
      <c r="I890" s="2" t="s">
        <v>560</v>
      </c>
      <c r="J890" s="4">
        <v>-2.2240000000000002</v>
      </c>
      <c r="K890" s="2" t="s">
        <v>425</v>
      </c>
      <c r="L890" s="2">
        <v>2024</v>
      </c>
      <c r="M890" s="2" t="s">
        <v>158</v>
      </c>
      <c r="N890" s="2" t="s">
        <v>23</v>
      </c>
      <c r="O890">
        <f t="shared" si="26"/>
        <v>8.2319999999999993</v>
      </c>
      <c r="P890">
        <f t="shared" si="27"/>
        <v>83.230000000000061</v>
      </c>
    </row>
    <row r="891" spans="1:16" x14ac:dyDescent="0.35">
      <c r="A891" s="9" t="s">
        <v>438</v>
      </c>
      <c r="B891" s="2">
        <v>181.14</v>
      </c>
      <c r="C891" s="2">
        <v>184.93</v>
      </c>
      <c r="D891" s="2">
        <v>180.11</v>
      </c>
      <c r="E891" s="2">
        <v>183.13</v>
      </c>
      <c r="F891" s="2">
        <v>43081829</v>
      </c>
      <c r="G891" s="2" t="s">
        <v>558</v>
      </c>
      <c r="H891" s="2" t="s">
        <v>559</v>
      </c>
      <c r="I891" s="2" t="s">
        <v>560</v>
      </c>
      <c r="J891" s="4">
        <v>-0.33700000000000002</v>
      </c>
      <c r="K891" s="2" t="s">
        <v>425</v>
      </c>
      <c r="L891" s="2">
        <v>2024</v>
      </c>
      <c r="M891" s="2" t="s">
        <v>158</v>
      </c>
      <c r="N891" s="2" t="s">
        <v>23</v>
      </c>
      <c r="O891">
        <f t="shared" si="26"/>
        <v>4.8199999999999932</v>
      </c>
      <c r="P891">
        <f t="shared" si="27"/>
        <v>82.893000000000058</v>
      </c>
    </row>
    <row r="892" spans="1:16" x14ac:dyDescent="0.35">
      <c r="A892" s="9" t="s">
        <v>439</v>
      </c>
      <c r="B892" s="2">
        <v>185</v>
      </c>
      <c r="C892" s="2">
        <v>185.06</v>
      </c>
      <c r="D892" s="2">
        <v>182.48</v>
      </c>
      <c r="E892" s="2">
        <v>182.55</v>
      </c>
      <c r="F892" s="2">
        <v>39931923</v>
      </c>
      <c r="G892" s="2" t="s">
        <v>558</v>
      </c>
      <c r="H892" s="2" t="s">
        <v>559</v>
      </c>
      <c r="I892" s="2" t="s">
        <v>560</v>
      </c>
      <c r="J892" s="4">
        <v>-0.317</v>
      </c>
      <c r="K892" s="2" t="s">
        <v>425</v>
      </c>
      <c r="L892" s="2">
        <v>2024</v>
      </c>
      <c r="M892" s="2" t="s">
        <v>158</v>
      </c>
      <c r="N892" s="2" t="s">
        <v>23</v>
      </c>
      <c r="O892">
        <f t="shared" si="26"/>
        <v>2.5800000000000125</v>
      </c>
      <c r="P892">
        <f t="shared" si="27"/>
        <v>82.576000000000064</v>
      </c>
    </row>
    <row r="893" spans="1:16" x14ac:dyDescent="0.35">
      <c r="A893" s="9" t="s">
        <v>440</v>
      </c>
      <c r="B893" s="2">
        <v>184.1</v>
      </c>
      <c r="C893" s="2">
        <v>189.39</v>
      </c>
      <c r="D893" s="2">
        <v>183.56</v>
      </c>
      <c r="E893" s="2">
        <v>186.41</v>
      </c>
      <c r="F893" s="2">
        <v>47537670</v>
      </c>
      <c r="G893" s="2" t="s">
        <v>558</v>
      </c>
      <c r="H893" s="2" t="s">
        <v>559</v>
      </c>
      <c r="I893" s="2" t="s">
        <v>560</v>
      </c>
      <c r="J893" s="3">
        <v>2.1139999999999999</v>
      </c>
      <c r="K893" s="2" t="s">
        <v>425</v>
      </c>
      <c r="L893" s="2">
        <v>2024</v>
      </c>
      <c r="M893" s="2" t="s">
        <v>158</v>
      </c>
      <c r="N893" s="2" t="s">
        <v>21</v>
      </c>
      <c r="O893">
        <f t="shared" si="26"/>
        <v>5.8299999999999841</v>
      </c>
      <c r="P893">
        <f t="shared" si="27"/>
        <v>84.690000000000069</v>
      </c>
    </row>
    <row r="894" spans="1:16" x14ac:dyDescent="0.35">
      <c r="A894" s="9" t="s">
        <v>441</v>
      </c>
      <c r="B894" s="2">
        <v>183.2</v>
      </c>
      <c r="C894" s="2">
        <v>185.45</v>
      </c>
      <c r="D894" s="2">
        <v>180.41</v>
      </c>
      <c r="E894" s="2">
        <v>180.83</v>
      </c>
      <c r="F894" s="2">
        <v>41532360</v>
      </c>
      <c r="G894" s="2" t="s">
        <v>558</v>
      </c>
      <c r="H894" s="2" t="s">
        <v>559</v>
      </c>
      <c r="I894" s="2" t="s">
        <v>560</v>
      </c>
      <c r="J894" s="4">
        <v>-2.9929999999999999</v>
      </c>
      <c r="K894" s="2" t="s">
        <v>425</v>
      </c>
      <c r="L894" s="2">
        <v>2024</v>
      </c>
      <c r="M894" s="2" t="s">
        <v>158</v>
      </c>
      <c r="N894" s="2" t="s">
        <v>23</v>
      </c>
      <c r="O894">
        <f t="shared" si="26"/>
        <v>5.039999999999992</v>
      </c>
      <c r="P894">
        <f t="shared" si="27"/>
        <v>81.697000000000074</v>
      </c>
    </row>
    <row r="895" spans="1:16" x14ac:dyDescent="0.35">
      <c r="A895" s="9" t="s">
        <v>442</v>
      </c>
      <c r="B895" s="2">
        <v>182.91</v>
      </c>
      <c r="C895" s="2">
        <v>183.89599999999999</v>
      </c>
      <c r="D895" s="2">
        <v>176.8</v>
      </c>
      <c r="E895" s="2">
        <v>179.85</v>
      </c>
      <c r="F895" s="2">
        <v>44464163</v>
      </c>
      <c r="G895" s="2" t="s">
        <v>558</v>
      </c>
      <c r="H895" s="2" t="s">
        <v>559</v>
      </c>
      <c r="I895" s="2" t="s">
        <v>560</v>
      </c>
      <c r="J895" s="4">
        <v>-0.54200000000000004</v>
      </c>
      <c r="K895" s="2" t="s">
        <v>425</v>
      </c>
      <c r="L895" s="2">
        <v>2024</v>
      </c>
      <c r="M895" s="2" t="s">
        <v>158</v>
      </c>
      <c r="N895" s="2" t="s">
        <v>23</v>
      </c>
      <c r="O895">
        <f t="shared" si="26"/>
        <v>7.0959999999999752</v>
      </c>
      <c r="P895">
        <f t="shared" si="27"/>
        <v>81.155000000000072</v>
      </c>
    </row>
    <row r="896" spans="1:16" x14ac:dyDescent="0.35">
      <c r="A896" s="9" t="s">
        <v>443</v>
      </c>
      <c r="B896" s="2">
        <v>180.39</v>
      </c>
      <c r="C896" s="2">
        <v>183.19</v>
      </c>
      <c r="D896" s="2">
        <v>180.24</v>
      </c>
      <c r="E896" s="2">
        <v>182.5</v>
      </c>
      <c r="F896" s="2">
        <v>29505964</v>
      </c>
      <c r="G896" s="2" t="s">
        <v>558</v>
      </c>
      <c r="H896" s="2" t="s">
        <v>559</v>
      </c>
      <c r="I896" s="2" t="s">
        <v>560</v>
      </c>
      <c r="J896" s="3">
        <v>1.4730000000000001</v>
      </c>
      <c r="K896" s="2" t="s">
        <v>425</v>
      </c>
      <c r="L896" s="2">
        <v>2024</v>
      </c>
      <c r="M896" s="2" t="s">
        <v>158</v>
      </c>
      <c r="N896" s="2" t="s">
        <v>21</v>
      </c>
      <c r="O896">
        <f t="shared" si="26"/>
        <v>2.9499999999999886</v>
      </c>
      <c r="P896">
        <f t="shared" si="27"/>
        <v>82.628000000000071</v>
      </c>
    </row>
    <row r="897" spans="1:16" x14ac:dyDescent="0.35">
      <c r="A897" s="9" t="s">
        <v>444</v>
      </c>
      <c r="B897" s="2">
        <v>183.84</v>
      </c>
      <c r="C897" s="2">
        <v>184.75</v>
      </c>
      <c r="D897" s="2">
        <v>182.38</v>
      </c>
      <c r="E897" s="2">
        <v>183.2</v>
      </c>
      <c r="F897" s="2">
        <v>33270123</v>
      </c>
      <c r="G897" s="2" t="s">
        <v>558</v>
      </c>
      <c r="H897" s="2" t="s">
        <v>559</v>
      </c>
      <c r="I897" s="2" t="s">
        <v>560</v>
      </c>
      <c r="J897" s="3">
        <v>0.38400000000000001</v>
      </c>
      <c r="K897" s="2" t="s">
        <v>425</v>
      </c>
      <c r="L897" s="2">
        <v>2024</v>
      </c>
      <c r="M897" s="2" t="s">
        <v>158</v>
      </c>
      <c r="N897" s="2" t="s">
        <v>21</v>
      </c>
      <c r="O897">
        <f t="shared" si="26"/>
        <v>2.3700000000000045</v>
      </c>
      <c r="P897">
        <f t="shared" si="27"/>
        <v>83.012000000000072</v>
      </c>
    </row>
    <row r="898" spans="1:16" x14ac:dyDescent="0.35">
      <c r="A898" s="9" t="s">
        <v>445</v>
      </c>
      <c r="B898" s="2">
        <v>184.72</v>
      </c>
      <c r="C898" s="2">
        <v>185.86</v>
      </c>
      <c r="D898" s="2">
        <v>179.38</v>
      </c>
      <c r="E898" s="2">
        <v>181.71</v>
      </c>
      <c r="F898" s="2">
        <v>39508574</v>
      </c>
      <c r="G898" s="2" t="s">
        <v>558</v>
      </c>
      <c r="H898" s="2" t="s">
        <v>559</v>
      </c>
      <c r="I898" s="2" t="s">
        <v>560</v>
      </c>
      <c r="J898" s="4">
        <v>-0.81299999999999994</v>
      </c>
      <c r="K898" s="2" t="s">
        <v>425</v>
      </c>
      <c r="L898" s="2">
        <v>2024</v>
      </c>
      <c r="M898" s="2" t="s">
        <v>158</v>
      </c>
      <c r="N898" s="2" t="s">
        <v>23</v>
      </c>
      <c r="O898">
        <f t="shared" si="26"/>
        <v>6.4800000000000182</v>
      </c>
      <c r="P898">
        <f t="shared" si="27"/>
        <v>82.199000000000069</v>
      </c>
    </row>
    <row r="899" spans="1:16" x14ac:dyDescent="0.35">
      <c r="A899" s="9" t="s">
        <v>446</v>
      </c>
      <c r="B899" s="2">
        <v>185.05</v>
      </c>
      <c r="C899" s="2">
        <v>187.94</v>
      </c>
      <c r="D899" s="2">
        <v>184.46</v>
      </c>
      <c r="E899" s="2">
        <v>186.98</v>
      </c>
      <c r="F899" s="2">
        <v>41667326</v>
      </c>
      <c r="G899" s="2" t="s">
        <v>558</v>
      </c>
      <c r="H899" s="2" t="s">
        <v>559</v>
      </c>
      <c r="I899" s="2" t="s">
        <v>560</v>
      </c>
      <c r="J899" s="3">
        <v>2.9</v>
      </c>
      <c r="K899" s="2" t="s">
        <v>425</v>
      </c>
      <c r="L899" s="2">
        <v>2024</v>
      </c>
      <c r="M899" s="2" t="s">
        <v>158</v>
      </c>
      <c r="N899" s="2" t="s">
        <v>21</v>
      </c>
      <c r="O899">
        <f t="shared" ref="O899:O962" si="28">C899-D899</f>
        <v>3.4799999999999898</v>
      </c>
      <c r="P899">
        <f t="shared" si="27"/>
        <v>85.099000000000075</v>
      </c>
    </row>
    <row r="900" spans="1:16" x14ac:dyDescent="0.35">
      <c r="A900" s="9" t="s">
        <v>447</v>
      </c>
      <c r="B900" s="2">
        <v>189.285</v>
      </c>
      <c r="C900" s="2">
        <v>190.6</v>
      </c>
      <c r="D900" s="2">
        <v>181.87</v>
      </c>
      <c r="E900" s="2">
        <v>184.07</v>
      </c>
      <c r="F900" s="2">
        <v>70435635</v>
      </c>
      <c r="G900" s="2" t="s">
        <v>558</v>
      </c>
      <c r="H900" s="2" t="s">
        <v>559</v>
      </c>
      <c r="I900" s="2" t="s">
        <v>560</v>
      </c>
      <c r="J900" s="4">
        <v>-1.556</v>
      </c>
      <c r="K900" s="2" t="s">
        <v>448</v>
      </c>
      <c r="L900" s="2">
        <v>2024</v>
      </c>
      <c r="M900" s="2" t="s">
        <v>180</v>
      </c>
      <c r="N900" s="2" t="s">
        <v>23</v>
      </c>
      <c r="O900">
        <f t="shared" si="28"/>
        <v>8.7299999999999898</v>
      </c>
      <c r="P900">
        <f t="shared" ref="P900:P963" si="29">IF(G900=G899, P899+J900, J900)</f>
        <v>83.543000000000077</v>
      </c>
    </row>
    <row r="901" spans="1:16" x14ac:dyDescent="0.35">
      <c r="A901" s="9" t="s">
        <v>449</v>
      </c>
      <c r="B901" s="2">
        <v>166.75</v>
      </c>
      <c r="C901" s="2">
        <v>168.77</v>
      </c>
      <c r="D901" s="2">
        <v>160.55000000000001</v>
      </c>
      <c r="E901" s="2">
        <v>167.9</v>
      </c>
      <c r="F901" s="2">
        <v>141448365</v>
      </c>
      <c r="G901" s="2" t="s">
        <v>558</v>
      </c>
      <c r="H901" s="2" t="s">
        <v>559</v>
      </c>
      <c r="I901" s="2" t="s">
        <v>560</v>
      </c>
      <c r="J901" s="4">
        <v>-8.7850000000000001</v>
      </c>
      <c r="K901" s="2" t="s">
        <v>448</v>
      </c>
      <c r="L901" s="2">
        <v>2024</v>
      </c>
      <c r="M901" s="2" t="s">
        <v>180</v>
      </c>
      <c r="N901" s="2" t="s">
        <v>23</v>
      </c>
      <c r="O901">
        <f t="shared" si="28"/>
        <v>8.2199999999999989</v>
      </c>
      <c r="P901">
        <f t="shared" si="29"/>
        <v>74.758000000000081</v>
      </c>
    </row>
    <row r="902" spans="1:16" x14ac:dyDescent="0.35">
      <c r="A902" s="9" t="s">
        <v>450</v>
      </c>
      <c r="B902" s="2">
        <v>154.21</v>
      </c>
      <c r="C902" s="2">
        <v>162.96</v>
      </c>
      <c r="D902" s="2">
        <v>151.61000000000001</v>
      </c>
      <c r="E902" s="2">
        <v>161.02000000000001</v>
      </c>
      <c r="F902" s="2">
        <v>83149437</v>
      </c>
      <c r="G902" s="2" t="s">
        <v>558</v>
      </c>
      <c r="H902" s="2" t="s">
        <v>559</v>
      </c>
      <c r="I902" s="2" t="s">
        <v>560</v>
      </c>
      <c r="J902" s="4">
        <v>-4.0979999999999999</v>
      </c>
      <c r="K902" s="2" t="s">
        <v>448</v>
      </c>
      <c r="L902" s="2">
        <v>2024</v>
      </c>
      <c r="M902" s="2" t="s">
        <v>180</v>
      </c>
      <c r="N902" s="2" t="s">
        <v>23</v>
      </c>
      <c r="O902">
        <f t="shared" si="28"/>
        <v>11.349999999999994</v>
      </c>
      <c r="P902">
        <f t="shared" si="29"/>
        <v>70.660000000000082</v>
      </c>
    </row>
    <row r="903" spans="1:16" x14ac:dyDescent="0.35">
      <c r="A903" s="9" t="s">
        <v>451</v>
      </c>
      <c r="B903" s="2">
        <v>161.71</v>
      </c>
      <c r="C903" s="2">
        <v>165.08</v>
      </c>
      <c r="D903" s="2">
        <v>158.54</v>
      </c>
      <c r="E903" s="2">
        <v>161.93</v>
      </c>
      <c r="F903" s="2">
        <v>59950830</v>
      </c>
      <c r="G903" s="2" t="s">
        <v>558</v>
      </c>
      <c r="H903" s="2" t="s">
        <v>559</v>
      </c>
      <c r="I903" s="2" t="s">
        <v>560</v>
      </c>
      <c r="J903" s="3">
        <v>0.56499999999999995</v>
      </c>
      <c r="K903" s="2" t="s">
        <v>448</v>
      </c>
      <c r="L903" s="2">
        <v>2024</v>
      </c>
      <c r="M903" s="2" t="s">
        <v>180</v>
      </c>
      <c r="N903" s="2" t="s">
        <v>21</v>
      </c>
      <c r="O903">
        <f t="shared" si="28"/>
        <v>6.5400000000000205</v>
      </c>
      <c r="P903">
        <f t="shared" si="29"/>
        <v>71.22500000000008</v>
      </c>
    </row>
    <row r="904" spans="1:16" x14ac:dyDescent="0.35">
      <c r="A904" s="9" t="s">
        <v>452</v>
      </c>
      <c r="B904" s="2">
        <v>166.55</v>
      </c>
      <c r="C904" s="2">
        <v>167.58</v>
      </c>
      <c r="D904" s="2">
        <v>161.43</v>
      </c>
      <c r="E904" s="2">
        <v>162.77000000000001</v>
      </c>
      <c r="F904" s="2">
        <v>48408240</v>
      </c>
      <c r="G904" s="2" t="s">
        <v>558</v>
      </c>
      <c r="H904" s="2" t="s">
        <v>559</v>
      </c>
      <c r="I904" s="2" t="s">
        <v>560</v>
      </c>
      <c r="J904" s="3">
        <v>0.51900000000000002</v>
      </c>
      <c r="K904" s="2" t="s">
        <v>448</v>
      </c>
      <c r="L904" s="2">
        <v>2024</v>
      </c>
      <c r="M904" s="2" t="s">
        <v>180</v>
      </c>
      <c r="N904" s="2" t="s">
        <v>21</v>
      </c>
      <c r="O904">
        <f t="shared" si="28"/>
        <v>6.1500000000000057</v>
      </c>
      <c r="P904">
        <f t="shared" si="29"/>
        <v>71.744000000000085</v>
      </c>
    </row>
    <row r="905" spans="1:16" x14ac:dyDescent="0.35">
      <c r="A905" s="9" t="s">
        <v>453</v>
      </c>
      <c r="B905" s="2">
        <v>165.16499999999999</v>
      </c>
      <c r="C905" s="2">
        <v>166.69</v>
      </c>
      <c r="D905" s="2">
        <v>162.55000000000001</v>
      </c>
      <c r="E905" s="2">
        <v>165.8</v>
      </c>
      <c r="F905" s="2">
        <v>44616206</v>
      </c>
      <c r="G905" s="2" t="s">
        <v>558</v>
      </c>
      <c r="H905" s="2" t="s">
        <v>559</v>
      </c>
      <c r="I905" s="2" t="s">
        <v>560</v>
      </c>
      <c r="J905" s="3">
        <v>1.8620000000000001</v>
      </c>
      <c r="K905" s="2" t="s">
        <v>448</v>
      </c>
      <c r="L905" s="2">
        <v>2024</v>
      </c>
      <c r="M905" s="2" t="s">
        <v>180</v>
      </c>
      <c r="N905" s="2" t="s">
        <v>21</v>
      </c>
      <c r="O905">
        <f t="shared" si="28"/>
        <v>4.1399999999999864</v>
      </c>
      <c r="P905">
        <f t="shared" si="29"/>
        <v>73.60600000000008</v>
      </c>
    </row>
    <row r="906" spans="1:16" x14ac:dyDescent="0.35">
      <c r="A906" s="9" t="s">
        <v>454</v>
      </c>
      <c r="B906" s="2">
        <v>166.4</v>
      </c>
      <c r="C906" s="2">
        <v>168.55</v>
      </c>
      <c r="D906" s="2">
        <v>165.85</v>
      </c>
      <c r="E906" s="2">
        <v>166.94</v>
      </c>
      <c r="F906" s="2">
        <v>36401049</v>
      </c>
      <c r="G906" s="2" t="s">
        <v>558</v>
      </c>
      <c r="H906" s="2" t="s">
        <v>559</v>
      </c>
      <c r="I906" s="2" t="s">
        <v>560</v>
      </c>
      <c r="J906" s="3">
        <v>0.68799999999999994</v>
      </c>
      <c r="K906" s="2" t="s">
        <v>448</v>
      </c>
      <c r="L906" s="2">
        <v>2024</v>
      </c>
      <c r="M906" s="2" t="s">
        <v>180</v>
      </c>
      <c r="N906" s="2" t="s">
        <v>21</v>
      </c>
      <c r="O906">
        <f t="shared" si="28"/>
        <v>2.7000000000000171</v>
      </c>
      <c r="P906">
        <f t="shared" si="29"/>
        <v>74.294000000000082</v>
      </c>
    </row>
    <row r="907" spans="1:16" x14ac:dyDescent="0.35">
      <c r="A907" s="9" t="s">
        <v>455</v>
      </c>
      <c r="B907" s="2">
        <v>168.14</v>
      </c>
      <c r="C907" s="2">
        <v>168.55</v>
      </c>
      <c r="D907" s="2">
        <v>166.11</v>
      </c>
      <c r="E907" s="2">
        <v>166.8</v>
      </c>
      <c r="F907" s="2">
        <v>30072788</v>
      </c>
      <c r="G907" s="2" t="s">
        <v>558</v>
      </c>
      <c r="H907" s="2" t="s">
        <v>559</v>
      </c>
      <c r="I907" s="2" t="s">
        <v>560</v>
      </c>
      <c r="J907" s="4">
        <v>-8.4000000000000005E-2</v>
      </c>
      <c r="K907" s="2" t="s">
        <v>448</v>
      </c>
      <c r="L907" s="2">
        <v>2024</v>
      </c>
      <c r="M907" s="2" t="s">
        <v>180</v>
      </c>
      <c r="N907" s="2" t="s">
        <v>23</v>
      </c>
      <c r="O907">
        <f t="shared" si="28"/>
        <v>2.4399999999999977</v>
      </c>
      <c r="P907">
        <f t="shared" si="29"/>
        <v>74.210000000000079</v>
      </c>
    </row>
    <row r="908" spans="1:16" x14ac:dyDescent="0.35">
      <c r="A908" s="9" t="s">
        <v>456</v>
      </c>
      <c r="B908" s="2">
        <v>167.81</v>
      </c>
      <c r="C908" s="2">
        <v>171.04</v>
      </c>
      <c r="D908" s="2">
        <v>167.1</v>
      </c>
      <c r="E908" s="2">
        <v>170.23</v>
      </c>
      <c r="F908" s="2">
        <v>39237915</v>
      </c>
      <c r="G908" s="2" t="s">
        <v>558</v>
      </c>
      <c r="H908" s="2" t="s">
        <v>559</v>
      </c>
      <c r="I908" s="2" t="s">
        <v>560</v>
      </c>
      <c r="J908" s="3">
        <v>2.056</v>
      </c>
      <c r="K908" s="2" t="s">
        <v>448</v>
      </c>
      <c r="L908" s="2">
        <v>2024</v>
      </c>
      <c r="M908" s="2" t="s">
        <v>180</v>
      </c>
      <c r="N908" s="2" t="s">
        <v>21</v>
      </c>
      <c r="O908">
        <f t="shared" si="28"/>
        <v>3.9399999999999977</v>
      </c>
      <c r="P908">
        <f t="shared" si="29"/>
        <v>76.266000000000076</v>
      </c>
    </row>
    <row r="909" spans="1:16" x14ac:dyDescent="0.35">
      <c r="A909" s="9" t="s">
        <v>457</v>
      </c>
      <c r="B909" s="2">
        <v>172.11</v>
      </c>
      <c r="C909" s="2">
        <v>172.28</v>
      </c>
      <c r="D909" s="2">
        <v>168.86</v>
      </c>
      <c r="E909" s="2">
        <v>170.1</v>
      </c>
      <c r="F909" s="2">
        <v>28843804</v>
      </c>
      <c r="G909" s="2" t="s">
        <v>558</v>
      </c>
      <c r="H909" s="2" t="s">
        <v>559</v>
      </c>
      <c r="I909" s="2" t="s">
        <v>560</v>
      </c>
      <c r="J909" s="4">
        <v>-7.5999999999999998E-2</v>
      </c>
      <c r="K909" s="2" t="s">
        <v>448</v>
      </c>
      <c r="L909" s="2">
        <v>2024</v>
      </c>
      <c r="M909" s="2" t="s">
        <v>180</v>
      </c>
      <c r="N909" s="2" t="s">
        <v>23</v>
      </c>
      <c r="O909">
        <f t="shared" si="28"/>
        <v>3.4199999999999875</v>
      </c>
      <c r="P909">
        <f t="shared" si="29"/>
        <v>76.190000000000083</v>
      </c>
    </row>
    <row r="910" spans="1:16" x14ac:dyDescent="0.35">
      <c r="A910" s="9" t="s">
        <v>458</v>
      </c>
      <c r="B910" s="2">
        <v>174.86</v>
      </c>
      <c r="C910" s="2">
        <v>177.91</v>
      </c>
      <c r="D910" s="2">
        <v>173.99</v>
      </c>
      <c r="E910" s="2">
        <v>177.59</v>
      </c>
      <c r="F910" s="2">
        <v>51698513</v>
      </c>
      <c r="G910" s="2" t="s">
        <v>558</v>
      </c>
      <c r="H910" s="2" t="s">
        <v>559</v>
      </c>
      <c r="I910" s="2" t="s">
        <v>560</v>
      </c>
      <c r="J910" s="3">
        <v>4.4029999999999996</v>
      </c>
      <c r="K910" s="2" t="s">
        <v>448</v>
      </c>
      <c r="L910" s="2">
        <v>2024</v>
      </c>
      <c r="M910" s="2" t="s">
        <v>180</v>
      </c>
      <c r="N910" s="2" t="s">
        <v>21</v>
      </c>
      <c r="O910">
        <f t="shared" si="28"/>
        <v>3.9199999999999875</v>
      </c>
      <c r="P910">
        <f t="shared" si="29"/>
        <v>80.593000000000089</v>
      </c>
    </row>
    <row r="911" spans="1:16" x14ac:dyDescent="0.35">
      <c r="A911" s="9" t="s">
        <v>459</v>
      </c>
      <c r="B911" s="2">
        <v>177.04</v>
      </c>
      <c r="C911" s="2">
        <v>178.34</v>
      </c>
      <c r="D911" s="2">
        <v>176.26</v>
      </c>
      <c r="E911" s="2">
        <v>177.06</v>
      </c>
      <c r="F911" s="2">
        <v>31489175</v>
      </c>
      <c r="G911" s="2" t="s">
        <v>558</v>
      </c>
      <c r="H911" s="2" t="s">
        <v>559</v>
      </c>
      <c r="I911" s="2" t="s">
        <v>560</v>
      </c>
      <c r="J911" s="4">
        <v>-0.29799999999999999</v>
      </c>
      <c r="K911" s="2" t="s">
        <v>448</v>
      </c>
      <c r="L911" s="2">
        <v>2024</v>
      </c>
      <c r="M911" s="2" t="s">
        <v>180</v>
      </c>
      <c r="N911" s="2" t="s">
        <v>23</v>
      </c>
      <c r="O911">
        <f t="shared" si="28"/>
        <v>2.0800000000000125</v>
      </c>
      <c r="P911">
        <f t="shared" si="29"/>
        <v>80.295000000000087</v>
      </c>
    </row>
    <row r="912" spans="1:16" x14ac:dyDescent="0.35">
      <c r="A912" s="9" t="s">
        <v>460</v>
      </c>
      <c r="B912" s="2">
        <v>177.64</v>
      </c>
      <c r="C912" s="2">
        <v>178.3</v>
      </c>
      <c r="D912" s="2">
        <v>176.16</v>
      </c>
      <c r="E912" s="2">
        <v>178.22</v>
      </c>
      <c r="F912" s="2">
        <v>31129807</v>
      </c>
      <c r="G912" s="2" t="s">
        <v>558</v>
      </c>
      <c r="H912" s="2" t="s">
        <v>559</v>
      </c>
      <c r="I912" s="2" t="s">
        <v>560</v>
      </c>
      <c r="J912" s="3">
        <v>0.65500000000000003</v>
      </c>
      <c r="K912" s="2" t="s">
        <v>448</v>
      </c>
      <c r="L912" s="2">
        <v>2024</v>
      </c>
      <c r="M912" s="2" t="s">
        <v>180</v>
      </c>
      <c r="N912" s="2" t="s">
        <v>21</v>
      </c>
      <c r="O912">
        <f t="shared" si="28"/>
        <v>2.1400000000000148</v>
      </c>
      <c r="P912">
        <f t="shared" si="29"/>
        <v>80.950000000000088</v>
      </c>
    </row>
    <row r="913" spans="1:16" x14ac:dyDescent="0.35">
      <c r="A913" s="9" t="s">
        <v>461</v>
      </c>
      <c r="B913" s="2">
        <v>177.92</v>
      </c>
      <c r="C913" s="2">
        <v>179.01</v>
      </c>
      <c r="D913" s="2">
        <v>177.43100000000001</v>
      </c>
      <c r="E913" s="2">
        <v>178.88</v>
      </c>
      <c r="F913" s="2">
        <v>26255204</v>
      </c>
      <c r="G913" s="2" t="s">
        <v>558</v>
      </c>
      <c r="H913" s="2" t="s">
        <v>559</v>
      </c>
      <c r="I913" s="2" t="s">
        <v>560</v>
      </c>
      <c r="J913" s="3">
        <v>0.37</v>
      </c>
      <c r="K913" s="2" t="s">
        <v>448</v>
      </c>
      <c r="L913" s="2">
        <v>2024</v>
      </c>
      <c r="M913" s="2" t="s">
        <v>180</v>
      </c>
      <c r="N913" s="2" t="s">
        <v>21</v>
      </c>
      <c r="O913">
        <f t="shared" si="28"/>
        <v>1.5789999999999793</v>
      </c>
      <c r="P913">
        <f t="shared" si="29"/>
        <v>81.320000000000093</v>
      </c>
    </row>
    <row r="914" spans="1:16" x14ac:dyDescent="0.35">
      <c r="A914" s="9" t="s">
        <v>462</v>
      </c>
      <c r="B914" s="2">
        <v>179.92</v>
      </c>
      <c r="C914" s="2">
        <v>182.38499999999999</v>
      </c>
      <c r="D914" s="2">
        <v>178.89400000000001</v>
      </c>
      <c r="E914" s="2">
        <v>180.11</v>
      </c>
      <c r="F914" s="2">
        <v>35599120</v>
      </c>
      <c r="G914" s="2" t="s">
        <v>558</v>
      </c>
      <c r="H914" s="2" t="s">
        <v>559</v>
      </c>
      <c r="I914" s="2" t="s">
        <v>560</v>
      </c>
      <c r="J914" s="3">
        <v>0.68799999999999994</v>
      </c>
      <c r="K914" s="2" t="s">
        <v>448</v>
      </c>
      <c r="L914" s="2">
        <v>2024</v>
      </c>
      <c r="M914" s="2" t="s">
        <v>180</v>
      </c>
      <c r="N914" s="2" t="s">
        <v>21</v>
      </c>
      <c r="O914">
        <f t="shared" si="28"/>
        <v>3.4909999999999854</v>
      </c>
      <c r="P914">
        <f t="shared" si="29"/>
        <v>82.008000000000095</v>
      </c>
    </row>
    <row r="915" spans="1:16" x14ac:dyDescent="0.35">
      <c r="A915" s="9" t="s">
        <v>463</v>
      </c>
      <c r="B915" s="2">
        <v>181.38</v>
      </c>
      <c r="C915" s="2">
        <v>181.47</v>
      </c>
      <c r="D915" s="2">
        <v>175.68</v>
      </c>
      <c r="E915" s="2">
        <v>176.13</v>
      </c>
      <c r="F915" s="2">
        <v>32047482</v>
      </c>
      <c r="G915" s="2" t="s">
        <v>558</v>
      </c>
      <c r="H915" s="2" t="s">
        <v>559</v>
      </c>
      <c r="I915" s="2" t="s">
        <v>560</v>
      </c>
      <c r="J915" s="4">
        <v>-2.21</v>
      </c>
      <c r="K915" s="2" t="s">
        <v>448</v>
      </c>
      <c r="L915" s="2">
        <v>2024</v>
      </c>
      <c r="M915" s="2" t="s">
        <v>180</v>
      </c>
      <c r="N915" s="2" t="s">
        <v>23</v>
      </c>
      <c r="O915">
        <f t="shared" si="28"/>
        <v>5.789999999999992</v>
      </c>
      <c r="P915">
        <f t="shared" si="29"/>
        <v>79.798000000000101</v>
      </c>
    </row>
    <row r="916" spans="1:16" x14ac:dyDescent="0.35">
      <c r="A916" s="9" t="s">
        <v>464</v>
      </c>
      <c r="B916" s="2">
        <v>177.34</v>
      </c>
      <c r="C916" s="2">
        <v>178.97</v>
      </c>
      <c r="D916" s="2">
        <v>175.24</v>
      </c>
      <c r="E916" s="2">
        <v>177.04</v>
      </c>
      <c r="F916" s="2">
        <v>29150091</v>
      </c>
      <c r="G916" s="2" t="s">
        <v>558</v>
      </c>
      <c r="H916" s="2" t="s">
        <v>559</v>
      </c>
      <c r="I916" s="2" t="s">
        <v>560</v>
      </c>
      <c r="J916" s="3">
        <v>0.51700000000000002</v>
      </c>
      <c r="K916" s="2" t="s">
        <v>448</v>
      </c>
      <c r="L916" s="2">
        <v>2024</v>
      </c>
      <c r="M916" s="2" t="s">
        <v>180</v>
      </c>
      <c r="N916" s="2" t="s">
        <v>21</v>
      </c>
      <c r="O916">
        <f t="shared" si="28"/>
        <v>3.7299999999999898</v>
      </c>
      <c r="P916">
        <f t="shared" si="29"/>
        <v>80.315000000000097</v>
      </c>
    </row>
    <row r="917" spans="1:16" x14ac:dyDescent="0.35">
      <c r="A917" s="9" t="s">
        <v>465</v>
      </c>
      <c r="B917" s="2">
        <v>176.7</v>
      </c>
      <c r="C917" s="2">
        <v>177.46799999999999</v>
      </c>
      <c r="D917" s="2">
        <v>174.3</v>
      </c>
      <c r="E917" s="2">
        <v>175.5</v>
      </c>
      <c r="F917" s="2">
        <v>22366236</v>
      </c>
      <c r="G917" s="2" t="s">
        <v>558</v>
      </c>
      <c r="H917" s="2" t="s">
        <v>559</v>
      </c>
      <c r="I917" s="2" t="s">
        <v>560</v>
      </c>
      <c r="J917" s="4">
        <v>-0.87</v>
      </c>
      <c r="K917" s="2" t="s">
        <v>448</v>
      </c>
      <c r="L917" s="2">
        <v>2024</v>
      </c>
      <c r="M917" s="2" t="s">
        <v>180</v>
      </c>
      <c r="N917" s="2" t="s">
        <v>23</v>
      </c>
      <c r="O917">
        <f t="shared" si="28"/>
        <v>3.1679999999999779</v>
      </c>
      <c r="P917">
        <f t="shared" si="29"/>
        <v>79.445000000000093</v>
      </c>
    </row>
    <row r="918" spans="1:16" x14ac:dyDescent="0.35">
      <c r="A918" s="9" t="s">
        <v>466</v>
      </c>
      <c r="B918" s="2">
        <v>174.15</v>
      </c>
      <c r="C918" s="2">
        <v>174.89</v>
      </c>
      <c r="D918" s="2">
        <v>172.25</v>
      </c>
      <c r="E918" s="2">
        <v>173.12</v>
      </c>
      <c r="F918" s="2">
        <v>29841979</v>
      </c>
      <c r="G918" s="2" t="s">
        <v>558</v>
      </c>
      <c r="H918" s="2" t="s">
        <v>559</v>
      </c>
      <c r="I918" s="2" t="s">
        <v>560</v>
      </c>
      <c r="J918" s="4">
        <v>-1.3560000000000001</v>
      </c>
      <c r="K918" s="2" t="s">
        <v>448</v>
      </c>
      <c r="L918" s="2">
        <v>2024</v>
      </c>
      <c r="M918" s="2" t="s">
        <v>180</v>
      </c>
      <c r="N918" s="2" t="s">
        <v>23</v>
      </c>
      <c r="O918">
        <f t="shared" si="28"/>
        <v>2.6399999999999864</v>
      </c>
      <c r="P918">
        <f t="shared" si="29"/>
        <v>78.089000000000098</v>
      </c>
    </row>
    <row r="919" spans="1:16" x14ac:dyDescent="0.35">
      <c r="A919" s="9" t="s">
        <v>467</v>
      </c>
      <c r="B919" s="2">
        <v>173.69</v>
      </c>
      <c r="C919" s="2">
        <v>173.69</v>
      </c>
      <c r="D919" s="2">
        <v>168.92</v>
      </c>
      <c r="E919" s="2">
        <v>170.8</v>
      </c>
      <c r="F919" s="2">
        <v>29045025</v>
      </c>
      <c r="G919" s="2" t="s">
        <v>558</v>
      </c>
      <c r="H919" s="2" t="s">
        <v>559</v>
      </c>
      <c r="I919" s="2" t="s">
        <v>560</v>
      </c>
      <c r="J919" s="4">
        <v>-1.34</v>
      </c>
      <c r="K919" s="2" t="s">
        <v>448</v>
      </c>
      <c r="L919" s="2">
        <v>2024</v>
      </c>
      <c r="M919" s="2" t="s">
        <v>180</v>
      </c>
      <c r="N919" s="2" t="s">
        <v>23</v>
      </c>
      <c r="O919">
        <f t="shared" si="28"/>
        <v>4.7700000000000102</v>
      </c>
      <c r="P919">
        <f t="shared" si="29"/>
        <v>76.749000000000095</v>
      </c>
    </row>
    <row r="920" spans="1:16" x14ac:dyDescent="0.35">
      <c r="A920" s="9" t="s">
        <v>468</v>
      </c>
      <c r="B920" s="2">
        <v>173.22</v>
      </c>
      <c r="C920" s="2">
        <v>174.29</v>
      </c>
      <c r="D920" s="2">
        <v>170.81</v>
      </c>
      <c r="E920" s="2">
        <v>172.12</v>
      </c>
      <c r="F920" s="2">
        <v>26407815</v>
      </c>
      <c r="G920" s="2" t="s">
        <v>558</v>
      </c>
      <c r="H920" s="2" t="s">
        <v>559</v>
      </c>
      <c r="I920" s="2" t="s">
        <v>560</v>
      </c>
      <c r="J920" s="3">
        <v>0.77300000000000002</v>
      </c>
      <c r="K920" s="2" t="s">
        <v>448</v>
      </c>
      <c r="L920" s="2">
        <v>2024</v>
      </c>
      <c r="M920" s="2" t="s">
        <v>180</v>
      </c>
      <c r="N920" s="2" t="s">
        <v>21</v>
      </c>
      <c r="O920">
        <f t="shared" si="28"/>
        <v>3.4799999999999898</v>
      </c>
      <c r="P920">
        <f t="shared" si="29"/>
        <v>77.522000000000091</v>
      </c>
    </row>
    <row r="921" spans="1:16" x14ac:dyDescent="0.35">
      <c r="A921" s="9" t="s">
        <v>469</v>
      </c>
      <c r="B921" s="2">
        <v>172.78</v>
      </c>
      <c r="C921" s="2">
        <v>178.9</v>
      </c>
      <c r="D921" s="2">
        <v>172.6</v>
      </c>
      <c r="E921" s="2">
        <v>178.5</v>
      </c>
      <c r="F921" s="2">
        <v>43429355</v>
      </c>
      <c r="G921" s="2" t="s">
        <v>558</v>
      </c>
      <c r="H921" s="2" t="s">
        <v>559</v>
      </c>
      <c r="I921" s="2" t="s">
        <v>560</v>
      </c>
      <c r="J921" s="3">
        <v>3.7069999999999999</v>
      </c>
      <c r="K921" s="2" t="s">
        <v>448</v>
      </c>
      <c r="L921" s="2">
        <v>2024</v>
      </c>
      <c r="M921" s="2" t="s">
        <v>180</v>
      </c>
      <c r="N921" s="2" t="s">
        <v>21</v>
      </c>
      <c r="O921">
        <f t="shared" si="28"/>
        <v>6.3000000000000114</v>
      </c>
      <c r="P921">
        <f t="shared" si="29"/>
        <v>81.229000000000084</v>
      </c>
    </row>
    <row r="922" spans="1:16" x14ac:dyDescent="0.35">
      <c r="A922" s="9" t="s">
        <v>470</v>
      </c>
      <c r="B922" s="2">
        <v>177.55</v>
      </c>
      <c r="C922" s="2">
        <v>178.26</v>
      </c>
      <c r="D922" s="2">
        <v>175.26</v>
      </c>
      <c r="E922" s="2">
        <v>176.25</v>
      </c>
      <c r="F922" s="2">
        <v>37817511</v>
      </c>
      <c r="G922" s="2" t="s">
        <v>558</v>
      </c>
      <c r="H922" s="2" t="s">
        <v>559</v>
      </c>
      <c r="I922" s="2" t="s">
        <v>560</v>
      </c>
      <c r="J922" s="4">
        <v>-1.2609999999999999</v>
      </c>
      <c r="K922" s="2" t="s">
        <v>471</v>
      </c>
      <c r="L922" s="2">
        <v>2024</v>
      </c>
      <c r="M922" s="2" t="s">
        <v>205</v>
      </c>
      <c r="N922" s="2" t="s">
        <v>23</v>
      </c>
      <c r="O922">
        <f t="shared" si="28"/>
        <v>3</v>
      </c>
      <c r="P922">
        <f t="shared" si="29"/>
        <v>79.968000000000089</v>
      </c>
    </row>
    <row r="923" spans="1:16" x14ac:dyDescent="0.35">
      <c r="A923" s="9" t="s">
        <v>472</v>
      </c>
      <c r="B923" s="2">
        <v>174.48</v>
      </c>
      <c r="C923" s="2">
        <v>175.98</v>
      </c>
      <c r="D923" s="2">
        <v>172.54</v>
      </c>
      <c r="E923" s="2">
        <v>173.33</v>
      </c>
      <c r="F923" s="2">
        <v>30309225</v>
      </c>
      <c r="G923" s="2" t="s">
        <v>558</v>
      </c>
      <c r="H923" s="2" t="s">
        <v>559</v>
      </c>
      <c r="I923" s="2" t="s">
        <v>560</v>
      </c>
      <c r="J923" s="4">
        <v>-1.657</v>
      </c>
      <c r="K923" s="2" t="s">
        <v>471</v>
      </c>
      <c r="L923" s="2">
        <v>2024</v>
      </c>
      <c r="M923" s="2" t="s">
        <v>205</v>
      </c>
      <c r="N923" s="2" t="s">
        <v>23</v>
      </c>
      <c r="O923">
        <f t="shared" si="28"/>
        <v>3.4399999999999977</v>
      </c>
      <c r="P923">
        <f t="shared" si="29"/>
        <v>78.311000000000092</v>
      </c>
    </row>
    <row r="924" spans="1:16" x14ac:dyDescent="0.35">
      <c r="A924" s="9" t="s">
        <v>473</v>
      </c>
      <c r="B924" s="2">
        <v>175</v>
      </c>
      <c r="C924" s="2">
        <v>179.875</v>
      </c>
      <c r="D924" s="2">
        <v>174.995</v>
      </c>
      <c r="E924" s="2">
        <v>177.89</v>
      </c>
      <c r="F924" s="2">
        <v>40170526</v>
      </c>
      <c r="G924" s="2" t="s">
        <v>558</v>
      </c>
      <c r="H924" s="2" t="s">
        <v>559</v>
      </c>
      <c r="I924" s="2" t="s">
        <v>560</v>
      </c>
      <c r="J924" s="3">
        <v>2.6309999999999998</v>
      </c>
      <c r="K924" s="2" t="s">
        <v>471</v>
      </c>
      <c r="L924" s="2">
        <v>2024</v>
      </c>
      <c r="M924" s="2" t="s">
        <v>205</v>
      </c>
      <c r="N924" s="2" t="s">
        <v>21</v>
      </c>
      <c r="O924">
        <f t="shared" si="28"/>
        <v>4.8799999999999955</v>
      </c>
      <c r="P924">
        <f t="shared" si="29"/>
        <v>80.942000000000093</v>
      </c>
    </row>
    <row r="925" spans="1:16" x14ac:dyDescent="0.35">
      <c r="A925" s="9" t="s">
        <v>474</v>
      </c>
      <c r="B925" s="2">
        <v>177.24</v>
      </c>
      <c r="C925" s="2">
        <v>178.38</v>
      </c>
      <c r="D925" s="2">
        <v>171.16</v>
      </c>
      <c r="E925" s="2">
        <v>171.39</v>
      </c>
      <c r="F925" s="2">
        <v>41466537</v>
      </c>
      <c r="G925" s="2" t="s">
        <v>558</v>
      </c>
      <c r="H925" s="2" t="s">
        <v>559</v>
      </c>
      <c r="I925" s="2" t="s">
        <v>560</v>
      </c>
      <c r="J925" s="4">
        <v>-3.6539999999999999</v>
      </c>
      <c r="K925" s="2" t="s">
        <v>471</v>
      </c>
      <c r="L925" s="2">
        <v>2024</v>
      </c>
      <c r="M925" s="2" t="s">
        <v>205</v>
      </c>
      <c r="N925" s="2" t="s">
        <v>23</v>
      </c>
      <c r="O925">
        <f t="shared" si="28"/>
        <v>7.2199999999999989</v>
      </c>
      <c r="P925">
        <f t="shared" si="29"/>
        <v>77.288000000000096</v>
      </c>
    </row>
    <row r="926" spans="1:16" x14ac:dyDescent="0.35">
      <c r="A926" s="9" t="s">
        <v>475</v>
      </c>
      <c r="B926" s="2">
        <v>174.53</v>
      </c>
      <c r="C926" s="2">
        <v>175.85</v>
      </c>
      <c r="D926" s="2">
        <v>173.51</v>
      </c>
      <c r="E926" s="2">
        <v>175.4</v>
      </c>
      <c r="F926" s="2">
        <v>29037362</v>
      </c>
      <c r="G926" s="2" t="s">
        <v>558</v>
      </c>
      <c r="H926" s="2" t="s">
        <v>559</v>
      </c>
      <c r="I926" s="2" t="s">
        <v>560</v>
      </c>
      <c r="J926" s="3">
        <v>2.34</v>
      </c>
      <c r="K926" s="2" t="s">
        <v>471</v>
      </c>
      <c r="L926" s="2">
        <v>2024</v>
      </c>
      <c r="M926" s="2" t="s">
        <v>205</v>
      </c>
      <c r="N926" s="2" t="s">
        <v>21</v>
      </c>
      <c r="O926">
        <f t="shared" si="28"/>
        <v>2.3400000000000034</v>
      </c>
      <c r="P926">
        <f t="shared" si="29"/>
        <v>79.6280000000001</v>
      </c>
    </row>
    <row r="927" spans="1:16" x14ac:dyDescent="0.35">
      <c r="A927" s="9" t="s">
        <v>476</v>
      </c>
      <c r="B927" s="2">
        <v>177.49</v>
      </c>
      <c r="C927" s="2">
        <v>180.5</v>
      </c>
      <c r="D927" s="2">
        <v>176.79</v>
      </c>
      <c r="E927" s="2">
        <v>179.55</v>
      </c>
      <c r="F927" s="2">
        <v>36233796</v>
      </c>
      <c r="G927" s="2" t="s">
        <v>558</v>
      </c>
      <c r="H927" s="2" t="s">
        <v>559</v>
      </c>
      <c r="I927" s="2" t="s">
        <v>560</v>
      </c>
      <c r="J927" s="3">
        <v>2.3660000000000001</v>
      </c>
      <c r="K927" s="2" t="s">
        <v>471</v>
      </c>
      <c r="L927" s="2">
        <v>2024</v>
      </c>
      <c r="M927" s="2" t="s">
        <v>205</v>
      </c>
      <c r="N927" s="2" t="s">
        <v>21</v>
      </c>
      <c r="O927">
        <f t="shared" si="28"/>
        <v>3.710000000000008</v>
      </c>
      <c r="P927">
        <f t="shared" si="29"/>
        <v>81.994000000000099</v>
      </c>
    </row>
    <row r="928" spans="1:16" x14ac:dyDescent="0.35">
      <c r="A928" s="9" t="s">
        <v>477</v>
      </c>
      <c r="B928" s="2">
        <v>180.095</v>
      </c>
      <c r="C928" s="2">
        <v>184.99</v>
      </c>
      <c r="D928" s="2">
        <v>175.73</v>
      </c>
      <c r="E928" s="2">
        <v>184.52</v>
      </c>
      <c r="F928" s="2">
        <v>42564698</v>
      </c>
      <c r="G928" s="2" t="s">
        <v>558</v>
      </c>
      <c r="H928" s="2" t="s">
        <v>559</v>
      </c>
      <c r="I928" s="2" t="s">
        <v>560</v>
      </c>
      <c r="J928" s="3">
        <v>2.7679999999999998</v>
      </c>
      <c r="K928" s="2" t="s">
        <v>471</v>
      </c>
      <c r="L928" s="2">
        <v>2024</v>
      </c>
      <c r="M928" s="2" t="s">
        <v>205</v>
      </c>
      <c r="N928" s="2" t="s">
        <v>21</v>
      </c>
      <c r="O928">
        <f t="shared" si="28"/>
        <v>9.2600000000000193</v>
      </c>
      <c r="P928">
        <f t="shared" si="29"/>
        <v>84.7620000000001</v>
      </c>
    </row>
    <row r="929" spans="1:16" x14ac:dyDescent="0.35">
      <c r="A929" s="9" t="s">
        <v>478</v>
      </c>
      <c r="B929" s="2">
        <v>184.8</v>
      </c>
      <c r="C929" s="2">
        <v>187.41</v>
      </c>
      <c r="D929" s="2">
        <v>183.54</v>
      </c>
      <c r="E929" s="2">
        <v>187</v>
      </c>
      <c r="F929" s="2">
        <v>33622483</v>
      </c>
      <c r="G929" s="2" t="s">
        <v>558</v>
      </c>
      <c r="H929" s="2" t="s">
        <v>559</v>
      </c>
      <c r="I929" s="2" t="s">
        <v>560</v>
      </c>
      <c r="J929" s="3">
        <v>1.3440000000000001</v>
      </c>
      <c r="K929" s="2" t="s">
        <v>471</v>
      </c>
      <c r="L929" s="2">
        <v>2024</v>
      </c>
      <c r="M929" s="2" t="s">
        <v>205</v>
      </c>
      <c r="N929" s="2" t="s">
        <v>21</v>
      </c>
      <c r="O929">
        <f t="shared" si="28"/>
        <v>3.8700000000000045</v>
      </c>
      <c r="P929">
        <f t="shared" si="29"/>
        <v>86.106000000000094</v>
      </c>
    </row>
    <row r="930" spans="1:16" x14ac:dyDescent="0.35">
      <c r="A930" s="9" t="s">
        <v>479</v>
      </c>
      <c r="B930" s="2">
        <v>187</v>
      </c>
      <c r="C930" s="2">
        <v>188.5</v>
      </c>
      <c r="D930" s="2">
        <v>185.91</v>
      </c>
      <c r="E930" s="2">
        <v>186.49</v>
      </c>
      <c r="F930" s="2">
        <v>26495351</v>
      </c>
      <c r="G930" s="2" t="s">
        <v>558</v>
      </c>
      <c r="H930" s="2" t="s">
        <v>559</v>
      </c>
      <c r="I930" s="2" t="s">
        <v>560</v>
      </c>
      <c r="J930" s="4">
        <v>-0.27300000000000002</v>
      </c>
      <c r="K930" s="2" t="s">
        <v>471</v>
      </c>
      <c r="L930" s="2">
        <v>2024</v>
      </c>
      <c r="M930" s="2" t="s">
        <v>205</v>
      </c>
      <c r="N930" s="2" t="s">
        <v>23</v>
      </c>
      <c r="O930">
        <f t="shared" si="28"/>
        <v>2.5900000000000034</v>
      </c>
      <c r="P930">
        <f t="shared" si="29"/>
        <v>85.833000000000098</v>
      </c>
    </row>
    <row r="931" spans="1:16" x14ac:dyDescent="0.35">
      <c r="A931" s="9" t="s">
        <v>480</v>
      </c>
      <c r="B931" s="2">
        <v>185.29</v>
      </c>
      <c r="C931" s="2">
        <v>185.81</v>
      </c>
      <c r="D931" s="2">
        <v>183.36</v>
      </c>
      <c r="E931" s="2">
        <v>184.89</v>
      </c>
      <c r="F931" s="2">
        <v>26065485</v>
      </c>
      <c r="G931" s="2" t="s">
        <v>558</v>
      </c>
      <c r="H931" s="2" t="s">
        <v>559</v>
      </c>
      <c r="I931" s="2" t="s">
        <v>560</v>
      </c>
      <c r="J931" s="4">
        <v>-0.85799999999999998</v>
      </c>
      <c r="K931" s="2" t="s">
        <v>471</v>
      </c>
      <c r="L931" s="2">
        <v>2024</v>
      </c>
      <c r="M931" s="2" t="s">
        <v>205</v>
      </c>
      <c r="N931" s="2" t="s">
        <v>23</v>
      </c>
      <c r="O931">
        <f t="shared" si="28"/>
        <v>2.4499999999999886</v>
      </c>
      <c r="P931">
        <f t="shared" si="29"/>
        <v>84.975000000000094</v>
      </c>
    </row>
    <row r="932" spans="1:16" x14ac:dyDescent="0.35">
      <c r="A932" s="9" t="s">
        <v>481</v>
      </c>
      <c r="B932" s="2">
        <v>186.85</v>
      </c>
      <c r="C932" s="2">
        <v>189.45</v>
      </c>
      <c r="D932" s="2">
        <v>186.14</v>
      </c>
      <c r="E932" s="2">
        <v>186.88</v>
      </c>
      <c r="F932" s="2">
        <v>26091682</v>
      </c>
      <c r="G932" s="2" t="s">
        <v>558</v>
      </c>
      <c r="H932" s="2" t="s">
        <v>559</v>
      </c>
      <c r="I932" s="2" t="s">
        <v>560</v>
      </c>
      <c r="J932" s="3">
        <v>1.0760000000000001</v>
      </c>
      <c r="K932" s="2" t="s">
        <v>471</v>
      </c>
      <c r="L932" s="2">
        <v>2024</v>
      </c>
      <c r="M932" s="2" t="s">
        <v>205</v>
      </c>
      <c r="N932" s="2" t="s">
        <v>21</v>
      </c>
      <c r="O932">
        <f t="shared" si="28"/>
        <v>3.3100000000000023</v>
      </c>
      <c r="P932">
        <f t="shared" si="29"/>
        <v>86.051000000000087</v>
      </c>
    </row>
    <row r="933" spans="1:16" x14ac:dyDescent="0.35">
      <c r="A933" s="9" t="s">
        <v>482</v>
      </c>
      <c r="B933" s="2">
        <v>186.45</v>
      </c>
      <c r="C933" s="2">
        <v>188.8</v>
      </c>
      <c r="D933" s="2">
        <v>185.06</v>
      </c>
      <c r="E933" s="2">
        <v>186.43</v>
      </c>
      <c r="F933" s="2">
        <v>34448130</v>
      </c>
      <c r="G933" s="2" t="s">
        <v>558</v>
      </c>
      <c r="H933" s="2" t="s">
        <v>559</v>
      </c>
      <c r="I933" s="2" t="s">
        <v>560</v>
      </c>
      <c r="J933" s="4">
        <v>-0.24099999999999999</v>
      </c>
      <c r="K933" s="2" t="s">
        <v>471</v>
      </c>
      <c r="L933" s="2">
        <v>2024</v>
      </c>
      <c r="M933" s="2" t="s">
        <v>205</v>
      </c>
      <c r="N933" s="2" t="s">
        <v>23</v>
      </c>
      <c r="O933">
        <f t="shared" si="28"/>
        <v>3.7400000000000091</v>
      </c>
      <c r="P933">
        <f t="shared" si="29"/>
        <v>85.810000000000088</v>
      </c>
    </row>
    <row r="934" spans="1:16" x14ac:dyDescent="0.35">
      <c r="A934" s="9" t="s">
        <v>483</v>
      </c>
      <c r="B934" s="2">
        <v>190.04</v>
      </c>
      <c r="C934" s="2">
        <v>190.99</v>
      </c>
      <c r="D934" s="2">
        <v>188.47</v>
      </c>
      <c r="E934" s="2">
        <v>189.87</v>
      </c>
      <c r="F934" s="2">
        <v>39543168</v>
      </c>
      <c r="G934" s="2" t="s">
        <v>558</v>
      </c>
      <c r="H934" s="2" t="s">
        <v>559</v>
      </c>
      <c r="I934" s="2" t="s">
        <v>560</v>
      </c>
      <c r="J934" s="3">
        <v>1.845</v>
      </c>
      <c r="K934" s="2" t="s">
        <v>471</v>
      </c>
      <c r="L934" s="2">
        <v>2024</v>
      </c>
      <c r="M934" s="2" t="s">
        <v>205</v>
      </c>
      <c r="N934" s="2" t="s">
        <v>21</v>
      </c>
      <c r="O934">
        <f t="shared" si="28"/>
        <v>2.5200000000000102</v>
      </c>
      <c r="P934">
        <f t="shared" si="29"/>
        <v>87.655000000000086</v>
      </c>
    </row>
    <row r="935" spans="1:16" x14ac:dyDescent="0.35">
      <c r="A935" s="9" t="s">
        <v>484</v>
      </c>
      <c r="B935" s="2">
        <v>190.23</v>
      </c>
      <c r="C935" s="2">
        <v>191.84</v>
      </c>
      <c r="D935" s="2">
        <v>187.41</v>
      </c>
      <c r="E935" s="2">
        <v>191.6</v>
      </c>
      <c r="F935" s="2">
        <v>100378553</v>
      </c>
      <c r="G935" s="2" t="s">
        <v>558</v>
      </c>
      <c r="H935" s="2" t="s">
        <v>559</v>
      </c>
      <c r="I935" s="2" t="s">
        <v>560</v>
      </c>
      <c r="J935" s="3">
        <v>0.91100000000000003</v>
      </c>
      <c r="K935" s="2" t="s">
        <v>471</v>
      </c>
      <c r="L935" s="2">
        <v>2024</v>
      </c>
      <c r="M935" s="2" t="s">
        <v>205</v>
      </c>
      <c r="N935" s="2" t="s">
        <v>21</v>
      </c>
      <c r="O935">
        <f t="shared" si="28"/>
        <v>4.4300000000000068</v>
      </c>
      <c r="P935">
        <f t="shared" si="29"/>
        <v>88.566000000000088</v>
      </c>
    </row>
    <row r="936" spans="1:16" x14ac:dyDescent="0.35">
      <c r="A936" s="9" t="s">
        <v>485</v>
      </c>
      <c r="B936" s="2">
        <v>191.64</v>
      </c>
      <c r="C936" s="2">
        <v>194.45</v>
      </c>
      <c r="D936" s="2">
        <v>190.57</v>
      </c>
      <c r="E936" s="2">
        <v>193.88</v>
      </c>
      <c r="F936" s="2">
        <v>36993111</v>
      </c>
      <c r="G936" s="2" t="s">
        <v>558</v>
      </c>
      <c r="H936" s="2" t="s">
        <v>559</v>
      </c>
      <c r="I936" s="2" t="s">
        <v>560</v>
      </c>
      <c r="J936" s="3">
        <v>1.19</v>
      </c>
      <c r="K936" s="2" t="s">
        <v>471</v>
      </c>
      <c r="L936" s="2">
        <v>2024</v>
      </c>
      <c r="M936" s="2" t="s">
        <v>205</v>
      </c>
      <c r="N936" s="2" t="s">
        <v>21</v>
      </c>
      <c r="O936">
        <f t="shared" si="28"/>
        <v>3.8799999999999955</v>
      </c>
      <c r="P936">
        <f t="shared" si="29"/>
        <v>89.756000000000085</v>
      </c>
    </row>
    <row r="937" spans="1:16" x14ac:dyDescent="0.35">
      <c r="A937" s="9" t="s">
        <v>486</v>
      </c>
      <c r="B937" s="2">
        <v>194.27</v>
      </c>
      <c r="C937" s="2">
        <v>195.37</v>
      </c>
      <c r="D937" s="2">
        <v>190.13</v>
      </c>
      <c r="E937" s="2">
        <v>193.96</v>
      </c>
      <c r="F937" s="2">
        <v>43478926</v>
      </c>
      <c r="G937" s="2" t="s">
        <v>558</v>
      </c>
      <c r="H937" s="2" t="s">
        <v>559</v>
      </c>
      <c r="I937" s="2" t="s">
        <v>560</v>
      </c>
      <c r="J937" s="3">
        <v>4.1000000000000002E-2</v>
      </c>
      <c r="K937" s="2" t="s">
        <v>471</v>
      </c>
      <c r="L937" s="2">
        <v>2024</v>
      </c>
      <c r="M937" s="2" t="s">
        <v>205</v>
      </c>
      <c r="N937" s="2" t="s">
        <v>21</v>
      </c>
      <c r="O937">
        <f t="shared" si="28"/>
        <v>5.2400000000000091</v>
      </c>
      <c r="P937">
        <f t="shared" si="29"/>
        <v>89.797000000000082</v>
      </c>
    </row>
    <row r="938" spans="1:16" x14ac:dyDescent="0.35">
      <c r="A938" s="9" t="s">
        <v>487</v>
      </c>
      <c r="B938" s="2">
        <v>193.75</v>
      </c>
      <c r="C938" s="2">
        <v>193.95</v>
      </c>
      <c r="D938" s="2">
        <v>192.16</v>
      </c>
      <c r="E938" s="2">
        <v>192.53</v>
      </c>
      <c r="F938" s="2">
        <v>26391144</v>
      </c>
      <c r="G938" s="2" t="s">
        <v>558</v>
      </c>
      <c r="H938" s="2" t="s">
        <v>559</v>
      </c>
      <c r="I938" s="2" t="s">
        <v>560</v>
      </c>
      <c r="J938" s="4">
        <v>-0.73699999999999999</v>
      </c>
      <c r="K938" s="2" t="s">
        <v>471</v>
      </c>
      <c r="L938" s="2">
        <v>2024</v>
      </c>
      <c r="M938" s="2" t="s">
        <v>205</v>
      </c>
      <c r="N938" s="2" t="s">
        <v>23</v>
      </c>
      <c r="O938">
        <f t="shared" si="28"/>
        <v>1.789999999999992</v>
      </c>
      <c r="P938">
        <f t="shared" si="29"/>
        <v>89.060000000000088</v>
      </c>
    </row>
    <row r="939" spans="1:16" x14ac:dyDescent="0.35">
      <c r="A939" s="9" t="s">
        <v>488</v>
      </c>
      <c r="B939" s="2">
        <v>194.31</v>
      </c>
      <c r="C939" s="2">
        <v>194.53</v>
      </c>
      <c r="D939" s="2">
        <v>189.54</v>
      </c>
      <c r="E939" s="2">
        <v>191.16</v>
      </c>
      <c r="F939" s="2">
        <v>36334854</v>
      </c>
      <c r="G939" s="2" t="s">
        <v>558</v>
      </c>
      <c r="H939" s="2" t="s">
        <v>559</v>
      </c>
      <c r="I939" s="2" t="s">
        <v>560</v>
      </c>
      <c r="J939" s="4">
        <v>-0.71199999999999997</v>
      </c>
      <c r="K939" s="2" t="s">
        <v>471</v>
      </c>
      <c r="L939" s="2">
        <v>2024</v>
      </c>
      <c r="M939" s="2" t="s">
        <v>205</v>
      </c>
      <c r="N939" s="2" t="s">
        <v>23</v>
      </c>
      <c r="O939">
        <f t="shared" si="28"/>
        <v>4.9900000000000091</v>
      </c>
      <c r="P939">
        <f t="shared" si="29"/>
        <v>88.348000000000084</v>
      </c>
    </row>
    <row r="940" spans="1:16" x14ac:dyDescent="0.35">
      <c r="A940" s="9" t="s">
        <v>489</v>
      </c>
      <c r="B940" s="2">
        <v>190.68</v>
      </c>
      <c r="C940" s="2">
        <v>190.9</v>
      </c>
      <c r="D940" s="2">
        <v>187.34</v>
      </c>
      <c r="E940" s="2">
        <v>187.97</v>
      </c>
      <c r="F940" s="2">
        <v>36002316</v>
      </c>
      <c r="G940" s="2" t="s">
        <v>558</v>
      </c>
      <c r="H940" s="2" t="s">
        <v>559</v>
      </c>
      <c r="I940" s="2" t="s">
        <v>560</v>
      </c>
      <c r="J940" s="4">
        <v>-1.669</v>
      </c>
      <c r="K940" s="2" t="s">
        <v>471</v>
      </c>
      <c r="L940" s="2">
        <v>2024</v>
      </c>
      <c r="M940" s="2" t="s">
        <v>205</v>
      </c>
      <c r="N940" s="2" t="s">
        <v>23</v>
      </c>
      <c r="O940">
        <f t="shared" si="28"/>
        <v>3.5600000000000023</v>
      </c>
      <c r="P940">
        <f t="shared" si="29"/>
        <v>86.679000000000087</v>
      </c>
    </row>
    <row r="941" spans="1:16" x14ac:dyDescent="0.35">
      <c r="A941" s="9" t="s">
        <v>490</v>
      </c>
      <c r="B941" s="2">
        <v>187.14</v>
      </c>
      <c r="C941" s="2">
        <v>188.49</v>
      </c>
      <c r="D941" s="2">
        <v>184.65</v>
      </c>
      <c r="E941" s="2">
        <v>186.33</v>
      </c>
      <c r="F941" s="2">
        <v>41680400</v>
      </c>
      <c r="G941" s="2" t="s">
        <v>558</v>
      </c>
      <c r="H941" s="2" t="s">
        <v>559</v>
      </c>
      <c r="I941" s="2" t="s">
        <v>560</v>
      </c>
      <c r="J941" s="4">
        <v>-0.872</v>
      </c>
      <c r="K941" s="2" t="s">
        <v>471</v>
      </c>
      <c r="L941" s="2">
        <v>2024</v>
      </c>
      <c r="M941" s="2" t="s">
        <v>205</v>
      </c>
      <c r="N941" s="2" t="s">
        <v>23</v>
      </c>
      <c r="O941">
        <f t="shared" si="28"/>
        <v>3.8400000000000034</v>
      </c>
      <c r="P941">
        <f t="shared" si="29"/>
        <v>85.807000000000087</v>
      </c>
    </row>
    <row r="942" spans="1:16" x14ac:dyDescent="0.35">
      <c r="A942" s="9" t="s">
        <v>491</v>
      </c>
      <c r="B942" s="2">
        <v>184.9</v>
      </c>
      <c r="C942" s="2">
        <v>186.19</v>
      </c>
      <c r="D942" s="2">
        <v>183.452</v>
      </c>
      <c r="E942" s="2">
        <v>185.13</v>
      </c>
      <c r="F942" s="2">
        <v>36044906</v>
      </c>
      <c r="G942" s="2" t="s">
        <v>558</v>
      </c>
      <c r="H942" s="2" t="s">
        <v>559</v>
      </c>
      <c r="I942" s="2" t="s">
        <v>560</v>
      </c>
      <c r="J942" s="4">
        <v>-0.64400000000000002</v>
      </c>
      <c r="K942" s="2" t="s">
        <v>492</v>
      </c>
      <c r="L942" s="2">
        <v>2024</v>
      </c>
      <c r="M942" s="2" t="s">
        <v>227</v>
      </c>
      <c r="N942" s="2" t="s">
        <v>23</v>
      </c>
      <c r="O942">
        <f t="shared" si="28"/>
        <v>2.7379999999999995</v>
      </c>
      <c r="P942">
        <f t="shared" si="29"/>
        <v>85.163000000000082</v>
      </c>
    </row>
    <row r="943" spans="1:16" x14ac:dyDescent="0.35">
      <c r="A943" s="9" t="s">
        <v>493</v>
      </c>
      <c r="B943" s="2">
        <v>184.44</v>
      </c>
      <c r="C943" s="2">
        <v>186.6</v>
      </c>
      <c r="D943" s="2">
        <v>184.04</v>
      </c>
      <c r="E943" s="2">
        <v>184.76</v>
      </c>
      <c r="F943" s="2">
        <v>23704056</v>
      </c>
      <c r="G943" s="2" t="s">
        <v>558</v>
      </c>
      <c r="H943" s="2" t="s">
        <v>559</v>
      </c>
      <c r="I943" s="2" t="s">
        <v>560</v>
      </c>
      <c r="J943" s="4">
        <v>-0.2</v>
      </c>
      <c r="K943" s="2" t="s">
        <v>492</v>
      </c>
      <c r="L943" s="2">
        <v>2024</v>
      </c>
      <c r="M943" s="2" t="s">
        <v>227</v>
      </c>
      <c r="N943" s="2" t="s">
        <v>23</v>
      </c>
      <c r="O943">
        <f t="shared" si="28"/>
        <v>2.5600000000000023</v>
      </c>
      <c r="P943">
        <f t="shared" si="29"/>
        <v>84.963000000000079</v>
      </c>
    </row>
    <row r="944" spans="1:16" x14ac:dyDescent="0.35">
      <c r="A944" s="9" t="s">
        <v>494</v>
      </c>
      <c r="B944" s="2">
        <v>183.04499999999999</v>
      </c>
      <c r="C944" s="2">
        <v>183.44</v>
      </c>
      <c r="D944" s="2">
        <v>180.875</v>
      </c>
      <c r="E944" s="2">
        <v>181.96</v>
      </c>
      <c r="F944" s="2">
        <v>30204302</v>
      </c>
      <c r="G944" s="2" t="s">
        <v>558</v>
      </c>
      <c r="H944" s="2" t="s">
        <v>559</v>
      </c>
      <c r="I944" s="2" t="s">
        <v>560</v>
      </c>
      <c r="J944" s="4">
        <v>-1.5149999999999999</v>
      </c>
      <c r="K944" s="2" t="s">
        <v>492</v>
      </c>
      <c r="L944" s="2">
        <v>2024</v>
      </c>
      <c r="M944" s="2" t="s">
        <v>227</v>
      </c>
      <c r="N944" s="2" t="s">
        <v>23</v>
      </c>
      <c r="O944">
        <f t="shared" si="28"/>
        <v>2.5649999999999977</v>
      </c>
      <c r="P944">
        <f t="shared" si="29"/>
        <v>83.448000000000079</v>
      </c>
    </row>
    <row r="945" spans="1:16" x14ac:dyDescent="0.35">
      <c r="A945" s="9" t="s">
        <v>495</v>
      </c>
      <c r="B945" s="2">
        <v>185.75</v>
      </c>
      <c r="C945" s="2">
        <v>187.6</v>
      </c>
      <c r="D945" s="2">
        <v>183.6</v>
      </c>
      <c r="E945" s="2">
        <v>186.51</v>
      </c>
      <c r="F945" s="2">
        <v>41079011</v>
      </c>
      <c r="G945" s="2" t="s">
        <v>558</v>
      </c>
      <c r="H945" s="2" t="s">
        <v>559</v>
      </c>
      <c r="I945" s="2" t="s">
        <v>560</v>
      </c>
      <c r="J945" s="3">
        <v>2.5009999999999999</v>
      </c>
      <c r="K945" s="2" t="s">
        <v>492</v>
      </c>
      <c r="L945" s="2">
        <v>2024</v>
      </c>
      <c r="M945" s="2" t="s">
        <v>227</v>
      </c>
      <c r="N945" s="2" t="s">
        <v>21</v>
      </c>
      <c r="O945">
        <f t="shared" si="28"/>
        <v>4</v>
      </c>
      <c r="P945">
        <f t="shared" si="29"/>
        <v>85.949000000000083</v>
      </c>
    </row>
    <row r="946" spans="1:16" x14ac:dyDescent="0.35">
      <c r="A946" s="9" t="s">
        <v>496</v>
      </c>
      <c r="B946" s="2">
        <v>182.95</v>
      </c>
      <c r="C946" s="2">
        <v>183.6</v>
      </c>
      <c r="D946" s="2">
        <v>180.25</v>
      </c>
      <c r="E946" s="2">
        <v>180.8</v>
      </c>
      <c r="F946" s="2">
        <v>42364201</v>
      </c>
      <c r="G946" s="2" t="s">
        <v>558</v>
      </c>
      <c r="H946" s="2" t="s">
        <v>559</v>
      </c>
      <c r="I946" s="2" t="s">
        <v>560</v>
      </c>
      <c r="J946" s="4">
        <v>-3.0609999999999999</v>
      </c>
      <c r="K946" s="2" t="s">
        <v>492</v>
      </c>
      <c r="L946" s="2">
        <v>2024</v>
      </c>
      <c r="M946" s="2" t="s">
        <v>227</v>
      </c>
      <c r="N946" s="2" t="s">
        <v>23</v>
      </c>
      <c r="O946">
        <f t="shared" si="28"/>
        <v>3.3499999999999943</v>
      </c>
      <c r="P946">
        <f t="shared" si="29"/>
        <v>82.88800000000009</v>
      </c>
    </row>
    <row r="947" spans="1:16" x14ac:dyDescent="0.35">
      <c r="A947" s="9" t="s">
        <v>497</v>
      </c>
      <c r="B947" s="2">
        <v>181.91499999999999</v>
      </c>
      <c r="C947" s="2">
        <v>183.09</v>
      </c>
      <c r="D947" s="2">
        <v>180.92</v>
      </c>
      <c r="E947" s="2">
        <v>182.72</v>
      </c>
      <c r="F947" s="2">
        <v>26372086</v>
      </c>
      <c r="G947" s="2" t="s">
        <v>558</v>
      </c>
      <c r="H947" s="2" t="s">
        <v>559</v>
      </c>
      <c r="I947" s="2" t="s">
        <v>560</v>
      </c>
      <c r="J947" s="3">
        <v>1.0620000000000001</v>
      </c>
      <c r="K947" s="2" t="s">
        <v>492</v>
      </c>
      <c r="L947" s="2">
        <v>2024</v>
      </c>
      <c r="M947" s="2" t="s">
        <v>227</v>
      </c>
      <c r="N947" s="2" t="s">
        <v>21</v>
      </c>
      <c r="O947">
        <f t="shared" si="28"/>
        <v>2.1700000000000159</v>
      </c>
      <c r="P947">
        <f t="shared" si="29"/>
        <v>83.950000000000088</v>
      </c>
    </row>
    <row r="948" spans="1:16" x14ac:dyDescent="0.35">
      <c r="A948" s="9" t="s">
        <v>498</v>
      </c>
      <c r="B948" s="2">
        <v>182.82</v>
      </c>
      <c r="C948" s="2">
        <v>185.845</v>
      </c>
      <c r="D948" s="2">
        <v>182.05</v>
      </c>
      <c r="E948" s="2">
        <v>185.17</v>
      </c>
      <c r="F948" s="2">
        <v>26343117</v>
      </c>
      <c r="G948" s="2" t="s">
        <v>558</v>
      </c>
      <c r="H948" s="2" t="s">
        <v>559</v>
      </c>
      <c r="I948" s="2" t="s">
        <v>560</v>
      </c>
      <c r="J948" s="3">
        <v>1.341</v>
      </c>
      <c r="K948" s="2" t="s">
        <v>492</v>
      </c>
      <c r="L948" s="2">
        <v>2024</v>
      </c>
      <c r="M948" s="2" t="s">
        <v>227</v>
      </c>
      <c r="N948" s="2" t="s">
        <v>21</v>
      </c>
      <c r="O948">
        <f t="shared" si="28"/>
        <v>3.7949999999999875</v>
      </c>
      <c r="P948">
        <f t="shared" si="29"/>
        <v>85.291000000000082</v>
      </c>
    </row>
    <row r="949" spans="1:16" x14ac:dyDescent="0.35">
      <c r="A949" s="9" t="s">
        <v>499</v>
      </c>
      <c r="B949" s="2">
        <v>187.13</v>
      </c>
      <c r="C949" s="2">
        <v>188.13399999999999</v>
      </c>
      <c r="D949" s="2">
        <v>185.83</v>
      </c>
      <c r="E949" s="2">
        <v>186.65</v>
      </c>
      <c r="F949" s="2">
        <v>27785043</v>
      </c>
      <c r="G949" s="2" t="s">
        <v>558</v>
      </c>
      <c r="H949" s="2" t="s">
        <v>559</v>
      </c>
      <c r="I949" s="2" t="s">
        <v>560</v>
      </c>
      <c r="J949" s="3">
        <v>0.79900000000000004</v>
      </c>
      <c r="K949" s="2" t="s">
        <v>492</v>
      </c>
      <c r="L949" s="2">
        <v>2024</v>
      </c>
      <c r="M949" s="2" t="s">
        <v>227</v>
      </c>
      <c r="N949" s="2" t="s">
        <v>21</v>
      </c>
      <c r="O949">
        <f t="shared" si="28"/>
        <v>2.3039999999999736</v>
      </c>
      <c r="P949">
        <f t="shared" si="29"/>
        <v>86.090000000000089</v>
      </c>
    </row>
    <row r="950" spans="1:16" x14ac:dyDescent="0.35">
      <c r="A950" s="9" t="s">
        <v>500</v>
      </c>
      <c r="B950" s="2">
        <v>186.63</v>
      </c>
      <c r="C950" s="2">
        <v>189.928</v>
      </c>
      <c r="D950" s="2">
        <v>186.3</v>
      </c>
      <c r="E950" s="2">
        <v>188.82</v>
      </c>
      <c r="F950" s="2">
        <v>25751557</v>
      </c>
      <c r="G950" s="2" t="s">
        <v>558</v>
      </c>
      <c r="H950" s="2" t="s">
        <v>559</v>
      </c>
      <c r="I950" s="2" t="s">
        <v>560</v>
      </c>
      <c r="J950" s="3">
        <v>1.163</v>
      </c>
      <c r="K950" s="2" t="s">
        <v>492</v>
      </c>
      <c r="L950" s="2">
        <v>2024</v>
      </c>
      <c r="M950" s="2" t="s">
        <v>227</v>
      </c>
      <c r="N950" s="2" t="s">
        <v>21</v>
      </c>
      <c r="O950">
        <f t="shared" si="28"/>
        <v>3.6279999999999859</v>
      </c>
      <c r="P950">
        <f t="shared" si="29"/>
        <v>87.253000000000085</v>
      </c>
    </row>
    <row r="951" spans="1:16" x14ac:dyDescent="0.35">
      <c r="A951" s="9" t="s">
        <v>501</v>
      </c>
      <c r="B951" s="2">
        <v>189.78</v>
      </c>
      <c r="C951" s="2">
        <v>189.83</v>
      </c>
      <c r="D951" s="2">
        <v>187.36</v>
      </c>
      <c r="E951" s="2">
        <v>187.54</v>
      </c>
      <c r="F951" s="2">
        <v>22614407</v>
      </c>
      <c r="G951" s="2" t="s">
        <v>558</v>
      </c>
      <c r="H951" s="2" t="s">
        <v>559</v>
      </c>
      <c r="I951" s="2" t="s">
        <v>560</v>
      </c>
      <c r="J951" s="4">
        <v>-0.67800000000000005</v>
      </c>
      <c r="K951" s="2" t="s">
        <v>492</v>
      </c>
      <c r="L951" s="2">
        <v>2024</v>
      </c>
      <c r="M951" s="2" t="s">
        <v>227</v>
      </c>
      <c r="N951" s="2" t="s">
        <v>23</v>
      </c>
      <c r="O951">
        <f t="shared" si="28"/>
        <v>2.4699999999999989</v>
      </c>
      <c r="P951">
        <f t="shared" si="29"/>
        <v>86.575000000000088</v>
      </c>
    </row>
    <row r="952" spans="1:16" x14ac:dyDescent="0.35">
      <c r="A952" s="9" t="s">
        <v>502</v>
      </c>
      <c r="B952" s="2">
        <v>187.63</v>
      </c>
      <c r="C952" s="2">
        <v>188.41</v>
      </c>
      <c r="D952" s="2">
        <v>184.58</v>
      </c>
      <c r="E952" s="2">
        <v>187.69</v>
      </c>
      <c r="F952" s="2">
        <v>32178925</v>
      </c>
      <c r="G952" s="2" t="s">
        <v>558</v>
      </c>
      <c r="H952" s="2" t="s">
        <v>559</v>
      </c>
      <c r="I952" s="2" t="s">
        <v>560</v>
      </c>
      <c r="J952" s="3">
        <v>0.08</v>
      </c>
      <c r="K952" s="2" t="s">
        <v>492</v>
      </c>
      <c r="L952" s="2">
        <v>2024</v>
      </c>
      <c r="M952" s="2" t="s">
        <v>227</v>
      </c>
      <c r="N952" s="2" t="s">
        <v>21</v>
      </c>
      <c r="O952">
        <f t="shared" si="28"/>
        <v>3.8299999999999841</v>
      </c>
      <c r="P952">
        <f t="shared" si="29"/>
        <v>86.655000000000086</v>
      </c>
    </row>
    <row r="953" spans="1:16" x14ac:dyDescent="0.35">
      <c r="A953" s="9" t="s">
        <v>503</v>
      </c>
      <c r="B953" s="2">
        <v>187.05</v>
      </c>
      <c r="C953" s="2">
        <v>187.78</v>
      </c>
      <c r="D953" s="2">
        <v>185.61</v>
      </c>
      <c r="E953" s="2">
        <v>186.89</v>
      </c>
      <c r="F953" s="2">
        <v>23456812</v>
      </c>
      <c r="G953" s="2" t="s">
        <v>558</v>
      </c>
      <c r="H953" s="2" t="s">
        <v>559</v>
      </c>
      <c r="I953" s="2" t="s">
        <v>560</v>
      </c>
      <c r="J953" s="4">
        <v>-0.42599999999999999</v>
      </c>
      <c r="K953" s="2" t="s">
        <v>492</v>
      </c>
      <c r="L953" s="2">
        <v>2024</v>
      </c>
      <c r="M953" s="2" t="s">
        <v>227</v>
      </c>
      <c r="N953" s="2" t="s">
        <v>23</v>
      </c>
      <c r="O953">
        <f t="shared" si="28"/>
        <v>2.1699999999999875</v>
      </c>
      <c r="P953">
        <f t="shared" si="29"/>
        <v>86.229000000000084</v>
      </c>
    </row>
    <row r="954" spans="1:16" x14ac:dyDescent="0.35">
      <c r="A954" s="9" t="s">
        <v>504</v>
      </c>
      <c r="B954" s="2">
        <v>188.22</v>
      </c>
      <c r="C954" s="2">
        <v>188.94</v>
      </c>
      <c r="D954" s="2">
        <v>186</v>
      </c>
      <c r="E954" s="2">
        <v>187.53</v>
      </c>
      <c r="F954" s="2">
        <v>25039414</v>
      </c>
      <c r="G954" s="2" t="s">
        <v>558</v>
      </c>
      <c r="H954" s="2" t="s">
        <v>559</v>
      </c>
      <c r="I954" s="2" t="s">
        <v>560</v>
      </c>
      <c r="J954" s="3">
        <v>0.34200000000000003</v>
      </c>
      <c r="K954" s="2" t="s">
        <v>492</v>
      </c>
      <c r="L954" s="2">
        <v>2024</v>
      </c>
      <c r="M954" s="2" t="s">
        <v>227</v>
      </c>
      <c r="N954" s="2" t="s">
        <v>21</v>
      </c>
      <c r="O954">
        <f t="shared" si="28"/>
        <v>2.9399999999999977</v>
      </c>
      <c r="P954">
        <f t="shared" si="29"/>
        <v>86.571000000000083</v>
      </c>
    </row>
    <row r="955" spans="1:16" x14ac:dyDescent="0.35">
      <c r="A955" s="9" t="s">
        <v>505</v>
      </c>
      <c r="B955" s="2">
        <v>187.15</v>
      </c>
      <c r="C955" s="2">
        <v>190.74</v>
      </c>
      <c r="D955" s="2">
        <v>186.28</v>
      </c>
      <c r="E955" s="2">
        <v>188.99</v>
      </c>
      <c r="F955" s="2">
        <v>37417670</v>
      </c>
      <c r="G955" s="2" t="s">
        <v>558</v>
      </c>
      <c r="H955" s="2" t="s">
        <v>559</v>
      </c>
      <c r="I955" s="2" t="s">
        <v>560</v>
      </c>
      <c r="J955" s="3">
        <v>0.77900000000000003</v>
      </c>
      <c r="K955" s="2" t="s">
        <v>492</v>
      </c>
      <c r="L955" s="2">
        <v>2024</v>
      </c>
      <c r="M955" s="2" t="s">
        <v>227</v>
      </c>
      <c r="N955" s="2" t="s">
        <v>21</v>
      </c>
      <c r="O955">
        <f t="shared" si="28"/>
        <v>4.460000000000008</v>
      </c>
      <c r="P955">
        <f t="shared" si="29"/>
        <v>87.35000000000008</v>
      </c>
    </row>
    <row r="956" spans="1:16" x14ac:dyDescent="0.35">
      <c r="A956" s="9" t="s">
        <v>506</v>
      </c>
      <c r="B956" s="2">
        <v>188.05</v>
      </c>
      <c r="C956" s="2">
        <v>189.46</v>
      </c>
      <c r="D956" s="2">
        <v>186.4</v>
      </c>
      <c r="E956" s="2">
        <v>189.07</v>
      </c>
      <c r="F956" s="2">
        <v>24639393</v>
      </c>
      <c r="G956" s="2" t="s">
        <v>558</v>
      </c>
      <c r="H956" s="2" t="s">
        <v>559</v>
      </c>
      <c r="I956" s="2" t="s">
        <v>560</v>
      </c>
      <c r="J956" s="3">
        <v>4.2000000000000003E-2</v>
      </c>
      <c r="K956" s="2" t="s">
        <v>492</v>
      </c>
      <c r="L956" s="2">
        <v>2024</v>
      </c>
      <c r="M956" s="2" t="s">
        <v>227</v>
      </c>
      <c r="N956" s="2" t="s">
        <v>21</v>
      </c>
      <c r="O956">
        <f t="shared" si="28"/>
        <v>3.0600000000000023</v>
      </c>
      <c r="P956">
        <f t="shared" si="29"/>
        <v>87.392000000000081</v>
      </c>
    </row>
    <row r="957" spans="1:16" x14ac:dyDescent="0.35">
      <c r="A957" s="9" t="s">
        <v>507</v>
      </c>
      <c r="B957" s="2">
        <v>188.35</v>
      </c>
      <c r="C957" s="2">
        <v>191.52</v>
      </c>
      <c r="D957" s="2">
        <v>186.97499999999999</v>
      </c>
      <c r="E957" s="2">
        <v>189.7</v>
      </c>
      <c r="F957" s="2">
        <v>29650593</v>
      </c>
      <c r="G957" s="2" t="s">
        <v>558</v>
      </c>
      <c r="H957" s="2" t="s">
        <v>559</v>
      </c>
      <c r="I957" s="2" t="s">
        <v>560</v>
      </c>
      <c r="J957" s="3">
        <v>0.33300000000000002</v>
      </c>
      <c r="K957" s="2" t="s">
        <v>492</v>
      </c>
      <c r="L957" s="2">
        <v>2024</v>
      </c>
      <c r="M957" s="2" t="s">
        <v>227</v>
      </c>
      <c r="N957" s="2" t="s">
        <v>21</v>
      </c>
      <c r="O957">
        <f t="shared" si="28"/>
        <v>4.5450000000000159</v>
      </c>
      <c r="P957">
        <f t="shared" si="29"/>
        <v>87.72500000000008</v>
      </c>
    </row>
    <row r="958" spans="1:16" x14ac:dyDescent="0.35">
      <c r="A958" s="9" t="s">
        <v>508</v>
      </c>
      <c r="B958" s="2">
        <v>188.85</v>
      </c>
      <c r="C958" s="2">
        <v>189.16</v>
      </c>
      <c r="D958" s="2">
        <v>183.69</v>
      </c>
      <c r="E958" s="2">
        <v>184.71</v>
      </c>
      <c r="F958" s="2">
        <v>31937089</v>
      </c>
      <c r="G958" s="2" t="s">
        <v>558</v>
      </c>
      <c r="H958" s="2" t="s">
        <v>559</v>
      </c>
      <c r="I958" s="2" t="s">
        <v>560</v>
      </c>
      <c r="J958" s="4">
        <v>-2.63</v>
      </c>
      <c r="K958" s="2" t="s">
        <v>492</v>
      </c>
      <c r="L958" s="2">
        <v>2024</v>
      </c>
      <c r="M958" s="2" t="s">
        <v>227</v>
      </c>
      <c r="N958" s="2" t="s">
        <v>23</v>
      </c>
      <c r="O958">
        <f t="shared" si="28"/>
        <v>5.4699999999999989</v>
      </c>
      <c r="P958">
        <f t="shared" si="29"/>
        <v>85.095000000000084</v>
      </c>
    </row>
    <row r="959" spans="1:16" x14ac:dyDescent="0.35">
      <c r="A959" s="9" t="s">
        <v>509</v>
      </c>
      <c r="B959" s="2">
        <v>185.25</v>
      </c>
      <c r="C959" s="2">
        <v>187.11</v>
      </c>
      <c r="D959" s="2">
        <v>183.86</v>
      </c>
      <c r="E959" s="2">
        <v>186.38</v>
      </c>
      <c r="F959" s="2">
        <v>21647395</v>
      </c>
      <c r="G959" s="2" t="s">
        <v>558</v>
      </c>
      <c r="H959" s="2" t="s">
        <v>559</v>
      </c>
      <c r="I959" s="2" t="s">
        <v>560</v>
      </c>
      <c r="J959" s="3">
        <v>0.90400000000000003</v>
      </c>
      <c r="K959" s="2" t="s">
        <v>492</v>
      </c>
      <c r="L959" s="2">
        <v>2024</v>
      </c>
      <c r="M959" s="2" t="s">
        <v>227</v>
      </c>
      <c r="N959" s="2" t="s">
        <v>21</v>
      </c>
      <c r="O959">
        <f t="shared" si="28"/>
        <v>3.25</v>
      </c>
      <c r="P959">
        <f t="shared" si="29"/>
        <v>85.99900000000008</v>
      </c>
    </row>
    <row r="960" spans="1:16" x14ac:dyDescent="0.35">
      <c r="A960" s="9" t="s">
        <v>510</v>
      </c>
      <c r="B960" s="2">
        <v>187.85</v>
      </c>
      <c r="C960" s="2">
        <v>190.45</v>
      </c>
      <c r="D960" s="2">
        <v>187.53</v>
      </c>
      <c r="E960" s="2">
        <v>187.83</v>
      </c>
      <c r="F960" s="2">
        <v>29362060</v>
      </c>
      <c r="G960" s="2" t="s">
        <v>558</v>
      </c>
      <c r="H960" s="2" t="s">
        <v>559</v>
      </c>
      <c r="I960" s="2" t="s">
        <v>560</v>
      </c>
      <c r="J960" s="3">
        <v>0.77800000000000002</v>
      </c>
      <c r="K960" s="2" t="s">
        <v>492</v>
      </c>
      <c r="L960" s="2">
        <v>2024</v>
      </c>
      <c r="M960" s="2" t="s">
        <v>227</v>
      </c>
      <c r="N960" s="2" t="s">
        <v>21</v>
      </c>
      <c r="O960">
        <f t="shared" si="28"/>
        <v>2.9199999999999875</v>
      </c>
      <c r="P960">
        <f t="shared" si="29"/>
        <v>86.777000000000086</v>
      </c>
    </row>
    <row r="961" spans="1:16" x14ac:dyDescent="0.35">
      <c r="A961" s="9" t="s">
        <v>511</v>
      </c>
      <c r="B961" s="2">
        <v>189.565</v>
      </c>
      <c r="C961" s="2">
        <v>190.21</v>
      </c>
      <c r="D961" s="2">
        <v>188.21</v>
      </c>
      <c r="E961" s="2">
        <v>188.39</v>
      </c>
      <c r="F961" s="2">
        <v>27930836</v>
      </c>
      <c r="G961" s="2" t="s">
        <v>558</v>
      </c>
      <c r="H961" s="2" t="s">
        <v>559</v>
      </c>
      <c r="I961" s="2" t="s">
        <v>560</v>
      </c>
      <c r="J961" s="3">
        <v>0.29799999999999999</v>
      </c>
      <c r="K961" s="2" t="s">
        <v>492</v>
      </c>
      <c r="L961" s="2">
        <v>2024</v>
      </c>
      <c r="M961" s="2" t="s">
        <v>227</v>
      </c>
      <c r="N961" s="2" t="s">
        <v>21</v>
      </c>
      <c r="O961">
        <f t="shared" si="28"/>
        <v>2</v>
      </c>
      <c r="P961">
        <f t="shared" si="29"/>
        <v>87.075000000000088</v>
      </c>
    </row>
    <row r="962" spans="1:16" x14ac:dyDescent="0.35">
      <c r="A962" s="9" t="s">
        <v>512</v>
      </c>
      <c r="B962" s="2">
        <v>188.58</v>
      </c>
      <c r="C962" s="2">
        <v>191.46</v>
      </c>
      <c r="D962" s="2">
        <v>187.815</v>
      </c>
      <c r="E962" s="2">
        <v>190.83</v>
      </c>
      <c r="F962" s="2">
        <v>35690158</v>
      </c>
      <c r="G962" s="2" t="s">
        <v>558</v>
      </c>
      <c r="H962" s="2" t="s">
        <v>559</v>
      </c>
      <c r="I962" s="2" t="s">
        <v>560</v>
      </c>
      <c r="J962" s="3">
        <v>1.2949999999999999</v>
      </c>
      <c r="K962" s="2" t="s">
        <v>492</v>
      </c>
      <c r="L962" s="2">
        <v>2024</v>
      </c>
      <c r="M962" s="2" t="s">
        <v>227</v>
      </c>
      <c r="N962" s="2" t="s">
        <v>21</v>
      </c>
      <c r="O962">
        <f t="shared" si="28"/>
        <v>3.6450000000000102</v>
      </c>
      <c r="P962">
        <f t="shared" si="29"/>
        <v>88.37000000000009</v>
      </c>
    </row>
    <row r="963" spans="1:16" x14ac:dyDescent="0.35">
      <c r="A963" s="9" t="s">
        <v>513</v>
      </c>
      <c r="B963" s="2">
        <v>194.69499999999999</v>
      </c>
      <c r="C963" s="2">
        <v>195.61</v>
      </c>
      <c r="D963" s="2">
        <v>192.42</v>
      </c>
      <c r="E963" s="2">
        <v>192.73</v>
      </c>
      <c r="F963" s="2">
        <v>37707550</v>
      </c>
      <c r="G963" s="2" t="s">
        <v>558</v>
      </c>
      <c r="H963" s="2" t="s">
        <v>559</v>
      </c>
      <c r="I963" s="2" t="s">
        <v>560</v>
      </c>
      <c r="J963" s="3">
        <v>0.996</v>
      </c>
      <c r="K963" s="2" t="s">
        <v>492</v>
      </c>
      <c r="L963" s="2">
        <v>2024</v>
      </c>
      <c r="M963" s="2" t="s">
        <v>227</v>
      </c>
      <c r="N963" s="2" t="s">
        <v>21</v>
      </c>
      <c r="O963">
        <f t="shared" ref="O963:O1026" si="30">C963-D963</f>
        <v>3.1900000000000261</v>
      </c>
      <c r="P963">
        <f t="shared" si="29"/>
        <v>89.366000000000085</v>
      </c>
    </row>
    <row r="964" spans="1:16" x14ac:dyDescent="0.35">
      <c r="A964" s="9" t="s">
        <v>514</v>
      </c>
      <c r="B964" s="2">
        <v>190.51</v>
      </c>
      <c r="C964" s="2">
        <v>190.6</v>
      </c>
      <c r="D964" s="2">
        <v>185.23</v>
      </c>
      <c r="E964" s="2">
        <v>186.4</v>
      </c>
      <c r="F964" s="2">
        <v>75146759</v>
      </c>
      <c r="G964" s="2" t="s">
        <v>558</v>
      </c>
      <c r="H964" s="2" t="s">
        <v>559</v>
      </c>
      <c r="I964" s="2" t="s">
        <v>560</v>
      </c>
      <c r="J964" s="4">
        <v>-3.2839999999999998</v>
      </c>
      <c r="K964" s="2" t="s">
        <v>492</v>
      </c>
      <c r="L964" s="2">
        <v>2024</v>
      </c>
      <c r="M964" s="2" t="s">
        <v>227</v>
      </c>
      <c r="N964" s="2" t="s">
        <v>23</v>
      </c>
      <c r="O964">
        <f t="shared" si="30"/>
        <v>5.3700000000000045</v>
      </c>
      <c r="P964">
        <f t="shared" ref="P964:P1027" si="31">IF(G964=G963, P963+J964, J964)</f>
        <v>86.082000000000079</v>
      </c>
    </row>
    <row r="965" spans="1:16" x14ac:dyDescent="0.35">
      <c r="A965" s="9" t="s">
        <v>515</v>
      </c>
      <c r="B965" s="2">
        <v>198.86</v>
      </c>
      <c r="C965" s="2">
        <v>200.5</v>
      </c>
      <c r="D965" s="2">
        <v>197.02</v>
      </c>
      <c r="E965" s="2">
        <v>197.93</v>
      </c>
      <c r="F965" s="2">
        <v>99687847</v>
      </c>
      <c r="G965" s="2" t="s">
        <v>558</v>
      </c>
      <c r="H965" s="2" t="s">
        <v>559</v>
      </c>
      <c r="I965" s="2" t="s">
        <v>560</v>
      </c>
      <c r="J965" s="3">
        <v>6.1859999999999999</v>
      </c>
      <c r="K965" s="2" t="s">
        <v>516</v>
      </c>
      <c r="L965" s="2">
        <v>2024</v>
      </c>
      <c r="M965" s="2" t="s">
        <v>251</v>
      </c>
      <c r="N965" s="2" t="s">
        <v>21</v>
      </c>
      <c r="O965">
        <f t="shared" si="30"/>
        <v>3.4799999999999898</v>
      </c>
      <c r="P965">
        <f t="shared" si="31"/>
        <v>92.268000000000086</v>
      </c>
    </row>
    <row r="966" spans="1:16" x14ac:dyDescent="0.35">
      <c r="A966" s="9" t="s">
        <v>517</v>
      </c>
      <c r="B966" s="2">
        <v>196.45</v>
      </c>
      <c r="C966" s="2">
        <v>197.33</v>
      </c>
      <c r="D966" s="2">
        <v>194.31</v>
      </c>
      <c r="E966" s="2">
        <v>195.78</v>
      </c>
      <c r="F966" s="2">
        <v>38492062</v>
      </c>
      <c r="G966" s="2" t="s">
        <v>558</v>
      </c>
      <c r="H966" s="2" t="s">
        <v>559</v>
      </c>
      <c r="I966" s="2" t="s">
        <v>560</v>
      </c>
      <c r="J966" s="4">
        <v>-1.0860000000000001</v>
      </c>
      <c r="K966" s="2" t="s">
        <v>516</v>
      </c>
      <c r="L966" s="2">
        <v>2024</v>
      </c>
      <c r="M966" s="2" t="s">
        <v>251</v>
      </c>
      <c r="N966" s="2" t="s">
        <v>23</v>
      </c>
      <c r="O966">
        <f t="shared" si="30"/>
        <v>3.0200000000000102</v>
      </c>
      <c r="P966">
        <f t="shared" si="31"/>
        <v>91.182000000000087</v>
      </c>
    </row>
    <row r="967" spans="1:16" x14ac:dyDescent="0.35">
      <c r="A967" s="9" t="s">
        <v>518</v>
      </c>
      <c r="B967" s="2">
        <v>196.04</v>
      </c>
      <c r="C967" s="2">
        <v>199.82</v>
      </c>
      <c r="D967" s="2">
        <v>195.99</v>
      </c>
      <c r="E967" s="2">
        <v>199.5</v>
      </c>
      <c r="F967" s="2">
        <v>30564784</v>
      </c>
      <c r="G967" s="2" t="s">
        <v>558</v>
      </c>
      <c r="H967" s="2" t="s">
        <v>559</v>
      </c>
      <c r="I967" s="2" t="s">
        <v>560</v>
      </c>
      <c r="J967" s="3">
        <v>1.9</v>
      </c>
      <c r="K967" s="2" t="s">
        <v>516</v>
      </c>
      <c r="L967" s="2">
        <v>2024</v>
      </c>
      <c r="M967" s="2" t="s">
        <v>251</v>
      </c>
      <c r="N967" s="2" t="s">
        <v>21</v>
      </c>
      <c r="O967">
        <f t="shared" si="30"/>
        <v>3.8299999999999841</v>
      </c>
      <c r="P967">
        <f t="shared" si="31"/>
        <v>93.082000000000093</v>
      </c>
    </row>
    <row r="968" spans="1:16" x14ac:dyDescent="0.35">
      <c r="A968" s="9" t="s">
        <v>519</v>
      </c>
      <c r="B968" s="2">
        <v>200.01</v>
      </c>
      <c r="C968" s="2">
        <v>207.55</v>
      </c>
      <c r="D968" s="2">
        <v>199.14</v>
      </c>
      <c r="E968" s="2">
        <v>207.09</v>
      </c>
      <c r="F968" s="2">
        <v>72292167</v>
      </c>
      <c r="G968" s="2" t="s">
        <v>558</v>
      </c>
      <c r="H968" s="2" t="s">
        <v>559</v>
      </c>
      <c r="I968" s="2" t="s">
        <v>560</v>
      </c>
      <c r="J968" s="3">
        <v>3.8050000000000002</v>
      </c>
      <c r="K968" s="2" t="s">
        <v>516</v>
      </c>
      <c r="L968" s="2">
        <v>2024</v>
      </c>
      <c r="M968" s="2" t="s">
        <v>251</v>
      </c>
      <c r="N968" s="2" t="s">
        <v>21</v>
      </c>
      <c r="O968">
        <f t="shared" si="30"/>
        <v>8.410000000000025</v>
      </c>
      <c r="P968">
        <f t="shared" si="31"/>
        <v>96.8870000000001</v>
      </c>
    </row>
    <row r="969" spans="1:16" x14ac:dyDescent="0.35">
      <c r="A969" s="9" t="s">
        <v>520</v>
      </c>
      <c r="B969" s="2">
        <v>207.44</v>
      </c>
      <c r="C969" s="2">
        <v>212.25</v>
      </c>
      <c r="D969" s="2">
        <v>207.19</v>
      </c>
      <c r="E969" s="2">
        <v>210.05</v>
      </c>
      <c r="F969" s="2">
        <v>52878383</v>
      </c>
      <c r="G969" s="2" t="s">
        <v>558</v>
      </c>
      <c r="H969" s="2" t="s">
        <v>559</v>
      </c>
      <c r="I969" s="2" t="s">
        <v>560</v>
      </c>
      <c r="J969" s="3">
        <v>1.429</v>
      </c>
      <c r="K969" s="2" t="s">
        <v>516</v>
      </c>
      <c r="L969" s="2">
        <v>2024</v>
      </c>
      <c r="M969" s="2" t="s">
        <v>251</v>
      </c>
      <c r="N969" s="2" t="s">
        <v>21</v>
      </c>
      <c r="O969">
        <f t="shared" si="30"/>
        <v>5.0600000000000023</v>
      </c>
      <c r="P969">
        <f t="shared" si="31"/>
        <v>98.316000000000102</v>
      </c>
    </row>
    <row r="970" spans="1:16" x14ac:dyDescent="0.35">
      <c r="A970" s="9" t="s">
        <v>521</v>
      </c>
      <c r="B970" s="2">
        <v>209.72</v>
      </c>
      <c r="C970" s="2">
        <v>209.96299999999999</v>
      </c>
      <c r="D970" s="2">
        <v>207.44</v>
      </c>
      <c r="E970" s="2">
        <v>208.18</v>
      </c>
      <c r="F970" s="2">
        <v>36075846</v>
      </c>
      <c r="G970" s="2" t="s">
        <v>558</v>
      </c>
      <c r="H970" s="2" t="s">
        <v>559</v>
      </c>
      <c r="I970" s="2" t="s">
        <v>560</v>
      </c>
      <c r="J970" s="4">
        <v>-0.89</v>
      </c>
      <c r="K970" s="2" t="s">
        <v>516</v>
      </c>
      <c r="L970" s="2">
        <v>2024</v>
      </c>
      <c r="M970" s="2" t="s">
        <v>251</v>
      </c>
      <c r="N970" s="2" t="s">
        <v>23</v>
      </c>
      <c r="O970">
        <f t="shared" si="30"/>
        <v>2.5229999999999961</v>
      </c>
      <c r="P970">
        <f t="shared" si="31"/>
        <v>97.426000000000101</v>
      </c>
    </row>
    <row r="971" spans="1:16" x14ac:dyDescent="0.35">
      <c r="A971" s="9" t="s">
        <v>522</v>
      </c>
      <c r="B971" s="2">
        <v>208.5</v>
      </c>
      <c r="C971" s="2">
        <v>209.65</v>
      </c>
      <c r="D971" s="2">
        <v>205.59</v>
      </c>
      <c r="E971" s="2">
        <v>206.84</v>
      </c>
      <c r="F971" s="2">
        <v>35456012</v>
      </c>
      <c r="G971" s="2" t="s">
        <v>558</v>
      </c>
      <c r="H971" s="2" t="s">
        <v>559</v>
      </c>
      <c r="I971" s="2" t="s">
        <v>560</v>
      </c>
      <c r="J971" s="4">
        <v>-0.64400000000000002</v>
      </c>
      <c r="K971" s="2" t="s">
        <v>516</v>
      </c>
      <c r="L971" s="2">
        <v>2024</v>
      </c>
      <c r="M971" s="2" t="s">
        <v>251</v>
      </c>
      <c r="N971" s="2" t="s">
        <v>23</v>
      </c>
      <c r="O971">
        <f t="shared" si="30"/>
        <v>4.0600000000000023</v>
      </c>
      <c r="P971">
        <f t="shared" si="31"/>
        <v>96.782000000000096</v>
      </c>
    </row>
    <row r="972" spans="1:16" x14ac:dyDescent="0.35">
      <c r="A972" s="9" t="s">
        <v>523</v>
      </c>
      <c r="B972" s="2">
        <v>208.37</v>
      </c>
      <c r="C972" s="2">
        <v>209.54</v>
      </c>
      <c r="D972" s="2">
        <v>206.01</v>
      </c>
      <c r="E972" s="2">
        <v>208.91</v>
      </c>
      <c r="F972" s="2">
        <v>38942918</v>
      </c>
      <c r="G972" s="2" t="s">
        <v>558</v>
      </c>
      <c r="H972" s="2" t="s">
        <v>559</v>
      </c>
      <c r="I972" s="2" t="s">
        <v>560</v>
      </c>
      <c r="J972" s="3">
        <v>1.0009999999999999</v>
      </c>
      <c r="K972" s="2" t="s">
        <v>516</v>
      </c>
      <c r="L972" s="2">
        <v>2024</v>
      </c>
      <c r="M972" s="2" t="s">
        <v>251</v>
      </c>
      <c r="N972" s="2" t="s">
        <v>21</v>
      </c>
      <c r="O972">
        <f t="shared" si="30"/>
        <v>3.5300000000000011</v>
      </c>
      <c r="P972">
        <f t="shared" si="31"/>
        <v>97.783000000000101</v>
      </c>
    </row>
    <row r="973" spans="1:16" x14ac:dyDescent="0.35">
      <c r="A973" s="9" t="s">
        <v>524</v>
      </c>
      <c r="B973" s="2">
        <v>209.4</v>
      </c>
      <c r="C973" s="2">
        <v>215.09</v>
      </c>
      <c r="D973" s="2">
        <v>209.14</v>
      </c>
      <c r="E973" s="2">
        <v>214.1</v>
      </c>
      <c r="F973" s="2">
        <v>46212943</v>
      </c>
      <c r="G973" s="2" t="s">
        <v>558</v>
      </c>
      <c r="H973" s="2" t="s">
        <v>559</v>
      </c>
      <c r="I973" s="2" t="s">
        <v>560</v>
      </c>
      <c r="J973" s="3">
        <v>2.484</v>
      </c>
      <c r="K973" s="2" t="s">
        <v>516</v>
      </c>
      <c r="L973" s="2">
        <v>2024</v>
      </c>
      <c r="M973" s="2" t="s">
        <v>251</v>
      </c>
      <c r="N973" s="2" t="s">
        <v>21</v>
      </c>
      <c r="O973">
        <f t="shared" si="30"/>
        <v>5.9500000000000171</v>
      </c>
      <c r="P973">
        <f t="shared" si="31"/>
        <v>100.2670000000001</v>
      </c>
    </row>
    <row r="974" spans="1:16" x14ac:dyDescent="0.35">
      <c r="A974" s="9" t="s">
        <v>525</v>
      </c>
      <c r="B974" s="2">
        <v>214.16</v>
      </c>
      <c r="C974" s="2">
        <v>215.9</v>
      </c>
      <c r="D974" s="2">
        <v>210.88</v>
      </c>
      <c r="E974" s="2">
        <v>211.48</v>
      </c>
      <c r="F974" s="2">
        <v>42620309</v>
      </c>
      <c r="G974" s="2" t="s">
        <v>558</v>
      </c>
      <c r="H974" s="2" t="s">
        <v>559</v>
      </c>
      <c r="I974" s="2" t="s">
        <v>560</v>
      </c>
      <c r="J974" s="4">
        <v>-1.224</v>
      </c>
      <c r="K974" s="2" t="s">
        <v>516</v>
      </c>
      <c r="L974" s="2">
        <v>2024</v>
      </c>
      <c r="M974" s="2" t="s">
        <v>251</v>
      </c>
      <c r="N974" s="2" t="s">
        <v>23</v>
      </c>
      <c r="O974">
        <f t="shared" si="30"/>
        <v>5.0200000000000102</v>
      </c>
      <c r="P974">
        <f t="shared" si="31"/>
        <v>99.043000000000092</v>
      </c>
    </row>
    <row r="975" spans="1:16" x14ac:dyDescent="0.35">
      <c r="A975" s="9" t="s">
        <v>526</v>
      </c>
      <c r="B975" s="2">
        <v>206.76</v>
      </c>
      <c r="C975" s="2">
        <v>207.34</v>
      </c>
      <c r="D975" s="2">
        <v>199.61</v>
      </c>
      <c r="E975" s="2">
        <v>202.61</v>
      </c>
      <c r="F975" s="2">
        <v>86591144</v>
      </c>
      <c r="G975" s="2" t="s">
        <v>558</v>
      </c>
      <c r="H975" s="2" t="s">
        <v>559</v>
      </c>
      <c r="I975" s="2" t="s">
        <v>560</v>
      </c>
      <c r="J975" s="4">
        <v>-4.194</v>
      </c>
      <c r="K975" s="2" t="s">
        <v>516</v>
      </c>
      <c r="L975" s="2">
        <v>2024</v>
      </c>
      <c r="M975" s="2" t="s">
        <v>251</v>
      </c>
      <c r="N975" s="2" t="s">
        <v>23</v>
      </c>
      <c r="O975">
        <f t="shared" si="30"/>
        <v>7.7299999999999898</v>
      </c>
      <c r="P975">
        <f t="shared" si="31"/>
        <v>94.849000000000089</v>
      </c>
    </row>
    <row r="976" spans="1:16" x14ac:dyDescent="0.35">
      <c r="A976" s="9" t="s">
        <v>527</v>
      </c>
      <c r="B976" s="2">
        <v>204.15</v>
      </c>
      <c r="C976" s="2">
        <v>204.67</v>
      </c>
      <c r="D976" s="2">
        <v>200.95</v>
      </c>
      <c r="E976" s="2">
        <v>201.7</v>
      </c>
      <c r="F976" s="2">
        <v>36512465</v>
      </c>
      <c r="G976" s="2" t="s">
        <v>558</v>
      </c>
      <c r="H976" s="2" t="s">
        <v>559</v>
      </c>
      <c r="I976" s="2" t="s">
        <v>560</v>
      </c>
      <c r="J976" s="4">
        <v>-0.44900000000000001</v>
      </c>
      <c r="K976" s="2" t="s">
        <v>516</v>
      </c>
      <c r="L976" s="2">
        <v>2024</v>
      </c>
      <c r="M976" s="2" t="s">
        <v>251</v>
      </c>
      <c r="N976" s="2" t="s">
        <v>23</v>
      </c>
      <c r="O976">
        <f t="shared" si="30"/>
        <v>3.7199999999999989</v>
      </c>
      <c r="P976">
        <f t="shared" si="31"/>
        <v>94.400000000000091</v>
      </c>
    </row>
    <row r="977" spans="1:16" x14ac:dyDescent="0.35">
      <c r="A977" s="9" t="s">
        <v>528</v>
      </c>
      <c r="B977" s="2">
        <v>199.33</v>
      </c>
      <c r="C977" s="2">
        <v>205.3</v>
      </c>
      <c r="D977" s="2">
        <v>198.78</v>
      </c>
      <c r="E977" s="2">
        <v>204.61</v>
      </c>
      <c r="F977" s="2">
        <v>31197867</v>
      </c>
      <c r="G977" s="2" t="s">
        <v>558</v>
      </c>
      <c r="H977" s="2" t="s">
        <v>559</v>
      </c>
      <c r="I977" s="2" t="s">
        <v>560</v>
      </c>
      <c r="J977" s="3">
        <v>1.4430000000000001</v>
      </c>
      <c r="K977" s="2" t="s">
        <v>516</v>
      </c>
      <c r="L977" s="2">
        <v>2024</v>
      </c>
      <c r="M977" s="2" t="s">
        <v>251</v>
      </c>
      <c r="N977" s="2" t="s">
        <v>21</v>
      </c>
      <c r="O977">
        <f t="shared" si="30"/>
        <v>6.5200000000000102</v>
      </c>
      <c r="P977">
        <f t="shared" si="31"/>
        <v>95.843000000000089</v>
      </c>
    </row>
    <row r="978" spans="1:16" x14ac:dyDescent="0.35">
      <c r="A978" s="9" t="s">
        <v>529</v>
      </c>
      <c r="B978" s="2">
        <v>202.98</v>
      </c>
      <c r="C978" s="2">
        <v>203.13</v>
      </c>
      <c r="D978" s="2">
        <v>199.45</v>
      </c>
      <c r="E978" s="2">
        <v>202.88</v>
      </c>
      <c r="F978" s="2">
        <v>32768989</v>
      </c>
      <c r="G978" s="2" t="s">
        <v>558</v>
      </c>
      <c r="H978" s="2" t="s">
        <v>559</v>
      </c>
      <c r="I978" s="2" t="s">
        <v>560</v>
      </c>
      <c r="J978" s="4">
        <v>-0.84599999999999997</v>
      </c>
      <c r="K978" s="2" t="s">
        <v>516</v>
      </c>
      <c r="L978" s="2">
        <v>2024</v>
      </c>
      <c r="M978" s="2" t="s">
        <v>251</v>
      </c>
      <c r="N978" s="2" t="s">
        <v>23</v>
      </c>
      <c r="O978">
        <f t="shared" si="30"/>
        <v>3.6800000000000068</v>
      </c>
      <c r="P978">
        <f t="shared" si="31"/>
        <v>94.997000000000085</v>
      </c>
    </row>
    <row r="979" spans="1:16" x14ac:dyDescent="0.35">
      <c r="A979" s="9" t="s">
        <v>530</v>
      </c>
      <c r="B979" s="2">
        <v>203.49</v>
      </c>
      <c r="C979" s="2">
        <v>203.49</v>
      </c>
      <c r="D979" s="2">
        <v>195.75</v>
      </c>
      <c r="E979" s="2">
        <v>198.38</v>
      </c>
      <c r="F979" s="2">
        <v>58800042</v>
      </c>
      <c r="G979" s="2" t="s">
        <v>558</v>
      </c>
      <c r="H979" s="2" t="s">
        <v>559</v>
      </c>
      <c r="I979" s="2" t="s">
        <v>560</v>
      </c>
      <c r="J979" s="4">
        <v>-2.218</v>
      </c>
      <c r="K979" s="2" t="s">
        <v>516</v>
      </c>
      <c r="L979" s="2">
        <v>2024</v>
      </c>
      <c r="M979" s="2" t="s">
        <v>251</v>
      </c>
      <c r="N979" s="2" t="s">
        <v>23</v>
      </c>
      <c r="O979">
        <f t="shared" si="30"/>
        <v>7.7400000000000091</v>
      </c>
      <c r="P979">
        <f t="shared" si="31"/>
        <v>92.779000000000082</v>
      </c>
    </row>
    <row r="980" spans="1:16" x14ac:dyDescent="0.35">
      <c r="A980" s="9" t="s">
        <v>531</v>
      </c>
      <c r="B980" s="2">
        <v>198.25</v>
      </c>
      <c r="C980" s="2">
        <v>199.26</v>
      </c>
      <c r="D980" s="2">
        <v>196.75</v>
      </c>
      <c r="E980" s="2">
        <v>197.12</v>
      </c>
      <c r="F980" s="2">
        <v>31530844</v>
      </c>
      <c r="G980" s="2" t="s">
        <v>558</v>
      </c>
      <c r="H980" s="2" t="s">
        <v>559</v>
      </c>
      <c r="I980" s="2" t="s">
        <v>560</v>
      </c>
      <c r="J980" s="4">
        <v>-0.63500000000000001</v>
      </c>
      <c r="K980" s="2" t="s">
        <v>516</v>
      </c>
      <c r="L980" s="2">
        <v>2024</v>
      </c>
      <c r="M980" s="2" t="s">
        <v>251</v>
      </c>
      <c r="N980" s="2" t="s">
        <v>23</v>
      </c>
      <c r="O980">
        <f t="shared" si="30"/>
        <v>2.5099999999999909</v>
      </c>
      <c r="P980">
        <f t="shared" si="31"/>
        <v>92.144000000000077</v>
      </c>
    </row>
    <row r="981" spans="1:16" x14ac:dyDescent="0.35">
      <c r="A981" s="9" t="s">
        <v>532</v>
      </c>
      <c r="B981" s="2">
        <v>199.28</v>
      </c>
      <c r="C981" s="2">
        <v>201.95</v>
      </c>
      <c r="D981" s="2">
        <v>199</v>
      </c>
      <c r="E981" s="2">
        <v>201.45</v>
      </c>
      <c r="F981" s="2">
        <v>40685672</v>
      </c>
      <c r="G981" s="2" t="s">
        <v>558</v>
      </c>
      <c r="H981" s="2" t="s">
        <v>559</v>
      </c>
      <c r="I981" s="2" t="s">
        <v>560</v>
      </c>
      <c r="J981" s="3">
        <v>2.1970000000000001</v>
      </c>
      <c r="K981" s="2" t="s">
        <v>516</v>
      </c>
      <c r="L981" s="2">
        <v>2024</v>
      </c>
      <c r="M981" s="2" t="s">
        <v>251</v>
      </c>
      <c r="N981" s="2" t="s">
        <v>21</v>
      </c>
      <c r="O981">
        <f t="shared" si="30"/>
        <v>2.9499999999999886</v>
      </c>
      <c r="P981">
        <f t="shared" si="31"/>
        <v>94.341000000000079</v>
      </c>
    </row>
    <row r="982" spans="1:16" x14ac:dyDescent="0.35">
      <c r="A982" s="9" t="s">
        <v>533</v>
      </c>
      <c r="B982" s="2">
        <v>201.9</v>
      </c>
      <c r="C982" s="2">
        <v>208</v>
      </c>
      <c r="D982" s="2">
        <v>201.79</v>
      </c>
      <c r="E982" s="2">
        <v>207.86</v>
      </c>
      <c r="F982" s="2">
        <v>41673737</v>
      </c>
      <c r="G982" s="2" t="s">
        <v>558</v>
      </c>
      <c r="H982" s="2" t="s">
        <v>559</v>
      </c>
      <c r="I982" s="2" t="s">
        <v>560</v>
      </c>
      <c r="J982" s="3">
        <v>3.1819999999999999</v>
      </c>
      <c r="K982" s="2" t="s">
        <v>516</v>
      </c>
      <c r="L982" s="2">
        <v>2024</v>
      </c>
      <c r="M982" s="2" t="s">
        <v>251</v>
      </c>
      <c r="N982" s="2" t="s">
        <v>21</v>
      </c>
      <c r="O982">
        <f t="shared" si="30"/>
        <v>6.210000000000008</v>
      </c>
      <c r="P982">
        <f t="shared" si="31"/>
        <v>97.523000000000081</v>
      </c>
    </row>
    <row r="983" spans="1:16" x14ac:dyDescent="0.35">
      <c r="A983" s="9" t="s">
        <v>534</v>
      </c>
      <c r="B983" s="2">
        <v>206.98</v>
      </c>
      <c r="C983" s="2">
        <v>207.64</v>
      </c>
      <c r="D983" s="2">
        <v>205.05</v>
      </c>
      <c r="E983" s="2">
        <v>205.74</v>
      </c>
      <c r="F983" s="2">
        <v>28061638</v>
      </c>
      <c r="G983" s="2" t="s">
        <v>558</v>
      </c>
      <c r="H983" s="2" t="s">
        <v>559</v>
      </c>
      <c r="I983" s="2" t="s">
        <v>560</v>
      </c>
      <c r="J983" s="4">
        <v>-1.02</v>
      </c>
      <c r="K983" s="2" t="s">
        <v>516</v>
      </c>
      <c r="L983" s="2">
        <v>2024</v>
      </c>
      <c r="M983" s="2" t="s">
        <v>251</v>
      </c>
      <c r="N983" s="2" t="s">
        <v>23</v>
      </c>
      <c r="O983">
        <f t="shared" si="30"/>
        <v>2.589999999999975</v>
      </c>
      <c r="P983">
        <f t="shared" si="31"/>
        <v>96.503000000000085</v>
      </c>
    </row>
    <row r="984" spans="1:16" x14ac:dyDescent="0.35">
      <c r="A984" s="9" t="s">
        <v>535</v>
      </c>
      <c r="B984" s="2">
        <v>205.83</v>
      </c>
      <c r="C984" s="2">
        <v>208.2</v>
      </c>
      <c r="D984" s="2">
        <v>204.59</v>
      </c>
      <c r="E984" s="2">
        <v>207.89</v>
      </c>
      <c r="F984" s="2">
        <v>24892447</v>
      </c>
      <c r="G984" s="2" t="s">
        <v>558</v>
      </c>
      <c r="H984" s="2" t="s">
        <v>559</v>
      </c>
      <c r="I984" s="2" t="s">
        <v>560</v>
      </c>
      <c r="J984" s="3">
        <v>1.0449999999999999</v>
      </c>
      <c r="K984" s="2" t="s">
        <v>516</v>
      </c>
      <c r="L984" s="2">
        <v>2024</v>
      </c>
      <c r="M984" s="2" t="s">
        <v>251</v>
      </c>
      <c r="N984" s="2" t="s">
        <v>21</v>
      </c>
      <c r="O984">
        <f t="shared" si="30"/>
        <v>3.6099999999999852</v>
      </c>
      <c r="P984">
        <f t="shared" si="31"/>
        <v>97.548000000000087</v>
      </c>
    </row>
    <row r="985" spans="1:16" x14ac:dyDescent="0.35">
      <c r="A985" s="9" t="s">
        <v>536</v>
      </c>
      <c r="B985" s="2">
        <v>209.96</v>
      </c>
      <c r="C985" s="2">
        <v>212.99</v>
      </c>
      <c r="D985" s="2">
        <v>209.51</v>
      </c>
      <c r="E985" s="2">
        <v>210.71</v>
      </c>
      <c r="F985" s="2">
        <v>39523185</v>
      </c>
      <c r="G985" s="2" t="s">
        <v>558</v>
      </c>
      <c r="H985" s="2" t="s">
        <v>559</v>
      </c>
      <c r="I985" s="2" t="s">
        <v>560</v>
      </c>
      <c r="J985" s="3">
        <v>1.3560000000000001</v>
      </c>
      <c r="K985" s="2" t="s">
        <v>537</v>
      </c>
      <c r="L985" s="2">
        <v>2024</v>
      </c>
      <c r="M985" s="2" t="s">
        <v>274</v>
      </c>
      <c r="N985" s="2" t="s">
        <v>21</v>
      </c>
      <c r="O985">
        <f t="shared" si="30"/>
        <v>3.4800000000000182</v>
      </c>
      <c r="P985">
        <f t="shared" si="31"/>
        <v>98.904000000000082</v>
      </c>
    </row>
    <row r="986" spans="1:16" x14ac:dyDescent="0.35">
      <c r="A986" s="9" t="s">
        <v>538</v>
      </c>
      <c r="B986" s="2">
        <v>210.31</v>
      </c>
      <c r="C986" s="2">
        <v>214.02</v>
      </c>
      <c r="D986" s="2">
        <v>209.65</v>
      </c>
      <c r="E986" s="2">
        <v>213.44</v>
      </c>
      <c r="F986" s="2">
        <v>32214828</v>
      </c>
      <c r="G986" s="2" t="s">
        <v>558</v>
      </c>
      <c r="H986" s="2" t="s">
        <v>559</v>
      </c>
      <c r="I986" s="2" t="s">
        <v>560</v>
      </c>
      <c r="J986" s="3">
        <v>1.296</v>
      </c>
      <c r="K986" s="2" t="s">
        <v>537</v>
      </c>
      <c r="L986" s="2">
        <v>2024</v>
      </c>
      <c r="M986" s="2" t="s">
        <v>274</v>
      </c>
      <c r="N986" s="2" t="s">
        <v>21</v>
      </c>
      <c r="O986">
        <f t="shared" si="30"/>
        <v>4.3700000000000045</v>
      </c>
      <c r="P986">
        <f t="shared" si="31"/>
        <v>100.20000000000009</v>
      </c>
    </row>
    <row r="987" spans="1:16" x14ac:dyDescent="0.35">
      <c r="A987" s="9" t="s">
        <v>539</v>
      </c>
      <c r="B987" s="2">
        <v>215.96</v>
      </c>
      <c r="C987" s="2">
        <v>220</v>
      </c>
      <c r="D987" s="2">
        <v>215.75</v>
      </c>
      <c r="E987" s="2">
        <v>218.16</v>
      </c>
      <c r="F987" s="2">
        <v>48745716</v>
      </c>
      <c r="G987" s="2" t="s">
        <v>558</v>
      </c>
      <c r="H987" s="2" t="s">
        <v>559</v>
      </c>
      <c r="I987" s="2" t="s">
        <v>560</v>
      </c>
      <c r="J987" s="3">
        <v>2.2109999999999999</v>
      </c>
      <c r="K987" s="2" t="s">
        <v>537</v>
      </c>
      <c r="L987" s="2">
        <v>2024</v>
      </c>
      <c r="M987" s="2" t="s">
        <v>274</v>
      </c>
      <c r="N987" s="2" t="s">
        <v>21</v>
      </c>
      <c r="O987">
        <f t="shared" si="30"/>
        <v>4.25</v>
      </c>
      <c r="P987">
        <f t="shared" si="31"/>
        <v>102.41100000000009</v>
      </c>
    </row>
    <row r="988" spans="1:16" x14ac:dyDescent="0.35">
      <c r="A988" s="9" t="s">
        <v>540</v>
      </c>
      <c r="B988" s="2">
        <v>218.03</v>
      </c>
      <c r="C988" s="2">
        <v>222.15</v>
      </c>
      <c r="D988" s="2">
        <v>217.3</v>
      </c>
      <c r="E988" s="2">
        <v>220.55</v>
      </c>
      <c r="F988" s="2">
        <v>41140220</v>
      </c>
      <c r="G988" s="2" t="s">
        <v>558</v>
      </c>
      <c r="H988" s="2" t="s">
        <v>559</v>
      </c>
      <c r="I988" s="2" t="s">
        <v>560</v>
      </c>
      <c r="J988" s="3">
        <v>1.0960000000000001</v>
      </c>
      <c r="K988" s="2" t="s">
        <v>537</v>
      </c>
      <c r="L988" s="2">
        <v>2024</v>
      </c>
      <c r="M988" s="2" t="s">
        <v>274</v>
      </c>
      <c r="N988" s="2" t="s">
        <v>21</v>
      </c>
      <c r="O988">
        <f t="shared" si="30"/>
        <v>4.8499999999999943</v>
      </c>
      <c r="P988">
        <f t="shared" si="31"/>
        <v>103.50700000000009</v>
      </c>
    </row>
    <row r="989" spans="1:16" x14ac:dyDescent="0.35">
      <c r="A989" s="9" t="s">
        <v>541</v>
      </c>
      <c r="B989" s="2">
        <v>220.75</v>
      </c>
      <c r="C989" s="2">
        <v>227.15</v>
      </c>
      <c r="D989" s="2">
        <v>220.6</v>
      </c>
      <c r="E989" s="2">
        <v>227.03</v>
      </c>
      <c r="F989" s="2">
        <v>44178069</v>
      </c>
      <c r="G989" s="2" t="s">
        <v>558</v>
      </c>
      <c r="H989" s="2" t="s">
        <v>559</v>
      </c>
      <c r="I989" s="2" t="s">
        <v>560</v>
      </c>
      <c r="J989" s="3">
        <v>2.9380000000000002</v>
      </c>
      <c r="K989" s="2" t="s">
        <v>537</v>
      </c>
      <c r="L989" s="2">
        <v>2024</v>
      </c>
      <c r="M989" s="2" t="s">
        <v>274</v>
      </c>
      <c r="N989" s="2" t="s">
        <v>21</v>
      </c>
      <c r="O989">
        <f t="shared" si="30"/>
        <v>6.5500000000000114</v>
      </c>
      <c r="P989">
        <f t="shared" si="31"/>
        <v>106.44500000000009</v>
      </c>
    </row>
    <row r="990" spans="1:16" x14ac:dyDescent="0.35">
      <c r="A990" s="9" t="s">
        <v>542</v>
      </c>
      <c r="B990" s="2">
        <v>227.21</v>
      </c>
      <c r="C990" s="2">
        <v>230.08</v>
      </c>
      <c r="D990" s="2">
        <v>225.67</v>
      </c>
      <c r="E990" s="2">
        <v>226.09</v>
      </c>
      <c r="F990" s="2">
        <v>46819363</v>
      </c>
      <c r="G990" s="2" t="s">
        <v>558</v>
      </c>
      <c r="H990" s="2" t="s">
        <v>559</v>
      </c>
      <c r="I990" s="2" t="s">
        <v>560</v>
      </c>
      <c r="J990" s="4">
        <v>-0.41399999999999998</v>
      </c>
      <c r="K990" s="2" t="s">
        <v>537</v>
      </c>
      <c r="L990" s="2">
        <v>2024</v>
      </c>
      <c r="M990" s="2" t="s">
        <v>274</v>
      </c>
      <c r="N990" s="2" t="s">
        <v>23</v>
      </c>
      <c r="O990">
        <f t="shared" si="30"/>
        <v>4.410000000000025</v>
      </c>
      <c r="P990">
        <f t="shared" si="31"/>
        <v>106.03100000000009</v>
      </c>
    </row>
    <row r="991" spans="1:16" x14ac:dyDescent="0.35">
      <c r="A991" s="9" t="s">
        <v>543</v>
      </c>
      <c r="B991" s="2">
        <v>226.09</v>
      </c>
      <c r="C991" s="2">
        <v>229.06</v>
      </c>
      <c r="D991" s="2">
        <v>224.2</v>
      </c>
      <c r="E991" s="2">
        <v>225.04</v>
      </c>
      <c r="F991" s="2">
        <v>31199864</v>
      </c>
      <c r="G991" s="2" t="s">
        <v>558</v>
      </c>
      <c r="H991" s="2" t="s">
        <v>559</v>
      </c>
      <c r="I991" s="2" t="s">
        <v>560</v>
      </c>
      <c r="J991" s="4">
        <v>-0.46400000000000002</v>
      </c>
      <c r="K991" s="2" t="s">
        <v>537</v>
      </c>
      <c r="L991" s="2">
        <v>2024</v>
      </c>
      <c r="M991" s="2" t="s">
        <v>274</v>
      </c>
      <c r="N991" s="2" t="s">
        <v>23</v>
      </c>
      <c r="O991">
        <f t="shared" si="30"/>
        <v>4.8600000000000136</v>
      </c>
      <c r="P991">
        <f t="shared" si="31"/>
        <v>105.56700000000009</v>
      </c>
    </row>
    <row r="992" spans="1:16" x14ac:dyDescent="0.35">
      <c r="A992" s="9" t="s">
        <v>544</v>
      </c>
      <c r="B992" s="2">
        <v>226.41</v>
      </c>
      <c r="C992" s="2">
        <v>231.2</v>
      </c>
      <c r="D992" s="2">
        <v>226.26</v>
      </c>
      <c r="E992" s="2">
        <v>230.26</v>
      </c>
      <c r="F992" s="2">
        <v>35385785</v>
      </c>
      <c r="G992" s="2" t="s">
        <v>558</v>
      </c>
      <c r="H992" s="2" t="s">
        <v>559</v>
      </c>
      <c r="I992" s="2" t="s">
        <v>560</v>
      </c>
      <c r="J992" s="3">
        <v>2.3199999999999998</v>
      </c>
      <c r="K992" s="2" t="s">
        <v>537</v>
      </c>
      <c r="L992" s="2">
        <v>2024</v>
      </c>
      <c r="M992" s="2" t="s">
        <v>274</v>
      </c>
      <c r="N992" s="2" t="s">
        <v>21</v>
      </c>
      <c r="O992">
        <f t="shared" si="30"/>
        <v>4.9399999999999977</v>
      </c>
      <c r="P992">
        <f t="shared" si="31"/>
        <v>107.88700000000009</v>
      </c>
    </row>
    <row r="993" spans="1:16" x14ac:dyDescent="0.35">
      <c r="A993" s="9" t="s">
        <v>545</v>
      </c>
      <c r="B993" s="2">
        <v>229.83</v>
      </c>
      <c r="C993" s="2">
        <v>231.09</v>
      </c>
      <c r="D993" s="2">
        <v>227.63</v>
      </c>
      <c r="E993" s="2">
        <v>228.97</v>
      </c>
      <c r="F993" s="2">
        <v>28204084</v>
      </c>
      <c r="G993" s="2" t="s">
        <v>558</v>
      </c>
      <c r="H993" s="2" t="s">
        <v>559</v>
      </c>
      <c r="I993" s="2" t="s">
        <v>560</v>
      </c>
      <c r="J993" s="4">
        <v>-0.56000000000000005</v>
      </c>
      <c r="K993" s="2" t="s">
        <v>537</v>
      </c>
      <c r="L993" s="2">
        <v>2024</v>
      </c>
      <c r="M993" s="2" t="s">
        <v>274</v>
      </c>
      <c r="N993" s="2" t="s">
        <v>23</v>
      </c>
      <c r="O993">
        <f t="shared" si="30"/>
        <v>3.460000000000008</v>
      </c>
      <c r="P993">
        <f t="shared" si="31"/>
        <v>107.32700000000008</v>
      </c>
    </row>
    <row r="994" spans="1:16" x14ac:dyDescent="0.35">
      <c r="A994" s="9" t="s">
        <v>546</v>
      </c>
      <c r="B994" s="2">
        <v>228.4</v>
      </c>
      <c r="C994" s="2">
        <v>230.2</v>
      </c>
      <c r="D994" s="2">
        <v>225.86099999999999</v>
      </c>
      <c r="E994" s="2">
        <v>227.46</v>
      </c>
      <c r="F994" s="2">
        <v>28768080</v>
      </c>
      <c r="G994" s="2" t="s">
        <v>558</v>
      </c>
      <c r="H994" s="2" t="s">
        <v>559</v>
      </c>
      <c r="I994" s="2" t="s">
        <v>560</v>
      </c>
      <c r="J994" s="4">
        <v>-0.65900000000000003</v>
      </c>
      <c r="K994" s="2" t="s">
        <v>537</v>
      </c>
      <c r="L994" s="2">
        <v>2024</v>
      </c>
      <c r="M994" s="2" t="s">
        <v>274</v>
      </c>
      <c r="N994" s="2" t="s">
        <v>23</v>
      </c>
      <c r="O994">
        <f t="shared" si="30"/>
        <v>4.3389999999999986</v>
      </c>
      <c r="P994">
        <f t="shared" si="31"/>
        <v>106.66800000000008</v>
      </c>
    </row>
    <row r="995" spans="1:16" x14ac:dyDescent="0.35">
      <c r="A995" s="9" t="s">
        <v>547</v>
      </c>
      <c r="B995" s="2">
        <v>230.23</v>
      </c>
      <c r="C995" s="2">
        <v>233</v>
      </c>
      <c r="D995" s="2">
        <v>228.01</v>
      </c>
      <c r="E995" s="2">
        <v>232.93</v>
      </c>
      <c r="F995" s="2">
        <v>37552096</v>
      </c>
      <c r="G995" s="2" t="s">
        <v>558</v>
      </c>
      <c r="H995" s="2" t="s">
        <v>559</v>
      </c>
      <c r="I995" s="2" t="s">
        <v>560</v>
      </c>
      <c r="J995" s="3">
        <v>2.4049999999999998</v>
      </c>
      <c r="K995" s="2" t="s">
        <v>537</v>
      </c>
      <c r="L995" s="2">
        <v>2024</v>
      </c>
      <c r="M995" s="2" t="s">
        <v>274</v>
      </c>
      <c r="N995" s="2" t="s">
        <v>21</v>
      </c>
      <c r="O995">
        <f t="shared" si="30"/>
        <v>4.9900000000000091</v>
      </c>
      <c r="P995">
        <f t="shared" si="31"/>
        <v>109.07300000000008</v>
      </c>
    </row>
    <row r="996" spans="1:16" x14ac:dyDescent="0.35">
      <c r="A996" s="9" t="s">
        <v>548</v>
      </c>
      <c r="B996" s="2">
        <v>232.39</v>
      </c>
      <c r="C996" s="2">
        <v>232.73</v>
      </c>
      <c r="D996" s="2">
        <v>227.85</v>
      </c>
      <c r="E996" s="2">
        <v>231.15</v>
      </c>
      <c r="F996" s="2">
        <v>35948131</v>
      </c>
      <c r="G996" s="2" t="s">
        <v>558</v>
      </c>
      <c r="H996" s="2" t="s">
        <v>559</v>
      </c>
      <c r="I996" s="2" t="s">
        <v>560</v>
      </c>
      <c r="J996" s="4">
        <v>-0.76400000000000001</v>
      </c>
      <c r="K996" s="2" t="s">
        <v>537</v>
      </c>
      <c r="L996" s="2">
        <v>2024</v>
      </c>
      <c r="M996" s="2" t="s">
        <v>274</v>
      </c>
      <c r="N996" s="2" t="s">
        <v>23</v>
      </c>
      <c r="O996">
        <f t="shared" si="30"/>
        <v>4.8799999999999955</v>
      </c>
      <c r="P996">
        <f t="shared" si="31"/>
        <v>108.30900000000008</v>
      </c>
    </row>
    <row r="997" spans="1:16" x14ac:dyDescent="0.35">
      <c r="A997" s="9" t="s">
        <v>549</v>
      </c>
      <c r="B997" s="2">
        <v>230.77</v>
      </c>
      <c r="C997" s="2">
        <v>231.4</v>
      </c>
      <c r="D997" s="2">
        <v>220.11</v>
      </c>
      <c r="E997" s="2">
        <v>220.52</v>
      </c>
      <c r="F997" s="2">
        <v>43281443</v>
      </c>
      <c r="G997" s="2" t="s">
        <v>558</v>
      </c>
      <c r="H997" s="2" t="s">
        <v>559</v>
      </c>
      <c r="I997" s="2" t="s">
        <v>560</v>
      </c>
      <c r="J997" s="4">
        <v>-4.5990000000000002</v>
      </c>
      <c r="K997" s="2" t="s">
        <v>537</v>
      </c>
      <c r="L997" s="2">
        <v>2024</v>
      </c>
      <c r="M997" s="2" t="s">
        <v>274</v>
      </c>
      <c r="N997" s="2" t="s">
        <v>23</v>
      </c>
      <c r="O997">
        <f t="shared" si="30"/>
        <v>11.289999999999992</v>
      </c>
      <c r="P997">
        <f t="shared" si="31"/>
        <v>103.71000000000008</v>
      </c>
    </row>
    <row r="998" spans="1:16" x14ac:dyDescent="0.35">
      <c r="A998" s="9" t="s">
        <v>550</v>
      </c>
      <c r="B998" s="2">
        <v>224.91</v>
      </c>
      <c r="C998" s="2">
        <v>226.09</v>
      </c>
      <c r="D998" s="2">
        <v>222.92</v>
      </c>
      <c r="E998" s="2">
        <v>223.29</v>
      </c>
      <c r="F998" s="2">
        <v>39918739</v>
      </c>
      <c r="G998" s="2" t="s">
        <v>558</v>
      </c>
      <c r="H998" s="2" t="s">
        <v>559</v>
      </c>
      <c r="I998" s="2" t="s">
        <v>560</v>
      </c>
      <c r="J998" s="3">
        <v>1.256</v>
      </c>
      <c r="K998" s="2" t="s">
        <v>537</v>
      </c>
      <c r="L998" s="2">
        <v>2024</v>
      </c>
      <c r="M998" s="2" t="s">
        <v>274</v>
      </c>
      <c r="N998" s="2" t="s">
        <v>21</v>
      </c>
      <c r="O998">
        <f t="shared" si="30"/>
        <v>3.1700000000000159</v>
      </c>
      <c r="P998">
        <f t="shared" si="31"/>
        <v>104.96600000000008</v>
      </c>
    </row>
    <row r="999" spans="1:16" x14ac:dyDescent="0.35">
      <c r="A999" s="9" t="s">
        <v>551</v>
      </c>
      <c r="B999" s="2">
        <v>219.84</v>
      </c>
      <c r="C999" s="2">
        <v>226.21</v>
      </c>
      <c r="D999" s="2">
        <v>218.73</v>
      </c>
      <c r="E999" s="2">
        <v>224.92</v>
      </c>
      <c r="F999" s="2">
        <v>88279184</v>
      </c>
      <c r="G999" s="2" t="s">
        <v>558</v>
      </c>
      <c r="H999" s="2" t="s">
        <v>559</v>
      </c>
      <c r="I999" s="2" t="s">
        <v>560</v>
      </c>
      <c r="J999" s="3">
        <v>0.73</v>
      </c>
      <c r="K999" s="2" t="s">
        <v>537</v>
      </c>
      <c r="L999" s="2">
        <v>2024</v>
      </c>
      <c r="M999" s="2" t="s">
        <v>274</v>
      </c>
      <c r="N999" s="2" t="s">
        <v>21</v>
      </c>
      <c r="O999">
        <f t="shared" si="30"/>
        <v>7.4800000000000182</v>
      </c>
      <c r="P999">
        <f t="shared" si="31"/>
        <v>105.69600000000008</v>
      </c>
    </row>
    <row r="1000" spans="1:16" x14ac:dyDescent="0.35">
      <c r="A1000" s="9" t="s">
        <v>552</v>
      </c>
      <c r="B1000" s="2">
        <v>225.01</v>
      </c>
      <c r="C1000" s="2">
        <v>226.88</v>
      </c>
      <c r="D1000" s="2">
        <v>223.9</v>
      </c>
      <c r="E1000" s="2">
        <v>225.06</v>
      </c>
      <c r="F1000" s="2">
        <v>28070007</v>
      </c>
      <c r="G1000" s="2" t="s">
        <v>558</v>
      </c>
      <c r="H1000" s="2" t="s">
        <v>559</v>
      </c>
      <c r="I1000" s="2" t="s">
        <v>560</v>
      </c>
      <c r="J1000" s="3">
        <v>6.2E-2</v>
      </c>
      <c r="K1000" s="2" t="s">
        <v>537</v>
      </c>
      <c r="L1000" s="2">
        <v>2024</v>
      </c>
      <c r="M1000" s="2" t="s">
        <v>274</v>
      </c>
      <c r="N1000" s="2" t="s">
        <v>21</v>
      </c>
      <c r="O1000">
        <f t="shared" si="30"/>
        <v>2.9799999999999898</v>
      </c>
      <c r="P1000">
        <f t="shared" si="31"/>
        <v>105.75800000000008</v>
      </c>
    </row>
    <row r="1001" spans="1:16" x14ac:dyDescent="0.35">
      <c r="A1001" s="9" t="s">
        <v>553</v>
      </c>
      <c r="B1001" s="2">
        <v>226.94</v>
      </c>
      <c r="C1001" s="2">
        <v>229.14</v>
      </c>
      <c r="D1001" s="2">
        <v>226.13</v>
      </c>
      <c r="E1001" s="2">
        <v>229.05</v>
      </c>
      <c r="F1001" s="2">
        <v>15007497</v>
      </c>
      <c r="G1001" s="2" t="s">
        <v>558</v>
      </c>
      <c r="H1001" s="2" t="s">
        <v>559</v>
      </c>
      <c r="I1001" s="2" t="s">
        <v>560</v>
      </c>
      <c r="J1001" s="3">
        <v>1.7729999999999999</v>
      </c>
      <c r="K1001" s="2" t="s">
        <v>537</v>
      </c>
      <c r="L1001" s="2">
        <v>2024</v>
      </c>
      <c r="M1001" s="2" t="s">
        <v>274</v>
      </c>
      <c r="N1001" s="2" t="s">
        <v>21</v>
      </c>
      <c r="O1001">
        <f t="shared" si="30"/>
        <v>3.0099999999999909</v>
      </c>
      <c r="P1001">
        <f t="shared" si="31"/>
        <v>107.53100000000008</v>
      </c>
    </row>
    <row r="1002" spans="1:16" x14ac:dyDescent="0.35">
      <c r="A1002" s="9" t="s">
        <v>554</v>
      </c>
      <c r="B1002" s="2">
        <v>228.5</v>
      </c>
      <c r="C1002" s="2">
        <v>228.5</v>
      </c>
      <c r="D1002" s="2">
        <v>226.67099999999999</v>
      </c>
      <c r="E1002" s="2">
        <v>227.05</v>
      </c>
      <c r="F1002" s="2">
        <v>16174500</v>
      </c>
      <c r="G1002" s="2" t="s">
        <v>558</v>
      </c>
      <c r="H1002" s="2" t="s">
        <v>559</v>
      </c>
      <c r="I1002" s="2" t="s">
        <v>560</v>
      </c>
      <c r="J1002" s="4">
        <v>-0.873</v>
      </c>
      <c r="K1002" s="2" t="s">
        <v>537</v>
      </c>
      <c r="L1002" s="2">
        <v>2024</v>
      </c>
      <c r="M1002" s="2" t="s">
        <v>274</v>
      </c>
      <c r="N1002" s="2" t="s">
        <v>23</v>
      </c>
      <c r="O1002">
        <f t="shared" si="30"/>
        <v>1.8290000000000077</v>
      </c>
      <c r="P1002">
        <f t="shared" si="31"/>
        <v>106.65800000000007</v>
      </c>
    </row>
    <row r="1003" spans="1:16" x14ac:dyDescent="0.35">
      <c r="A1003" s="9" t="s">
        <v>555</v>
      </c>
      <c r="B1003" s="2">
        <v>225.6</v>
      </c>
      <c r="C1003" s="2">
        <v>226.03</v>
      </c>
      <c r="D1003" s="2">
        <v>220.9</v>
      </c>
      <c r="E1003" s="2">
        <v>223.75</v>
      </c>
      <c r="F1003" s="2">
        <v>27367147</v>
      </c>
      <c r="G1003" s="2" t="s">
        <v>558</v>
      </c>
      <c r="H1003" s="2" t="s">
        <v>559</v>
      </c>
      <c r="I1003" s="2" t="s">
        <v>560</v>
      </c>
      <c r="J1003" s="4">
        <v>-1.4530000000000001</v>
      </c>
      <c r="K1003" s="2" t="s">
        <v>537</v>
      </c>
      <c r="L1003" s="2">
        <v>2024</v>
      </c>
      <c r="M1003" s="2" t="s">
        <v>274</v>
      </c>
      <c r="N1003" s="2" t="s">
        <v>23</v>
      </c>
      <c r="O1003">
        <f t="shared" si="30"/>
        <v>5.1299999999999955</v>
      </c>
      <c r="P1003">
        <f t="shared" si="31"/>
        <v>105.20500000000007</v>
      </c>
    </row>
    <row r="1004" spans="1:16" x14ac:dyDescent="0.35">
      <c r="A1004" s="9" t="s">
        <v>556</v>
      </c>
      <c r="B1004" s="2">
        <v>220.06</v>
      </c>
      <c r="C1004" s="2">
        <v>222.99700000000001</v>
      </c>
      <c r="D1004" s="2">
        <v>218.43</v>
      </c>
      <c r="E1004" s="2">
        <v>221.3</v>
      </c>
      <c r="F1004" s="2">
        <v>28321240</v>
      </c>
      <c r="G1004" s="2" t="s">
        <v>558</v>
      </c>
      <c r="H1004" s="2" t="s">
        <v>559</v>
      </c>
      <c r="I1004" s="2" t="s">
        <v>560</v>
      </c>
      <c r="J1004" s="4">
        <v>-1.095</v>
      </c>
      <c r="K1004" s="2" t="s">
        <v>537</v>
      </c>
      <c r="L1004" s="2">
        <v>2024</v>
      </c>
      <c r="M1004" s="2" t="s">
        <v>274</v>
      </c>
      <c r="N1004" s="2" t="s">
        <v>23</v>
      </c>
      <c r="O1004">
        <f t="shared" si="30"/>
        <v>4.5670000000000073</v>
      </c>
      <c r="P1004">
        <f t="shared" si="31"/>
        <v>104.11000000000007</v>
      </c>
    </row>
    <row r="1005" spans="1:16" x14ac:dyDescent="0.35">
      <c r="A1005" s="9" t="s">
        <v>557</v>
      </c>
      <c r="B1005" s="2">
        <v>222.965</v>
      </c>
      <c r="C1005" s="2">
        <v>223.23</v>
      </c>
      <c r="D1005" s="2">
        <v>218.94</v>
      </c>
      <c r="E1005" s="2">
        <v>219.39</v>
      </c>
      <c r="F1005" s="2">
        <v>24819655</v>
      </c>
      <c r="G1005" s="2" t="s">
        <v>558</v>
      </c>
      <c r="H1005" s="2" t="s">
        <v>559</v>
      </c>
      <c r="I1005" s="2" t="s">
        <v>560</v>
      </c>
      <c r="J1005" s="4">
        <v>-0.86299999999999999</v>
      </c>
      <c r="K1005" s="2" t="s">
        <v>537</v>
      </c>
      <c r="L1005" s="2">
        <v>2024</v>
      </c>
      <c r="M1005" s="2" t="s">
        <v>274</v>
      </c>
      <c r="N1005" s="2" t="s">
        <v>23</v>
      </c>
      <c r="O1005">
        <f t="shared" si="30"/>
        <v>4.289999999999992</v>
      </c>
      <c r="P1005">
        <f t="shared" si="31"/>
        <v>103.24700000000007</v>
      </c>
    </row>
    <row r="1006" spans="1:16" x14ac:dyDescent="0.35">
      <c r="A1006" s="9" t="s">
        <v>14</v>
      </c>
      <c r="B1006" s="2">
        <v>89.260999999999996</v>
      </c>
      <c r="C1006" s="2">
        <v>90.721000000000004</v>
      </c>
      <c r="D1006" s="2">
        <v>88.2</v>
      </c>
      <c r="E1006" s="2">
        <v>88.798000000000002</v>
      </c>
      <c r="F1006" s="2">
        <v>28233202</v>
      </c>
      <c r="G1006" s="2" t="s">
        <v>561</v>
      </c>
      <c r="H1006" s="2" t="s">
        <v>562</v>
      </c>
      <c r="I1006" s="2" t="s">
        <v>17</v>
      </c>
      <c r="J1006" s="2"/>
      <c r="K1006" s="2" t="s">
        <v>18</v>
      </c>
      <c r="L1006" s="2">
        <v>2023</v>
      </c>
      <c r="M1006" s="2" t="s">
        <v>19</v>
      </c>
      <c r="N1006" s="2"/>
      <c r="O1006">
        <f t="shared" si="30"/>
        <v>2.5210000000000008</v>
      </c>
      <c r="P1006">
        <f t="shared" si="31"/>
        <v>0</v>
      </c>
    </row>
    <row r="1007" spans="1:16" x14ac:dyDescent="0.35">
      <c r="A1007" s="9" t="s">
        <v>20</v>
      </c>
      <c r="B1007" s="2">
        <v>90.024000000000001</v>
      </c>
      <c r="C1007" s="2">
        <v>90.322999999999993</v>
      </c>
      <c r="D1007" s="2">
        <v>86.956000000000003</v>
      </c>
      <c r="E1007" s="2">
        <v>87.762</v>
      </c>
      <c r="F1007" s="2">
        <v>34981128</v>
      </c>
      <c r="G1007" s="2" t="s">
        <v>561</v>
      </c>
      <c r="H1007" s="2" t="s">
        <v>562</v>
      </c>
      <c r="I1007" s="2" t="s">
        <v>17</v>
      </c>
      <c r="J1007" s="4">
        <v>-1.167</v>
      </c>
      <c r="K1007" s="2" t="s">
        <v>18</v>
      </c>
      <c r="L1007" s="2">
        <v>2023</v>
      </c>
      <c r="M1007" s="2" t="s">
        <v>19</v>
      </c>
      <c r="N1007" s="2" t="s">
        <v>23</v>
      </c>
      <c r="O1007">
        <f t="shared" si="30"/>
        <v>3.3669999999999902</v>
      </c>
      <c r="P1007">
        <f t="shared" si="31"/>
        <v>-1.167</v>
      </c>
    </row>
    <row r="1008" spans="1:16" x14ac:dyDescent="0.35">
      <c r="A1008" s="9" t="s">
        <v>22</v>
      </c>
      <c r="B1008" s="2">
        <v>87.153999999999996</v>
      </c>
      <c r="C1008" s="2">
        <v>87.254000000000005</v>
      </c>
      <c r="D1008" s="2">
        <v>85.59</v>
      </c>
      <c r="E1008" s="2">
        <v>85.888999999999996</v>
      </c>
      <c r="F1008" s="2">
        <v>27292957</v>
      </c>
      <c r="G1008" s="2" t="s">
        <v>561</v>
      </c>
      <c r="H1008" s="2" t="s">
        <v>562</v>
      </c>
      <c r="I1008" s="2" t="s">
        <v>17</v>
      </c>
      <c r="J1008" s="4">
        <v>-2.1339999999999999</v>
      </c>
      <c r="K1008" s="2" t="s">
        <v>18</v>
      </c>
      <c r="L1008" s="2">
        <v>2023</v>
      </c>
      <c r="M1008" s="2" t="s">
        <v>19</v>
      </c>
      <c r="N1008" s="2" t="s">
        <v>23</v>
      </c>
      <c r="O1008">
        <f t="shared" si="30"/>
        <v>1.6640000000000015</v>
      </c>
      <c r="P1008">
        <f t="shared" si="31"/>
        <v>-3.3010000000000002</v>
      </c>
    </row>
    <row r="1009" spans="1:16" x14ac:dyDescent="0.35">
      <c r="A1009" s="9" t="s">
        <v>24</v>
      </c>
      <c r="B1009" s="2">
        <v>86.477000000000004</v>
      </c>
      <c r="C1009" s="2">
        <v>87.373000000000005</v>
      </c>
      <c r="D1009" s="2">
        <v>84.552999999999997</v>
      </c>
      <c r="E1009" s="2">
        <v>87.025000000000006</v>
      </c>
      <c r="F1009" s="2">
        <v>41531507</v>
      </c>
      <c r="G1009" s="2" t="s">
        <v>561</v>
      </c>
      <c r="H1009" s="2" t="s">
        <v>562</v>
      </c>
      <c r="I1009" s="2" t="s">
        <v>17</v>
      </c>
      <c r="J1009" s="3">
        <v>1.323</v>
      </c>
      <c r="K1009" s="2" t="s">
        <v>18</v>
      </c>
      <c r="L1009" s="2">
        <v>2023</v>
      </c>
      <c r="M1009" s="2" t="s">
        <v>19</v>
      </c>
      <c r="N1009" s="2" t="s">
        <v>21</v>
      </c>
      <c r="O1009">
        <f t="shared" si="30"/>
        <v>2.8200000000000074</v>
      </c>
      <c r="P1009">
        <f t="shared" si="31"/>
        <v>-1.9780000000000002</v>
      </c>
    </row>
    <row r="1010" spans="1:16" x14ac:dyDescent="0.35">
      <c r="A1010" s="9" t="s">
        <v>25</v>
      </c>
      <c r="B1010" s="2">
        <v>88.040999999999997</v>
      </c>
      <c r="C1010" s="2">
        <v>89.724999999999994</v>
      </c>
      <c r="D1010" s="2">
        <v>87.543000000000006</v>
      </c>
      <c r="E1010" s="2">
        <v>87.701999999999998</v>
      </c>
      <c r="F1010" s="2">
        <v>29109043</v>
      </c>
      <c r="G1010" s="2" t="s">
        <v>561</v>
      </c>
      <c r="H1010" s="2" t="s">
        <v>562</v>
      </c>
      <c r="I1010" s="2" t="s">
        <v>17</v>
      </c>
      <c r="J1010" s="3">
        <v>0.77900000000000003</v>
      </c>
      <c r="K1010" s="2" t="s">
        <v>18</v>
      </c>
      <c r="L1010" s="2">
        <v>2023</v>
      </c>
      <c r="M1010" s="2" t="s">
        <v>19</v>
      </c>
      <c r="N1010" s="2" t="s">
        <v>21</v>
      </c>
      <c r="O1010">
        <f t="shared" si="30"/>
        <v>2.1819999999999879</v>
      </c>
      <c r="P1010">
        <f t="shared" si="31"/>
        <v>-1.1990000000000003</v>
      </c>
    </row>
    <row r="1011" spans="1:16" x14ac:dyDescent="0.35">
      <c r="A1011" s="9" t="s">
        <v>26</v>
      </c>
      <c r="B1011" s="2">
        <v>85.668999999999997</v>
      </c>
      <c r="C1011" s="2">
        <v>88.35</v>
      </c>
      <c r="D1011" s="2">
        <v>85.52</v>
      </c>
      <c r="E1011" s="2">
        <v>88.100999999999999</v>
      </c>
      <c r="F1011" s="2">
        <v>30578203</v>
      </c>
      <c r="G1011" s="2" t="s">
        <v>561</v>
      </c>
      <c r="H1011" s="2" t="s">
        <v>562</v>
      </c>
      <c r="I1011" s="2" t="s">
        <v>17</v>
      </c>
      <c r="J1011" s="3">
        <v>0.45400000000000001</v>
      </c>
      <c r="K1011" s="2" t="s">
        <v>18</v>
      </c>
      <c r="L1011" s="2">
        <v>2023</v>
      </c>
      <c r="M1011" s="2" t="s">
        <v>19</v>
      </c>
      <c r="N1011" s="2" t="s">
        <v>21</v>
      </c>
      <c r="O1011">
        <f t="shared" si="30"/>
        <v>2.8299999999999983</v>
      </c>
      <c r="P1011">
        <f t="shared" si="31"/>
        <v>-0.74500000000000033</v>
      </c>
    </row>
    <row r="1012" spans="1:16" x14ac:dyDescent="0.35">
      <c r="A1012" s="9" t="s">
        <v>27</v>
      </c>
      <c r="B1012" s="2">
        <v>88.858000000000004</v>
      </c>
      <c r="C1012" s="2">
        <v>91.269000000000005</v>
      </c>
      <c r="D1012" s="2">
        <v>88.688999999999993</v>
      </c>
      <c r="E1012" s="2">
        <v>91.188999999999993</v>
      </c>
      <c r="F1012" s="2">
        <v>26959346</v>
      </c>
      <c r="G1012" s="2" t="s">
        <v>561</v>
      </c>
      <c r="H1012" s="2" t="s">
        <v>562</v>
      </c>
      <c r="I1012" s="2" t="s">
        <v>17</v>
      </c>
      <c r="J1012" s="3">
        <v>3.5059999999999998</v>
      </c>
      <c r="K1012" s="2" t="s">
        <v>18</v>
      </c>
      <c r="L1012" s="2">
        <v>2023</v>
      </c>
      <c r="M1012" s="2" t="s">
        <v>19</v>
      </c>
      <c r="N1012" s="2" t="s">
        <v>21</v>
      </c>
      <c r="O1012">
        <f t="shared" si="30"/>
        <v>2.5800000000000125</v>
      </c>
      <c r="P1012">
        <f t="shared" si="31"/>
        <v>2.7609999999999992</v>
      </c>
    </row>
    <row r="1013" spans="1:16" x14ac:dyDescent="0.35">
      <c r="A1013" s="9" t="s">
        <v>28</v>
      </c>
      <c r="B1013" s="2">
        <v>91.15</v>
      </c>
      <c r="C1013" s="2">
        <v>91.537999999999997</v>
      </c>
      <c r="D1013" s="2">
        <v>89.426000000000002</v>
      </c>
      <c r="E1013" s="2">
        <v>90.801000000000002</v>
      </c>
      <c r="F1013" s="2">
        <v>30367823</v>
      </c>
      <c r="G1013" s="2" t="s">
        <v>561</v>
      </c>
      <c r="H1013" s="2" t="s">
        <v>562</v>
      </c>
      <c r="I1013" s="2" t="s">
        <v>17</v>
      </c>
      <c r="J1013" s="4">
        <v>-0.42599999999999999</v>
      </c>
      <c r="K1013" s="2" t="s">
        <v>18</v>
      </c>
      <c r="L1013" s="2">
        <v>2023</v>
      </c>
      <c r="M1013" s="2" t="s">
        <v>19</v>
      </c>
      <c r="N1013" s="2" t="s">
        <v>23</v>
      </c>
      <c r="O1013">
        <f t="shared" si="30"/>
        <v>2.1119999999999948</v>
      </c>
      <c r="P1013">
        <f t="shared" si="31"/>
        <v>2.3349999999999991</v>
      </c>
    </row>
    <row r="1014" spans="1:16" x14ac:dyDescent="0.35">
      <c r="A1014" s="9" t="s">
        <v>29</v>
      </c>
      <c r="B1014" s="2">
        <v>90.522000000000006</v>
      </c>
      <c r="C1014" s="2">
        <v>91.856999999999999</v>
      </c>
      <c r="D1014" s="2">
        <v>89.804000000000002</v>
      </c>
      <c r="E1014" s="2">
        <v>91.787000000000006</v>
      </c>
      <c r="F1014" s="2">
        <v>26424658</v>
      </c>
      <c r="G1014" s="2" t="s">
        <v>561</v>
      </c>
      <c r="H1014" s="2" t="s">
        <v>562</v>
      </c>
      <c r="I1014" s="2" t="s">
        <v>17</v>
      </c>
      <c r="J1014" s="3">
        <v>1.0860000000000001</v>
      </c>
      <c r="K1014" s="2" t="s">
        <v>18</v>
      </c>
      <c r="L1014" s="2">
        <v>2023</v>
      </c>
      <c r="M1014" s="2" t="s">
        <v>19</v>
      </c>
      <c r="N1014" s="2" t="s">
        <v>21</v>
      </c>
      <c r="O1014">
        <f t="shared" si="30"/>
        <v>2.0529999999999973</v>
      </c>
      <c r="P1014">
        <f t="shared" si="31"/>
        <v>3.4209999999999994</v>
      </c>
    </row>
    <row r="1015" spans="1:16" x14ac:dyDescent="0.35">
      <c r="A1015" s="9" t="s">
        <v>30</v>
      </c>
      <c r="B1015" s="2">
        <v>91.727999999999994</v>
      </c>
      <c r="C1015" s="2">
        <v>91.917000000000002</v>
      </c>
      <c r="D1015" s="2">
        <v>89.724999999999994</v>
      </c>
      <c r="E1015" s="2">
        <v>90.96</v>
      </c>
      <c r="F1015" s="2">
        <v>32720610</v>
      </c>
      <c r="G1015" s="2" t="s">
        <v>561</v>
      </c>
      <c r="H1015" s="2" t="s">
        <v>562</v>
      </c>
      <c r="I1015" s="2" t="s">
        <v>17</v>
      </c>
      <c r="J1015" s="4">
        <v>-0.90100000000000002</v>
      </c>
      <c r="K1015" s="2" t="s">
        <v>18</v>
      </c>
      <c r="L1015" s="2">
        <v>2023</v>
      </c>
      <c r="M1015" s="2" t="s">
        <v>19</v>
      </c>
      <c r="N1015" s="2" t="s">
        <v>23</v>
      </c>
      <c r="O1015">
        <f t="shared" si="30"/>
        <v>2.1920000000000073</v>
      </c>
      <c r="P1015">
        <f t="shared" si="31"/>
        <v>2.5199999999999996</v>
      </c>
    </row>
    <row r="1016" spans="1:16" x14ac:dyDescent="0.35">
      <c r="A1016" s="9" t="s">
        <v>31</v>
      </c>
      <c r="B1016" s="2">
        <v>91.807000000000002</v>
      </c>
      <c r="C1016" s="2">
        <v>92.465000000000003</v>
      </c>
      <c r="D1016" s="2">
        <v>90.313000000000002</v>
      </c>
      <c r="E1016" s="2">
        <v>90.790999999999997</v>
      </c>
      <c r="F1016" s="2">
        <v>29222241</v>
      </c>
      <c r="G1016" s="2" t="s">
        <v>561</v>
      </c>
      <c r="H1016" s="2" t="s">
        <v>562</v>
      </c>
      <c r="I1016" s="2" t="s">
        <v>17</v>
      </c>
      <c r="J1016" s="4">
        <v>-0.186</v>
      </c>
      <c r="K1016" s="2" t="s">
        <v>18</v>
      </c>
      <c r="L1016" s="2">
        <v>2023</v>
      </c>
      <c r="M1016" s="2" t="s">
        <v>19</v>
      </c>
      <c r="N1016" s="2" t="s">
        <v>23</v>
      </c>
      <c r="O1016">
        <f t="shared" si="30"/>
        <v>2.152000000000001</v>
      </c>
      <c r="P1016">
        <f t="shared" si="31"/>
        <v>2.3339999999999996</v>
      </c>
    </row>
    <row r="1017" spans="1:16" x14ac:dyDescent="0.35">
      <c r="A1017" s="9" t="s">
        <v>32</v>
      </c>
      <c r="B1017" s="2">
        <v>90.391999999999996</v>
      </c>
      <c r="C1017" s="2">
        <v>93.266999999999996</v>
      </c>
      <c r="D1017" s="2">
        <v>90.302999999999997</v>
      </c>
      <c r="E1017" s="2">
        <v>92.713999999999999</v>
      </c>
      <c r="F1017" s="2">
        <v>37134525</v>
      </c>
      <c r="G1017" s="2" t="s">
        <v>561</v>
      </c>
      <c r="H1017" s="2" t="s">
        <v>562</v>
      </c>
      <c r="I1017" s="2" t="s">
        <v>17</v>
      </c>
      <c r="J1017" s="3">
        <v>2.1179999999999999</v>
      </c>
      <c r="K1017" s="2" t="s">
        <v>18</v>
      </c>
      <c r="L1017" s="2">
        <v>2023</v>
      </c>
      <c r="M1017" s="2" t="s">
        <v>19</v>
      </c>
      <c r="N1017" s="2" t="s">
        <v>21</v>
      </c>
      <c r="O1017">
        <f t="shared" si="30"/>
        <v>2.9639999999999986</v>
      </c>
      <c r="P1017">
        <f t="shared" si="31"/>
        <v>4.452</v>
      </c>
    </row>
    <row r="1018" spans="1:16" x14ac:dyDescent="0.35">
      <c r="A1018" s="9" t="s">
        <v>33</v>
      </c>
      <c r="B1018" s="2">
        <v>94.757000000000005</v>
      </c>
      <c r="C1018" s="2">
        <v>97.944999999999993</v>
      </c>
      <c r="D1018" s="2">
        <v>94.677000000000007</v>
      </c>
      <c r="E1018" s="2">
        <v>97.665999999999997</v>
      </c>
      <c r="F1018" s="2">
        <v>63420152</v>
      </c>
      <c r="G1018" s="2" t="s">
        <v>561</v>
      </c>
      <c r="H1018" s="2" t="s">
        <v>562</v>
      </c>
      <c r="I1018" s="2" t="s">
        <v>17</v>
      </c>
      <c r="J1018" s="3">
        <v>5.3410000000000002</v>
      </c>
      <c r="K1018" s="2" t="s">
        <v>18</v>
      </c>
      <c r="L1018" s="2">
        <v>2023</v>
      </c>
      <c r="M1018" s="2" t="s">
        <v>19</v>
      </c>
      <c r="N1018" s="2" t="s">
        <v>21</v>
      </c>
      <c r="O1018">
        <f t="shared" si="30"/>
        <v>3.2679999999999865</v>
      </c>
      <c r="P1018">
        <f t="shared" si="31"/>
        <v>9.7929999999999993</v>
      </c>
    </row>
    <row r="1019" spans="1:16" x14ac:dyDescent="0.35">
      <c r="A1019" s="9" t="s">
        <v>34</v>
      </c>
      <c r="B1019" s="2">
        <v>97.596000000000004</v>
      </c>
      <c r="C1019" s="2">
        <v>99.679000000000002</v>
      </c>
      <c r="D1019" s="2">
        <v>97.147999999999996</v>
      </c>
      <c r="E1019" s="2">
        <v>99.43</v>
      </c>
      <c r="F1019" s="2">
        <v>40150077</v>
      </c>
      <c r="G1019" s="2" t="s">
        <v>561</v>
      </c>
      <c r="H1019" s="2" t="s">
        <v>562</v>
      </c>
      <c r="I1019" s="2" t="s">
        <v>17</v>
      </c>
      <c r="J1019" s="3">
        <v>1.806</v>
      </c>
      <c r="K1019" s="2" t="s">
        <v>18</v>
      </c>
      <c r="L1019" s="2">
        <v>2023</v>
      </c>
      <c r="M1019" s="2" t="s">
        <v>19</v>
      </c>
      <c r="N1019" s="2" t="s">
        <v>21</v>
      </c>
      <c r="O1019">
        <f t="shared" si="30"/>
        <v>2.5310000000000059</v>
      </c>
      <c r="P1019">
        <f t="shared" si="31"/>
        <v>11.599</v>
      </c>
    </row>
    <row r="1020" spans="1:16" x14ac:dyDescent="0.35">
      <c r="A1020" s="9" t="s">
        <v>35</v>
      </c>
      <c r="B1020" s="2">
        <v>97.745999999999995</v>
      </c>
      <c r="C1020" s="2">
        <v>99.25</v>
      </c>
      <c r="D1020" s="2">
        <v>96.849000000000004</v>
      </c>
      <c r="E1020" s="2">
        <v>97.346999999999994</v>
      </c>
      <c r="F1020" s="2">
        <v>33198424</v>
      </c>
      <c r="G1020" s="2" t="s">
        <v>561</v>
      </c>
      <c r="H1020" s="2" t="s">
        <v>562</v>
      </c>
      <c r="I1020" s="2" t="s">
        <v>17</v>
      </c>
      <c r="J1020" s="4">
        <v>-2.0939999999999999</v>
      </c>
      <c r="K1020" s="2" t="s">
        <v>18</v>
      </c>
      <c r="L1020" s="2">
        <v>2023</v>
      </c>
      <c r="M1020" s="2" t="s">
        <v>19</v>
      </c>
      <c r="N1020" s="2" t="s">
        <v>23</v>
      </c>
      <c r="O1020">
        <f t="shared" si="30"/>
        <v>2.4009999999999962</v>
      </c>
      <c r="P1020">
        <f t="shared" si="31"/>
        <v>9.5050000000000008</v>
      </c>
    </row>
    <row r="1021" spans="1:16" x14ac:dyDescent="0.35">
      <c r="A1021" s="9" t="s">
        <v>36</v>
      </c>
      <c r="B1021" s="2">
        <v>95.224999999999994</v>
      </c>
      <c r="C1021" s="2">
        <v>95.814999999999998</v>
      </c>
      <c r="D1021" s="2">
        <v>93.421000000000006</v>
      </c>
      <c r="E1021" s="2">
        <v>94.876000000000005</v>
      </c>
      <c r="F1021" s="2">
        <v>42483402</v>
      </c>
      <c r="G1021" s="2" t="s">
        <v>561</v>
      </c>
      <c r="H1021" s="2" t="s">
        <v>562</v>
      </c>
      <c r="I1021" s="2" t="s">
        <v>17</v>
      </c>
      <c r="J1021" s="4">
        <v>-2.5379999999999998</v>
      </c>
      <c r="K1021" s="2" t="s">
        <v>18</v>
      </c>
      <c r="L1021" s="2">
        <v>2023</v>
      </c>
      <c r="M1021" s="2" t="s">
        <v>19</v>
      </c>
      <c r="N1021" s="2" t="s">
        <v>23</v>
      </c>
      <c r="O1021">
        <f t="shared" si="30"/>
        <v>2.3939999999999912</v>
      </c>
      <c r="P1021">
        <f t="shared" si="31"/>
        <v>6.9670000000000005</v>
      </c>
    </row>
    <row r="1022" spans="1:16" x14ac:dyDescent="0.35">
      <c r="A1022" s="9" t="s">
        <v>37</v>
      </c>
      <c r="B1022" s="2">
        <v>96.150999999999996</v>
      </c>
      <c r="C1022" s="2">
        <v>97.218000000000004</v>
      </c>
      <c r="D1022" s="2">
        <v>95.034999999999997</v>
      </c>
      <c r="E1022" s="2">
        <v>97.168000000000006</v>
      </c>
      <c r="F1022" s="2">
        <v>30223140</v>
      </c>
      <c r="G1022" s="2" t="s">
        <v>561</v>
      </c>
      <c r="H1022" s="2" t="s">
        <v>562</v>
      </c>
      <c r="I1022" s="2" t="s">
        <v>17</v>
      </c>
      <c r="J1022" s="3">
        <v>2.415</v>
      </c>
      <c r="K1022" s="2" t="s">
        <v>18</v>
      </c>
      <c r="L1022" s="2">
        <v>2023</v>
      </c>
      <c r="M1022" s="2" t="s">
        <v>19</v>
      </c>
      <c r="N1022" s="2" t="s">
        <v>21</v>
      </c>
      <c r="O1022">
        <f t="shared" si="30"/>
        <v>2.1830000000000069</v>
      </c>
      <c r="P1022">
        <f t="shared" si="31"/>
        <v>9.3820000000000014</v>
      </c>
    </row>
    <row r="1023" spans="1:16" x14ac:dyDescent="0.35">
      <c r="A1023" s="9" t="s">
        <v>38</v>
      </c>
      <c r="B1023" s="2">
        <v>96.959000000000003</v>
      </c>
      <c r="C1023" s="2">
        <v>99.956999999999994</v>
      </c>
      <c r="D1023" s="2">
        <v>96.959000000000003</v>
      </c>
      <c r="E1023" s="2">
        <v>99.010999999999996</v>
      </c>
      <c r="F1023" s="2">
        <v>34002570</v>
      </c>
      <c r="G1023" s="2" t="s">
        <v>561</v>
      </c>
      <c r="H1023" s="2" t="s">
        <v>562</v>
      </c>
      <c r="I1023" s="2" t="s">
        <v>17</v>
      </c>
      <c r="J1023" s="3">
        <v>1.897</v>
      </c>
      <c r="K1023" s="2" t="s">
        <v>18</v>
      </c>
      <c r="L1023" s="2">
        <v>2023</v>
      </c>
      <c r="M1023" s="2" t="s">
        <v>19</v>
      </c>
      <c r="N1023" s="2" t="s">
        <v>21</v>
      </c>
      <c r="O1023">
        <f t="shared" si="30"/>
        <v>2.9979999999999905</v>
      </c>
      <c r="P1023">
        <f t="shared" si="31"/>
        <v>11.279000000000002</v>
      </c>
    </row>
    <row r="1024" spans="1:16" x14ac:dyDescent="0.35">
      <c r="A1024" s="9" t="s">
        <v>39</v>
      </c>
      <c r="B1024" s="2">
        <v>97.128</v>
      </c>
      <c r="C1024" s="2">
        <v>97.935000000000002</v>
      </c>
      <c r="D1024" s="2">
        <v>96.046999999999997</v>
      </c>
      <c r="E1024" s="2">
        <v>96.59</v>
      </c>
      <c r="F1024" s="2">
        <v>27324895</v>
      </c>
      <c r="G1024" s="2" t="s">
        <v>561</v>
      </c>
      <c r="H1024" s="2" t="s">
        <v>562</v>
      </c>
      <c r="I1024" s="2" t="s">
        <v>17</v>
      </c>
      <c r="J1024" s="4">
        <v>-2.4449999999999998</v>
      </c>
      <c r="K1024" s="2" t="s">
        <v>18</v>
      </c>
      <c r="L1024" s="2">
        <v>2023</v>
      </c>
      <c r="M1024" s="2" t="s">
        <v>19</v>
      </c>
      <c r="N1024" s="2" t="s">
        <v>23</v>
      </c>
      <c r="O1024">
        <f t="shared" si="30"/>
        <v>1.8880000000000052</v>
      </c>
      <c r="P1024">
        <f t="shared" si="31"/>
        <v>8.8340000000000014</v>
      </c>
    </row>
    <row r="1025" spans="1:16" x14ac:dyDescent="0.35">
      <c r="A1025" s="9" t="s">
        <v>40</v>
      </c>
      <c r="B1025" s="2">
        <v>96.52</v>
      </c>
      <c r="C1025" s="2">
        <v>98.522999999999996</v>
      </c>
      <c r="D1025" s="2">
        <v>96.47</v>
      </c>
      <c r="E1025" s="2">
        <v>98.483000000000004</v>
      </c>
      <c r="F1025" s="2">
        <v>29978953</v>
      </c>
      <c r="G1025" s="2" t="s">
        <v>561</v>
      </c>
      <c r="H1025" s="2" t="s">
        <v>562</v>
      </c>
      <c r="I1025" s="2" t="s">
        <v>17</v>
      </c>
      <c r="J1025" s="3">
        <v>1.96</v>
      </c>
      <c r="K1025" s="2" t="s">
        <v>18</v>
      </c>
      <c r="L1025" s="2">
        <v>2023</v>
      </c>
      <c r="M1025" s="2" t="s">
        <v>19</v>
      </c>
      <c r="N1025" s="2" t="s">
        <v>21</v>
      </c>
      <c r="O1025">
        <f t="shared" si="30"/>
        <v>2.0529999999999973</v>
      </c>
      <c r="P1025">
        <f t="shared" si="31"/>
        <v>10.794</v>
      </c>
    </row>
    <row r="1026" spans="1:16" x14ac:dyDescent="0.35">
      <c r="A1026" s="9" t="s">
        <v>41</v>
      </c>
      <c r="B1026" s="2">
        <v>98.352999999999994</v>
      </c>
      <c r="C1026" s="2">
        <v>100.824</v>
      </c>
      <c r="D1026" s="2">
        <v>97.227999999999994</v>
      </c>
      <c r="E1026" s="2">
        <v>100.06699999999999</v>
      </c>
      <c r="F1026" s="2">
        <v>35659907</v>
      </c>
      <c r="G1026" s="2" t="s">
        <v>561</v>
      </c>
      <c r="H1026" s="2" t="s">
        <v>562</v>
      </c>
      <c r="I1026" s="2" t="s">
        <v>17</v>
      </c>
      <c r="J1026" s="3">
        <v>1.6080000000000001</v>
      </c>
      <c r="K1026" s="2" t="s">
        <v>42</v>
      </c>
      <c r="L1026" s="2">
        <v>2023</v>
      </c>
      <c r="M1026" s="2" t="s">
        <v>43</v>
      </c>
      <c r="N1026" s="2" t="s">
        <v>21</v>
      </c>
      <c r="O1026">
        <f t="shared" si="30"/>
        <v>3.5960000000000036</v>
      </c>
      <c r="P1026">
        <f t="shared" si="31"/>
        <v>12.402000000000001</v>
      </c>
    </row>
    <row r="1027" spans="1:16" x14ac:dyDescent="0.35">
      <c r="A1027" s="9" t="s">
        <v>44</v>
      </c>
      <c r="B1027" s="2">
        <v>105.41800000000001</v>
      </c>
      <c r="C1027" s="2">
        <v>107.46</v>
      </c>
      <c r="D1027" s="2">
        <v>105.22799999999999</v>
      </c>
      <c r="E1027" s="2">
        <v>107.35</v>
      </c>
      <c r="F1027" s="2">
        <v>70137097</v>
      </c>
      <c r="G1027" s="2" t="s">
        <v>561</v>
      </c>
      <c r="H1027" s="2" t="s">
        <v>562</v>
      </c>
      <c r="I1027" s="2" t="s">
        <v>17</v>
      </c>
      <c r="J1027" s="3">
        <v>7.2779999999999996</v>
      </c>
      <c r="K1027" s="2" t="s">
        <v>42</v>
      </c>
      <c r="L1027" s="2">
        <v>2023</v>
      </c>
      <c r="M1027" s="2" t="s">
        <v>43</v>
      </c>
      <c r="N1027" s="2" t="s">
        <v>21</v>
      </c>
      <c r="O1027">
        <f t="shared" ref="O1027:O1090" si="32">C1027-D1027</f>
        <v>2.2319999999999993</v>
      </c>
      <c r="P1027">
        <f t="shared" si="31"/>
        <v>19.68</v>
      </c>
    </row>
    <row r="1028" spans="1:16" x14ac:dyDescent="0.35">
      <c r="A1028" s="9" t="s">
        <v>45</v>
      </c>
      <c r="B1028" s="2">
        <v>102.55800000000001</v>
      </c>
      <c r="C1028" s="2">
        <v>107.42</v>
      </c>
      <c r="D1028" s="2">
        <v>102.209</v>
      </c>
      <c r="E1028" s="2">
        <v>104.401</v>
      </c>
      <c r="F1028" s="2">
        <v>65546013</v>
      </c>
      <c r="G1028" s="2" t="s">
        <v>561</v>
      </c>
      <c r="H1028" s="2" t="s">
        <v>562</v>
      </c>
      <c r="I1028" s="2" t="s">
        <v>17</v>
      </c>
      <c r="J1028" s="4">
        <v>-2.7469999999999999</v>
      </c>
      <c r="K1028" s="2" t="s">
        <v>42</v>
      </c>
      <c r="L1028" s="2">
        <v>2023</v>
      </c>
      <c r="M1028" s="2" t="s">
        <v>43</v>
      </c>
      <c r="N1028" s="2" t="s">
        <v>23</v>
      </c>
      <c r="O1028">
        <f t="shared" si="32"/>
        <v>5.2109999999999985</v>
      </c>
      <c r="P1028">
        <f t="shared" ref="P1028:P1091" si="33">IF(G1028=G1027, P1027+J1028, J1028)</f>
        <v>16.933</v>
      </c>
    </row>
    <row r="1029" spans="1:16" x14ac:dyDescent="0.35">
      <c r="A1029" s="9" t="s">
        <v>46</v>
      </c>
      <c r="B1029" s="2">
        <v>102.03</v>
      </c>
      <c r="C1029" s="2">
        <v>103.983</v>
      </c>
      <c r="D1029" s="2">
        <v>101.512</v>
      </c>
      <c r="E1029" s="2">
        <v>102.52800000000001</v>
      </c>
      <c r="F1029" s="2">
        <v>32115563</v>
      </c>
      <c r="G1029" s="2" t="s">
        <v>561</v>
      </c>
      <c r="H1029" s="2" t="s">
        <v>562</v>
      </c>
      <c r="I1029" s="2" t="s">
        <v>17</v>
      </c>
      <c r="J1029" s="4">
        <v>-1.794</v>
      </c>
      <c r="K1029" s="2" t="s">
        <v>42</v>
      </c>
      <c r="L1029" s="2">
        <v>2023</v>
      </c>
      <c r="M1029" s="2" t="s">
        <v>43</v>
      </c>
      <c r="N1029" s="2" t="s">
        <v>23</v>
      </c>
      <c r="O1029">
        <f t="shared" si="32"/>
        <v>2.4710000000000036</v>
      </c>
      <c r="P1029">
        <f t="shared" si="33"/>
        <v>15.138999999999999</v>
      </c>
    </row>
    <row r="1030" spans="1:16" x14ac:dyDescent="0.35">
      <c r="A1030" s="9" t="s">
        <v>47</v>
      </c>
      <c r="B1030" s="2">
        <v>102.84699999999999</v>
      </c>
      <c r="C1030" s="2">
        <v>107.789</v>
      </c>
      <c r="D1030" s="2">
        <v>102.748</v>
      </c>
      <c r="E1030" s="2">
        <v>107.252</v>
      </c>
      <c r="F1030" s="2">
        <v>49187897</v>
      </c>
      <c r="G1030" s="2" t="s">
        <v>561</v>
      </c>
      <c r="H1030" s="2" t="s">
        <v>562</v>
      </c>
      <c r="I1030" s="2" t="s">
        <v>17</v>
      </c>
      <c r="J1030" s="3">
        <v>4.6079999999999997</v>
      </c>
      <c r="K1030" s="2" t="s">
        <v>42</v>
      </c>
      <c r="L1030" s="2">
        <v>2023</v>
      </c>
      <c r="M1030" s="2" t="s">
        <v>43</v>
      </c>
      <c r="N1030" s="2" t="s">
        <v>21</v>
      </c>
      <c r="O1030">
        <f t="shared" si="32"/>
        <v>5.0409999999999968</v>
      </c>
      <c r="P1030">
        <f t="shared" si="33"/>
        <v>19.747</v>
      </c>
    </row>
    <row r="1031" spans="1:16" x14ac:dyDescent="0.35">
      <c r="A1031" s="9" t="s">
        <v>48</v>
      </c>
      <c r="B1031" s="2">
        <v>101.681</v>
      </c>
      <c r="C1031" s="2">
        <v>102.767</v>
      </c>
      <c r="D1031" s="2">
        <v>97.680999999999997</v>
      </c>
      <c r="E1031" s="2">
        <v>99.010999999999996</v>
      </c>
      <c r="F1031" s="2">
        <v>95086969</v>
      </c>
      <c r="G1031" s="2" t="s">
        <v>561</v>
      </c>
      <c r="H1031" s="2" t="s">
        <v>562</v>
      </c>
      <c r="I1031" s="2" t="s">
        <v>17</v>
      </c>
      <c r="J1031" s="4">
        <v>-7.6840000000000002</v>
      </c>
      <c r="K1031" s="2" t="s">
        <v>42</v>
      </c>
      <c r="L1031" s="2">
        <v>2023</v>
      </c>
      <c r="M1031" s="2" t="s">
        <v>43</v>
      </c>
      <c r="N1031" s="2" t="s">
        <v>23</v>
      </c>
      <c r="O1031">
        <f t="shared" si="32"/>
        <v>5.0859999999999985</v>
      </c>
      <c r="P1031">
        <f t="shared" si="33"/>
        <v>12.062999999999999</v>
      </c>
    </row>
    <row r="1032" spans="1:16" x14ac:dyDescent="0.35">
      <c r="A1032" s="9" t="s">
        <v>49</v>
      </c>
      <c r="B1032" s="2">
        <v>99.638999999999996</v>
      </c>
      <c r="C1032" s="2">
        <v>99.668999999999997</v>
      </c>
      <c r="D1032" s="2">
        <v>93.292000000000002</v>
      </c>
      <c r="E1032" s="2">
        <v>94.667000000000002</v>
      </c>
      <c r="F1032" s="2">
        <v>119888056</v>
      </c>
      <c r="G1032" s="2" t="s">
        <v>561</v>
      </c>
      <c r="H1032" s="2" t="s">
        <v>562</v>
      </c>
      <c r="I1032" s="2" t="s">
        <v>17</v>
      </c>
      <c r="J1032" s="4">
        <v>-4.3879999999999999</v>
      </c>
      <c r="K1032" s="2" t="s">
        <v>42</v>
      </c>
      <c r="L1032" s="2">
        <v>2023</v>
      </c>
      <c r="M1032" s="2" t="s">
        <v>43</v>
      </c>
      <c r="N1032" s="2" t="s">
        <v>23</v>
      </c>
      <c r="O1032">
        <f t="shared" si="32"/>
        <v>6.3769999999999953</v>
      </c>
      <c r="P1032">
        <f t="shared" si="33"/>
        <v>7.6749999999999989</v>
      </c>
    </row>
    <row r="1033" spans="1:16" x14ac:dyDescent="0.35">
      <c r="A1033" s="9" t="s">
        <v>50</v>
      </c>
      <c r="B1033" s="2">
        <v>95.105000000000004</v>
      </c>
      <c r="C1033" s="2">
        <v>96.4</v>
      </c>
      <c r="D1033" s="2">
        <v>93.91</v>
      </c>
      <c r="E1033" s="2">
        <v>94.227999999999994</v>
      </c>
      <c r="F1033" s="2">
        <v>55180006</v>
      </c>
      <c r="G1033" s="2" t="s">
        <v>561</v>
      </c>
      <c r="H1033" s="2" t="s">
        <v>562</v>
      </c>
      <c r="I1033" s="2" t="s">
        <v>17</v>
      </c>
      <c r="J1033" s="4">
        <v>-0.46300000000000002</v>
      </c>
      <c r="K1033" s="2" t="s">
        <v>42</v>
      </c>
      <c r="L1033" s="2">
        <v>2023</v>
      </c>
      <c r="M1033" s="2" t="s">
        <v>43</v>
      </c>
      <c r="N1033" s="2" t="s">
        <v>23</v>
      </c>
      <c r="O1033">
        <f t="shared" si="32"/>
        <v>2.4900000000000091</v>
      </c>
      <c r="P1033">
        <f t="shared" si="33"/>
        <v>7.2119999999999989</v>
      </c>
    </row>
    <row r="1034" spans="1:16" x14ac:dyDescent="0.35">
      <c r="A1034" s="9" t="s">
        <v>51</v>
      </c>
      <c r="B1034" s="2">
        <v>94.397999999999996</v>
      </c>
      <c r="C1034" s="2">
        <v>94.855999999999995</v>
      </c>
      <c r="D1034" s="2">
        <v>93.501000000000005</v>
      </c>
      <c r="E1034" s="2">
        <v>94.268000000000001</v>
      </c>
      <c r="F1034" s="2">
        <v>50257651</v>
      </c>
      <c r="G1034" s="2" t="s">
        <v>561</v>
      </c>
      <c r="H1034" s="2" t="s">
        <v>562</v>
      </c>
      <c r="I1034" s="2" t="s">
        <v>17</v>
      </c>
      <c r="J1034" s="3">
        <v>4.2000000000000003E-2</v>
      </c>
      <c r="K1034" s="2" t="s">
        <v>42</v>
      </c>
      <c r="L1034" s="2">
        <v>2023</v>
      </c>
      <c r="M1034" s="2" t="s">
        <v>43</v>
      </c>
      <c r="N1034" s="2" t="s">
        <v>21</v>
      </c>
      <c r="O1034">
        <f t="shared" si="32"/>
        <v>1.3549999999999898</v>
      </c>
      <c r="P1034">
        <f t="shared" si="33"/>
        <v>7.2539999999999987</v>
      </c>
    </row>
    <row r="1035" spans="1:16" x14ac:dyDescent="0.35">
      <c r="A1035" s="9" t="s">
        <v>52</v>
      </c>
      <c r="B1035" s="2">
        <v>94.088999999999999</v>
      </c>
      <c r="C1035" s="2">
        <v>94.501999999999995</v>
      </c>
      <c r="D1035" s="2">
        <v>91.927000000000007</v>
      </c>
      <c r="E1035" s="2">
        <v>94.337999999999994</v>
      </c>
      <c r="F1035" s="2">
        <v>54924507</v>
      </c>
      <c r="G1035" s="2" t="s">
        <v>561</v>
      </c>
      <c r="H1035" s="2" t="s">
        <v>562</v>
      </c>
      <c r="I1035" s="2" t="s">
        <v>17</v>
      </c>
      <c r="J1035" s="3">
        <v>7.3999999999999996E-2</v>
      </c>
      <c r="K1035" s="2" t="s">
        <v>42</v>
      </c>
      <c r="L1035" s="2">
        <v>2023</v>
      </c>
      <c r="M1035" s="2" t="s">
        <v>43</v>
      </c>
      <c r="N1035" s="2" t="s">
        <v>21</v>
      </c>
      <c r="O1035">
        <f t="shared" si="32"/>
        <v>2.5749999999999886</v>
      </c>
      <c r="P1035">
        <f t="shared" si="33"/>
        <v>7.3279999999999985</v>
      </c>
    </row>
    <row r="1036" spans="1:16" x14ac:dyDescent="0.35">
      <c r="A1036" s="9" t="s">
        <v>53</v>
      </c>
      <c r="B1036" s="2">
        <v>94.149000000000001</v>
      </c>
      <c r="C1036" s="2">
        <v>96.769000000000005</v>
      </c>
      <c r="D1036" s="2">
        <v>93.81</v>
      </c>
      <c r="E1036" s="2">
        <v>96.59</v>
      </c>
      <c r="F1036" s="2">
        <v>50480818</v>
      </c>
      <c r="G1036" s="2" t="s">
        <v>561</v>
      </c>
      <c r="H1036" s="2" t="s">
        <v>562</v>
      </c>
      <c r="I1036" s="2" t="s">
        <v>17</v>
      </c>
      <c r="J1036" s="3">
        <v>2.387</v>
      </c>
      <c r="K1036" s="2" t="s">
        <v>42</v>
      </c>
      <c r="L1036" s="2">
        <v>2023</v>
      </c>
      <c r="M1036" s="2" t="s">
        <v>43</v>
      </c>
      <c r="N1036" s="2" t="s">
        <v>21</v>
      </c>
      <c r="O1036">
        <f t="shared" si="32"/>
        <v>2.9590000000000032</v>
      </c>
      <c r="P1036">
        <f t="shared" si="33"/>
        <v>9.7149999999999981</v>
      </c>
    </row>
    <row r="1037" spans="1:16" x14ac:dyDescent="0.35">
      <c r="A1037" s="9" t="s">
        <v>54</v>
      </c>
      <c r="B1037" s="2">
        <v>95.025999999999996</v>
      </c>
      <c r="C1037" s="2">
        <v>97.326999999999998</v>
      </c>
      <c r="D1037" s="2">
        <v>94.397999999999996</v>
      </c>
      <c r="E1037" s="2">
        <v>95.165000000000006</v>
      </c>
      <c r="F1037" s="2">
        <v>42616549</v>
      </c>
      <c r="G1037" s="2" t="s">
        <v>561</v>
      </c>
      <c r="H1037" s="2" t="s">
        <v>562</v>
      </c>
      <c r="I1037" s="2" t="s">
        <v>17</v>
      </c>
      <c r="J1037" s="4">
        <v>-1.4750000000000001</v>
      </c>
      <c r="K1037" s="2" t="s">
        <v>42</v>
      </c>
      <c r="L1037" s="2">
        <v>2023</v>
      </c>
      <c r="M1037" s="2" t="s">
        <v>43</v>
      </c>
      <c r="N1037" s="2" t="s">
        <v>23</v>
      </c>
      <c r="O1037">
        <f t="shared" si="32"/>
        <v>2.929000000000002</v>
      </c>
      <c r="P1037">
        <f t="shared" si="33"/>
        <v>8.2399999999999984</v>
      </c>
    </row>
    <row r="1038" spans="1:16" x14ac:dyDescent="0.35">
      <c r="A1038" s="9" t="s">
        <v>55</v>
      </c>
      <c r="B1038" s="2">
        <v>94.507000000000005</v>
      </c>
      <c r="C1038" s="2">
        <v>95.215000000000003</v>
      </c>
      <c r="D1038" s="2">
        <v>92.873000000000005</v>
      </c>
      <c r="E1038" s="2">
        <v>94.009</v>
      </c>
      <c r="F1038" s="2">
        <v>34408401</v>
      </c>
      <c r="G1038" s="2" t="s">
        <v>561</v>
      </c>
      <c r="H1038" s="2" t="s">
        <v>562</v>
      </c>
      <c r="I1038" s="2" t="s">
        <v>17</v>
      </c>
      <c r="J1038" s="4">
        <v>-1.2150000000000001</v>
      </c>
      <c r="K1038" s="2" t="s">
        <v>42</v>
      </c>
      <c r="L1038" s="2">
        <v>2023</v>
      </c>
      <c r="M1038" s="2" t="s">
        <v>43</v>
      </c>
      <c r="N1038" s="2" t="s">
        <v>23</v>
      </c>
      <c r="O1038">
        <f t="shared" si="32"/>
        <v>2.3419999999999987</v>
      </c>
      <c r="P1038">
        <f t="shared" si="33"/>
        <v>7.0249999999999986</v>
      </c>
    </row>
    <row r="1039" spans="1:16" x14ac:dyDescent="0.35">
      <c r="A1039" s="9" t="s">
        <v>56</v>
      </c>
      <c r="B1039" s="2">
        <v>92.664000000000001</v>
      </c>
      <c r="C1039" s="2">
        <v>92.763999999999996</v>
      </c>
      <c r="D1039" s="2">
        <v>91.388999999999996</v>
      </c>
      <c r="E1039" s="2">
        <v>91.459000000000003</v>
      </c>
      <c r="F1039" s="2">
        <v>33751165</v>
      </c>
      <c r="G1039" s="2" t="s">
        <v>561</v>
      </c>
      <c r="H1039" s="2" t="s">
        <v>562</v>
      </c>
      <c r="I1039" s="2" t="s">
        <v>17</v>
      </c>
      <c r="J1039" s="4">
        <v>-2.7130000000000001</v>
      </c>
      <c r="K1039" s="2" t="s">
        <v>42</v>
      </c>
      <c r="L1039" s="2">
        <v>2023</v>
      </c>
      <c r="M1039" s="2" t="s">
        <v>43</v>
      </c>
      <c r="N1039" s="2" t="s">
        <v>23</v>
      </c>
      <c r="O1039">
        <f t="shared" si="32"/>
        <v>1.375</v>
      </c>
      <c r="P1039">
        <f t="shared" si="33"/>
        <v>4.3119999999999985</v>
      </c>
    </row>
    <row r="1040" spans="1:16" x14ac:dyDescent="0.35">
      <c r="A1040" s="9" t="s">
        <v>57</v>
      </c>
      <c r="B1040" s="2">
        <v>91.369</v>
      </c>
      <c r="C1040" s="2">
        <v>91.777000000000001</v>
      </c>
      <c r="D1040" s="2">
        <v>90.283000000000001</v>
      </c>
      <c r="E1040" s="2">
        <v>91.319000000000003</v>
      </c>
      <c r="F1040" s="2">
        <v>30995974</v>
      </c>
      <c r="G1040" s="2" t="s">
        <v>561</v>
      </c>
      <c r="H1040" s="2" t="s">
        <v>562</v>
      </c>
      <c r="I1040" s="2" t="s">
        <v>17</v>
      </c>
      <c r="J1040" s="4">
        <v>-0.153</v>
      </c>
      <c r="K1040" s="2" t="s">
        <v>42</v>
      </c>
      <c r="L1040" s="2">
        <v>2023</v>
      </c>
      <c r="M1040" s="2" t="s">
        <v>43</v>
      </c>
      <c r="N1040" s="2" t="s">
        <v>23</v>
      </c>
      <c r="O1040">
        <f t="shared" si="32"/>
        <v>1.4939999999999998</v>
      </c>
      <c r="P1040">
        <f t="shared" si="33"/>
        <v>4.1589999999999989</v>
      </c>
    </row>
    <row r="1041" spans="1:16" x14ac:dyDescent="0.35">
      <c r="A1041" s="9" t="s">
        <v>58</v>
      </c>
      <c r="B1041" s="2">
        <v>91.587999999999994</v>
      </c>
      <c r="C1041" s="2">
        <v>91.608000000000004</v>
      </c>
      <c r="D1041" s="2">
        <v>89.436000000000007</v>
      </c>
      <c r="E1041" s="2">
        <v>90.561999999999998</v>
      </c>
      <c r="F1041" s="2">
        <v>41355757</v>
      </c>
      <c r="G1041" s="2" t="s">
        <v>561</v>
      </c>
      <c r="H1041" s="2" t="s">
        <v>562</v>
      </c>
      <c r="I1041" s="2" t="s">
        <v>17</v>
      </c>
      <c r="J1041" s="4">
        <v>-0.82899999999999996</v>
      </c>
      <c r="K1041" s="2" t="s">
        <v>42</v>
      </c>
      <c r="L1041" s="2">
        <v>2023</v>
      </c>
      <c r="M1041" s="2" t="s">
        <v>43</v>
      </c>
      <c r="N1041" s="2" t="s">
        <v>23</v>
      </c>
      <c r="O1041">
        <f t="shared" si="32"/>
        <v>2.171999999999997</v>
      </c>
      <c r="P1041">
        <f t="shared" si="33"/>
        <v>3.3299999999999992</v>
      </c>
    </row>
    <row r="1042" spans="1:16" x14ac:dyDescent="0.35">
      <c r="A1042" s="9" t="s">
        <v>59</v>
      </c>
      <c r="B1042" s="2">
        <v>89.117000000000004</v>
      </c>
      <c r="C1042" s="2">
        <v>89.564999999999998</v>
      </c>
      <c r="D1042" s="2">
        <v>88.254999999999995</v>
      </c>
      <c r="E1042" s="2">
        <v>88.808000000000007</v>
      </c>
      <c r="F1042" s="2">
        <v>36717717</v>
      </c>
      <c r="G1042" s="2" t="s">
        <v>561</v>
      </c>
      <c r="H1042" s="2" t="s">
        <v>562</v>
      </c>
      <c r="I1042" s="2" t="s">
        <v>17</v>
      </c>
      <c r="J1042" s="4">
        <v>-1.9359999999999999</v>
      </c>
      <c r="K1042" s="2" t="s">
        <v>42</v>
      </c>
      <c r="L1042" s="2">
        <v>2023</v>
      </c>
      <c r="M1042" s="2" t="s">
        <v>43</v>
      </c>
      <c r="N1042" s="2" t="s">
        <v>23</v>
      </c>
      <c r="O1042">
        <f t="shared" si="32"/>
        <v>1.3100000000000023</v>
      </c>
      <c r="P1042">
        <f t="shared" si="33"/>
        <v>1.3939999999999992</v>
      </c>
    </row>
    <row r="1043" spans="1:16" x14ac:dyDescent="0.35">
      <c r="A1043" s="9" t="s">
        <v>60</v>
      </c>
      <c r="B1043" s="2">
        <v>89.545000000000002</v>
      </c>
      <c r="C1043" s="2">
        <v>89.834000000000003</v>
      </c>
      <c r="D1043" s="2">
        <v>89.012</v>
      </c>
      <c r="E1043" s="2">
        <v>89.545000000000002</v>
      </c>
      <c r="F1043" s="2">
        <v>27602000</v>
      </c>
      <c r="G1043" s="2" t="s">
        <v>561</v>
      </c>
      <c r="H1043" s="2" t="s">
        <v>562</v>
      </c>
      <c r="I1043" s="2" t="s">
        <v>17</v>
      </c>
      <c r="J1043" s="3">
        <v>0.83</v>
      </c>
      <c r="K1043" s="2" t="s">
        <v>42</v>
      </c>
      <c r="L1043" s="2">
        <v>2023</v>
      </c>
      <c r="M1043" s="2" t="s">
        <v>43</v>
      </c>
      <c r="N1043" s="2" t="s">
        <v>21</v>
      </c>
      <c r="O1043">
        <f t="shared" si="32"/>
        <v>0.82200000000000273</v>
      </c>
      <c r="P1043">
        <f t="shared" si="33"/>
        <v>2.2239999999999993</v>
      </c>
    </row>
    <row r="1044" spans="1:16" x14ac:dyDescent="0.35">
      <c r="A1044" s="9" t="s">
        <v>61</v>
      </c>
      <c r="B1044" s="2">
        <v>89.007000000000005</v>
      </c>
      <c r="C1044" s="2">
        <v>90.9</v>
      </c>
      <c r="D1044" s="2">
        <v>88.997</v>
      </c>
      <c r="E1044" s="2">
        <v>89.734999999999999</v>
      </c>
      <c r="F1044" s="2">
        <v>30251306</v>
      </c>
      <c r="G1044" s="2" t="s">
        <v>561</v>
      </c>
      <c r="H1044" s="2" t="s">
        <v>562</v>
      </c>
      <c r="I1044" s="2" t="s">
        <v>17</v>
      </c>
      <c r="J1044" s="3">
        <v>0.21199999999999999</v>
      </c>
      <c r="K1044" s="2" t="s">
        <v>42</v>
      </c>
      <c r="L1044" s="2">
        <v>2023</v>
      </c>
      <c r="M1044" s="2" t="s">
        <v>43</v>
      </c>
      <c r="N1044" s="2" t="s">
        <v>21</v>
      </c>
      <c r="O1044">
        <f t="shared" si="32"/>
        <v>1.9030000000000058</v>
      </c>
      <c r="P1044">
        <f t="shared" si="33"/>
        <v>2.4359999999999995</v>
      </c>
    </row>
    <row r="1045" spans="1:16" x14ac:dyDescent="0.35">
      <c r="A1045" s="9" t="s">
        <v>62</v>
      </c>
      <c r="B1045" s="2">
        <v>89.655000000000001</v>
      </c>
      <c r="C1045" s="2">
        <v>90.700999999999993</v>
      </c>
      <c r="D1045" s="2">
        <v>89.346000000000004</v>
      </c>
      <c r="E1045" s="2">
        <v>90.034000000000006</v>
      </c>
      <c r="F1045" s="2">
        <v>31224006</v>
      </c>
      <c r="G1045" s="2" t="s">
        <v>561</v>
      </c>
      <c r="H1045" s="2" t="s">
        <v>562</v>
      </c>
      <c r="I1045" s="2" t="s">
        <v>17</v>
      </c>
      <c r="J1045" s="3">
        <v>0.33300000000000002</v>
      </c>
      <c r="K1045" s="2" t="s">
        <v>63</v>
      </c>
      <c r="L1045" s="2">
        <v>2023</v>
      </c>
      <c r="M1045" s="2" t="s">
        <v>64</v>
      </c>
      <c r="N1045" s="2" t="s">
        <v>21</v>
      </c>
      <c r="O1045">
        <f t="shared" si="32"/>
        <v>1.3549999999999898</v>
      </c>
      <c r="P1045">
        <f t="shared" si="33"/>
        <v>2.7689999999999997</v>
      </c>
    </row>
    <row r="1046" spans="1:16" x14ac:dyDescent="0.35">
      <c r="A1046" s="9" t="s">
        <v>65</v>
      </c>
      <c r="B1046" s="2">
        <v>89.335999999999999</v>
      </c>
      <c r="C1046" s="2">
        <v>91.941999999999993</v>
      </c>
      <c r="D1046" s="2">
        <v>89.266000000000005</v>
      </c>
      <c r="E1046" s="2">
        <v>91.668000000000006</v>
      </c>
      <c r="F1046" s="2">
        <v>32343052</v>
      </c>
      <c r="G1046" s="2" t="s">
        <v>561</v>
      </c>
      <c r="H1046" s="2" t="s">
        <v>562</v>
      </c>
      <c r="I1046" s="2" t="s">
        <v>17</v>
      </c>
      <c r="J1046" s="3">
        <v>1.8149999999999999</v>
      </c>
      <c r="K1046" s="2" t="s">
        <v>63</v>
      </c>
      <c r="L1046" s="2">
        <v>2023</v>
      </c>
      <c r="M1046" s="2" t="s">
        <v>64</v>
      </c>
      <c r="N1046" s="2" t="s">
        <v>21</v>
      </c>
      <c r="O1046">
        <f t="shared" si="32"/>
        <v>2.6759999999999877</v>
      </c>
      <c r="P1046">
        <f t="shared" si="33"/>
        <v>4.5839999999999996</v>
      </c>
    </row>
    <row r="1047" spans="1:16" x14ac:dyDescent="0.35">
      <c r="A1047" s="9" t="s">
        <v>66</v>
      </c>
      <c r="B1047" s="2">
        <v>92.146000000000001</v>
      </c>
      <c r="C1047" s="2">
        <v>93.391000000000005</v>
      </c>
      <c r="D1047" s="2">
        <v>92.116</v>
      </c>
      <c r="E1047" s="2">
        <v>93.311999999999998</v>
      </c>
      <c r="F1047" s="2">
        <v>35287563</v>
      </c>
      <c r="G1047" s="2" t="s">
        <v>561</v>
      </c>
      <c r="H1047" s="2" t="s">
        <v>562</v>
      </c>
      <c r="I1047" s="2" t="s">
        <v>17</v>
      </c>
      <c r="J1047" s="3">
        <v>1.794</v>
      </c>
      <c r="K1047" s="2" t="s">
        <v>63</v>
      </c>
      <c r="L1047" s="2">
        <v>2023</v>
      </c>
      <c r="M1047" s="2" t="s">
        <v>64</v>
      </c>
      <c r="N1047" s="2" t="s">
        <v>21</v>
      </c>
      <c r="O1047">
        <f t="shared" si="32"/>
        <v>1.2750000000000057</v>
      </c>
      <c r="P1047">
        <f t="shared" si="33"/>
        <v>6.3780000000000001</v>
      </c>
    </row>
    <row r="1048" spans="1:16" x14ac:dyDescent="0.35">
      <c r="A1048" s="9" t="s">
        <v>67</v>
      </c>
      <c r="B1048" s="2">
        <v>93.674999999999997</v>
      </c>
      <c r="C1048" s="2">
        <v>95.623000000000005</v>
      </c>
      <c r="D1048" s="2">
        <v>93.66</v>
      </c>
      <c r="E1048" s="2">
        <v>94.786000000000001</v>
      </c>
      <c r="F1048" s="2">
        <v>32757633</v>
      </c>
      <c r="G1048" s="2" t="s">
        <v>561</v>
      </c>
      <c r="H1048" s="2" t="s">
        <v>562</v>
      </c>
      <c r="I1048" s="2" t="s">
        <v>17</v>
      </c>
      <c r="J1048" s="3">
        <v>1.58</v>
      </c>
      <c r="K1048" s="2" t="s">
        <v>63</v>
      </c>
      <c r="L1048" s="2">
        <v>2023</v>
      </c>
      <c r="M1048" s="2" t="s">
        <v>64</v>
      </c>
      <c r="N1048" s="2" t="s">
        <v>21</v>
      </c>
      <c r="O1048">
        <f t="shared" si="32"/>
        <v>1.9630000000000081</v>
      </c>
      <c r="P1048">
        <f t="shared" si="33"/>
        <v>7.9580000000000002</v>
      </c>
    </row>
    <row r="1049" spans="1:16" x14ac:dyDescent="0.35">
      <c r="A1049" s="9" t="s">
        <v>68</v>
      </c>
      <c r="B1049" s="2">
        <v>94.637</v>
      </c>
      <c r="C1049" s="2">
        <v>95.325000000000003</v>
      </c>
      <c r="D1049" s="2">
        <v>93.191999999999993</v>
      </c>
      <c r="E1049" s="2">
        <v>93.521000000000001</v>
      </c>
      <c r="F1049" s="2">
        <v>27936382</v>
      </c>
      <c r="G1049" s="2" t="s">
        <v>561</v>
      </c>
      <c r="H1049" s="2" t="s">
        <v>562</v>
      </c>
      <c r="I1049" s="2" t="s">
        <v>17</v>
      </c>
      <c r="J1049" s="4">
        <v>-1.335</v>
      </c>
      <c r="K1049" s="2" t="s">
        <v>63</v>
      </c>
      <c r="L1049" s="2">
        <v>2023</v>
      </c>
      <c r="M1049" s="2" t="s">
        <v>64</v>
      </c>
      <c r="N1049" s="2" t="s">
        <v>23</v>
      </c>
      <c r="O1049">
        <f t="shared" si="32"/>
        <v>2.1330000000000098</v>
      </c>
      <c r="P1049">
        <f t="shared" si="33"/>
        <v>6.6230000000000002</v>
      </c>
    </row>
    <row r="1050" spans="1:16" x14ac:dyDescent="0.35">
      <c r="A1050" s="9" t="s">
        <v>69</v>
      </c>
      <c r="B1050" s="2">
        <v>93.78</v>
      </c>
      <c r="C1050" s="2">
        <v>95.608000000000004</v>
      </c>
      <c r="D1050" s="2">
        <v>93.66</v>
      </c>
      <c r="E1050" s="2">
        <v>93.91</v>
      </c>
      <c r="F1050" s="2">
        <v>34226892</v>
      </c>
      <c r="G1050" s="2" t="s">
        <v>561</v>
      </c>
      <c r="H1050" s="2" t="s">
        <v>562</v>
      </c>
      <c r="I1050" s="2" t="s">
        <v>17</v>
      </c>
      <c r="J1050" s="3">
        <v>0.41599999999999998</v>
      </c>
      <c r="K1050" s="2" t="s">
        <v>63</v>
      </c>
      <c r="L1050" s="2">
        <v>2023</v>
      </c>
      <c r="M1050" s="2" t="s">
        <v>64</v>
      </c>
      <c r="N1050" s="2" t="s">
        <v>21</v>
      </c>
      <c r="O1050">
        <f t="shared" si="32"/>
        <v>1.9480000000000075</v>
      </c>
      <c r="P1050">
        <f t="shared" si="33"/>
        <v>7.0390000000000006</v>
      </c>
    </row>
    <row r="1051" spans="1:16" x14ac:dyDescent="0.35">
      <c r="A1051" s="9" t="s">
        <v>70</v>
      </c>
      <c r="B1051" s="2">
        <v>93.71</v>
      </c>
      <c r="C1051" s="2">
        <v>95.185000000000002</v>
      </c>
      <c r="D1051" s="2">
        <v>91.567999999999998</v>
      </c>
      <c r="E1051" s="2">
        <v>91.986999999999995</v>
      </c>
      <c r="F1051" s="2">
        <v>28917983</v>
      </c>
      <c r="G1051" s="2" t="s">
        <v>561</v>
      </c>
      <c r="H1051" s="2" t="s">
        <v>562</v>
      </c>
      <c r="I1051" s="2" t="s">
        <v>17</v>
      </c>
      <c r="J1051" s="4">
        <v>-2.048</v>
      </c>
      <c r="K1051" s="2" t="s">
        <v>63</v>
      </c>
      <c r="L1051" s="2">
        <v>2023</v>
      </c>
      <c r="M1051" s="2" t="s">
        <v>64</v>
      </c>
      <c r="N1051" s="2" t="s">
        <v>23</v>
      </c>
      <c r="O1051">
        <f t="shared" si="32"/>
        <v>3.6170000000000044</v>
      </c>
      <c r="P1051">
        <f t="shared" si="33"/>
        <v>4.9910000000000005</v>
      </c>
    </row>
    <row r="1052" spans="1:16" x14ac:dyDescent="0.35">
      <c r="A1052" s="9" t="s">
        <v>71</v>
      </c>
      <c r="B1052" s="2">
        <v>91.837000000000003</v>
      </c>
      <c r="C1052" s="2">
        <v>92.454999999999998</v>
      </c>
      <c r="D1052" s="2">
        <v>90.069000000000003</v>
      </c>
      <c r="E1052" s="2">
        <v>90.302999999999997</v>
      </c>
      <c r="F1052" s="2">
        <v>36071335</v>
      </c>
      <c r="G1052" s="2" t="s">
        <v>561</v>
      </c>
      <c r="H1052" s="2" t="s">
        <v>562</v>
      </c>
      <c r="I1052" s="2" t="s">
        <v>17</v>
      </c>
      <c r="J1052" s="4">
        <v>-1.831</v>
      </c>
      <c r="K1052" s="2" t="s">
        <v>63</v>
      </c>
      <c r="L1052" s="2">
        <v>2023</v>
      </c>
      <c r="M1052" s="2" t="s">
        <v>64</v>
      </c>
      <c r="N1052" s="2" t="s">
        <v>23</v>
      </c>
      <c r="O1052">
        <f t="shared" si="32"/>
        <v>2.3859999999999957</v>
      </c>
      <c r="P1052">
        <f t="shared" si="33"/>
        <v>3.1600000000000006</v>
      </c>
    </row>
    <row r="1053" spans="1:16" x14ac:dyDescent="0.35">
      <c r="A1053" s="9" t="s">
        <v>72</v>
      </c>
      <c r="B1053" s="2">
        <v>89.763999999999996</v>
      </c>
      <c r="C1053" s="2">
        <v>92.236000000000004</v>
      </c>
      <c r="D1053" s="2">
        <v>89.096999999999994</v>
      </c>
      <c r="E1053" s="2">
        <v>90.781000000000006</v>
      </c>
      <c r="F1053" s="2">
        <v>37470918</v>
      </c>
      <c r="G1053" s="2" t="s">
        <v>561</v>
      </c>
      <c r="H1053" s="2" t="s">
        <v>562</v>
      </c>
      <c r="I1053" s="2" t="s">
        <v>17</v>
      </c>
      <c r="J1053" s="3">
        <v>0.53</v>
      </c>
      <c r="K1053" s="2" t="s">
        <v>63</v>
      </c>
      <c r="L1053" s="2">
        <v>2023</v>
      </c>
      <c r="M1053" s="2" t="s">
        <v>64</v>
      </c>
      <c r="N1053" s="2" t="s">
        <v>21</v>
      </c>
      <c r="O1053">
        <f t="shared" si="32"/>
        <v>3.13900000000001</v>
      </c>
      <c r="P1053">
        <f t="shared" si="33"/>
        <v>3.6900000000000004</v>
      </c>
    </row>
    <row r="1054" spans="1:16" x14ac:dyDescent="0.35">
      <c r="A1054" s="9" t="s">
        <v>73</v>
      </c>
      <c r="B1054" s="2">
        <v>92.225999999999999</v>
      </c>
      <c r="C1054" s="2">
        <v>94.019000000000005</v>
      </c>
      <c r="D1054" s="2">
        <v>92.105999999999995</v>
      </c>
      <c r="E1054" s="2">
        <v>93.631</v>
      </c>
      <c r="F1054" s="2">
        <v>36180899</v>
      </c>
      <c r="G1054" s="2" t="s">
        <v>561</v>
      </c>
      <c r="H1054" s="2" t="s">
        <v>562</v>
      </c>
      <c r="I1054" s="2" t="s">
        <v>17</v>
      </c>
      <c r="J1054" s="3">
        <v>3.1389999999999998</v>
      </c>
      <c r="K1054" s="2" t="s">
        <v>63</v>
      </c>
      <c r="L1054" s="2">
        <v>2023</v>
      </c>
      <c r="M1054" s="2" t="s">
        <v>64</v>
      </c>
      <c r="N1054" s="2" t="s">
        <v>21</v>
      </c>
      <c r="O1054">
        <f t="shared" si="32"/>
        <v>1.9130000000000109</v>
      </c>
      <c r="P1054">
        <f t="shared" si="33"/>
        <v>6.8290000000000006</v>
      </c>
    </row>
    <row r="1055" spans="1:16" x14ac:dyDescent="0.35">
      <c r="A1055" s="9" t="s">
        <v>74</v>
      </c>
      <c r="B1055" s="2">
        <v>92.882999999999996</v>
      </c>
      <c r="C1055" s="2">
        <v>96.58</v>
      </c>
      <c r="D1055" s="2">
        <v>92.305000000000007</v>
      </c>
      <c r="E1055" s="2">
        <v>95.763000000000005</v>
      </c>
      <c r="F1055" s="2">
        <v>50805560</v>
      </c>
      <c r="G1055" s="2" t="s">
        <v>561</v>
      </c>
      <c r="H1055" s="2" t="s">
        <v>562</v>
      </c>
      <c r="I1055" s="2" t="s">
        <v>17</v>
      </c>
      <c r="J1055" s="3">
        <v>2.2770000000000001</v>
      </c>
      <c r="K1055" s="2" t="s">
        <v>63</v>
      </c>
      <c r="L1055" s="2">
        <v>2023</v>
      </c>
      <c r="M1055" s="2" t="s">
        <v>64</v>
      </c>
      <c r="N1055" s="2" t="s">
        <v>21</v>
      </c>
      <c r="O1055">
        <f t="shared" si="32"/>
        <v>4.2749999999999915</v>
      </c>
      <c r="P1055">
        <f t="shared" si="33"/>
        <v>9.1060000000000016</v>
      </c>
    </row>
    <row r="1056" spans="1:16" x14ac:dyDescent="0.35">
      <c r="A1056" s="9" t="s">
        <v>75</v>
      </c>
      <c r="B1056" s="2">
        <v>95.852999999999994</v>
      </c>
      <c r="C1056" s="2">
        <v>100.824</v>
      </c>
      <c r="D1056" s="2">
        <v>95.155000000000001</v>
      </c>
      <c r="E1056" s="2">
        <v>99.956999999999994</v>
      </c>
      <c r="F1056" s="2">
        <v>65805345</v>
      </c>
      <c r="G1056" s="2" t="s">
        <v>561</v>
      </c>
      <c r="H1056" s="2" t="s">
        <v>562</v>
      </c>
      <c r="I1056" s="2" t="s">
        <v>17</v>
      </c>
      <c r="J1056" s="3">
        <v>4.38</v>
      </c>
      <c r="K1056" s="2" t="s">
        <v>63</v>
      </c>
      <c r="L1056" s="2">
        <v>2023</v>
      </c>
      <c r="M1056" s="2" t="s">
        <v>64</v>
      </c>
      <c r="N1056" s="2" t="s">
        <v>21</v>
      </c>
      <c r="O1056">
        <f t="shared" si="32"/>
        <v>5.6689999999999969</v>
      </c>
      <c r="P1056">
        <f t="shared" si="33"/>
        <v>13.486000000000001</v>
      </c>
    </row>
    <row r="1057" spans="1:16" x14ac:dyDescent="0.35">
      <c r="A1057" s="9" t="s">
        <v>76</v>
      </c>
      <c r="B1057" s="2">
        <v>99.897000000000006</v>
      </c>
      <c r="C1057" s="2">
        <v>102.464</v>
      </c>
      <c r="D1057" s="2">
        <v>99.738</v>
      </c>
      <c r="E1057" s="2">
        <v>101.253</v>
      </c>
      <c r="F1057" s="2">
        <v>61249781</v>
      </c>
      <c r="G1057" s="2" t="s">
        <v>561</v>
      </c>
      <c r="H1057" s="2" t="s">
        <v>562</v>
      </c>
      <c r="I1057" s="2" t="s">
        <v>17</v>
      </c>
      <c r="J1057" s="3">
        <v>1.296</v>
      </c>
      <c r="K1057" s="2" t="s">
        <v>63</v>
      </c>
      <c r="L1057" s="2">
        <v>2023</v>
      </c>
      <c r="M1057" s="2" t="s">
        <v>64</v>
      </c>
      <c r="N1057" s="2" t="s">
        <v>21</v>
      </c>
      <c r="O1057">
        <f t="shared" si="32"/>
        <v>2.7259999999999991</v>
      </c>
      <c r="P1057">
        <f t="shared" si="33"/>
        <v>14.782</v>
      </c>
    </row>
    <row r="1058" spans="1:16" x14ac:dyDescent="0.35">
      <c r="A1058" s="9" t="s">
        <v>77</v>
      </c>
      <c r="B1058" s="2">
        <v>99.757999999999996</v>
      </c>
      <c r="C1058" s="2">
        <v>101.38200000000001</v>
      </c>
      <c r="D1058" s="2">
        <v>99.509</v>
      </c>
      <c r="E1058" s="2">
        <v>100.854</v>
      </c>
      <c r="F1058" s="2">
        <v>33079924</v>
      </c>
      <c r="G1058" s="2" t="s">
        <v>561</v>
      </c>
      <c r="H1058" s="2" t="s">
        <v>562</v>
      </c>
      <c r="I1058" s="2" t="s">
        <v>17</v>
      </c>
      <c r="J1058" s="4">
        <v>-0.39400000000000002</v>
      </c>
      <c r="K1058" s="2" t="s">
        <v>63</v>
      </c>
      <c r="L1058" s="2">
        <v>2023</v>
      </c>
      <c r="M1058" s="2" t="s">
        <v>64</v>
      </c>
      <c r="N1058" s="2" t="s">
        <v>23</v>
      </c>
      <c r="O1058">
        <f t="shared" si="32"/>
        <v>1.8730000000000047</v>
      </c>
      <c r="P1058">
        <f t="shared" si="33"/>
        <v>14.388</v>
      </c>
    </row>
    <row r="1059" spans="1:16" x14ac:dyDescent="0.35">
      <c r="A1059" s="9" t="s">
        <v>78</v>
      </c>
      <c r="B1059" s="2">
        <v>100.884</v>
      </c>
      <c r="C1059" s="2">
        <v>104.721</v>
      </c>
      <c r="D1059" s="2">
        <v>100.854</v>
      </c>
      <c r="E1059" s="2">
        <v>104.541</v>
      </c>
      <c r="F1059" s="2">
        <v>42262933</v>
      </c>
      <c r="G1059" s="2" t="s">
        <v>561</v>
      </c>
      <c r="H1059" s="2" t="s">
        <v>562</v>
      </c>
      <c r="I1059" s="2" t="s">
        <v>17</v>
      </c>
      <c r="J1059" s="3">
        <v>3.6560000000000001</v>
      </c>
      <c r="K1059" s="2" t="s">
        <v>63</v>
      </c>
      <c r="L1059" s="2">
        <v>2023</v>
      </c>
      <c r="M1059" s="2" t="s">
        <v>64</v>
      </c>
      <c r="N1059" s="2" t="s">
        <v>21</v>
      </c>
      <c r="O1059">
        <f t="shared" si="32"/>
        <v>3.8670000000000044</v>
      </c>
      <c r="P1059">
        <f t="shared" si="33"/>
        <v>18.044</v>
      </c>
    </row>
    <row r="1060" spans="1:16" x14ac:dyDescent="0.35">
      <c r="A1060" s="9" t="s">
        <v>79</v>
      </c>
      <c r="B1060" s="2">
        <v>103.893</v>
      </c>
      <c r="C1060" s="2">
        <v>106.205</v>
      </c>
      <c r="D1060" s="2">
        <v>102.95699999999999</v>
      </c>
      <c r="E1060" s="2">
        <v>102.996</v>
      </c>
      <c r="F1060" s="2">
        <v>43584847</v>
      </c>
      <c r="G1060" s="2" t="s">
        <v>561</v>
      </c>
      <c r="H1060" s="2" t="s">
        <v>562</v>
      </c>
      <c r="I1060" s="2" t="s">
        <v>17</v>
      </c>
      <c r="J1060" s="4">
        <v>-1.478</v>
      </c>
      <c r="K1060" s="2" t="s">
        <v>63</v>
      </c>
      <c r="L1060" s="2">
        <v>2023</v>
      </c>
      <c r="M1060" s="2" t="s">
        <v>64</v>
      </c>
      <c r="N1060" s="2" t="s">
        <v>23</v>
      </c>
      <c r="O1060">
        <f t="shared" si="32"/>
        <v>3.2480000000000047</v>
      </c>
      <c r="P1060">
        <f t="shared" si="33"/>
        <v>16.565999999999999</v>
      </c>
    </row>
    <row r="1061" spans="1:16" x14ac:dyDescent="0.35">
      <c r="A1061" s="9" t="s">
        <v>80</v>
      </c>
      <c r="B1061" s="2">
        <v>104.681</v>
      </c>
      <c r="C1061" s="2">
        <v>105.916</v>
      </c>
      <c r="D1061" s="2">
        <v>104.083</v>
      </c>
      <c r="E1061" s="2">
        <v>105.218</v>
      </c>
      <c r="F1061" s="2">
        <v>40945665</v>
      </c>
      <c r="G1061" s="2" t="s">
        <v>561</v>
      </c>
      <c r="H1061" s="2" t="s">
        <v>562</v>
      </c>
      <c r="I1061" s="2" t="s">
        <v>17</v>
      </c>
      <c r="J1061" s="3">
        <v>2.157</v>
      </c>
      <c r="K1061" s="2" t="s">
        <v>63</v>
      </c>
      <c r="L1061" s="2">
        <v>2023</v>
      </c>
      <c r="M1061" s="2" t="s">
        <v>64</v>
      </c>
      <c r="N1061" s="2" t="s">
        <v>21</v>
      </c>
      <c r="O1061">
        <f t="shared" si="32"/>
        <v>1.8329999999999984</v>
      </c>
      <c r="P1061">
        <f t="shared" si="33"/>
        <v>18.722999999999999</v>
      </c>
    </row>
    <row r="1062" spans="1:16" x14ac:dyDescent="0.35">
      <c r="A1062" s="9" t="s">
        <v>81</v>
      </c>
      <c r="B1062" s="2">
        <v>104.611</v>
      </c>
      <c r="C1062" s="2">
        <v>105.10899999999999</v>
      </c>
      <c r="D1062" s="2">
        <v>103.465</v>
      </c>
      <c r="E1062" s="2">
        <v>105.059</v>
      </c>
      <c r="F1062" s="2">
        <v>30521286</v>
      </c>
      <c r="G1062" s="2" t="s">
        <v>561</v>
      </c>
      <c r="H1062" s="2" t="s">
        <v>562</v>
      </c>
      <c r="I1062" s="2" t="s">
        <v>17</v>
      </c>
      <c r="J1062" s="4">
        <v>-0.151</v>
      </c>
      <c r="K1062" s="2" t="s">
        <v>63</v>
      </c>
      <c r="L1062" s="2">
        <v>2023</v>
      </c>
      <c r="M1062" s="2" t="s">
        <v>64</v>
      </c>
      <c r="N1062" s="2" t="s">
        <v>23</v>
      </c>
      <c r="O1062">
        <f t="shared" si="32"/>
        <v>1.6439999999999912</v>
      </c>
      <c r="P1062">
        <f t="shared" si="33"/>
        <v>18.571999999999999</v>
      </c>
    </row>
    <row r="1063" spans="1:16" x14ac:dyDescent="0.35">
      <c r="A1063" s="9" t="s">
        <v>82</v>
      </c>
      <c r="B1063" s="2">
        <v>104.238</v>
      </c>
      <c r="C1063" s="2">
        <v>104.381</v>
      </c>
      <c r="D1063" s="2">
        <v>101.559</v>
      </c>
      <c r="E1063" s="2">
        <v>102.09</v>
      </c>
      <c r="F1063" s="2">
        <v>31233680</v>
      </c>
      <c r="G1063" s="2" t="s">
        <v>561</v>
      </c>
      <c r="H1063" s="2" t="s">
        <v>562</v>
      </c>
      <c r="I1063" s="2" t="s">
        <v>17</v>
      </c>
      <c r="J1063" s="4">
        <v>-2.8260000000000001</v>
      </c>
      <c r="K1063" s="2" t="s">
        <v>63</v>
      </c>
      <c r="L1063" s="2">
        <v>2023</v>
      </c>
      <c r="M1063" s="2" t="s">
        <v>64</v>
      </c>
      <c r="N1063" s="2" t="s">
        <v>23</v>
      </c>
      <c r="O1063">
        <f t="shared" si="32"/>
        <v>2.8220000000000027</v>
      </c>
      <c r="P1063">
        <f t="shared" si="33"/>
        <v>15.745999999999999</v>
      </c>
    </row>
    <row r="1064" spans="1:16" x14ac:dyDescent="0.35">
      <c r="A1064" s="9" t="s">
        <v>83</v>
      </c>
      <c r="B1064" s="2">
        <v>102.07</v>
      </c>
      <c r="C1064" s="2">
        <v>102.08</v>
      </c>
      <c r="D1064" s="2">
        <v>99.38</v>
      </c>
      <c r="E1064" s="2">
        <v>100.66500000000001</v>
      </c>
      <c r="F1064" s="2">
        <v>32174078</v>
      </c>
      <c r="G1064" s="2" t="s">
        <v>561</v>
      </c>
      <c r="H1064" s="2" t="s">
        <v>562</v>
      </c>
      <c r="I1064" s="2" t="s">
        <v>17</v>
      </c>
      <c r="J1064" s="4">
        <v>-1.3959999999999999</v>
      </c>
      <c r="K1064" s="2" t="s">
        <v>63</v>
      </c>
      <c r="L1064" s="2">
        <v>2023</v>
      </c>
      <c r="M1064" s="2" t="s">
        <v>64</v>
      </c>
      <c r="N1064" s="2" t="s">
        <v>23</v>
      </c>
      <c r="O1064">
        <f t="shared" si="32"/>
        <v>2.7000000000000028</v>
      </c>
      <c r="P1064">
        <f t="shared" si="33"/>
        <v>14.349999999999998</v>
      </c>
    </row>
    <row r="1065" spans="1:16" x14ac:dyDescent="0.35">
      <c r="A1065" s="9" t="s">
        <v>84</v>
      </c>
      <c r="B1065" s="2">
        <v>101.911</v>
      </c>
      <c r="C1065" s="2">
        <v>102.12</v>
      </c>
      <c r="D1065" s="2">
        <v>100.28700000000001</v>
      </c>
      <c r="E1065" s="2">
        <v>101.024</v>
      </c>
      <c r="F1065" s="2">
        <v>28883900</v>
      </c>
      <c r="G1065" s="2" t="s">
        <v>561</v>
      </c>
      <c r="H1065" s="2" t="s">
        <v>562</v>
      </c>
      <c r="I1065" s="2" t="s">
        <v>17</v>
      </c>
      <c r="J1065" s="3">
        <v>0.35699999999999998</v>
      </c>
      <c r="K1065" s="2" t="s">
        <v>63</v>
      </c>
      <c r="L1065" s="2">
        <v>2023</v>
      </c>
      <c r="M1065" s="2" t="s">
        <v>64</v>
      </c>
      <c r="N1065" s="2" t="s">
        <v>21</v>
      </c>
      <c r="O1065">
        <f t="shared" si="32"/>
        <v>1.8329999999999984</v>
      </c>
      <c r="P1065">
        <f t="shared" si="33"/>
        <v>14.706999999999997</v>
      </c>
    </row>
    <row r="1066" spans="1:16" x14ac:dyDescent="0.35">
      <c r="A1066" s="9" t="s">
        <v>85</v>
      </c>
      <c r="B1066" s="2">
        <v>100.545</v>
      </c>
      <c r="C1066" s="2">
        <v>100.789</v>
      </c>
      <c r="D1066" s="2">
        <v>99.42</v>
      </c>
      <c r="E1066" s="2">
        <v>100.52500000000001</v>
      </c>
      <c r="F1066" s="2">
        <v>33206123</v>
      </c>
      <c r="G1066" s="2" t="s">
        <v>561</v>
      </c>
      <c r="H1066" s="2" t="s">
        <v>562</v>
      </c>
      <c r="I1066" s="2" t="s">
        <v>17</v>
      </c>
      <c r="J1066" s="4">
        <v>-0.49399999999999999</v>
      </c>
      <c r="K1066" s="2" t="s">
        <v>63</v>
      </c>
      <c r="L1066" s="2">
        <v>2023</v>
      </c>
      <c r="M1066" s="2" t="s">
        <v>64</v>
      </c>
      <c r="N1066" s="2" t="s">
        <v>23</v>
      </c>
      <c r="O1066">
        <f t="shared" si="32"/>
        <v>1.3689999999999998</v>
      </c>
      <c r="P1066">
        <f t="shared" si="33"/>
        <v>14.212999999999997</v>
      </c>
    </row>
    <row r="1067" spans="1:16" x14ac:dyDescent="0.35">
      <c r="A1067" s="9" t="s">
        <v>86</v>
      </c>
      <c r="B1067" s="2">
        <v>100.934</v>
      </c>
      <c r="C1067" s="2">
        <v>103.514</v>
      </c>
      <c r="D1067" s="2">
        <v>100.675</v>
      </c>
      <c r="E1067" s="2">
        <v>103.35599999999999</v>
      </c>
      <c r="F1067" s="2">
        <v>36997002</v>
      </c>
      <c r="G1067" s="2" t="s">
        <v>561</v>
      </c>
      <c r="H1067" s="2" t="s">
        <v>562</v>
      </c>
      <c r="I1067" s="2" t="s">
        <v>17</v>
      </c>
      <c r="J1067" s="3">
        <v>2.8159999999999998</v>
      </c>
      <c r="K1067" s="2" t="s">
        <v>63</v>
      </c>
      <c r="L1067" s="2">
        <v>2023</v>
      </c>
      <c r="M1067" s="2" t="s">
        <v>64</v>
      </c>
      <c r="N1067" s="2" t="s">
        <v>21</v>
      </c>
      <c r="O1067">
        <f t="shared" si="32"/>
        <v>2.8389999999999986</v>
      </c>
      <c r="P1067">
        <f t="shared" si="33"/>
        <v>17.028999999999996</v>
      </c>
    </row>
    <row r="1068" spans="1:16" x14ac:dyDescent="0.35">
      <c r="A1068" s="9" t="s">
        <v>87</v>
      </c>
      <c r="B1068" s="2">
        <v>102.02</v>
      </c>
      <c r="C1068" s="2">
        <v>104.15300000000001</v>
      </c>
      <c r="D1068" s="2">
        <v>101.562</v>
      </c>
      <c r="E1068" s="2">
        <v>103.983</v>
      </c>
      <c r="F1068" s="2">
        <v>25126154</v>
      </c>
      <c r="G1068" s="2" t="s">
        <v>561</v>
      </c>
      <c r="H1068" s="2" t="s">
        <v>562</v>
      </c>
      <c r="I1068" s="2" t="s">
        <v>17</v>
      </c>
      <c r="J1068" s="3">
        <v>0.60699999999999998</v>
      </c>
      <c r="K1068" s="2" t="s">
        <v>88</v>
      </c>
      <c r="L1068" s="2">
        <v>2023</v>
      </c>
      <c r="M1068" s="2" t="s">
        <v>89</v>
      </c>
      <c r="N1068" s="2" t="s">
        <v>21</v>
      </c>
      <c r="O1068">
        <f t="shared" si="32"/>
        <v>2.5910000000000082</v>
      </c>
      <c r="P1068">
        <f t="shared" si="33"/>
        <v>17.635999999999996</v>
      </c>
    </row>
    <row r="1069" spans="1:16" x14ac:dyDescent="0.35">
      <c r="A1069" s="9" t="s">
        <v>90</v>
      </c>
      <c r="B1069" s="2">
        <v>103.953</v>
      </c>
      <c r="C1069" s="2">
        <v>105.19799999999999</v>
      </c>
      <c r="D1069" s="2">
        <v>103.664</v>
      </c>
      <c r="E1069" s="2">
        <v>104.34099999999999</v>
      </c>
      <c r="F1069" s="2">
        <v>24508604</v>
      </c>
      <c r="G1069" s="2" t="s">
        <v>561</v>
      </c>
      <c r="H1069" s="2" t="s">
        <v>562</v>
      </c>
      <c r="I1069" s="2" t="s">
        <v>17</v>
      </c>
      <c r="J1069" s="3">
        <v>0.34399999999999997</v>
      </c>
      <c r="K1069" s="2" t="s">
        <v>88</v>
      </c>
      <c r="L1069" s="2">
        <v>2023</v>
      </c>
      <c r="M1069" s="2" t="s">
        <v>89</v>
      </c>
      <c r="N1069" s="2" t="s">
        <v>21</v>
      </c>
      <c r="O1069">
        <f t="shared" si="32"/>
        <v>1.5339999999999918</v>
      </c>
      <c r="P1069">
        <f t="shared" si="33"/>
        <v>17.979999999999997</v>
      </c>
    </row>
    <row r="1070" spans="1:16" x14ac:dyDescent="0.35">
      <c r="A1070" s="9" t="s">
        <v>91</v>
      </c>
      <c r="B1070" s="2">
        <v>105.398</v>
      </c>
      <c r="C1070" s="2">
        <v>105.717</v>
      </c>
      <c r="D1070" s="2">
        <v>103.286</v>
      </c>
      <c r="E1070" s="2">
        <v>104.093</v>
      </c>
      <c r="F1070" s="2">
        <v>28393058</v>
      </c>
      <c r="G1070" s="2" t="s">
        <v>561</v>
      </c>
      <c r="H1070" s="2" t="s">
        <v>562</v>
      </c>
      <c r="I1070" s="2" t="s">
        <v>17</v>
      </c>
      <c r="J1070" s="4">
        <v>-0.23799999999999999</v>
      </c>
      <c r="K1070" s="2" t="s">
        <v>88</v>
      </c>
      <c r="L1070" s="2">
        <v>2023</v>
      </c>
      <c r="M1070" s="2" t="s">
        <v>89</v>
      </c>
      <c r="N1070" s="2" t="s">
        <v>23</v>
      </c>
      <c r="O1070">
        <f t="shared" si="32"/>
        <v>2.4309999999999974</v>
      </c>
      <c r="P1070">
        <f t="shared" si="33"/>
        <v>17.741999999999997</v>
      </c>
    </row>
    <row r="1071" spans="1:16" x14ac:dyDescent="0.35">
      <c r="A1071" s="9" t="s">
        <v>92</v>
      </c>
      <c r="B1071" s="2">
        <v>104.88</v>
      </c>
      <c r="C1071" s="2">
        <v>108.77500000000001</v>
      </c>
      <c r="D1071" s="2">
        <v>103.953</v>
      </c>
      <c r="E1071" s="2">
        <v>108.02800000000001</v>
      </c>
      <c r="F1071" s="2">
        <v>48888064</v>
      </c>
      <c r="G1071" s="2" t="s">
        <v>561</v>
      </c>
      <c r="H1071" s="2" t="s">
        <v>562</v>
      </c>
      <c r="I1071" s="2" t="s">
        <v>17</v>
      </c>
      <c r="J1071" s="3">
        <v>3.78</v>
      </c>
      <c r="K1071" s="2" t="s">
        <v>88</v>
      </c>
      <c r="L1071" s="2">
        <v>2023</v>
      </c>
      <c r="M1071" s="2" t="s">
        <v>89</v>
      </c>
      <c r="N1071" s="2" t="s">
        <v>21</v>
      </c>
      <c r="O1071">
        <f t="shared" si="32"/>
        <v>4.8220000000000027</v>
      </c>
      <c r="P1071">
        <f t="shared" si="33"/>
        <v>21.521999999999998</v>
      </c>
    </row>
    <row r="1072" spans="1:16" x14ac:dyDescent="0.35">
      <c r="A1072" s="9" t="s">
        <v>93</v>
      </c>
      <c r="B1072" s="2">
        <v>106.593</v>
      </c>
      <c r="C1072" s="2">
        <v>107.202</v>
      </c>
      <c r="D1072" s="2">
        <v>104.74</v>
      </c>
      <c r="E1072" s="2">
        <v>106.05500000000001</v>
      </c>
      <c r="F1072" s="2">
        <v>27165476</v>
      </c>
      <c r="G1072" s="2" t="s">
        <v>561</v>
      </c>
      <c r="H1072" s="2" t="s">
        <v>562</v>
      </c>
      <c r="I1072" s="2" t="s">
        <v>17</v>
      </c>
      <c r="J1072" s="4">
        <v>-1.8260000000000001</v>
      </c>
      <c r="K1072" s="2" t="s">
        <v>88</v>
      </c>
      <c r="L1072" s="2">
        <v>2023</v>
      </c>
      <c r="M1072" s="2" t="s">
        <v>89</v>
      </c>
      <c r="N1072" s="2" t="s">
        <v>23</v>
      </c>
      <c r="O1072">
        <f t="shared" si="32"/>
        <v>2.4620000000000033</v>
      </c>
      <c r="P1072">
        <f t="shared" si="33"/>
        <v>19.695999999999998</v>
      </c>
    </row>
    <row r="1073" spans="1:16" x14ac:dyDescent="0.35">
      <c r="A1073" s="9" t="s">
        <v>94</v>
      </c>
      <c r="B1073" s="2">
        <v>106.16500000000001</v>
      </c>
      <c r="C1073" s="2">
        <v>106.345</v>
      </c>
      <c r="D1073" s="2">
        <v>104.301</v>
      </c>
      <c r="E1073" s="2">
        <v>104.97</v>
      </c>
      <c r="F1073" s="2">
        <v>26407185</v>
      </c>
      <c r="G1073" s="2" t="s">
        <v>561</v>
      </c>
      <c r="H1073" s="2" t="s">
        <v>562</v>
      </c>
      <c r="I1073" s="2" t="s">
        <v>17</v>
      </c>
      <c r="J1073" s="4">
        <v>-1.0229999999999999</v>
      </c>
      <c r="K1073" s="2" t="s">
        <v>88</v>
      </c>
      <c r="L1073" s="2">
        <v>2023</v>
      </c>
      <c r="M1073" s="2" t="s">
        <v>89</v>
      </c>
      <c r="N1073" s="2" t="s">
        <v>23</v>
      </c>
      <c r="O1073">
        <f t="shared" si="32"/>
        <v>2.0439999999999969</v>
      </c>
      <c r="P1073">
        <f t="shared" si="33"/>
        <v>18.672999999999998</v>
      </c>
    </row>
    <row r="1074" spans="1:16" x14ac:dyDescent="0.35">
      <c r="A1074" s="9" t="s">
        <v>95</v>
      </c>
      <c r="B1074" s="2">
        <v>106.19499999999999</v>
      </c>
      <c r="C1074" s="2">
        <v>106.36499999999999</v>
      </c>
      <c r="D1074" s="2">
        <v>103.96299999999999</v>
      </c>
      <c r="E1074" s="2">
        <v>104.262</v>
      </c>
      <c r="F1074" s="2">
        <v>24458618</v>
      </c>
      <c r="G1074" s="2" t="s">
        <v>561</v>
      </c>
      <c r="H1074" s="2" t="s">
        <v>562</v>
      </c>
      <c r="I1074" s="2" t="s">
        <v>17</v>
      </c>
      <c r="J1074" s="4">
        <v>-0.67400000000000004</v>
      </c>
      <c r="K1074" s="2" t="s">
        <v>88</v>
      </c>
      <c r="L1074" s="2">
        <v>2023</v>
      </c>
      <c r="M1074" s="2" t="s">
        <v>89</v>
      </c>
      <c r="N1074" s="2" t="s">
        <v>23</v>
      </c>
      <c r="O1074">
        <f t="shared" si="32"/>
        <v>2.402000000000001</v>
      </c>
      <c r="P1074">
        <f t="shared" si="33"/>
        <v>17.998999999999999</v>
      </c>
    </row>
    <row r="1075" spans="1:16" x14ac:dyDescent="0.35">
      <c r="A1075" s="9" t="s">
        <v>96</v>
      </c>
      <c r="B1075" s="2">
        <v>105.458</v>
      </c>
      <c r="C1075" s="2">
        <v>107.102</v>
      </c>
      <c r="D1075" s="2">
        <v>105.458</v>
      </c>
      <c r="E1075" s="2">
        <v>107.042</v>
      </c>
      <c r="F1075" s="2">
        <v>24933639</v>
      </c>
      <c r="G1075" s="2" t="s">
        <v>561</v>
      </c>
      <c r="H1075" s="2" t="s">
        <v>562</v>
      </c>
      <c r="I1075" s="2" t="s">
        <v>17</v>
      </c>
      <c r="J1075" s="3">
        <v>2.6659999999999999</v>
      </c>
      <c r="K1075" s="2" t="s">
        <v>88</v>
      </c>
      <c r="L1075" s="2">
        <v>2023</v>
      </c>
      <c r="M1075" s="2" t="s">
        <v>89</v>
      </c>
      <c r="N1075" s="2" t="s">
        <v>21</v>
      </c>
      <c r="O1075">
        <f t="shared" si="32"/>
        <v>1.6440000000000055</v>
      </c>
      <c r="P1075">
        <f t="shared" si="33"/>
        <v>20.664999999999999</v>
      </c>
    </row>
    <row r="1076" spans="1:16" x14ac:dyDescent="0.35">
      <c r="A1076" s="9" t="s">
        <v>97</v>
      </c>
      <c r="B1076" s="2">
        <v>106.504</v>
      </c>
      <c r="C1076" s="2">
        <v>108.547</v>
      </c>
      <c r="D1076" s="2">
        <v>106.455</v>
      </c>
      <c r="E1076" s="2">
        <v>108.477</v>
      </c>
      <c r="F1076" s="2">
        <v>26674349</v>
      </c>
      <c r="G1076" s="2" t="s">
        <v>561</v>
      </c>
      <c r="H1076" s="2" t="s">
        <v>562</v>
      </c>
      <c r="I1076" s="2" t="s">
        <v>17</v>
      </c>
      <c r="J1076" s="3">
        <v>1.341</v>
      </c>
      <c r="K1076" s="2" t="s">
        <v>88</v>
      </c>
      <c r="L1076" s="2">
        <v>2023</v>
      </c>
      <c r="M1076" s="2" t="s">
        <v>89</v>
      </c>
      <c r="N1076" s="2" t="s">
        <v>21</v>
      </c>
      <c r="O1076">
        <f t="shared" si="32"/>
        <v>2.0919999999999987</v>
      </c>
      <c r="P1076">
        <f t="shared" si="33"/>
        <v>22.006</v>
      </c>
    </row>
    <row r="1077" spans="1:16" x14ac:dyDescent="0.35">
      <c r="A1077" s="9" t="s">
        <v>98</v>
      </c>
      <c r="B1077" s="2">
        <v>104.279</v>
      </c>
      <c r="C1077" s="2">
        <v>105.776</v>
      </c>
      <c r="D1077" s="2">
        <v>104.143</v>
      </c>
      <c r="E1077" s="2">
        <v>105.58799999999999</v>
      </c>
      <c r="F1077" s="2">
        <v>37707417</v>
      </c>
      <c r="G1077" s="2" t="s">
        <v>561</v>
      </c>
      <c r="H1077" s="2" t="s">
        <v>562</v>
      </c>
      <c r="I1077" s="2" t="s">
        <v>17</v>
      </c>
      <c r="J1077" s="4">
        <v>-2.6629999999999998</v>
      </c>
      <c r="K1077" s="2" t="s">
        <v>88</v>
      </c>
      <c r="L1077" s="2">
        <v>2023</v>
      </c>
      <c r="M1077" s="2" t="s">
        <v>89</v>
      </c>
      <c r="N1077" s="2" t="s">
        <v>23</v>
      </c>
      <c r="O1077">
        <f t="shared" si="32"/>
        <v>1.6329999999999956</v>
      </c>
      <c r="P1077">
        <f t="shared" si="33"/>
        <v>19.343</v>
      </c>
    </row>
    <row r="1078" spans="1:16" x14ac:dyDescent="0.35">
      <c r="A1078" s="9" t="s">
        <v>99</v>
      </c>
      <c r="B1078" s="2">
        <v>106.105</v>
      </c>
      <c r="C1078" s="2">
        <v>106.155</v>
      </c>
      <c r="D1078" s="2">
        <v>103.694</v>
      </c>
      <c r="E1078" s="2">
        <v>104.123</v>
      </c>
      <c r="F1078" s="2">
        <v>26692859</v>
      </c>
      <c r="G1078" s="2" t="s">
        <v>561</v>
      </c>
      <c r="H1078" s="2" t="s">
        <v>562</v>
      </c>
      <c r="I1078" s="2" t="s">
        <v>17</v>
      </c>
      <c r="J1078" s="4">
        <v>-1.387</v>
      </c>
      <c r="K1078" s="2" t="s">
        <v>88</v>
      </c>
      <c r="L1078" s="2">
        <v>2023</v>
      </c>
      <c r="M1078" s="2" t="s">
        <v>89</v>
      </c>
      <c r="N1078" s="2" t="s">
        <v>23</v>
      </c>
      <c r="O1078">
        <f t="shared" si="32"/>
        <v>2.4609999999999985</v>
      </c>
      <c r="P1078">
        <f t="shared" si="33"/>
        <v>17.956</v>
      </c>
    </row>
    <row r="1079" spans="1:16" x14ac:dyDescent="0.35">
      <c r="A1079" s="9" t="s">
        <v>100</v>
      </c>
      <c r="B1079" s="2">
        <v>103.206</v>
      </c>
      <c r="C1079" s="2">
        <v>104.601</v>
      </c>
      <c r="D1079" s="2">
        <v>102.69799999999999</v>
      </c>
      <c r="E1079" s="2">
        <v>103.804</v>
      </c>
      <c r="F1079" s="2">
        <v>20981469</v>
      </c>
      <c r="G1079" s="2" t="s">
        <v>561</v>
      </c>
      <c r="H1079" s="2" t="s">
        <v>562</v>
      </c>
      <c r="I1079" s="2" t="s">
        <v>17</v>
      </c>
      <c r="J1079" s="4">
        <v>-0.30599999999999999</v>
      </c>
      <c r="K1079" s="2" t="s">
        <v>88</v>
      </c>
      <c r="L1079" s="2">
        <v>2023</v>
      </c>
      <c r="M1079" s="2" t="s">
        <v>89</v>
      </c>
      <c r="N1079" s="2" t="s">
        <v>23</v>
      </c>
      <c r="O1079">
        <f t="shared" si="32"/>
        <v>1.9030000000000058</v>
      </c>
      <c r="P1079">
        <f t="shared" si="33"/>
        <v>17.649999999999999</v>
      </c>
    </row>
    <row r="1080" spans="1:16" x14ac:dyDescent="0.35">
      <c r="A1080" s="9" t="s">
        <v>101</v>
      </c>
      <c r="B1080" s="2">
        <v>103.53400000000001</v>
      </c>
      <c r="C1080" s="2">
        <v>105.866</v>
      </c>
      <c r="D1080" s="2">
        <v>103.49299999999999</v>
      </c>
      <c r="E1080" s="2">
        <v>104.91</v>
      </c>
      <c r="F1080" s="2">
        <v>27921647</v>
      </c>
      <c r="G1080" s="2" t="s">
        <v>561</v>
      </c>
      <c r="H1080" s="2" t="s">
        <v>562</v>
      </c>
      <c r="I1080" s="2" t="s">
        <v>17</v>
      </c>
      <c r="J1080" s="3">
        <v>1.0649999999999999</v>
      </c>
      <c r="K1080" s="2" t="s">
        <v>88</v>
      </c>
      <c r="L1080" s="2">
        <v>2023</v>
      </c>
      <c r="M1080" s="2" t="s">
        <v>89</v>
      </c>
      <c r="N1080" s="2" t="s">
        <v>21</v>
      </c>
      <c r="O1080">
        <f t="shared" si="32"/>
        <v>2.3730000000000047</v>
      </c>
      <c r="P1080">
        <f t="shared" si="33"/>
        <v>18.715</v>
      </c>
    </row>
    <row r="1081" spans="1:16" x14ac:dyDescent="0.35">
      <c r="A1081" s="9" t="s">
        <v>102</v>
      </c>
      <c r="B1081" s="2">
        <v>105.089</v>
      </c>
      <c r="C1081" s="2">
        <v>105.617</v>
      </c>
      <c r="D1081" s="2">
        <v>104.401</v>
      </c>
      <c r="E1081" s="2">
        <v>105.029</v>
      </c>
      <c r="F1081" s="2">
        <v>25893609</v>
      </c>
      <c r="G1081" s="2" t="s">
        <v>561</v>
      </c>
      <c r="H1081" s="2" t="s">
        <v>562</v>
      </c>
      <c r="I1081" s="2" t="s">
        <v>17</v>
      </c>
      <c r="J1081" s="3">
        <v>0.113</v>
      </c>
      <c r="K1081" s="2" t="s">
        <v>88</v>
      </c>
      <c r="L1081" s="2">
        <v>2023</v>
      </c>
      <c r="M1081" s="2" t="s">
        <v>89</v>
      </c>
      <c r="N1081" s="2" t="s">
        <v>21</v>
      </c>
      <c r="O1081">
        <f t="shared" si="32"/>
        <v>1.2160000000000082</v>
      </c>
      <c r="P1081">
        <f t="shared" si="33"/>
        <v>18.827999999999999</v>
      </c>
    </row>
    <row r="1082" spans="1:16" x14ac:dyDescent="0.35">
      <c r="A1082" s="9" t="s">
        <v>103</v>
      </c>
      <c r="B1082" s="2">
        <v>105.10899999999999</v>
      </c>
      <c r="C1082" s="2">
        <v>106.245</v>
      </c>
      <c r="D1082" s="2">
        <v>104.321</v>
      </c>
      <c r="E1082" s="2">
        <v>105.58799999999999</v>
      </c>
      <c r="F1082" s="2">
        <v>23628174</v>
      </c>
      <c r="G1082" s="2" t="s">
        <v>561</v>
      </c>
      <c r="H1082" s="2" t="s">
        <v>562</v>
      </c>
      <c r="I1082" s="2" t="s">
        <v>17</v>
      </c>
      <c r="J1082" s="3">
        <v>0.53200000000000003</v>
      </c>
      <c r="K1082" s="2" t="s">
        <v>88</v>
      </c>
      <c r="L1082" s="2">
        <v>2023</v>
      </c>
      <c r="M1082" s="2" t="s">
        <v>89</v>
      </c>
      <c r="N1082" s="2" t="s">
        <v>21</v>
      </c>
      <c r="O1082">
        <f t="shared" si="32"/>
        <v>1.9240000000000066</v>
      </c>
      <c r="P1082">
        <f t="shared" si="33"/>
        <v>19.36</v>
      </c>
    </row>
    <row r="1083" spans="1:16" x14ac:dyDescent="0.35">
      <c r="A1083" s="9" t="s">
        <v>104</v>
      </c>
      <c r="B1083" s="2">
        <v>105.443</v>
      </c>
      <c r="C1083" s="2">
        <v>106.30500000000001</v>
      </c>
      <c r="D1083" s="2">
        <v>103.465</v>
      </c>
      <c r="E1083" s="2">
        <v>103.47499999999999</v>
      </c>
      <c r="F1083" s="2">
        <v>46833266</v>
      </c>
      <c r="G1083" s="2" t="s">
        <v>561</v>
      </c>
      <c r="H1083" s="2" t="s">
        <v>562</v>
      </c>
      <c r="I1083" s="2" t="s">
        <v>17</v>
      </c>
      <c r="J1083" s="4">
        <v>-2.0009999999999999</v>
      </c>
      <c r="K1083" s="2" t="s">
        <v>88</v>
      </c>
      <c r="L1083" s="2">
        <v>2023</v>
      </c>
      <c r="M1083" s="2" t="s">
        <v>89</v>
      </c>
      <c r="N1083" s="2" t="s">
        <v>23</v>
      </c>
      <c r="O1083">
        <f t="shared" si="32"/>
        <v>2.8400000000000034</v>
      </c>
      <c r="P1083">
        <f t="shared" si="33"/>
        <v>17.358999999999998</v>
      </c>
    </row>
    <row r="1084" spans="1:16" x14ac:dyDescent="0.35">
      <c r="A1084" s="9" t="s">
        <v>105</v>
      </c>
      <c r="B1084" s="2">
        <v>104.541</v>
      </c>
      <c r="C1084" s="2">
        <v>105.96599999999999</v>
      </c>
      <c r="D1084" s="2">
        <v>102.259</v>
      </c>
      <c r="E1084" s="2">
        <v>103.336</v>
      </c>
      <c r="F1084" s="2">
        <v>53540950</v>
      </c>
      <c r="G1084" s="2" t="s">
        <v>561</v>
      </c>
      <c r="H1084" s="2" t="s">
        <v>562</v>
      </c>
      <c r="I1084" s="2" t="s">
        <v>17</v>
      </c>
      <c r="J1084" s="4">
        <v>-0.13400000000000001</v>
      </c>
      <c r="K1084" s="2" t="s">
        <v>88</v>
      </c>
      <c r="L1084" s="2">
        <v>2023</v>
      </c>
      <c r="M1084" s="2" t="s">
        <v>89</v>
      </c>
      <c r="N1084" s="2" t="s">
        <v>23</v>
      </c>
      <c r="O1084">
        <f t="shared" si="32"/>
        <v>3.7069999999999936</v>
      </c>
      <c r="P1084">
        <f t="shared" si="33"/>
        <v>17.224999999999998</v>
      </c>
    </row>
    <row r="1085" spans="1:16" x14ac:dyDescent="0.35">
      <c r="A1085" s="9" t="s">
        <v>106</v>
      </c>
      <c r="B1085" s="2">
        <v>104.07299999999999</v>
      </c>
      <c r="C1085" s="2">
        <v>107.979</v>
      </c>
      <c r="D1085" s="2">
        <v>103.166</v>
      </c>
      <c r="E1085" s="2">
        <v>107.202</v>
      </c>
      <c r="F1085" s="2">
        <v>50270765</v>
      </c>
      <c r="G1085" s="2" t="s">
        <v>561</v>
      </c>
      <c r="H1085" s="2" t="s">
        <v>562</v>
      </c>
      <c r="I1085" s="2" t="s">
        <v>17</v>
      </c>
      <c r="J1085" s="3">
        <v>3.7410000000000001</v>
      </c>
      <c r="K1085" s="2" t="s">
        <v>88</v>
      </c>
      <c r="L1085" s="2">
        <v>2023</v>
      </c>
      <c r="M1085" s="2" t="s">
        <v>89</v>
      </c>
      <c r="N1085" s="2" t="s">
        <v>21</v>
      </c>
      <c r="O1085">
        <f t="shared" si="32"/>
        <v>4.8130000000000024</v>
      </c>
      <c r="P1085">
        <f t="shared" si="33"/>
        <v>20.965999999999998</v>
      </c>
    </row>
    <row r="1086" spans="1:16" x14ac:dyDescent="0.35">
      <c r="A1086" s="9" t="s">
        <v>107</v>
      </c>
      <c r="B1086" s="2">
        <v>106.65300000000001</v>
      </c>
      <c r="C1086" s="2">
        <v>106.962</v>
      </c>
      <c r="D1086" s="2">
        <v>104.711</v>
      </c>
      <c r="E1086" s="2">
        <v>106.952</v>
      </c>
      <c r="F1086" s="2">
        <v>36270857</v>
      </c>
      <c r="G1086" s="2" t="s">
        <v>561</v>
      </c>
      <c r="H1086" s="2" t="s">
        <v>562</v>
      </c>
      <c r="I1086" s="2" t="s">
        <v>17</v>
      </c>
      <c r="J1086" s="4">
        <v>-0.23300000000000001</v>
      </c>
      <c r="K1086" s="2" t="s">
        <v>88</v>
      </c>
      <c r="L1086" s="2">
        <v>2023</v>
      </c>
      <c r="M1086" s="2" t="s">
        <v>89</v>
      </c>
      <c r="N1086" s="2" t="s">
        <v>23</v>
      </c>
      <c r="O1086">
        <f t="shared" si="32"/>
        <v>2.2510000000000048</v>
      </c>
      <c r="P1086">
        <f t="shared" si="33"/>
        <v>20.732999999999997</v>
      </c>
    </row>
    <row r="1087" spans="1:16" x14ac:dyDescent="0.35">
      <c r="A1087" s="9" t="s">
        <v>108</v>
      </c>
      <c r="B1087" s="2">
        <v>106.455</v>
      </c>
      <c r="C1087" s="2">
        <v>107.6</v>
      </c>
      <c r="D1087" s="2">
        <v>106.435</v>
      </c>
      <c r="E1087" s="2">
        <v>106.813</v>
      </c>
      <c r="F1087" s="2">
        <v>26778403</v>
      </c>
      <c r="G1087" s="2" t="s">
        <v>561</v>
      </c>
      <c r="H1087" s="2" t="s">
        <v>562</v>
      </c>
      <c r="I1087" s="2" t="s">
        <v>17</v>
      </c>
      <c r="J1087" s="4">
        <v>-0.13</v>
      </c>
      <c r="K1087" s="2" t="s">
        <v>109</v>
      </c>
      <c r="L1087" s="2">
        <v>2023</v>
      </c>
      <c r="M1087" s="2" t="s">
        <v>110</v>
      </c>
      <c r="N1087" s="2" t="s">
        <v>23</v>
      </c>
      <c r="O1087">
        <f t="shared" si="32"/>
        <v>1.164999999999992</v>
      </c>
      <c r="P1087">
        <f t="shared" si="33"/>
        <v>20.602999999999998</v>
      </c>
    </row>
    <row r="1088" spans="1:16" x14ac:dyDescent="0.35">
      <c r="A1088" s="9" t="s">
        <v>111</v>
      </c>
      <c r="B1088" s="2">
        <v>106.753</v>
      </c>
      <c r="C1088" s="2">
        <v>106.813</v>
      </c>
      <c r="D1088" s="2">
        <v>103.336</v>
      </c>
      <c r="E1088" s="2">
        <v>104.94</v>
      </c>
      <c r="F1088" s="2">
        <v>31109613</v>
      </c>
      <c r="G1088" s="2" t="s">
        <v>561</v>
      </c>
      <c r="H1088" s="2" t="s">
        <v>562</v>
      </c>
      <c r="I1088" s="2" t="s">
        <v>17</v>
      </c>
      <c r="J1088" s="4">
        <v>-1.754</v>
      </c>
      <c r="K1088" s="2" t="s">
        <v>109</v>
      </c>
      <c r="L1088" s="2">
        <v>2023</v>
      </c>
      <c r="M1088" s="2" t="s">
        <v>110</v>
      </c>
      <c r="N1088" s="2" t="s">
        <v>23</v>
      </c>
      <c r="O1088">
        <f t="shared" si="32"/>
        <v>3.4770000000000039</v>
      </c>
      <c r="P1088">
        <f t="shared" si="33"/>
        <v>18.848999999999997</v>
      </c>
    </row>
    <row r="1089" spans="1:16" x14ac:dyDescent="0.35">
      <c r="A1089" s="9" t="s">
        <v>112</v>
      </c>
      <c r="B1089" s="2">
        <v>105.148</v>
      </c>
      <c r="C1089" s="2">
        <v>107.102</v>
      </c>
      <c r="D1089" s="2">
        <v>104.581</v>
      </c>
      <c r="E1089" s="2">
        <v>105.029</v>
      </c>
      <c r="F1089" s="2">
        <v>21874415</v>
      </c>
      <c r="G1089" s="2" t="s">
        <v>561</v>
      </c>
      <c r="H1089" s="2" t="s">
        <v>562</v>
      </c>
      <c r="I1089" s="2" t="s">
        <v>17</v>
      </c>
      <c r="J1089" s="3">
        <v>8.5000000000000006E-2</v>
      </c>
      <c r="K1089" s="2" t="s">
        <v>109</v>
      </c>
      <c r="L1089" s="2">
        <v>2023</v>
      </c>
      <c r="M1089" s="2" t="s">
        <v>110</v>
      </c>
      <c r="N1089" s="2" t="s">
        <v>21</v>
      </c>
      <c r="O1089">
        <f t="shared" si="32"/>
        <v>2.5210000000000008</v>
      </c>
      <c r="P1089">
        <f t="shared" si="33"/>
        <v>18.933999999999997</v>
      </c>
    </row>
    <row r="1090" spans="1:16" x14ac:dyDescent="0.35">
      <c r="A1090" s="9" t="s">
        <v>113</v>
      </c>
      <c r="B1090" s="2">
        <v>105.104</v>
      </c>
      <c r="C1090" s="2">
        <v>105.218</v>
      </c>
      <c r="D1090" s="2">
        <v>103.59399999999999</v>
      </c>
      <c r="E1090" s="2">
        <v>104.31100000000001</v>
      </c>
      <c r="F1090" s="2">
        <v>23504404</v>
      </c>
      <c r="G1090" s="2" t="s">
        <v>561</v>
      </c>
      <c r="H1090" s="2" t="s">
        <v>562</v>
      </c>
      <c r="I1090" s="2" t="s">
        <v>17</v>
      </c>
      <c r="J1090" s="4">
        <v>-0.68400000000000005</v>
      </c>
      <c r="K1090" s="2" t="s">
        <v>109</v>
      </c>
      <c r="L1090" s="2">
        <v>2023</v>
      </c>
      <c r="M1090" s="2" t="s">
        <v>110</v>
      </c>
      <c r="N1090" s="2" t="s">
        <v>23</v>
      </c>
      <c r="O1090">
        <f t="shared" si="32"/>
        <v>1.6240000000000094</v>
      </c>
      <c r="P1090">
        <f t="shared" si="33"/>
        <v>18.249999999999996</v>
      </c>
    </row>
    <row r="1091" spans="1:16" x14ac:dyDescent="0.35">
      <c r="A1091" s="9" t="s">
        <v>114</v>
      </c>
      <c r="B1091" s="2">
        <v>104.441</v>
      </c>
      <c r="C1091" s="2">
        <v>105.498</v>
      </c>
      <c r="D1091" s="2">
        <v>103.73399999999999</v>
      </c>
      <c r="E1091" s="2">
        <v>105.188</v>
      </c>
      <c r="F1091" s="2">
        <v>26735823</v>
      </c>
      <c r="G1091" s="2" t="s">
        <v>561</v>
      </c>
      <c r="H1091" s="2" t="s">
        <v>562</v>
      </c>
      <c r="I1091" s="2" t="s">
        <v>17</v>
      </c>
      <c r="J1091" s="3">
        <v>0.84099999999999997</v>
      </c>
      <c r="K1091" s="2" t="s">
        <v>109</v>
      </c>
      <c r="L1091" s="2">
        <v>2023</v>
      </c>
      <c r="M1091" s="2" t="s">
        <v>110</v>
      </c>
      <c r="N1091" s="2" t="s">
        <v>21</v>
      </c>
      <c r="O1091">
        <f t="shared" ref="O1091:O1154" si="34">C1091-D1091</f>
        <v>1.76400000000001</v>
      </c>
      <c r="P1091">
        <f t="shared" si="33"/>
        <v>19.090999999999998</v>
      </c>
    </row>
    <row r="1092" spans="1:16" x14ac:dyDescent="0.35">
      <c r="A1092" s="9" t="s">
        <v>115</v>
      </c>
      <c r="B1092" s="2">
        <v>104.8</v>
      </c>
      <c r="C1092" s="2">
        <v>107.57</v>
      </c>
      <c r="D1092" s="2">
        <v>104.78</v>
      </c>
      <c r="E1092" s="2">
        <v>107.38</v>
      </c>
      <c r="F1092" s="2">
        <v>26607551</v>
      </c>
      <c r="G1092" s="2" t="s">
        <v>561</v>
      </c>
      <c r="H1092" s="2" t="s">
        <v>562</v>
      </c>
      <c r="I1092" s="2" t="s">
        <v>17</v>
      </c>
      <c r="J1092" s="3">
        <v>2.0840000000000001</v>
      </c>
      <c r="K1092" s="2" t="s">
        <v>109</v>
      </c>
      <c r="L1092" s="2">
        <v>2023</v>
      </c>
      <c r="M1092" s="2" t="s">
        <v>110</v>
      </c>
      <c r="N1092" s="2" t="s">
        <v>21</v>
      </c>
      <c r="O1092">
        <f t="shared" si="34"/>
        <v>2.789999999999992</v>
      </c>
      <c r="P1092">
        <f t="shared" ref="P1092:P1155" si="35">IF(G1092=G1091, P1091+J1092, J1092)</f>
        <v>21.174999999999997</v>
      </c>
    </row>
    <row r="1093" spans="1:16" x14ac:dyDescent="0.35">
      <c r="A1093" s="9" t="s">
        <v>116</v>
      </c>
      <c r="B1093" s="2">
        <v>107.999</v>
      </c>
      <c r="C1093" s="2">
        <v>109.752</v>
      </c>
      <c r="D1093" s="2">
        <v>106.803</v>
      </c>
      <c r="E1093" s="2">
        <v>106.962</v>
      </c>
      <c r="F1093" s="2">
        <v>36491950</v>
      </c>
      <c r="G1093" s="2" t="s">
        <v>561</v>
      </c>
      <c r="H1093" s="2" t="s">
        <v>562</v>
      </c>
      <c r="I1093" s="2" t="s">
        <v>17</v>
      </c>
      <c r="J1093" s="4">
        <v>-0.38900000000000001</v>
      </c>
      <c r="K1093" s="2" t="s">
        <v>109</v>
      </c>
      <c r="L1093" s="2">
        <v>2023</v>
      </c>
      <c r="M1093" s="2" t="s">
        <v>110</v>
      </c>
      <c r="N1093" s="2" t="s">
        <v>23</v>
      </c>
      <c r="O1093">
        <f t="shared" si="34"/>
        <v>2.9489999999999981</v>
      </c>
      <c r="P1093">
        <f t="shared" si="35"/>
        <v>20.785999999999998</v>
      </c>
    </row>
    <row r="1094" spans="1:16" x14ac:dyDescent="0.35">
      <c r="A1094" s="9" t="s">
        <v>117</v>
      </c>
      <c r="B1094" s="2">
        <v>107.58</v>
      </c>
      <c r="C1094" s="2">
        <v>112.533</v>
      </c>
      <c r="D1094" s="2">
        <v>107.54</v>
      </c>
      <c r="E1094" s="2">
        <v>111.346</v>
      </c>
      <c r="F1094" s="2">
        <v>63382304</v>
      </c>
      <c r="G1094" s="2" t="s">
        <v>561</v>
      </c>
      <c r="H1094" s="2" t="s">
        <v>562</v>
      </c>
      <c r="I1094" s="2" t="s">
        <v>17</v>
      </c>
      <c r="J1094" s="3">
        <v>4.0990000000000002</v>
      </c>
      <c r="K1094" s="2" t="s">
        <v>109</v>
      </c>
      <c r="L1094" s="2">
        <v>2023</v>
      </c>
      <c r="M1094" s="2" t="s">
        <v>110</v>
      </c>
      <c r="N1094" s="2" t="s">
        <v>21</v>
      </c>
      <c r="O1094">
        <f t="shared" si="34"/>
        <v>4.992999999999995</v>
      </c>
      <c r="P1094">
        <f t="shared" si="35"/>
        <v>24.884999999999998</v>
      </c>
    </row>
    <row r="1095" spans="1:16" x14ac:dyDescent="0.35">
      <c r="A1095" s="9" t="s">
        <v>118</v>
      </c>
      <c r="B1095" s="2">
        <v>114.97799999999999</v>
      </c>
      <c r="C1095" s="2">
        <v>117.494</v>
      </c>
      <c r="D1095" s="2">
        <v>113.997</v>
      </c>
      <c r="E1095" s="2">
        <v>116.149</v>
      </c>
      <c r="F1095" s="2">
        <v>79186049</v>
      </c>
      <c r="G1095" s="2" t="s">
        <v>561</v>
      </c>
      <c r="H1095" s="2" t="s">
        <v>562</v>
      </c>
      <c r="I1095" s="2" t="s">
        <v>17</v>
      </c>
      <c r="J1095" s="3">
        <v>4.3140000000000001</v>
      </c>
      <c r="K1095" s="2" t="s">
        <v>109</v>
      </c>
      <c r="L1095" s="2">
        <v>2023</v>
      </c>
      <c r="M1095" s="2" t="s">
        <v>110</v>
      </c>
      <c r="N1095" s="2" t="s">
        <v>21</v>
      </c>
      <c r="O1095">
        <f t="shared" si="34"/>
        <v>3.4969999999999999</v>
      </c>
      <c r="P1095">
        <f t="shared" si="35"/>
        <v>29.198999999999998</v>
      </c>
    </row>
    <row r="1096" spans="1:16" x14ac:dyDescent="0.35">
      <c r="A1096" s="9" t="s">
        <v>119</v>
      </c>
      <c r="B1096" s="2">
        <v>116.259</v>
      </c>
      <c r="C1096" s="2">
        <v>117.604</v>
      </c>
      <c r="D1096" s="2">
        <v>115.69</v>
      </c>
      <c r="E1096" s="2">
        <v>117.08499999999999</v>
      </c>
      <c r="F1096" s="2">
        <v>41251330</v>
      </c>
      <c r="G1096" s="2" t="s">
        <v>561</v>
      </c>
      <c r="H1096" s="2" t="s">
        <v>562</v>
      </c>
      <c r="I1096" s="2" t="s">
        <v>17</v>
      </c>
      <c r="J1096" s="3">
        <v>0.80600000000000005</v>
      </c>
      <c r="K1096" s="2" t="s">
        <v>109</v>
      </c>
      <c r="L1096" s="2">
        <v>2023</v>
      </c>
      <c r="M1096" s="2" t="s">
        <v>110</v>
      </c>
      <c r="N1096" s="2" t="s">
        <v>21</v>
      </c>
      <c r="O1096">
        <f t="shared" si="34"/>
        <v>1.9140000000000015</v>
      </c>
      <c r="P1096">
        <f t="shared" si="35"/>
        <v>30.004999999999999</v>
      </c>
    </row>
    <row r="1097" spans="1:16" x14ac:dyDescent="0.35">
      <c r="A1097" s="9" t="s">
        <v>120</v>
      </c>
      <c r="B1097" s="2">
        <v>115.69</v>
      </c>
      <c r="C1097" s="2">
        <v>118.05200000000001</v>
      </c>
      <c r="D1097" s="2">
        <v>115.59099999999999</v>
      </c>
      <c r="E1097" s="2">
        <v>116.089</v>
      </c>
      <c r="F1097" s="2">
        <v>36398235</v>
      </c>
      <c r="G1097" s="2" t="s">
        <v>561</v>
      </c>
      <c r="H1097" s="2" t="s">
        <v>562</v>
      </c>
      <c r="I1097" s="2" t="s">
        <v>17</v>
      </c>
      <c r="J1097" s="4">
        <v>-0.85099999999999998</v>
      </c>
      <c r="K1097" s="2" t="s">
        <v>109</v>
      </c>
      <c r="L1097" s="2">
        <v>2023</v>
      </c>
      <c r="M1097" s="2" t="s">
        <v>110</v>
      </c>
      <c r="N1097" s="2" t="s">
        <v>23</v>
      </c>
      <c r="O1097">
        <f t="shared" si="34"/>
        <v>2.4610000000000127</v>
      </c>
      <c r="P1097">
        <f t="shared" si="35"/>
        <v>29.154</v>
      </c>
    </row>
    <row r="1098" spans="1:16" x14ac:dyDescent="0.35">
      <c r="A1098" s="9" t="s">
        <v>121</v>
      </c>
      <c r="B1098" s="2">
        <v>116.069</v>
      </c>
      <c r="C1098" s="2">
        <v>120.31399999999999</v>
      </c>
      <c r="D1098" s="2">
        <v>116.01</v>
      </c>
      <c r="E1098" s="2">
        <v>119.07899999999999</v>
      </c>
      <c r="F1098" s="2">
        <v>45198816</v>
      </c>
      <c r="G1098" s="2" t="s">
        <v>561</v>
      </c>
      <c r="H1098" s="2" t="s">
        <v>562</v>
      </c>
      <c r="I1098" s="2" t="s">
        <v>17</v>
      </c>
      <c r="J1098" s="3">
        <v>2.5760000000000001</v>
      </c>
      <c r="K1098" s="2" t="s">
        <v>109</v>
      </c>
      <c r="L1098" s="2">
        <v>2023</v>
      </c>
      <c r="M1098" s="2" t="s">
        <v>110</v>
      </c>
      <c r="N1098" s="2" t="s">
        <v>21</v>
      </c>
      <c r="O1098">
        <f t="shared" si="34"/>
        <v>4.3039999999999878</v>
      </c>
      <c r="P1098">
        <f t="shared" si="35"/>
        <v>31.73</v>
      </c>
    </row>
    <row r="1099" spans="1:16" x14ac:dyDescent="0.35">
      <c r="A1099" s="9" t="s">
        <v>123</v>
      </c>
      <c r="B1099" s="2">
        <v>119.178</v>
      </c>
      <c r="C1099" s="2">
        <v>121.23099999999999</v>
      </c>
      <c r="D1099" s="2">
        <v>118.461</v>
      </c>
      <c r="E1099" s="2">
        <v>120.40300000000001</v>
      </c>
      <c r="F1099" s="2">
        <v>33444389</v>
      </c>
      <c r="G1099" s="2" t="s">
        <v>561</v>
      </c>
      <c r="H1099" s="2" t="s">
        <v>562</v>
      </c>
      <c r="I1099" s="2" t="s">
        <v>17</v>
      </c>
      <c r="J1099" s="3">
        <v>1.1120000000000001</v>
      </c>
      <c r="K1099" s="2" t="s">
        <v>109</v>
      </c>
      <c r="L1099" s="2">
        <v>2023</v>
      </c>
      <c r="M1099" s="2" t="s">
        <v>110</v>
      </c>
      <c r="N1099" s="2" t="s">
        <v>21</v>
      </c>
      <c r="O1099">
        <f t="shared" si="34"/>
        <v>2.769999999999996</v>
      </c>
      <c r="P1099">
        <f t="shared" si="35"/>
        <v>32.841999999999999</v>
      </c>
    </row>
    <row r="1100" spans="1:16" x14ac:dyDescent="0.35">
      <c r="A1100" s="9" t="s">
        <v>124</v>
      </c>
      <c r="B1100" s="2">
        <v>120.51300000000001</v>
      </c>
      <c r="C1100" s="2">
        <v>122.86499999999999</v>
      </c>
      <c r="D1100" s="2">
        <v>120.393</v>
      </c>
      <c r="E1100" s="2">
        <v>122.386</v>
      </c>
      <c r="F1100" s="2">
        <v>35361960</v>
      </c>
      <c r="G1100" s="2" t="s">
        <v>561</v>
      </c>
      <c r="H1100" s="2" t="s">
        <v>562</v>
      </c>
      <c r="I1100" s="2" t="s">
        <v>17</v>
      </c>
      <c r="J1100" s="3">
        <v>1.647</v>
      </c>
      <c r="K1100" s="2" t="s">
        <v>109</v>
      </c>
      <c r="L1100" s="2">
        <v>2023</v>
      </c>
      <c r="M1100" s="2" t="s">
        <v>110</v>
      </c>
      <c r="N1100" s="2" t="s">
        <v>21</v>
      </c>
      <c r="O1100">
        <f t="shared" si="34"/>
        <v>2.4719999999999942</v>
      </c>
      <c r="P1100">
        <f t="shared" si="35"/>
        <v>34.488999999999997</v>
      </c>
    </row>
    <row r="1101" spans="1:16" x14ac:dyDescent="0.35">
      <c r="A1101" s="9" t="s">
        <v>125</v>
      </c>
      <c r="B1101" s="2">
        <v>123.10299999999999</v>
      </c>
      <c r="C1101" s="2">
        <v>125.515</v>
      </c>
      <c r="D1101" s="2">
        <v>121.709</v>
      </c>
      <c r="E1101" s="2">
        <v>122.31699999999999</v>
      </c>
      <c r="F1101" s="2">
        <v>41503355</v>
      </c>
      <c r="G1101" s="2" t="s">
        <v>561</v>
      </c>
      <c r="H1101" s="2" t="s">
        <v>562</v>
      </c>
      <c r="I1101" s="2" t="s">
        <v>17</v>
      </c>
      <c r="J1101" s="4">
        <v>-5.6000000000000001E-2</v>
      </c>
      <c r="K1101" s="2" t="s">
        <v>109</v>
      </c>
      <c r="L1101" s="2">
        <v>2023</v>
      </c>
      <c r="M1101" s="2" t="s">
        <v>110</v>
      </c>
      <c r="N1101" s="2" t="s">
        <v>23</v>
      </c>
      <c r="O1101">
        <f t="shared" si="34"/>
        <v>3.8059999999999974</v>
      </c>
      <c r="P1101">
        <f t="shared" si="35"/>
        <v>34.433</v>
      </c>
    </row>
    <row r="1102" spans="1:16" x14ac:dyDescent="0.35">
      <c r="A1102" s="9" t="s">
        <v>126</v>
      </c>
      <c r="B1102" s="2">
        <v>122.496</v>
      </c>
      <c r="C1102" s="2">
        <v>125.974</v>
      </c>
      <c r="D1102" s="2">
        <v>122.297</v>
      </c>
      <c r="E1102" s="2">
        <v>124.598</v>
      </c>
      <c r="F1102" s="2">
        <v>35380829</v>
      </c>
      <c r="G1102" s="2" t="s">
        <v>561</v>
      </c>
      <c r="H1102" s="2" t="s">
        <v>562</v>
      </c>
      <c r="I1102" s="2" t="s">
        <v>17</v>
      </c>
      <c r="J1102" s="3">
        <v>1.865</v>
      </c>
      <c r="K1102" s="2" t="s">
        <v>109</v>
      </c>
      <c r="L1102" s="2">
        <v>2023</v>
      </c>
      <c r="M1102" s="2" t="s">
        <v>110</v>
      </c>
      <c r="N1102" s="2" t="s">
        <v>21</v>
      </c>
      <c r="O1102">
        <f t="shared" si="34"/>
        <v>3.6770000000000067</v>
      </c>
      <c r="P1102">
        <f t="shared" si="35"/>
        <v>36.298000000000002</v>
      </c>
    </row>
    <row r="1103" spans="1:16" x14ac:dyDescent="0.35">
      <c r="A1103" s="9" t="s">
        <v>127</v>
      </c>
      <c r="B1103" s="2">
        <v>123.712</v>
      </c>
      <c r="C1103" s="2">
        <v>124.175</v>
      </c>
      <c r="D1103" s="2">
        <v>121.768</v>
      </c>
      <c r="E1103" s="2">
        <v>122.117</v>
      </c>
      <c r="F1103" s="2">
        <v>34169672</v>
      </c>
      <c r="G1103" s="2" t="s">
        <v>561</v>
      </c>
      <c r="H1103" s="2" t="s">
        <v>562</v>
      </c>
      <c r="I1103" s="2" t="s">
        <v>17</v>
      </c>
      <c r="J1103" s="4">
        <v>-1.9910000000000001</v>
      </c>
      <c r="K1103" s="2" t="s">
        <v>109</v>
      </c>
      <c r="L1103" s="2">
        <v>2023</v>
      </c>
      <c r="M1103" s="2" t="s">
        <v>110</v>
      </c>
      <c r="N1103" s="2" t="s">
        <v>23</v>
      </c>
      <c r="O1103">
        <f t="shared" si="34"/>
        <v>2.4069999999999965</v>
      </c>
      <c r="P1103">
        <f t="shared" si="35"/>
        <v>34.307000000000002</v>
      </c>
    </row>
    <row r="1104" spans="1:16" x14ac:dyDescent="0.35">
      <c r="A1104" s="9" t="s">
        <v>128</v>
      </c>
      <c r="B1104" s="2">
        <v>120.68300000000001</v>
      </c>
      <c r="C1104" s="2">
        <v>121.47</v>
      </c>
      <c r="D1104" s="2">
        <v>119.42700000000001</v>
      </c>
      <c r="E1104" s="2">
        <v>120.46299999999999</v>
      </c>
      <c r="F1104" s="2">
        <v>34306550</v>
      </c>
      <c r="G1104" s="2" t="s">
        <v>561</v>
      </c>
      <c r="H1104" s="2" t="s">
        <v>562</v>
      </c>
      <c r="I1104" s="2" t="s">
        <v>17</v>
      </c>
      <c r="J1104" s="4">
        <v>-1.3540000000000001</v>
      </c>
      <c r="K1104" s="2" t="s">
        <v>109</v>
      </c>
      <c r="L1104" s="2">
        <v>2023</v>
      </c>
      <c r="M1104" s="2" t="s">
        <v>110</v>
      </c>
      <c r="N1104" s="2" t="s">
        <v>23</v>
      </c>
      <c r="O1104">
        <f t="shared" si="34"/>
        <v>2.0429999999999922</v>
      </c>
      <c r="P1104">
        <f t="shared" si="35"/>
        <v>32.953000000000003</v>
      </c>
    </row>
    <row r="1105" spans="1:16" x14ac:dyDescent="0.35">
      <c r="A1105" s="9" t="s">
        <v>129</v>
      </c>
      <c r="B1105" s="2">
        <v>124.07</v>
      </c>
      <c r="C1105" s="2">
        <v>124.867</v>
      </c>
      <c r="D1105" s="2">
        <v>121.52</v>
      </c>
      <c r="E1105" s="2">
        <v>123.03400000000001</v>
      </c>
      <c r="F1105" s="2">
        <v>42470389</v>
      </c>
      <c r="G1105" s="2" t="s">
        <v>561</v>
      </c>
      <c r="H1105" s="2" t="s">
        <v>562</v>
      </c>
      <c r="I1105" s="2" t="s">
        <v>17</v>
      </c>
      <c r="J1105" s="3">
        <v>2.1339999999999999</v>
      </c>
      <c r="K1105" s="2" t="s">
        <v>109</v>
      </c>
      <c r="L1105" s="2">
        <v>2023</v>
      </c>
      <c r="M1105" s="2" t="s">
        <v>110</v>
      </c>
      <c r="N1105" s="2" t="s">
        <v>21</v>
      </c>
      <c r="O1105">
        <f t="shared" si="34"/>
        <v>3.3470000000000084</v>
      </c>
      <c r="P1105">
        <f t="shared" si="35"/>
        <v>35.087000000000003</v>
      </c>
    </row>
    <row r="1106" spans="1:16" x14ac:dyDescent="0.35">
      <c r="A1106" s="9" t="s">
        <v>130</v>
      </c>
      <c r="B1106" s="2">
        <v>122.72499999999999</v>
      </c>
      <c r="C1106" s="2">
        <v>124.807</v>
      </c>
      <c r="D1106" s="2">
        <v>122.008</v>
      </c>
      <c r="E1106" s="2">
        <v>124.16</v>
      </c>
      <c r="F1106" s="2">
        <v>35765120</v>
      </c>
      <c r="G1106" s="2" t="s">
        <v>561</v>
      </c>
      <c r="H1106" s="2" t="s">
        <v>562</v>
      </c>
      <c r="I1106" s="2" t="s">
        <v>17</v>
      </c>
      <c r="J1106" s="3">
        <v>0.91500000000000004</v>
      </c>
      <c r="K1106" s="2" t="s">
        <v>109</v>
      </c>
      <c r="L1106" s="2">
        <v>2023</v>
      </c>
      <c r="M1106" s="2" t="s">
        <v>110</v>
      </c>
      <c r="N1106" s="2" t="s">
        <v>21</v>
      </c>
      <c r="O1106">
        <f t="shared" si="34"/>
        <v>2.7990000000000066</v>
      </c>
      <c r="P1106">
        <f t="shared" si="35"/>
        <v>36.002000000000002</v>
      </c>
    </row>
    <row r="1107" spans="1:16" x14ac:dyDescent="0.35">
      <c r="A1107" s="9" t="s">
        <v>131</v>
      </c>
      <c r="B1107" s="2">
        <v>125.187</v>
      </c>
      <c r="C1107" s="2">
        <v>125.20699999999999</v>
      </c>
      <c r="D1107" s="2">
        <v>121.56</v>
      </c>
      <c r="E1107" s="2">
        <v>123.223</v>
      </c>
      <c r="F1107" s="2">
        <v>35203814</v>
      </c>
      <c r="G1107" s="2" t="s">
        <v>561</v>
      </c>
      <c r="H1107" s="2" t="s">
        <v>562</v>
      </c>
      <c r="I1107" s="2" t="s">
        <v>17</v>
      </c>
      <c r="J1107" s="4">
        <v>-0.755</v>
      </c>
      <c r="K1107" s="2" t="s">
        <v>109</v>
      </c>
      <c r="L1107" s="2">
        <v>2023</v>
      </c>
      <c r="M1107" s="2" t="s">
        <v>110</v>
      </c>
      <c r="N1107" s="2" t="s">
        <v>23</v>
      </c>
      <c r="O1107">
        <f t="shared" si="34"/>
        <v>3.6469999999999914</v>
      </c>
      <c r="P1107">
        <f t="shared" si="35"/>
        <v>35.247</v>
      </c>
    </row>
    <row r="1108" spans="1:16" x14ac:dyDescent="0.35">
      <c r="A1108" s="9" t="s">
        <v>132</v>
      </c>
      <c r="B1108" s="2">
        <v>122.307</v>
      </c>
      <c r="C1108" s="2">
        <v>123.61199999999999</v>
      </c>
      <c r="D1108" s="2">
        <v>122.05800000000001</v>
      </c>
      <c r="E1108" s="2">
        <v>122.426</v>
      </c>
      <c r="F1108" s="2">
        <v>37461096</v>
      </c>
      <c r="G1108" s="2" t="s">
        <v>561</v>
      </c>
      <c r="H1108" s="2" t="s">
        <v>562</v>
      </c>
      <c r="I1108" s="2" t="s">
        <v>17</v>
      </c>
      <c r="J1108" s="4">
        <v>-0.64700000000000002</v>
      </c>
      <c r="K1108" s="2" t="s">
        <v>109</v>
      </c>
      <c r="L1108" s="2">
        <v>2023</v>
      </c>
      <c r="M1108" s="2" t="s">
        <v>110</v>
      </c>
      <c r="N1108" s="2" t="s">
        <v>23</v>
      </c>
      <c r="O1108">
        <f t="shared" si="34"/>
        <v>1.5539999999999878</v>
      </c>
      <c r="P1108">
        <f t="shared" si="35"/>
        <v>34.6</v>
      </c>
    </row>
    <row r="1109" spans="1:16" x14ac:dyDescent="0.35">
      <c r="A1109" s="9" t="s">
        <v>133</v>
      </c>
      <c r="B1109" s="2">
        <v>122.371</v>
      </c>
      <c r="C1109" s="2">
        <v>123.97</v>
      </c>
      <c r="D1109" s="2">
        <v>122.17700000000001</v>
      </c>
      <c r="E1109" s="2">
        <v>123.273</v>
      </c>
      <c r="F1109" s="2">
        <v>30884237</v>
      </c>
      <c r="G1109" s="2" t="s">
        <v>561</v>
      </c>
      <c r="H1109" s="2" t="s">
        <v>562</v>
      </c>
      <c r="I1109" s="2" t="s">
        <v>17</v>
      </c>
      <c r="J1109" s="3">
        <v>0.69199999999999995</v>
      </c>
      <c r="K1109" s="2" t="s">
        <v>134</v>
      </c>
      <c r="L1109" s="2">
        <v>2023</v>
      </c>
      <c r="M1109" s="2" t="s">
        <v>135</v>
      </c>
      <c r="N1109" s="2" t="s">
        <v>21</v>
      </c>
      <c r="O1109">
        <f t="shared" si="34"/>
        <v>1.7929999999999922</v>
      </c>
      <c r="P1109">
        <f t="shared" si="35"/>
        <v>35.292000000000002</v>
      </c>
    </row>
    <row r="1110" spans="1:16" x14ac:dyDescent="0.35">
      <c r="A1110" s="9" t="s">
        <v>136</v>
      </c>
      <c r="B1110" s="2">
        <v>123.542</v>
      </c>
      <c r="C1110" s="2">
        <v>125.694</v>
      </c>
      <c r="D1110" s="2">
        <v>123.313</v>
      </c>
      <c r="E1110" s="2">
        <v>124.22</v>
      </c>
      <c r="F1110" s="2">
        <v>27077952</v>
      </c>
      <c r="G1110" s="2" t="s">
        <v>561</v>
      </c>
      <c r="H1110" s="2" t="s">
        <v>562</v>
      </c>
      <c r="I1110" s="2" t="s">
        <v>17</v>
      </c>
      <c r="J1110" s="3">
        <v>0.76800000000000002</v>
      </c>
      <c r="K1110" s="2" t="s">
        <v>134</v>
      </c>
      <c r="L1110" s="2">
        <v>2023</v>
      </c>
      <c r="M1110" s="2" t="s">
        <v>135</v>
      </c>
      <c r="N1110" s="2" t="s">
        <v>21</v>
      </c>
      <c r="O1110">
        <f t="shared" si="34"/>
        <v>2.3810000000000002</v>
      </c>
      <c r="P1110">
        <f t="shared" si="35"/>
        <v>36.06</v>
      </c>
    </row>
    <row r="1111" spans="1:16" x14ac:dyDescent="0.35">
      <c r="A1111" s="9" t="s">
        <v>137</v>
      </c>
      <c r="B1111" s="2">
        <v>123.562</v>
      </c>
      <c r="C1111" s="2">
        <v>126.96899999999999</v>
      </c>
      <c r="D1111" s="2">
        <v>123.393</v>
      </c>
      <c r="E1111" s="2">
        <v>125.55500000000001</v>
      </c>
      <c r="F1111" s="2">
        <v>32422641</v>
      </c>
      <c r="G1111" s="2" t="s">
        <v>561</v>
      </c>
      <c r="H1111" s="2" t="s">
        <v>562</v>
      </c>
      <c r="I1111" s="2" t="s">
        <v>17</v>
      </c>
      <c r="J1111" s="3">
        <v>1.075</v>
      </c>
      <c r="K1111" s="2" t="s">
        <v>134</v>
      </c>
      <c r="L1111" s="2">
        <v>2023</v>
      </c>
      <c r="M1111" s="2" t="s">
        <v>135</v>
      </c>
      <c r="N1111" s="2" t="s">
        <v>21</v>
      </c>
      <c r="O1111">
        <f t="shared" si="34"/>
        <v>3.5759999999999934</v>
      </c>
      <c r="P1111">
        <f t="shared" si="35"/>
        <v>37.135000000000005</v>
      </c>
    </row>
    <row r="1112" spans="1:16" x14ac:dyDescent="0.35">
      <c r="A1112" s="9" t="s">
        <v>138</v>
      </c>
      <c r="B1112" s="2">
        <v>125.55500000000001</v>
      </c>
      <c r="C1112" s="2">
        <v>127.827</v>
      </c>
      <c r="D1112" s="2">
        <v>124.907</v>
      </c>
      <c r="E1112" s="2">
        <v>126.85</v>
      </c>
      <c r="F1112" s="2">
        <v>26734861</v>
      </c>
      <c r="G1112" s="2" t="s">
        <v>561</v>
      </c>
      <c r="H1112" s="2" t="s">
        <v>562</v>
      </c>
      <c r="I1112" s="2" t="s">
        <v>17</v>
      </c>
      <c r="J1112" s="3">
        <v>1.0309999999999999</v>
      </c>
      <c r="K1112" s="2" t="s">
        <v>134</v>
      </c>
      <c r="L1112" s="2">
        <v>2023</v>
      </c>
      <c r="M1112" s="2" t="s">
        <v>135</v>
      </c>
      <c r="N1112" s="2" t="s">
        <v>21</v>
      </c>
      <c r="O1112">
        <f t="shared" si="34"/>
        <v>2.9200000000000017</v>
      </c>
      <c r="P1112">
        <f t="shared" si="35"/>
        <v>38.166000000000004</v>
      </c>
    </row>
    <row r="1113" spans="1:16" x14ac:dyDescent="0.35">
      <c r="A1113" s="9" t="s">
        <v>139</v>
      </c>
      <c r="B1113" s="2">
        <v>126.511</v>
      </c>
      <c r="C1113" s="2">
        <v>128.57400000000001</v>
      </c>
      <c r="D1113" s="2">
        <v>121.679</v>
      </c>
      <c r="E1113" s="2">
        <v>122.05800000000001</v>
      </c>
      <c r="F1113" s="2">
        <v>52729445</v>
      </c>
      <c r="G1113" s="2" t="s">
        <v>561</v>
      </c>
      <c r="H1113" s="2" t="s">
        <v>562</v>
      </c>
      <c r="I1113" s="2" t="s">
        <v>17</v>
      </c>
      <c r="J1113" s="4">
        <v>-3.778</v>
      </c>
      <c r="K1113" s="2" t="s">
        <v>134</v>
      </c>
      <c r="L1113" s="2">
        <v>2023</v>
      </c>
      <c r="M1113" s="2" t="s">
        <v>135</v>
      </c>
      <c r="N1113" s="2" t="s">
        <v>23</v>
      </c>
      <c r="O1113">
        <f t="shared" si="34"/>
        <v>6.8950000000000102</v>
      </c>
      <c r="P1113">
        <f t="shared" si="35"/>
        <v>34.388000000000005</v>
      </c>
    </row>
    <row r="1114" spans="1:16" x14ac:dyDescent="0.35">
      <c r="A1114" s="9" t="s">
        <v>140</v>
      </c>
      <c r="B1114" s="2">
        <v>121.783</v>
      </c>
      <c r="C1114" s="2">
        <v>122.78</v>
      </c>
      <c r="D1114" s="2">
        <v>120.803</v>
      </c>
      <c r="E1114" s="2">
        <v>121.699</v>
      </c>
      <c r="F1114" s="2">
        <v>29495705</v>
      </c>
      <c r="G1114" s="2" t="s">
        <v>561</v>
      </c>
      <c r="H1114" s="2" t="s">
        <v>562</v>
      </c>
      <c r="I1114" s="2" t="s">
        <v>17</v>
      </c>
      <c r="J1114" s="4">
        <v>-0.29399999999999998</v>
      </c>
      <c r="K1114" s="2" t="s">
        <v>134</v>
      </c>
      <c r="L1114" s="2">
        <v>2023</v>
      </c>
      <c r="M1114" s="2" t="s">
        <v>135</v>
      </c>
      <c r="N1114" s="2" t="s">
        <v>23</v>
      </c>
      <c r="O1114">
        <f t="shared" si="34"/>
        <v>1.9770000000000039</v>
      </c>
      <c r="P1114">
        <f t="shared" si="35"/>
        <v>34.094000000000008</v>
      </c>
    </row>
    <row r="1115" spans="1:16" x14ac:dyDescent="0.35">
      <c r="A1115" s="9" t="s">
        <v>141</v>
      </c>
      <c r="B1115" s="2">
        <v>121.80800000000001</v>
      </c>
      <c r="C1115" s="2">
        <v>123.30800000000001</v>
      </c>
      <c r="D1115" s="2">
        <v>121.47</v>
      </c>
      <c r="E1115" s="2">
        <v>121.788</v>
      </c>
      <c r="F1115" s="2">
        <v>23864517</v>
      </c>
      <c r="G1115" s="2" t="s">
        <v>561</v>
      </c>
      <c r="H1115" s="2" t="s">
        <v>562</v>
      </c>
      <c r="I1115" s="2" t="s">
        <v>17</v>
      </c>
      <c r="J1115" s="3">
        <v>7.2999999999999995E-2</v>
      </c>
      <c r="K1115" s="2" t="s">
        <v>134</v>
      </c>
      <c r="L1115" s="2">
        <v>2023</v>
      </c>
      <c r="M1115" s="2" t="s">
        <v>135</v>
      </c>
      <c r="N1115" s="2" t="s">
        <v>21</v>
      </c>
      <c r="O1115">
        <f t="shared" si="34"/>
        <v>1.8380000000000081</v>
      </c>
      <c r="P1115">
        <f t="shared" si="35"/>
        <v>34.167000000000009</v>
      </c>
    </row>
    <row r="1116" spans="1:16" x14ac:dyDescent="0.35">
      <c r="A1116" s="9" t="s">
        <v>142</v>
      </c>
      <c r="B1116" s="2">
        <v>122.34099999999999</v>
      </c>
      <c r="C1116" s="2">
        <v>123.602</v>
      </c>
      <c r="D1116" s="2">
        <v>121.221</v>
      </c>
      <c r="E1116" s="2">
        <v>123.193</v>
      </c>
      <c r="F1116" s="2">
        <v>28441473</v>
      </c>
      <c r="G1116" s="2" t="s">
        <v>561</v>
      </c>
      <c r="H1116" s="2" t="s">
        <v>562</v>
      </c>
      <c r="I1116" s="2" t="s">
        <v>17</v>
      </c>
      <c r="J1116" s="3">
        <v>1.1539999999999999</v>
      </c>
      <c r="K1116" s="2" t="s">
        <v>134</v>
      </c>
      <c r="L1116" s="2">
        <v>2023</v>
      </c>
      <c r="M1116" s="2" t="s">
        <v>135</v>
      </c>
      <c r="N1116" s="2" t="s">
        <v>21</v>
      </c>
      <c r="O1116">
        <f t="shared" si="34"/>
        <v>2.3810000000000002</v>
      </c>
      <c r="P1116">
        <f t="shared" si="35"/>
        <v>35.321000000000012</v>
      </c>
    </row>
    <row r="1117" spans="1:16" x14ac:dyDescent="0.35">
      <c r="A1117" s="9" t="s">
        <v>143</v>
      </c>
      <c r="B1117" s="2">
        <v>124.529</v>
      </c>
      <c r="C1117" s="2">
        <v>124.708</v>
      </c>
      <c r="D1117" s="2">
        <v>122.735</v>
      </c>
      <c r="E1117" s="2">
        <v>123.383</v>
      </c>
      <c r="F1117" s="2">
        <v>22359074</v>
      </c>
      <c r="G1117" s="2" t="s">
        <v>561</v>
      </c>
      <c r="H1117" s="2" t="s">
        <v>562</v>
      </c>
      <c r="I1117" s="2" t="s">
        <v>17</v>
      </c>
      <c r="J1117" s="3">
        <v>0.154</v>
      </c>
      <c r="K1117" s="2" t="s">
        <v>134</v>
      </c>
      <c r="L1117" s="2">
        <v>2023</v>
      </c>
      <c r="M1117" s="2" t="s">
        <v>135</v>
      </c>
      <c r="N1117" s="2" t="s">
        <v>21</v>
      </c>
      <c r="O1117">
        <f t="shared" si="34"/>
        <v>1.972999999999999</v>
      </c>
      <c r="P1117">
        <f t="shared" si="35"/>
        <v>35.475000000000016</v>
      </c>
    </row>
    <row r="1118" spans="1:16" x14ac:dyDescent="0.35">
      <c r="A1118" s="9" t="s">
        <v>144</v>
      </c>
      <c r="B1118" s="2">
        <v>122.655</v>
      </c>
      <c r="C1118" s="2">
        <v>123.602</v>
      </c>
      <c r="D1118" s="2">
        <v>121.011</v>
      </c>
      <c r="E1118" s="2">
        <v>123.223</v>
      </c>
      <c r="F1118" s="2">
        <v>30703197</v>
      </c>
      <c r="G1118" s="2" t="s">
        <v>561</v>
      </c>
      <c r="H1118" s="2" t="s">
        <v>562</v>
      </c>
      <c r="I1118" s="2" t="s">
        <v>17</v>
      </c>
      <c r="J1118" s="4">
        <v>-0.13</v>
      </c>
      <c r="K1118" s="2" t="s">
        <v>134</v>
      </c>
      <c r="L1118" s="2">
        <v>2023</v>
      </c>
      <c r="M1118" s="2" t="s">
        <v>135</v>
      </c>
      <c r="N1118" s="2" t="s">
        <v>23</v>
      </c>
      <c r="O1118">
        <f t="shared" si="34"/>
        <v>2.5910000000000082</v>
      </c>
      <c r="P1118">
        <f t="shared" si="35"/>
        <v>35.345000000000013</v>
      </c>
    </row>
    <row r="1119" spans="1:16" x14ac:dyDescent="0.35">
      <c r="A1119" s="9" t="s">
        <v>145</v>
      </c>
      <c r="B1119" s="2">
        <v>122.69499999999999</v>
      </c>
      <c r="C1119" s="2">
        <v>125.00700000000001</v>
      </c>
      <c r="D1119" s="2">
        <v>121.958</v>
      </c>
      <c r="E1119" s="2">
        <v>124.63800000000001</v>
      </c>
      <c r="F1119" s="2">
        <v>35374039</v>
      </c>
      <c r="G1119" s="2" t="s">
        <v>561</v>
      </c>
      <c r="H1119" s="2" t="s">
        <v>562</v>
      </c>
      <c r="I1119" s="2" t="s">
        <v>17</v>
      </c>
      <c r="J1119" s="3">
        <v>1.1479999999999999</v>
      </c>
      <c r="K1119" s="2" t="s">
        <v>134</v>
      </c>
      <c r="L1119" s="2">
        <v>2023</v>
      </c>
      <c r="M1119" s="2" t="s">
        <v>135</v>
      </c>
      <c r="N1119" s="2" t="s">
        <v>21</v>
      </c>
      <c r="O1119">
        <f t="shared" si="34"/>
        <v>3.0490000000000066</v>
      </c>
      <c r="P1119">
        <f t="shared" si="35"/>
        <v>36.493000000000016</v>
      </c>
    </row>
    <row r="1120" spans="1:16" x14ac:dyDescent="0.35">
      <c r="A1120" s="9" t="s">
        <v>146</v>
      </c>
      <c r="B1120" s="2">
        <v>125.47499999999999</v>
      </c>
      <c r="C1120" s="2">
        <v>125.652</v>
      </c>
      <c r="D1120" s="2">
        <v>122.83499999999999</v>
      </c>
      <c r="E1120" s="2">
        <v>123.083</v>
      </c>
      <c r="F1120" s="2">
        <v>45700623</v>
      </c>
      <c r="G1120" s="2" t="s">
        <v>561</v>
      </c>
      <c r="H1120" s="2" t="s">
        <v>562</v>
      </c>
      <c r="I1120" s="2" t="s">
        <v>17</v>
      </c>
      <c r="J1120" s="4">
        <v>-1.248</v>
      </c>
      <c r="K1120" s="2" t="s">
        <v>134</v>
      </c>
      <c r="L1120" s="2">
        <v>2023</v>
      </c>
      <c r="M1120" s="2" t="s">
        <v>135</v>
      </c>
      <c r="N1120" s="2" t="s">
        <v>23</v>
      </c>
      <c r="O1120">
        <f t="shared" si="34"/>
        <v>2.8170000000000073</v>
      </c>
      <c r="P1120">
        <f t="shared" si="35"/>
        <v>35.245000000000019</v>
      </c>
    </row>
    <row r="1121" spans="1:16" x14ac:dyDescent="0.35">
      <c r="A1121" s="9" t="s">
        <v>147</v>
      </c>
      <c r="B1121" s="2">
        <v>122.486</v>
      </c>
      <c r="C1121" s="2">
        <v>124.12</v>
      </c>
      <c r="D1121" s="2">
        <v>121.699</v>
      </c>
      <c r="E1121" s="2">
        <v>122.655</v>
      </c>
      <c r="F1121" s="2">
        <v>26192098</v>
      </c>
      <c r="G1121" s="2" t="s">
        <v>561</v>
      </c>
      <c r="H1121" s="2" t="s">
        <v>562</v>
      </c>
      <c r="I1121" s="2" t="s">
        <v>17</v>
      </c>
      <c r="J1121" s="4">
        <v>-0.34799999999999998</v>
      </c>
      <c r="K1121" s="2" t="s">
        <v>134</v>
      </c>
      <c r="L1121" s="2">
        <v>2023</v>
      </c>
      <c r="M1121" s="2" t="s">
        <v>135</v>
      </c>
      <c r="N1121" s="2" t="s">
        <v>23</v>
      </c>
      <c r="O1121">
        <f t="shared" si="34"/>
        <v>2.4210000000000065</v>
      </c>
      <c r="P1121">
        <f t="shared" si="35"/>
        <v>34.89700000000002</v>
      </c>
    </row>
    <row r="1122" spans="1:16" x14ac:dyDescent="0.35">
      <c r="A1122" s="9" t="s">
        <v>148</v>
      </c>
      <c r="B1122" s="2">
        <v>121.958</v>
      </c>
      <c r="C1122" s="2">
        <v>122.217</v>
      </c>
      <c r="D1122" s="2">
        <v>119.666</v>
      </c>
      <c r="E1122" s="2">
        <v>120.114</v>
      </c>
      <c r="F1122" s="2">
        <v>30416199</v>
      </c>
      <c r="G1122" s="2" t="s">
        <v>561</v>
      </c>
      <c r="H1122" s="2" t="s">
        <v>562</v>
      </c>
      <c r="I1122" s="2" t="s">
        <v>17</v>
      </c>
      <c r="J1122" s="4">
        <v>-2.0720000000000001</v>
      </c>
      <c r="K1122" s="2" t="s">
        <v>134</v>
      </c>
      <c r="L1122" s="2">
        <v>2023</v>
      </c>
      <c r="M1122" s="2" t="s">
        <v>135</v>
      </c>
      <c r="N1122" s="2" t="s">
        <v>23</v>
      </c>
      <c r="O1122">
        <f t="shared" si="34"/>
        <v>2.5510000000000019</v>
      </c>
      <c r="P1122">
        <f t="shared" si="35"/>
        <v>32.825000000000017</v>
      </c>
    </row>
    <row r="1123" spans="1:16" x14ac:dyDescent="0.35">
      <c r="A1123" s="9" t="s">
        <v>149</v>
      </c>
      <c r="B1123" s="2">
        <v>119.566</v>
      </c>
      <c r="C1123" s="2">
        <v>122.795</v>
      </c>
      <c r="D1123" s="2">
        <v>118.401</v>
      </c>
      <c r="E1123" s="2">
        <v>122.705</v>
      </c>
      <c r="F1123" s="2">
        <v>27049950</v>
      </c>
      <c r="G1123" s="2" t="s">
        <v>561</v>
      </c>
      <c r="H1123" s="2" t="s">
        <v>562</v>
      </c>
      <c r="I1123" s="2" t="s">
        <v>17</v>
      </c>
      <c r="J1123" s="3">
        <v>2.157</v>
      </c>
      <c r="K1123" s="2" t="s">
        <v>134</v>
      </c>
      <c r="L1123" s="2">
        <v>2023</v>
      </c>
      <c r="M1123" s="2" t="s">
        <v>135</v>
      </c>
      <c r="N1123" s="2" t="s">
        <v>21</v>
      </c>
      <c r="O1123">
        <f t="shared" si="34"/>
        <v>4.3940000000000055</v>
      </c>
      <c r="P1123">
        <f t="shared" si="35"/>
        <v>34.982000000000014</v>
      </c>
    </row>
    <row r="1124" spans="1:16" x14ac:dyDescent="0.35">
      <c r="A1124" s="9" t="s">
        <v>150</v>
      </c>
      <c r="B1124" s="2">
        <v>120.941</v>
      </c>
      <c r="C1124" s="2">
        <v>122.34399999999999</v>
      </c>
      <c r="D1124" s="2">
        <v>120.623</v>
      </c>
      <c r="E1124" s="2">
        <v>121.898</v>
      </c>
      <c r="F1124" s="2">
        <v>35040202</v>
      </c>
      <c r="G1124" s="2" t="s">
        <v>561</v>
      </c>
      <c r="H1124" s="2" t="s">
        <v>562</v>
      </c>
      <c r="I1124" s="2" t="s">
        <v>17</v>
      </c>
      <c r="J1124" s="4">
        <v>-0.65800000000000003</v>
      </c>
      <c r="K1124" s="2" t="s">
        <v>134</v>
      </c>
      <c r="L1124" s="2">
        <v>2023</v>
      </c>
      <c r="M1124" s="2" t="s">
        <v>135</v>
      </c>
      <c r="N1124" s="2" t="s">
        <v>23</v>
      </c>
      <c r="O1124">
        <f t="shared" si="34"/>
        <v>1.7209999999999894</v>
      </c>
      <c r="P1124">
        <f t="shared" si="35"/>
        <v>34.324000000000012</v>
      </c>
    </row>
    <row r="1125" spans="1:16" x14ac:dyDescent="0.35">
      <c r="A1125" s="9" t="s">
        <v>151</v>
      </c>
      <c r="B1125" s="2">
        <v>120.783</v>
      </c>
      <c r="C1125" s="2">
        <v>121.56</v>
      </c>
      <c r="D1125" s="2">
        <v>117.837</v>
      </c>
      <c r="E1125" s="2">
        <v>117.91200000000001</v>
      </c>
      <c r="F1125" s="2">
        <v>34093041</v>
      </c>
      <c r="G1125" s="2" t="s">
        <v>561</v>
      </c>
      <c r="H1125" s="2" t="s">
        <v>562</v>
      </c>
      <c r="I1125" s="2" t="s">
        <v>17</v>
      </c>
      <c r="J1125" s="4">
        <v>-3.27</v>
      </c>
      <c r="K1125" s="2" t="s">
        <v>134</v>
      </c>
      <c r="L1125" s="2">
        <v>2023</v>
      </c>
      <c r="M1125" s="2" t="s">
        <v>135</v>
      </c>
      <c r="N1125" s="2" t="s">
        <v>23</v>
      </c>
      <c r="O1125">
        <f t="shared" si="34"/>
        <v>3.722999999999999</v>
      </c>
      <c r="P1125">
        <f t="shared" si="35"/>
        <v>31.054000000000013</v>
      </c>
    </row>
    <row r="1126" spans="1:16" x14ac:dyDescent="0.35">
      <c r="A1126" s="9" t="s">
        <v>152</v>
      </c>
      <c r="B1126" s="2">
        <v>116.657</v>
      </c>
      <c r="C1126" s="2">
        <v>118.649</v>
      </c>
      <c r="D1126" s="2">
        <v>115.68</v>
      </c>
      <c r="E1126" s="2">
        <v>117.902</v>
      </c>
      <c r="F1126" s="2">
        <v>39679257</v>
      </c>
      <c r="G1126" s="2" t="s">
        <v>561</v>
      </c>
      <c r="H1126" s="2" t="s">
        <v>562</v>
      </c>
      <c r="I1126" s="2" t="s">
        <v>17</v>
      </c>
      <c r="J1126" s="4">
        <v>-8.0000000000000002E-3</v>
      </c>
      <c r="K1126" s="2" t="s">
        <v>134</v>
      </c>
      <c r="L1126" s="2">
        <v>2023</v>
      </c>
      <c r="M1126" s="2" t="s">
        <v>135</v>
      </c>
      <c r="N1126" s="2" t="s">
        <v>23</v>
      </c>
      <c r="O1126">
        <f t="shared" si="34"/>
        <v>2.9689999999999941</v>
      </c>
      <c r="P1126">
        <f t="shared" si="35"/>
        <v>31.046000000000014</v>
      </c>
    </row>
    <row r="1127" spans="1:16" x14ac:dyDescent="0.35">
      <c r="A1127" s="9" t="s">
        <v>153</v>
      </c>
      <c r="B1127" s="2">
        <v>116.667</v>
      </c>
      <c r="C1127" s="2">
        <v>119.956</v>
      </c>
      <c r="D1127" s="2">
        <v>116.428</v>
      </c>
      <c r="E1127" s="2">
        <v>119.746</v>
      </c>
      <c r="F1127" s="2">
        <v>27189658</v>
      </c>
      <c r="G1127" s="2" t="s">
        <v>561</v>
      </c>
      <c r="H1127" s="2" t="s">
        <v>562</v>
      </c>
      <c r="I1127" s="2" t="s">
        <v>17</v>
      </c>
      <c r="J1127" s="3">
        <v>1.5640000000000001</v>
      </c>
      <c r="K1127" s="2" t="s">
        <v>134</v>
      </c>
      <c r="L1127" s="2">
        <v>2023</v>
      </c>
      <c r="M1127" s="2" t="s">
        <v>135</v>
      </c>
      <c r="N1127" s="2" t="s">
        <v>21</v>
      </c>
      <c r="O1127">
        <f t="shared" si="34"/>
        <v>3.5280000000000058</v>
      </c>
      <c r="P1127">
        <f t="shared" si="35"/>
        <v>32.610000000000014</v>
      </c>
    </row>
    <row r="1128" spans="1:16" x14ac:dyDescent="0.35">
      <c r="A1128" s="9" t="s">
        <v>154</v>
      </c>
      <c r="B1128" s="2">
        <v>118.809</v>
      </c>
      <c r="C1128" s="2">
        <v>119.626</v>
      </c>
      <c r="D1128" s="2">
        <v>117.867</v>
      </c>
      <c r="E1128" s="2">
        <v>118.669</v>
      </c>
      <c r="F1128" s="2">
        <v>24178233</v>
      </c>
      <c r="G1128" s="2" t="s">
        <v>561</v>
      </c>
      <c r="H1128" s="2" t="s">
        <v>562</v>
      </c>
      <c r="I1128" s="2" t="s">
        <v>17</v>
      </c>
      <c r="J1128" s="4">
        <v>-0.89900000000000002</v>
      </c>
      <c r="K1128" s="2" t="s">
        <v>134</v>
      </c>
      <c r="L1128" s="2">
        <v>2023</v>
      </c>
      <c r="M1128" s="2" t="s">
        <v>135</v>
      </c>
      <c r="N1128" s="2" t="s">
        <v>23</v>
      </c>
      <c r="O1128">
        <f t="shared" si="34"/>
        <v>1.7590000000000003</v>
      </c>
      <c r="P1128">
        <f t="shared" si="35"/>
        <v>31.711000000000013</v>
      </c>
    </row>
    <row r="1129" spans="1:16" x14ac:dyDescent="0.35">
      <c r="A1129" s="9" t="s">
        <v>155</v>
      </c>
      <c r="B1129" s="2">
        <v>119.736</v>
      </c>
      <c r="C1129" s="2">
        <v>120.643</v>
      </c>
      <c r="D1129" s="2">
        <v>119.258</v>
      </c>
      <c r="E1129" s="2">
        <v>119.268</v>
      </c>
      <c r="F1129" s="2">
        <v>29639298</v>
      </c>
      <c r="G1129" s="2" t="s">
        <v>561</v>
      </c>
      <c r="H1129" s="2" t="s">
        <v>562</v>
      </c>
      <c r="I1129" s="2" t="s">
        <v>17</v>
      </c>
      <c r="J1129" s="3">
        <v>0.505</v>
      </c>
      <c r="K1129" s="2" t="s">
        <v>134</v>
      </c>
      <c r="L1129" s="2">
        <v>2023</v>
      </c>
      <c r="M1129" s="2" t="s">
        <v>135</v>
      </c>
      <c r="N1129" s="2" t="s">
        <v>21</v>
      </c>
      <c r="O1129">
        <f t="shared" si="34"/>
        <v>1.3850000000000051</v>
      </c>
      <c r="P1129">
        <f t="shared" si="35"/>
        <v>32.216000000000015</v>
      </c>
    </row>
    <row r="1130" spans="1:16" x14ac:dyDescent="0.35">
      <c r="A1130" s="9" t="s">
        <v>156</v>
      </c>
      <c r="B1130" s="2">
        <v>118.809</v>
      </c>
      <c r="C1130" s="2">
        <v>119.756</v>
      </c>
      <c r="D1130" s="2">
        <v>118.389</v>
      </c>
      <c r="E1130" s="2">
        <v>119.467</v>
      </c>
      <c r="F1130" s="2">
        <v>14520297</v>
      </c>
      <c r="G1130" s="2" t="s">
        <v>561</v>
      </c>
      <c r="H1130" s="2" t="s">
        <v>562</v>
      </c>
      <c r="I1130" s="2" t="s">
        <v>17</v>
      </c>
      <c r="J1130" s="3">
        <v>0.16700000000000001</v>
      </c>
      <c r="K1130" s="2" t="s">
        <v>157</v>
      </c>
      <c r="L1130" s="2">
        <v>2023</v>
      </c>
      <c r="M1130" s="2" t="s">
        <v>158</v>
      </c>
      <c r="N1130" s="2" t="s">
        <v>21</v>
      </c>
      <c r="O1130">
        <f t="shared" si="34"/>
        <v>1.3670000000000044</v>
      </c>
      <c r="P1130">
        <f t="shared" si="35"/>
        <v>32.383000000000017</v>
      </c>
    </row>
    <row r="1131" spans="1:16" x14ac:dyDescent="0.35">
      <c r="A1131" s="9" t="s">
        <v>159</v>
      </c>
      <c r="B1131" s="2">
        <v>118.809</v>
      </c>
      <c r="C1131" s="2">
        <v>122.167</v>
      </c>
      <c r="D1131" s="2">
        <v>118.79900000000001</v>
      </c>
      <c r="E1131" s="2">
        <v>121.31</v>
      </c>
      <c r="F1131" s="2">
        <v>27684806</v>
      </c>
      <c r="G1131" s="2" t="s">
        <v>561</v>
      </c>
      <c r="H1131" s="2" t="s">
        <v>562</v>
      </c>
      <c r="I1131" s="2" t="s">
        <v>17</v>
      </c>
      <c r="J1131" s="3">
        <v>1.5429999999999999</v>
      </c>
      <c r="K1131" s="2" t="s">
        <v>157</v>
      </c>
      <c r="L1131" s="2">
        <v>2023</v>
      </c>
      <c r="M1131" s="2" t="s">
        <v>158</v>
      </c>
      <c r="N1131" s="2" t="s">
        <v>21</v>
      </c>
      <c r="O1131">
        <f t="shared" si="34"/>
        <v>3.367999999999995</v>
      </c>
      <c r="P1131">
        <f t="shared" si="35"/>
        <v>33.926000000000016</v>
      </c>
    </row>
    <row r="1132" spans="1:16" x14ac:dyDescent="0.35">
      <c r="A1132" s="9" t="s">
        <v>160</v>
      </c>
      <c r="B1132" s="2">
        <v>119.36199999999999</v>
      </c>
      <c r="C1132" s="2">
        <v>119.866</v>
      </c>
      <c r="D1132" s="2">
        <v>117.97199999999999</v>
      </c>
      <c r="E1132" s="2">
        <v>119.676</v>
      </c>
      <c r="F1132" s="2">
        <v>24868626</v>
      </c>
      <c r="G1132" s="2" t="s">
        <v>561</v>
      </c>
      <c r="H1132" s="2" t="s">
        <v>562</v>
      </c>
      <c r="I1132" s="2" t="s">
        <v>17</v>
      </c>
      <c r="J1132" s="4">
        <v>-1.347</v>
      </c>
      <c r="K1132" s="2" t="s">
        <v>157</v>
      </c>
      <c r="L1132" s="2">
        <v>2023</v>
      </c>
      <c r="M1132" s="2" t="s">
        <v>158</v>
      </c>
      <c r="N1132" s="2" t="s">
        <v>23</v>
      </c>
      <c r="O1132">
        <f t="shared" si="34"/>
        <v>1.8940000000000055</v>
      </c>
      <c r="P1132">
        <f t="shared" si="35"/>
        <v>32.579000000000015</v>
      </c>
    </row>
    <row r="1133" spans="1:16" x14ac:dyDescent="0.35">
      <c r="A1133" s="9" t="s">
        <v>161</v>
      </c>
      <c r="B1133" s="2">
        <v>119.666</v>
      </c>
      <c r="C1133" s="2">
        <v>120.613</v>
      </c>
      <c r="D1133" s="2">
        <v>118.96899999999999</v>
      </c>
      <c r="E1133" s="2">
        <v>119.04900000000001</v>
      </c>
      <c r="F1133" s="2">
        <v>21788248</v>
      </c>
      <c r="G1133" s="2" t="s">
        <v>561</v>
      </c>
      <c r="H1133" s="2" t="s">
        <v>562</v>
      </c>
      <c r="I1133" s="2" t="s">
        <v>17</v>
      </c>
      <c r="J1133" s="4">
        <v>-0.52400000000000002</v>
      </c>
      <c r="K1133" s="2" t="s">
        <v>157</v>
      </c>
      <c r="L1133" s="2">
        <v>2023</v>
      </c>
      <c r="M1133" s="2" t="s">
        <v>158</v>
      </c>
      <c r="N1133" s="2" t="s">
        <v>23</v>
      </c>
      <c r="O1133">
        <f t="shared" si="34"/>
        <v>1.6440000000000055</v>
      </c>
      <c r="P1133">
        <f t="shared" si="35"/>
        <v>32.055000000000014</v>
      </c>
    </row>
    <row r="1134" spans="1:16" x14ac:dyDescent="0.35">
      <c r="A1134" s="9" t="s">
        <v>162</v>
      </c>
      <c r="B1134" s="2">
        <v>117.872</v>
      </c>
      <c r="C1134" s="2">
        <v>117.877</v>
      </c>
      <c r="D1134" s="2">
        <v>115.715</v>
      </c>
      <c r="E1134" s="2">
        <v>116.03</v>
      </c>
      <c r="F1134" s="2">
        <v>35443256</v>
      </c>
      <c r="G1134" s="2" t="s">
        <v>561</v>
      </c>
      <c r="H1134" s="2" t="s">
        <v>562</v>
      </c>
      <c r="I1134" s="2" t="s">
        <v>17</v>
      </c>
      <c r="J1134" s="4">
        <v>-2.536</v>
      </c>
      <c r="K1134" s="2" t="s">
        <v>157</v>
      </c>
      <c r="L1134" s="2">
        <v>2023</v>
      </c>
      <c r="M1134" s="2" t="s">
        <v>158</v>
      </c>
      <c r="N1134" s="2" t="s">
        <v>23</v>
      </c>
      <c r="O1134">
        <f t="shared" si="34"/>
        <v>2.1619999999999919</v>
      </c>
      <c r="P1134">
        <f t="shared" si="35"/>
        <v>29.519000000000013</v>
      </c>
    </row>
    <row r="1135" spans="1:16" x14ac:dyDescent="0.35">
      <c r="A1135" s="9" t="s">
        <v>163</v>
      </c>
      <c r="B1135" s="2">
        <v>115.87</v>
      </c>
      <c r="C1135" s="2">
        <v>117.285</v>
      </c>
      <c r="D1135" s="2">
        <v>114.93300000000001</v>
      </c>
      <c r="E1135" s="2">
        <v>116.717</v>
      </c>
      <c r="F1135" s="2">
        <v>23162444</v>
      </c>
      <c r="G1135" s="2" t="s">
        <v>561</v>
      </c>
      <c r="H1135" s="2" t="s">
        <v>562</v>
      </c>
      <c r="I1135" s="2" t="s">
        <v>17</v>
      </c>
      <c r="J1135" s="3">
        <v>0.59199999999999997</v>
      </c>
      <c r="K1135" s="2" t="s">
        <v>157</v>
      </c>
      <c r="L1135" s="2">
        <v>2023</v>
      </c>
      <c r="M1135" s="2" t="s">
        <v>158</v>
      </c>
      <c r="N1135" s="2" t="s">
        <v>21</v>
      </c>
      <c r="O1135">
        <f t="shared" si="34"/>
        <v>2.3519999999999897</v>
      </c>
      <c r="P1135">
        <f t="shared" si="35"/>
        <v>30.111000000000011</v>
      </c>
    </row>
    <row r="1136" spans="1:16" x14ac:dyDescent="0.35">
      <c r="A1136" s="9" t="s">
        <v>164</v>
      </c>
      <c r="B1136" s="2">
        <v>118.371</v>
      </c>
      <c r="C1136" s="2">
        <v>119.896</v>
      </c>
      <c r="D1136" s="2">
        <v>117.98699999999999</v>
      </c>
      <c r="E1136" s="2">
        <v>118.501</v>
      </c>
      <c r="F1136" s="2">
        <v>30514628</v>
      </c>
      <c r="G1136" s="2" t="s">
        <v>561</v>
      </c>
      <c r="H1136" s="2" t="s">
        <v>562</v>
      </c>
      <c r="I1136" s="2" t="s">
        <v>17</v>
      </c>
      <c r="J1136" s="3">
        <v>1.528</v>
      </c>
      <c r="K1136" s="2" t="s">
        <v>157</v>
      </c>
      <c r="L1136" s="2">
        <v>2023</v>
      </c>
      <c r="M1136" s="2" t="s">
        <v>158</v>
      </c>
      <c r="N1136" s="2" t="s">
        <v>21</v>
      </c>
      <c r="O1136">
        <f t="shared" si="34"/>
        <v>1.909000000000006</v>
      </c>
      <c r="P1136">
        <f t="shared" si="35"/>
        <v>31.63900000000001</v>
      </c>
    </row>
    <row r="1137" spans="1:16" x14ac:dyDescent="0.35">
      <c r="A1137" s="9" t="s">
        <v>165</v>
      </c>
      <c r="B1137" s="2">
        <v>120.49299999999999</v>
      </c>
      <c r="C1137" s="2">
        <v>124.379</v>
      </c>
      <c r="D1137" s="2">
        <v>120.015</v>
      </c>
      <c r="E1137" s="2">
        <v>124.09</v>
      </c>
      <c r="F1137" s="2">
        <v>44458499</v>
      </c>
      <c r="G1137" s="2" t="s">
        <v>561</v>
      </c>
      <c r="H1137" s="2" t="s">
        <v>562</v>
      </c>
      <c r="I1137" s="2" t="s">
        <v>17</v>
      </c>
      <c r="J1137" s="3">
        <v>4.7160000000000002</v>
      </c>
      <c r="K1137" s="2" t="s">
        <v>157</v>
      </c>
      <c r="L1137" s="2">
        <v>2023</v>
      </c>
      <c r="M1137" s="2" t="s">
        <v>158</v>
      </c>
      <c r="N1137" s="2" t="s">
        <v>21</v>
      </c>
      <c r="O1137">
        <f t="shared" si="34"/>
        <v>4.3640000000000043</v>
      </c>
      <c r="P1137">
        <f t="shared" si="35"/>
        <v>36.355000000000011</v>
      </c>
    </row>
    <row r="1138" spans="1:16" x14ac:dyDescent="0.35">
      <c r="A1138" s="9" t="s">
        <v>166</v>
      </c>
      <c r="B1138" s="2">
        <v>124.349</v>
      </c>
      <c r="C1138" s="2">
        <v>126.31699999999999</v>
      </c>
      <c r="D1138" s="2">
        <v>123.044</v>
      </c>
      <c r="E1138" s="2">
        <v>124.967</v>
      </c>
      <c r="F1138" s="2">
        <v>33403730</v>
      </c>
      <c r="G1138" s="2" t="s">
        <v>561</v>
      </c>
      <c r="H1138" s="2" t="s">
        <v>562</v>
      </c>
      <c r="I1138" s="2" t="s">
        <v>17</v>
      </c>
      <c r="J1138" s="3">
        <v>0.70699999999999996</v>
      </c>
      <c r="K1138" s="2" t="s">
        <v>157</v>
      </c>
      <c r="L1138" s="2">
        <v>2023</v>
      </c>
      <c r="M1138" s="2" t="s">
        <v>158</v>
      </c>
      <c r="N1138" s="2" t="s">
        <v>21</v>
      </c>
      <c r="O1138">
        <f t="shared" si="34"/>
        <v>3.2729999999999961</v>
      </c>
      <c r="P1138">
        <f t="shared" si="35"/>
        <v>37.062000000000012</v>
      </c>
    </row>
    <row r="1139" spans="1:16" x14ac:dyDescent="0.35">
      <c r="A1139" s="9" t="s">
        <v>167</v>
      </c>
      <c r="B1139" s="2">
        <v>125.485</v>
      </c>
      <c r="C1139" s="2">
        <v>126.64100000000001</v>
      </c>
      <c r="D1139" s="2">
        <v>123.747</v>
      </c>
      <c r="E1139" s="2">
        <v>124.2</v>
      </c>
      <c r="F1139" s="2">
        <v>25809438</v>
      </c>
      <c r="G1139" s="2" t="s">
        <v>561</v>
      </c>
      <c r="H1139" s="2" t="s">
        <v>562</v>
      </c>
      <c r="I1139" s="2" t="s">
        <v>17</v>
      </c>
      <c r="J1139" s="4">
        <v>-0.61399999999999999</v>
      </c>
      <c r="K1139" s="2" t="s">
        <v>157</v>
      </c>
      <c r="L1139" s="2">
        <v>2023</v>
      </c>
      <c r="M1139" s="2" t="s">
        <v>158</v>
      </c>
      <c r="N1139" s="2" t="s">
        <v>23</v>
      </c>
      <c r="O1139">
        <f t="shared" si="34"/>
        <v>2.8940000000000055</v>
      </c>
      <c r="P1139">
        <f t="shared" si="35"/>
        <v>36.448000000000015</v>
      </c>
    </row>
    <row r="1140" spans="1:16" x14ac:dyDescent="0.35">
      <c r="A1140" s="9" t="s">
        <v>168</v>
      </c>
      <c r="B1140" s="2">
        <v>124.15</v>
      </c>
      <c r="C1140" s="2">
        <v>124.23</v>
      </c>
      <c r="D1140" s="2">
        <v>122.51600000000001</v>
      </c>
      <c r="E1140" s="2">
        <v>123.313</v>
      </c>
      <c r="F1140" s="2">
        <v>26321520</v>
      </c>
      <c r="G1140" s="2" t="s">
        <v>561</v>
      </c>
      <c r="H1140" s="2" t="s">
        <v>562</v>
      </c>
      <c r="I1140" s="2" t="s">
        <v>17</v>
      </c>
      <c r="J1140" s="4">
        <v>-0.71399999999999997</v>
      </c>
      <c r="K1140" s="2" t="s">
        <v>157</v>
      </c>
      <c r="L1140" s="2">
        <v>2023</v>
      </c>
      <c r="M1140" s="2" t="s">
        <v>158</v>
      </c>
      <c r="N1140" s="2" t="s">
        <v>23</v>
      </c>
      <c r="O1140">
        <f t="shared" si="34"/>
        <v>1.7139999999999986</v>
      </c>
      <c r="P1140">
        <f t="shared" si="35"/>
        <v>35.734000000000016</v>
      </c>
    </row>
    <row r="1141" spans="1:16" x14ac:dyDescent="0.35">
      <c r="A1141" s="9" t="s">
        <v>169</v>
      </c>
      <c r="B1141" s="2">
        <v>124.15</v>
      </c>
      <c r="C1141" s="2">
        <v>124.727</v>
      </c>
      <c r="D1141" s="2">
        <v>121.36</v>
      </c>
      <c r="E1141" s="2">
        <v>121.589</v>
      </c>
      <c r="F1141" s="2">
        <v>37358973</v>
      </c>
      <c r="G1141" s="2" t="s">
        <v>561</v>
      </c>
      <c r="H1141" s="2" t="s">
        <v>562</v>
      </c>
      <c r="I1141" s="2" t="s">
        <v>17</v>
      </c>
      <c r="J1141" s="4">
        <v>-1.3979999999999999</v>
      </c>
      <c r="K1141" s="2" t="s">
        <v>157</v>
      </c>
      <c r="L1141" s="2">
        <v>2023</v>
      </c>
      <c r="M1141" s="2" t="s">
        <v>158</v>
      </c>
      <c r="N1141" s="2" t="s">
        <v>23</v>
      </c>
      <c r="O1141">
        <f t="shared" si="34"/>
        <v>3.3670000000000044</v>
      </c>
      <c r="P1141">
        <f t="shared" si="35"/>
        <v>34.336000000000013</v>
      </c>
    </row>
    <row r="1142" spans="1:16" x14ac:dyDescent="0.35">
      <c r="A1142" s="9" t="s">
        <v>170</v>
      </c>
      <c r="B1142" s="2">
        <v>120.98099999999999</v>
      </c>
      <c r="C1142" s="2">
        <v>123.642</v>
      </c>
      <c r="D1142" s="2">
        <v>117.79300000000001</v>
      </c>
      <c r="E1142" s="2">
        <v>118.76900000000001</v>
      </c>
      <c r="F1142" s="2">
        <v>38044178</v>
      </c>
      <c r="G1142" s="2" t="s">
        <v>561</v>
      </c>
      <c r="H1142" s="2" t="s">
        <v>562</v>
      </c>
      <c r="I1142" s="2" t="s">
        <v>17</v>
      </c>
      <c r="J1142" s="4">
        <v>-2.319</v>
      </c>
      <c r="K1142" s="2" t="s">
        <v>157</v>
      </c>
      <c r="L1142" s="2">
        <v>2023</v>
      </c>
      <c r="M1142" s="2" t="s">
        <v>158</v>
      </c>
      <c r="N1142" s="2" t="s">
        <v>23</v>
      </c>
      <c r="O1142">
        <f t="shared" si="34"/>
        <v>5.8489999999999895</v>
      </c>
      <c r="P1142">
        <f t="shared" si="35"/>
        <v>32.01700000000001</v>
      </c>
    </row>
    <row r="1143" spans="1:16" x14ac:dyDescent="0.35">
      <c r="A1143" s="9" t="s">
        <v>171</v>
      </c>
      <c r="B1143" s="2">
        <v>120.184</v>
      </c>
      <c r="C1143" s="2">
        <v>120.553</v>
      </c>
      <c r="D1143" s="2">
        <v>118.301</v>
      </c>
      <c r="E1143" s="2">
        <v>119.586</v>
      </c>
      <c r="F1143" s="2">
        <v>71866054</v>
      </c>
      <c r="G1143" s="2" t="s">
        <v>561</v>
      </c>
      <c r="H1143" s="2" t="s">
        <v>562</v>
      </c>
      <c r="I1143" s="2" t="s">
        <v>17</v>
      </c>
      <c r="J1143" s="3">
        <v>0.68799999999999994</v>
      </c>
      <c r="K1143" s="2" t="s">
        <v>157</v>
      </c>
      <c r="L1143" s="2">
        <v>2023</v>
      </c>
      <c r="M1143" s="2" t="s">
        <v>158</v>
      </c>
      <c r="N1143" s="2" t="s">
        <v>21</v>
      </c>
      <c r="O1143">
        <f t="shared" si="34"/>
        <v>2.2519999999999953</v>
      </c>
      <c r="P1143">
        <f t="shared" si="35"/>
        <v>32.705000000000013</v>
      </c>
    </row>
    <row r="1144" spans="1:16" x14ac:dyDescent="0.35">
      <c r="A1144" s="9" t="s">
        <v>172</v>
      </c>
      <c r="B1144" s="2">
        <v>121.221</v>
      </c>
      <c r="C1144" s="2">
        <v>122.556</v>
      </c>
      <c r="D1144" s="2">
        <v>120.54300000000001</v>
      </c>
      <c r="E1144" s="2">
        <v>121.09099999999999</v>
      </c>
      <c r="F1144" s="2">
        <v>29831418</v>
      </c>
      <c r="G1144" s="2" t="s">
        <v>561</v>
      </c>
      <c r="H1144" s="2" t="s">
        <v>562</v>
      </c>
      <c r="I1144" s="2" t="s">
        <v>17</v>
      </c>
      <c r="J1144" s="3">
        <v>1.2589999999999999</v>
      </c>
      <c r="K1144" s="2" t="s">
        <v>157</v>
      </c>
      <c r="L1144" s="2">
        <v>2023</v>
      </c>
      <c r="M1144" s="2" t="s">
        <v>158</v>
      </c>
      <c r="N1144" s="2" t="s">
        <v>21</v>
      </c>
      <c r="O1144">
        <f t="shared" si="34"/>
        <v>2.012999999999991</v>
      </c>
      <c r="P1144">
        <f t="shared" si="35"/>
        <v>33.964000000000013</v>
      </c>
    </row>
    <row r="1145" spans="1:16" x14ac:dyDescent="0.35">
      <c r="A1145" s="9" t="s">
        <v>173</v>
      </c>
      <c r="B1145" s="2">
        <v>120.92100000000001</v>
      </c>
      <c r="C1145" s="2">
        <v>122.7</v>
      </c>
      <c r="D1145" s="2">
        <v>120.583</v>
      </c>
      <c r="E1145" s="2">
        <v>121.768</v>
      </c>
      <c r="F1145" s="2">
        <v>52699903</v>
      </c>
      <c r="G1145" s="2" t="s">
        <v>561</v>
      </c>
      <c r="H1145" s="2" t="s">
        <v>562</v>
      </c>
      <c r="I1145" s="2" t="s">
        <v>17</v>
      </c>
      <c r="J1145" s="3">
        <v>0.55900000000000005</v>
      </c>
      <c r="K1145" s="2" t="s">
        <v>157</v>
      </c>
      <c r="L1145" s="2">
        <v>2023</v>
      </c>
      <c r="M1145" s="2" t="s">
        <v>158</v>
      </c>
      <c r="N1145" s="2" t="s">
        <v>21</v>
      </c>
      <c r="O1145">
        <f t="shared" si="34"/>
        <v>2.1170000000000044</v>
      </c>
      <c r="P1145">
        <f t="shared" si="35"/>
        <v>34.52300000000001</v>
      </c>
    </row>
    <row r="1146" spans="1:16" x14ac:dyDescent="0.35">
      <c r="A1146" s="9" t="s">
        <v>174</v>
      </c>
      <c r="B1146" s="2">
        <v>129.6</v>
      </c>
      <c r="C1146" s="2">
        <v>130.50700000000001</v>
      </c>
      <c r="D1146" s="2">
        <v>127.85599999999999</v>
      </c>
      <c r="E1146" s="2">
        <v>128.803</v>
      </c>
      <c r="F1146" s="2">
        <v>61905696</v>
      </c>
      <c r="G1146" s="2" t="s">
        <v>561</v>
      </c>
      <c r="H1146" s="2" t="s">
        <v>562</v>
      </c>
      <c r="I1146" s="2" t="s">
        <v>17</v>
      </c>
      <c r="J1146" s="3">
        <v>5.7770000000000001</v>
      </c>
      <c r="K1146" s="2" t="s">
        <v>157</v>
      </c>
      <c r="L1146" s="2">
        <v>2023</v>
      </c>
      <c r="M1146" s="2" t="s">
        <v>158</v>
      </c>
      <c r="N1146" s="2" t="s">
        <v>21</v>
      </c>
      <c r="O1146">
        <f t="shared" si="34"/>
        <v>2.6510000000000105</v>
      </c>
      <c r="P1146">
        <f t="shared" si="35"/>
        <v>40.300000000000011</v>
      </c>
    </row>
    <row r="1147" spans="1:16" x14ac:dyDescent="0.35">
      <c r="A1147" s="9" t="s">
        <v>175</v>
      </c>
      <c r="B1147" s="2">
        <v>131.19499999999999</v>
      </c>
      <c r="C1147" s="2">
        <v>132.75899999999999</v>
      </c>
      <c r="D1147" s="2">
        <v>128.32499999999999</v>
      </c>
      <c r="E1147" s="2">
        <v>128.93299999999999</v>
      </c>
      <c r="F1147" s="2">
        <v>45115029</v>
      </c>
      <c r="G1147" s="2" t="s">
        <v>561</v>
      </c>
      <c r="H1147" s="2" t="s">
        <v>562</v>
      </c>
      <c r="I1147" s="2" t="s">
        <v>17</v>
      </c>
      <c r="J1147" s="3">
        <v>0.10100000000000001</v>
      </c>
      <c r="K1147" s="2" t="s">
        <v>157</v>
      </c>
      <c r="L1147" s="2">
        <v>2023</v>
      </c>
      <c r="M1147" s="2" t="s">
        <v>158</v>
      </c>
      <c r="N1147" s="2" t="s">
        <v>21</v>
      </c>
      <c r="O1147">
        <f t="shared" si="34"/>
        <v>4.4339999999999975</v>
      </c>
      <c r="P1147">
        <f t="shared" si="35"/>
        <v>40.40100000000001</v>
      </c>
    </row>
    <row r="1148" spans="1:16" x14ac:dyDescent="0.35">
      <c r="A1148" s="9" t="s">
        <v>176</v>
      </c>
      <c r="B1148" s="2">
        <v>130.30799999999999</v>
      </c>
      <c r="C1148" s="2">
        <v>133.25700000000001</v>
      </c>
      <c r="D1148" s="2">
        <v>130.09800000000001</v>
      </c>
      <c r="E1148" s="2">
        <v>132.102</v>
      </c>
      <c r="F1148" s="2">
        <v>36723804</v>
      </c>
      <c r="G1148" s="2" t="s">
        <v>561</v>
      </c>
      <c r="H1148" s="2" t="s">
        <v>562</v>
      </c>
      <c r="I1148" s="2" t="s">
        <v>17</v>
      </c>
      <c r="J1148" s="3">
        <v>2.4580000000000002</v>
      </c>
      <c r="K1148" s="2" t="s">
        <v>157</v>
      </c>
      <c r="L1148" s="2">
        <v>2023</v>
      </c>
      <c r="M1148" s="2" t="s">
        <v>158</v>
      </c>
      <c r="N1148" s="2" t="s">
        <v>21</v>
      </c>
      <c r="O1148">
        <f t="shared" si="34"/>
        <v>3.1589999999999918</v>
      </c>
      <c r="P1148">
        <f t="shared" si="35"/>
        <v>42.859000000000009</v>
      </c>
    </row>
    <row r="1149" spans="1:16" x14ac:dyDescent="0.35">
      <c r="A1149" s="9" t="s">
        <v>177</v>
      </c>
      <c r="B1149" s="2">
        <v>132.25</v>
      </c>
      <c r="C1149" s="2">
        <v>133.04300000000001</v>
      </c>
      <c r="D1149" s="2">
        <v>131.30000000000001</v>
      </c>
      <c r="E1149" s="2">
        <v>132.24</v>
      </c>
      <c r="F1149" s="2">
        <v>28157235</v>
      </c>
      <c r="G1149" s="2" t="s">
        <v>561</v>
      </c>
      <c r="H1149" s="2" t="s">
        <v>562</v>
      </c>
      <c r="I1149" s="2" t="s">
        <v>17</v>
      </c>
      <c r="J1149" s="3">
        <v>0.104</v>
      </c>
      <c r="K1149" s="2" t="s">
        <v>157</v>
      </c>
      <c r="L1149" s="2">
        <v>2023</v>
      </c>
      <c r="M1149" s="2" t="s">
        <v>158</v>
      </c>
      <c r="N1149" s="2" t="s">
        <v>21</v>
      </c>
      <c r="O1149">
        <f t="shared" si="34"/>
        <v>1.742999999999995</v>
      </c>
      <c r="P1149">
        <f t="shared" si="35"/>
        <v>42.963000000000008</v>
      </c>
    </row>
    <row r="1150" spans="1:16" x14ac:dyDescent="0.35">
      <c r="A1150" s="9" t="s">
        <v>178</v>
      </c>
      <c r="B1150" s="2">
        <v>130.303</v>
      </c>
      <c r="C1150" s="2">
        <v>132.15100000000001</v>
      </c>
      <c r="D1150" s="2">
        <v>130.208</v>
      </c>
      <c r="E1150" s="2">
        <v>131.07499999999999</v>
      </c>
      <c r="F1150" s="2">
        <v>23360819</v>
      </c>
      <c r="G1150" s="2" t="s">
        <v>561</v>
      </c>
      <c r="H1150" s="2" t="s">
        <v>562</v>
      </c>
      <c r="I1150" s="2" t="s">
        <v>17</v>
      </c>
      <c r="J1150" s="4">
        <v>-0.88100000000000001</v>
      </c>
      <c r="K1150" s="2" t="s">
        <v>179</v>
      </c>
      <c r="L1150" s="2">
        <v>2023</v>
      </c>
      <c r="M1150" s="2" t="s">
        <v>180</v>
      </c>
      <c r="N1150" s="2" t="s">
        <v>23</v>
      </c>
      <c r="O1150">
        <f t="shared" si="34"/>
        <v>1.9430000000000121</v>
      </c>
      <c r="P1150">
        <f t="shared" si="35"/>
        <v>42.082000000000008</v>
      </c>
    </row>
    <row r="1151" spans="1:16" x14ac:dyDescent="0.35">
      <c r="A1151" s="9" t="s">
        <v>181</v>
      </c>
      <c r="B1151" s="2">
        <v>128.983</v>
      </c>
      <c r="C1151" s="2">
        <v>129.62</v>
      </c>
      <c r="D1151" s="2">
        <v>127.099</v>
      </c>
      <c r="E1151" s="2">
        <v>127.916</v>
      </c>
      <c r="F1151" s="2">
        <v>26368501</v>
      </c>
      <c r="G1151" s="2" t="s">
        <v>561</v>
      </c>
      <c r="H1151" s="2" t="s">
        <v>562</v>
      </c>
      <c r="I1151" s="2" t="s">
        <v>17</v>
      </c>
      <c r="J1151" s="4">
        <v>-2.41</v>
      </c>
      <c r="K1151" s="2" t="s">
        <v>179</v>
      </c>
      <c r="L1151" s="2">
        <v>2023</v>
      </c>
      <c r="M1151" s="2" t="s">
        <v>180</v>
      </c>
      <c r="N1151" s="2" t="s">
        <v>23</v>
      </c>
      <c r="O1151">
        <f t="shared" si="34"/>
        <v>2.5210000000000008</v>
      </c>
      <c r="P1151">
        <f t="shared" si="35"/>
        <v>39.672000000000011</v>
      </c>
    </row>
    <row r="1152" spans="1:16" x14ac:dyDescent="0.35">
      <c r="A1152" s="9" t="s">
        <v>182</v>
      </c>
      <c r="B1152" s="2">
        <v>127.508</v>
      </c>
      <c r="C1152" s="2">
        <v>128.91800000000001</v>
      </c>
      <c r="D1152" s="2">
        <v>126.959</v>
      </c>
      <c r="E1152" s="2">
        <v>127.986</v>
      </c>
      <c r="F1152" s="2">
        <v>20232608</v>
      </c>
      <c r="G1152" s="2" t="s">
        <v>561</v>
      </c>
      <c r="H1152" s="2" t="s">
        <v>562</v>
      </c>
      <c r="I1152" s="2" t="s">
        <v>17</v>
      </c>
      <c r="J1152" s="3">
        <v>5.5E-2</v>
      </c>
      <c r="K1152" s="2" t="s">
        <v>179</v>
      </c>
      <c r="L1152" s="2">
        <v>2023</v>
      </c>
      <c r="M1152" s="2" t="s">
        <v>180</v>
      </c>
      <c r="N1152" s="2" t="s">
        <v>21</v>
      </c>
      <c r="O1152">
        <f t="shared" si="34"/>
        <v>1.9590000000000032</v>
      </c>
      <c r="P1152">
        <f t="shared" si="35"/>
        <v>39.727000000000011</v>
      </c>
    </row>
    <row r="1153" spans="1:16" x14ac:dyDescent="0.35">
      <c r="A1153" s="9" t="s">
        <v>183</v>
      </c>
      <c r="B1153" s="2">
        <v>128.81299999999999</v>
      </c>
      <c r="C1153" s="2">
        <v>131.035</v>
      </c>
      <c r="D1153" s="2">
        <v>127.44799999999999</v>
      </c>
      <c r="E1153" s="2">
        <v>127.64700000000001</v>
      </c>
      <c r="F1153" s="2">
        <v>26241944</v>
      </c>
      <c r="G1153" s="2" t="s">
        <v>561</v>
      </c>
      <c r="H1153" s="2" t="s">
        <v>562</v>
      </c>
      <c r="I1153" s="2" t="s">
        <v>17</v>
      </c>
      <c r="J1153" s="4">
        <v>-0.26500000000000001</v>
      </c>
      <c r="K1153" s="2" t="s">
        <v>179</v>
      </c>
      <c r="L1153" s="2">
        <v>2023</v>
      </c>
      <c r="M1153" s="2" t="s">
        <v>180</v>
      </c>
      <c r="N1153" s="2" t="s">
        <v>23</v>
      </c>
      <c r="O1153">
        <f t="shared" si="34"/>
        <v>3.5870000000000033</v>
      </c>
      <c r="P1153">
        <f t="shared" si="35"/>
        <v>39.46200000000001</v>
      </c>
    </row>
    <row r="1154" spans="1:16" x14ac:dyDescent="0.35">
      <c r="A1154" s="9" t="s">
        <v>184</v>
      </c>
      <c r="B1154" s="2">
        <v>128.69399999999999</v>
      </c>
      <c r="C1154" s="2">
        <v>131.13499999999999</v>
      </c>
      <c r="D1154" s="2">
        <v>128.554</v>
      </c>
      <c r="E1154" s="2">
        <v>131.05500000000001</v>
      </c>
      <c r="F1154" s="2">
        <v>22828747</v>
      </c>
      <c r="G1154" s="2" t="s">
        <v>561</v>
      </c>
      <c r="H1154" s="2" t="s">
        <v>562</v>
      </c>
      <c r="I1154" s="2" t="s">
        <v>17</v>
      </c>
      <c r="J1154" s="3">
        <v>2.67</v>
      </c>
      <c r="K1154" s="2" t="s">
        <v>179</v>
      </c>
      <c r="L1154" s="2">
        <v>2023</v>
      </c>
      <c r="M1154" s="2" t="s">
        <v>180</v>
      </c>
      <c r="N1154" s="2" t="s">
        <v>21</v>
      </c>
      <c r="O1154">
        <f t="shared" si="34"/>
        <v>2.5809999999999889</v>
      </c>
      <c r="P1154">
        <f t="shared" si="35"/>
        <v>42.132000000000012</v>
      </c>
    </row>
    <row r="1155" spans="1:16" x14ac:dyDescent="0.35">
      <c r="A1155" s="9" t="s">
        <v>185</v>
      </c>
      <c r="B1155" s="2">
        <v>130.148</v>
      </c>
      <c r="C1155" s="2">
        <v>131.035</v>
      </c>
      <c r="D1155" s="2">
        <v>129.077</v>
      </c>
      <c r="E1155" s="2">
        <v>130.92500000000001</v>
      </c>
      <c r="F1155" s="2">
        <v>23620498</v>
      </c>
      <c r="G1155" s="2" t="s">
        <v>561</v>
      </c>
      <c r="H1155" s="2" t="s">
        <v>562</v>
      </c>
      <c r="I1155" s="2" t="s">
        <v>17</v>
      </c>
      <c r="J1155" s="4">
        <v>-9.9000000000000005E-2</v>
      </c>
      <c r="K1155" s="2" t="s">
        <v>179</v>
      </c>
      <c r="L1155" s="2">
        <v>2023</v>
      </c>
      <c r="M1155" s="2" t="s">
        <v>180</v>
      </c>
      <c r="N1155" s="2" t="s">
        <v>23</v>
      </c>
      <c r="O1155">
        <f t="shared" ref="O1155:O1218" si="36">C1155-D1155</f>
        <v>1.9579999999999984</v>
      </c>
      <c r="P1155">
        <f t="shared" si="35"/>
        <v>42.033000000000015</v>
      </c>
    </row>
    <row r="1156" spans="1:16" x14ac:dyDescent="0.35">
      <c r="A1156" s="9" t="s">
        <v>186</v>
      </c>
      <c r="B1156" s="2">
        <v>131.185</v>
      </c>
      <c r="C1156" s="2">
        <v>131.56299999999999</v>
      </c>
      <c r="D1156" s="2">
        <v>128.53399999999999</v>
      </c>
      <c r="E1156" s="2">
        <v>129.191</v>
      </c>
      <c r="F1156" s="2">
        <v>25003229</v>
      </c>
      <c r="G1156" s="2" t="s">
        <v>561</v>
      </c>
      <c r="H1156" s="2" t="s">
        <v>562</v>
      </c>
      <c r="I1156" s="2" t="s">
        <v>17</v>
      </c>
      <c r="J1156" s="4">
        <v>-1.3240000000000001</v>
      </c>
      <c r="K1156" s="2" t="s">
        <v>179</v>
      </c>
      <c r="L1156" s="2">
        <v>2023</v>
      </c>
      <c r="M1156" s="2" t="s">
        <v>180</v>
      </c>
      <c r="N1156" s="2" t="s">
        <v>23</v>
      </c>
      <c r="O1156">
        <f t="shared" si="36"/>
        <v>3.0289999999999964</v>
      </c>
      <c r="P1156">
        <f t="shared" ref="P1156:P1219" si="37">IF(G1156=G1155, P1155+J1156, J1156)</f>
        <v>40.709000000000017</v>
      </c>
    </row>
    <row r="1157" spans="1:16" x14ac:dyDescent="0.35">
      <c r="A1157" s="9" t="s">
        <v>187</v>
      </c>
      <c r="B1157" s="2">
        <v>130.845</v>
      </c>
      <c r="C1157" s="2">
        <v>131.57300000000001</v>
      </c>
      <c r="D1157" s="2">
        <v>128.983</v>
      </c>
      <c r="E1157" s="2">
        <v>129.221</v>
      </c>
      <c r="F1157" s="2">
        <v>20933365</v>
      </c>
      <c r="G1157" s="2" t="s">
        <v>561</v>
      </c>
      <c r="H1157" s="2" t="s">
        <v>562</v>
      </c>
      <c r="I1157" s="2" t="s">
        <v>17</v>
      </c>
      <c r="J1157" s="3">
        <v>2.3E-2</v>
      </c>
      <c r="K1157" s="2" t="s">
        <v>179</v>
      </c>
      <c r="L1157" s="2">
        <v>2023</v>
      </c>
      <c r="M1157" s="2" t="s">
        <v>180</v>
      </c>
      <c r="N1157" s="2" t="s">
        <v>21</v>
      </c>
      <c r="O1157">
        <f t="shared" si="36"/>
        <v>2.5900000000000034</v>
      </c>
      <c r="P1157">
        <f t="shared" si="37"/>
        <v>40.732000000000021</v>
      </c>
    </row>
    <row r="1158" spans="1:16" x14ac:dyDescent="0.35">
      <c r="A1158" s="9" t="s">
        <v>188</v>
      </c>
      <c r="B1158" s="2">
        <v>128.196</v>
      </c>
      <c r="C1158" s="2">
        <v>129.46100000000001</v>
      </c>
      <c r="D1158" s="2">
        <v>127.70699999999999</v>
      </c>
      <c r="E1158" s="2">
        <v>129.09200000000001</v>
      </c>
      <c r="F1158" s="2">
        <v>19662099</v>
      </c>
      <c r="G1158" s="2" t="s">
        <v>561</v>
      </c>
      <c r="H1158" s="2" t="s">
        <v>562</v>
      </c>
      <c r="I1158" s="2" t="s">
        <v>17</v>
      </c>
      <c r="J1158" s="4">
        <v>-0.1</v>
      </c>
      <c r="K1158" s="2" t="s">
        <v>179</v>
      </c>
      <c r="L1158" s="2">
        <v>2023</v>
      </c>
      <c r="M1158" s="2" t="s">
        <v>180</v>
      </c>
      <c r="N1158" s="2" t="s">
        <v>23</v>
      </c>
      <c r="O1158">
        <f t="shared" si="36"/>
        <v>1.7540000000000191</v>
      </c>
      <c r="P1158">
        <f t="shared" si="37"/>
        <v>40.632000000000019</v>
      </c>
    </row>
    <row r="1159" spans="1:16" x14ac:dyDescent="0.35">
      <c r="A1159" s="9" t="s">
        <v>189</v>
      </c>
      <c r="B1159" s="2">
        <v>128.923</v>
      </c>
      <c r="C1159" s="2">
        <v>130.89500000000001</v>
      </c>
      <c r="D1159" s="2">
        <v>128.494</v>
      </c>
      <c r="E1159" s="2">
        <v>130.85499999999999</v>
      </c>
      <c r="F1159" s="2">
        <v>24785132</v>
      </c>
      <c r="G1159" s="2" t="s">
        <v>561</v>
      </c>
      <c r="H1159" s="2" t="s">
        <v>562</v>
      </c>
      <c r="I1159" s="2" t="s">
        <v>17</v>
      </c>
      <c r="J1159" s="3">
        <v>1.3660000000000001</v>
      </c>
      <c r="K1159" s="2" t="s">
        <v>179</v>
      </c>
      <c r="L1159" s="2">
        <v>2023</v>
      </c>
      <c r="M1159" s="2" t="s">
        <v>180</v>
      </c>
      <c r="N1159" s="2" t="s">
        <v>21</v>
      </c>
      <c r="O1159">
        <f t="shared" si="36"/>
        <v>2.4010000000000105</v>
      </c>
      <c r="P1159">
        <f t="shared" si="37"/>
        <v>41.998000000000019</v>
      </c>
    </row>
    <row r="1160" spans="1:16" x14ac:dyDescent="0.35">
      <c r="A1160" s="9" t="s">
        <v>190</v>
      </c>
      <c r="B1160" s="2">
        <v>130.626</v>
      </c>
      <c r="C1160" s="2">
        <v>130.94499999999999</v>
      </c>
      <c r="D1160" s="2">
        <v>128.81299999999999</v>
      </c>
      <c r="E1160" s="2">
        <v>129.31100000000001</v>
      </c>
      <c r="F1160" s="2">
        <v>19842402</v>
      </c>
      <c r="G1160" s="2" t="s">
        <v>561</v>
      </c>
      <c r="H1160" s="2" t="s">
        <v>562</v>
      </c>
      <c r="I1160" s="2" t="s">
        <v>17</v>
      </c>
      <c r="J1160" s="4">
        <v>-1.18</v>
      </c>
      <c r="K1160" s="2" t="s">
        <v>179</v>
      </c>
      <c r="L1160" s="2">
        <v>2023</v>
      </c>
      <c r="M1160" s="2" t="s">
        <v>180</v>
      </c>
      <c r="N1160" s="2" t="s">
        <v>23</v>
      </c>
      <c r="O1160">
        <f t="shared" si="36"/>
        <v>2.132000000000005</v>
      </c>
      <c r="P1160">
        <f t="shared" si="37"/>
        <v>40.818000000000019</v>
      </c>
    </row>
    <row r="1161" spans="1:16" x14ac:dyDescent="0.35">
      <c r="A1161" s="9" t="s">
        <v>191</v>
      </c>
      <c r="B1161" s="2">
        <v>128.23500000000001</v>
      </c>
      <c r="C1161" s="2">
        <v>129.81100000000001</v>
      </c>
      <c r="D1161" s="2">
        <v>127.40300000000001</v>
      </c>
      <c r="E1161" s="2">
        <v>128.23500000000001</v>
      </c>
      <c r="F1161" s="2">
        <v>25307478</v>
      </c>
      <c r="G1161" s="2" t="s">
        <v>561</v>
      </c>
      <c r="H1161" s="2" t="s">
        <v>562</v>
      </c>
      <c r="I1161" s="2" t="s">
        <v>17</v>
      </c>
      <c r="J1161" s="4">
        <v>-0.83199999999999996</v>
      </c>
      <c r="K1161" s="2" t="s">
        <v>179</v>
      </c>
      <c r="L1161" s="2">
        <v>2023</v>
      </c>
      <c r="M1161" s="2" t="s">
        <v>180</v>
      </c>
      <c r="N1161" s="2" t="s">
        <v>23</v>
      </c>
      <c r="O1161">
        <f t="shared" si="36"/>
        <v>2.4080000000000013</v>
      </c>
      <c r="P1161">
        <f t="shared" si="37"/>
        <v>39.986000000000018</v>
      </c>
    </row>
    <row r="1162" spans="1:16" x14ac:dyDescent="0.35">
      <c r="A1162" s="9" t="s">
        <v>192</v>
      </c>
      <c r="B1162" s="2">
        <v>129.33099999999999</v>
      </c>
      <c r="C1162" s="2">
        <v>131.51300000000001</v>
      </c>
      <c r="D1162" s="2">
        <v>128.82300000000001</v>
      </c>
      <c r="E1162" s="2">
        <v>129.45099999999999</v>
      </c>
      <c r="F1162" s="2">
        <v>33567526</v>
      </c>
      <c r="G1162" s="2" t="s">
        <v>561</v>
      </c>
      <c r="H1162" s="2" t="s">
        <v>562</v>
      </c>
      <c r="I1162" s="2" t="s">
        <v>17</v>
      </c>
      <c r="J1162" s="3">
        <v>0.94799999999999995</v>
      </c>
      <c r="K1162" s="2" t="s">
        <v>179</v>
      </c>
      <c r="L1162" s="2">
        <v>2023</v>
      </c>
      <c r="M1162" s="2" t="s">
        <v>180</v>
      </c>
      <c r="N1162" s="2" t="s">
        <v>21</v>
      </c>
      <c r="O1162">
        <f t="shared" si="36"/>
        <v>2.6899999999999977</v>
      </c>
      <c r="P1162">
        <f t="shared" si="37"/>
        <v>40.934000000000019</v>
      </c>
    </row>
    <row r="1163" spans="1:16" x14ac:dyDescent="0.35">
      <c r="A1163" s="9" t="s">
        <v>193</v>
      </c>
      <c r="B1163" s="2">
        <v>128.04599999999999</v>
      </c>
      <c r="C1163" s="2">
        <v>128.78299999999999</v>
      </c>
      <c r="D1163" s="2">
        <v>125.92700000000001</v>
      </c>
      <c r="E1163" s="2">
        <v>126.999</v>
      </c>
      <c r="F1163" s="2">
        <v>30615351</v>
      </c>
      <c r="G1163" s="2" t="s">
        <v>561</v>
      </c>
      <c r="H1163" s="2" t="s">
        <v>562</v>
      </c>
      <c r="I1163" s="2" t="s">
        <v>17</v>
      </c>
      <c r="J1163" s="4">
        <v>-1.8939999999999999</v>
      </c>
      <c r="K1163" s="2" t="s">
        <v>179</v>
      </c>
      <c r="L1163" s="2">
        <v>2023</v>
      </c>
      <c r="M1163" s="2" t="s">
        <v>180</v>
      </c>
      <c r="N1163" s="2" t="s">
        <v>23</v>
      </c>
      <c r="O1163">
        <f t="shared" si="36"/>
        <v>2.8559999999999803</v>
      </c>
      <c r="P1163">
        <f t="shared" si="37"/>
        <v>39.04000000000002</v>
      </c>
    </row>
    <row r="1164" spans="1:16" x14ac:dyDescent="0.35">
      <c r="A1164" s="9" t="s">
        <v>194</v>
      </c>
      <c r="B1164" s="2">
        <v>126.71599999999999</v>
      </c>
      <c r="C1164" s="2">
        <v>128.26</v>
      </c>
      <c r="D1164" s="2">
        <v>126.102</v>
      </c>
      <c r="E1164" s="2">
        <v>127.90600000000001</v>
      </c>
      <c r="F1164" s="2">
        <v>25340258</v>
      </c>
      <c r="G1164" s="2" t="s">
        <v>561</v>
      </c>
      <c r="H1164" s="2" t="s">
        <v>562</v>
      </c>
      <c r="I1164" s="2" t="s">
        <v>17</v>
      </c>
      <c r="J1164" s="3">
        <v>0.71399999999999997</v>
      </c>
      <c r="K1164" s="2" t="s">
        <v>179</v>
      </c>
      <c r="L1164" s="2">
        <v>2023</v>
      </c>
      <c r="M1164" s="2" t="s">
        <v>180</v>
      </c>
      <c r="N1164" s="2" t="s">
        <v>21</v>
      </c>
      <c r="O1164">
        <f t="shared" si="36"/>
        <v>2.157999999999987</v>
      </c>
      <c r="P1164">
        <f t="shared" si="37"/>
        <v>39.754000000000019</v>
      </c>
    </row>
    <row r="1165" spans="1:16" x14ac:dyDescent="0.35">
      <c r="A1165" s="9" t="s">
        <v>195</v>
      </c>
      <c r="B1165" s="2">
        <v>128.04599999999999</v>
      </c>
      <c r="C1165" s="2">
        <v>129.80799999999999</v>
      </c>
      <c r="D1165" s="2">
        <v>127.85599999999999</v>
      </c>
      <c r="E1165" s="2">
        <v>128.614</v>
      </c>
      <c r="F1165" s="2">
        <v>22147516</v>
      </c>
      <c r="G1165" s="2" t="s">
        <v>561</v>
      </c>
      <c r="H1165" s="2" t="s">
        <v>562</v>
      </c>
      <c r="I1165" s="2" t="s">
        <v>17</v>
      </c>
      <c r="J1165" s="3">
        <v>0.55400000000000005</v>
      </c>
      <c r="K1165" s="2" t="s">
        <v>179</v>
      </c>
      <c r="L1165" s="2">
        <v>2023</v>
      </c>
      <c r="M1165" s="2" t="s">
        <v>180</v>
      </c>
      <c r="N1165" s="2" t="s">
        <v>21</v>
      </c>
      <c r="O1165">
        <f t="shared" si="36"/>
        <v>1.9519999999999982</v>
      </c>
      <c r="P1165">
        <f t="shared" si="37"/>
        <v>40.308000000000021</v>
      </c>
    </row>
    <row r="1166" spans="1:16" x14ac:dyDescent="0.35">
      <c r="A1166" s="9" t="s">
        <v>196</v>
      </c>
      <c r="B1166" s="2">
        <v>129.71</v>
      </c>
      <c r="C1166" s="2">
        <v>132.928</v>
      </c>
      <c r="D1166" s="2">
        <v>129.40100000000001</v>
      </c>
      <c r="E1166" s="2">
        <v>131.892</v>
      </c>
      <c r="F1166" s="2">
        <v>27920562</v>
      </c>
      <c r="G1166" s="2" t="s">
        <v>561</v>
      </c>
      <c r="H1166" s="2" t="s">
        <v>562</v>
      </c>
      <c r="I1166" s="2" t="s">
        <v>17</v>
      </c>
      <c r="J1166" s="3">
        <v>2.5489999999999999</v>
      </c>
      <c r="K1166" s="2" t="s">
        <v>179</v>
      </c>
      <c r="L1166" s="2">
        <v>2023</v>
      </c>
      <c r="M1166" s="2" t="s">
        <v>180</v>
      </c>
      <c r="N1166" s="2" t="s">
        <v>21</v>
      </c>
      <c r="O1166">
        <f t="shared" si="36"/>
        <v>3.5269999999999868</v>
      </c>
      <c r="P1166">
        <f t="shared" si="37"/>
        <v>42.857000000000021</v>
      </c>
    </row>
    <row r="1167" spans="1:16" x14ac:dyDescent="0.35">
      <c r="A1167" s="9" t="s">
        <v>197</v>
      </c>
      <c r="B1167" s="2">
        <v>133.46600000000001</v>
      </c>
      <c r="C1167" s="2">
        <v>133.76499999999999</v>
      </c>
      <c r="D1167" s="2">
        <v>129.101</v>
      </c>
      <c r="E1167" s="2">
        <v>129.31100000000001</v>
      </c>
      <c r="F1167" s="2">
        <v>28604011</v>
      </c>
      <c r="G1167" s="2" t="s">
        <v>561</v>
      </c>
      <c r="H1167" s="2" t="s">
        <v>562</v>
      </c>
      <c r="I1167" s="2" t="s">
        <v>17</v>
      </c>
      <c r="J1167" s="4">
        <v>-1.9570000000000001</v>
      </c>
      <c r="K1167" s="2" t="s">
        <v>179</v>
      </c>
      <c r="L1167" s="2">
        <v>2023</v>
      </c>
      <c r="M1167" s="2" t="s">
        <v>180</v>
      </c>
      <c r="N1167" s="2" t="s">
        <v>23</v>
      </c>
      <c r="O1167">
        <f t="shared" si="36"/>
        <v>4.6639999999999873</v>
      </c>
      <c r="P1167">
        <f t="shared" si="37"/>
        <v>40.90000000000002</v>
      </c>
    </row>
    <row r="1168" spans="1:16" x14ac:dyDescent="0.35">
      <c r="A1168" s="9" t="s">
        <v>198</v>
      </c>
      <c r="B1168" s="2">
        <v>129.072</v>
      </c>
      <c r="C1168" s="2">
        <v>130.28800000000001</v>
      </c>
      <c r="D1168" s="2">
        <v>126.791</v>
      </c>
      <c r="E1168" s="2">
        <v>129.411</v>
      </c>
      <c r="F1168" s="2">
        <v>26859909</v>
      </c>
      <c r="G1168" s="2" t="s">
        <v>561</v>
      </c>
      <c r="H1168" s="2" t="s">
        <v>562</v>
      </c>
      <c r="I1168" s="2" t="s">
        <v>17</v>
      </c>
      <c r="J1168" s="3">
        <v>7.6999999999999999E-2</v>
      </c>
      <c r="K1168" s="2" t="s">
        <v>179</v>
      </c>
      <c r="L1168" s="2">
        <v>2023</v>
      </c>
      <c r="M1168" s="2" t="s">
        <v>180</v>
      </c>
      <c r="N1168" s="2" t="s">
        <v>21</v>
      </c>
      <c r="O1168">
        <f t="shared" si="36"/>
        <v>3.4970000000000141</v>
      </c>
      <c r="P1168">
        <f t="shared" si="37"/>
        <v>40.977000000000018</v>
      </c>
    </row>
    <row r="1169" spans="1:16" x14ac:dyDescent="0.35">
      <c r="A1169" s="9" t="s">
        <v>199</v>
      </c>
      <c r="B1169" s="2">
        <v>130.83500000000001</v>
      </c>
      <c r="C1169" s="2">
        <v>132.06200000000001</v>
      </c>
      <c r="D1169" s="2">
        <v>129.66999999999999</v>
      </c>
      <c r="E1169" s="2">
        <v>130.53700000000001</v>
      </c>
      <c r="F1169" s="2">
        <v>20617737</v>
      </c>
      <c r="G1169" s="2" t="s">
        <v>561</v>
      </c>
      <c r="H1169" s="2" t="s">
        <v>562</v>
      </c>
      <c r="I1169" s="2" t="s">
        <v>17</v>
      </c>
      <c r="J1169" s="3">
        <v>0.87</v>
      </c>
      <c r="K1169" s="2" t="s">
        <v>179</v>
      </c>
      <c r="L1169" s="2">
        <v>2023</v>
      </c>
      <c r="M1169" s="2" t="s">
        <v>180</v>
      </c>
      <c r="N1169" s="2" t="s">
        <v>21</v>
      </c>
      <c r="O1169">
        <f t="shared" si="36"/>
        <v>2.3920000000000243</v>
      </c>
      <c r="P1169">
        <f t="shared" si="37"/>
        <v>41.847000000000016</v>
      </c>
    </row>
    <row r="1170" spans="1:16" x14ac:dyDescent="0.35">
      <c r="A1170" s="9" t="s">
        <v>200</v>
      </c>
      <c r="B1170" s="2">
        <v>131.762</v>
      </c>
      <c r="C1170" s="2">
        <v>136.07599999999999</v>
      </c>
      <c r="D1170" s="2">
        <v>131.762</v>
      </c>
      <c r="E1170" s="2">
        <v>134.084</v>
      </c>
      <c r="F1170" s="2">
        <v>43231709</v>
      </c>
      <c r="G1170" s="2" t="s">
        <v>561</v>
      </c>
      <c r="H1170" s="2" t="s">
        <v>562</v>
      </c>
      <c r="I1170" s="2" t="s">
        <v>17</v>
      </c>
      <c r="J1170" s="3">
        <v>2.7170000000000001</v>
      </c>
      <c r="K1170" s="2" t="s">
        <v>179</v>
      </c>
      <c r="L1170" s="2">
        <v>2023</v>
      </c>
      <c r="M1170" s="2" t="s">
        <v>180</v>
      </c>
      <c r="N1170" s="2" t="s">
        <v>21</v>
      </c>
      <c r="O1170">
        <f t="shared" si="36"/>
        <v>4.313999999999993</v>
      </c>
      <c r="P1170">
        <f t="shared" si="37"/>
        <v>44.564000000000014</v>
      </c>
    </row>
    <row r="1171" spans="1:16" x14ac:dyDescent="0.35">
      <c r="A1171" s="9" t="s">
        <v>201</v>
      </c>
      <c r="B1171" s="2">
        <v>134.29300000000001</v>
      </c>
      <c r="C1171" s="2">
        <v>135.78299999999999</v>
      </c>
      <c r="D1171" s="2">
        <v>133.58600000000001</v>
      </c>
      <c r="E1171" s="2">
        <v>135.38900000000001</v>
      </c>
      <c r="F1171" s="2">
        <v>28418416</v>
      </c>
      <c r="G1171" s="2" t="s">
        <v>561</v>
      </c>
      <c r="H1171" s="2" t="s">
        <v>562</v>
      </c>
      <c r="I1171" s="2" t="s">
        <v>17</v>
      </c>
      <c r="J1171" s="3">
        <v>0.97299999999999998</v>
      </c>
      <c r="K1171" s="2" t="s">
        <v>179</v>
      </c>
      <c r="L1171" s="2">
        <v>2023</v>
      </c>
      <c r="M1171" s="2" t="s">
        <v>180</v>
      </c>
      <c r="N1171" s="2" t="s">
        <v>21</v>
      </c>
      <c r="O1171">
        <f t="shared" si="36"/>
        <v>2.1969999999999743</v>
      </c>
      <c r="P1171">
        <f t="shared" si="37"/>
        <v>45.537000000000013</v>
      </c>
    </row>
    <row r="1172" spans="1:16" x14ac:dyDescent="0.35">
      <c r="A1172" s="9" t="s">
        <v>202</v>
      </c>
      <c r="B1172" s="2">
        <v>135.51900000000001</v>
      </c>
      <c r="C1172" s="2">
        <v>137.501</v>
      </c>
      <c r="D1172" s="2">
        <v>135.29900000000001</v>
      </c>
      <c r="E1172" s="2">
        <v>135.679</v>
      </c>
      <c r="F1172" s="2">
        <v>30162748</v>
      </c>
      <c r="G1172" s="2" t="s">
        <v>561</v>
      </c>
      <c r="H1172" s="2" t="s">
        <v>562</v>
      </c>
      <c r="I1172" s="2" t="s">
        <v>17</v>
      </c>
      <c r="J1172" s="3">
        <v>0.214</v>
      </c>
      <c r="K1172" s="2" t="s">
        <v>179</v>
      </c>
      <c r="L1172" s="2">
        <v>2023</v>
      </c>
      <c r="M1172" s="2" t="s">
        <v>180</v>
      </c>
      <c r="N1172" s="2" t="s">
        <v>21</v>
      </c>
      <c r="O1172">
        <f t="shared" si="36"/>
        <v>2.2019999999999982</v>
      </c>
      <c r="P1172">
        <f t="shared" si="37"/>
        <v>45.751000000000012</v>
      </c>
    </row>
    <row r="1173" spans="1:16" x14ac:dyDescent="0.35">
      <c r="A1173" s="9" t="s">
        <v>203</v>
      </c>
      <c r="B1173" s="2">
        <v>136.958</v>
      </c>
      <c r="C1173" s="2">
        <v>136.958</v>
      </c>
      <c r="D1173" s="2">
        <v>134.363</v>
      </c>
      <c r="E1173" s="2">
        <v>135.16900000000001</v>
      </c>
      <c r="F1173" s="2">
        <v>21621785</v>
      </c>
      <c r="G1173" s="2" t="s">
        <v>561</v>
      </c>
      <c r="H1173" s="2" t="s">
        <v>562</v>
      </c>
      <c r="I1173" s="2" t="s">
        <v>17</v>
      </c>
      <c r="J1173" s="4">
        <v>-0.376</v>
      </c>
      <c r="K1173" s="2" t="s">
        <v>204</v>
      </c>
      <c r="L1173" s="2">
        <v>2023</v>
      </c>
      <c r="M1173" s="2" t="s">
        <v>205</v>
      </c>
      <c r="N1173" s="2" t="s">
        <v>23</v>
      </c>
      <c r="O1173">
        <f t="shared" si="36"/>
        <v>2.5949999999999989</v>
      </c>
      <c r="P1173">
        <f t="shared" si="37"/>
        <v>45.375000000000014</v>
      </c>
    </row>
    <row r="1174" spans="1:16" x14ac:dyDescent="0.35">
      <c r="A1174" s="9" t="s">
        <v>206</v>
      </c>
      <c r="B1174" s="2">
        <v>134.95099999999999</v>
      </c>
      <c r="C1174" s="2">
        <v>135.92699999999999</v>
      </c>
      <c r="D1174" s="2">
        <v>134.09399999999999</v>
      </c>
      <c r="E1174" s="2">
        <v>135.279</v>
      </c>
      <c r="F1174" s="2">
        <v>19473450</v>
      </c>
      <c r="G1174" s="2" t="s">
        <v>561</v>
      </c>
      <c r="H1174" s="2" t="s">
        <v>562</v>
      </c>
      <c r="I1174" s="2" t="s">
        <v>17</v>
      </c>
      <c r="J1174" s="3">
        <v>8.1000000000000003E-2</v>
      </c>
      <c r="K1174" s="2" t="s">
        <v>204</v>
      </c>
      <c r="L1174" s="2">
        <v>2023</v>
      </c>
      <c r="M1174" s="2" t="s">
        <v>205</v>
      </c>
      <c r="N1174" s="2" t="s">
        <v>21</v>
      </c>
      <c r="O1174">
        <f t="shared" si="36"/>
        <v>1.8329999999999984</v>
      </c>
      <c r="P1174">
        <f t="shared" si="37"/>
        <v>45.456000000000017</v>
      </c>
    </row>
    <row r="1175" spans="1:16" x14ac:dyDescent="0.35">
      <c r="A1175" s="9" t="s">
        <v>207</v>
      </c>
      <c r="B1175" s="2">
        <v>135.529</v>
      </c>
      <c r="C1175" s="2">
        <v>136.036</v>
      </c>
      <c r="D1175" s="2">
        <v>133.18199999999999</v>
      </c>
      <c r="E1175" s="2">
        <v>133.97399999999999</v>
      </c>
      <c r="F1175" s="2">
        <v>18752267</v>
      </c>
      <c r="G1175" s="2" t="s">
        <v>561</v>
      </c>
      <c r="H1175" s="2" t="s">
        <v>562</v>
      </c>
      <c r="I1175" s="2" t="s">
        <v>17</v>
      </c>
      <c r="J1175" s="4">
        <v>-0.96499999999999997</v>
      </c>
      <c r="K1175" s="2" t="s">
        <v>204</v>
      </c>
      <c r="L1175" s="2">
        <v>2023</v>
      </c>
      <c r="M1175" s="2" t="s">
        <v>205</v>
      </c>
      <c r="N1175" s="2" t="s">
        <v>23</v>
      </c>
      <c r="O1175">
        <f t="shared" si="36"/>
        <v>2.8540000000000134</v>
      </c>
      <c r="P1175">
        <f t="shared" si="37"/>
        <v>44.491000000000014</v>
      </c>
    </row>
    <row r="1176" spans="1:16" x14ac:dyDescent="0.35">
      <c r="A1176" s="9" t="s">
        <v>208</v>
      </c>
      <c r="B1176" s="2">
        <v>133.107</v>
      </c>
      <c r="C1176" s="2">
        <v>135.09100000000001</v>
      </c>
      <c r="D1176" s="2">
        <v>132.47</v>
      </c>
      <c r="E1176" s="2">
        <v>134.77199999999999</v>
      </c>
      <c r="F1176" s="2">
        <v>18912654</v>
      </c>
      <c r="G1176" s="2" t="s">
        <v>561</v>
      </c>
      <c r="H1176" s="2" t="s">
        <v>562</v>
      </c>
      <c r="I1176" s="2" t="s">
        <v>17</v>
      </c>
      <c r="J1176" s="3">
        <v>0.59599999999999997</v>
      </c>
      <c r="K1176" s="2" t="s">
        <v>204</v>
      </c>
      <c r="L1176" s="2">
        <v>2023</v>
      </c>
      <c r="M1176" s="2" t="s">
        <v>205</v>
      </c>
      <c r="N1176" s="2" t="s">
        <v>21</v>
      </c>
      <c r="O1176">
        <f t="shared" si="36"/>
        <v>2.6210000000000093</v>
      </c>
      <c r="P1176">
        <f t="shared" si="37"/>
        <v>45.08700000000001</v>
      </c>
    </row>
    <row r="1177" spans="1:16" x14ac:dyDescent="0.35">
      <c r="A1177" s="9" t="s">
        <v>209</v>
      </c>
      <c r="B1177" s="2">
        <v>134.422</v>
      </c>
      <c r="C1177" s="2">
        <v>136.166</v>
      </c>
      <c r="D1177" s="2">
        <v>134.363</v>
      </c>
      <c r="E1177" s="2">
        <v>135.887</v>
      </c>
      <c r="F1177" s="2">
        <v>23669683</v>
      </c>
      <c r="G1177" s="2" t="s">
        <v>561</v>
      </c>
      <c r="H1177" s="2" t="s">
        <v>562</v>
      </c>
      <c r="I1177" s="2" t="s">
        <v>17</v>
      </c>
      <c r="J1177" s="3">
        <v>0.82699999999999996</v>
      </c>
      <c r="K1177" s="2" t="s">
        <v>204</v>
      </c>
      <c r="L1177" s="2">
        <v>2023</v>
      </c>
      <c r="M1177" s="2" t="s">
        <v>205</v>
      </c>
      <c r="N1177" s="2" t="s">
        <v>21</v>
      </c>
      <c r="O1177">
        <f t="shared" si="36"/>
        <v>1.8029999999999973</v>
      </c>
      <c r="P1177">
        <f t="shared" si="37"/>
        <v>45.914000000000009</v>
      </c>
    </row>
    <row r="1178" spans="1:16" x14ac:dyDescent="0.35">
      <c r="A1178" s="9" t="s">
        <v>210</v>
      </c>
      <c r="B1178" s="2">
        <v>136.04599999999999</v>
      </c>
      <c r="C1178" s="2">
        <v>136.983</v>
      </c>
      <c r="D1178" s="2">
        <v>135.29400000000001</v>
      </c>
      <c r="E1178" s="2">
        <v>136.42599999999999</v>
      </c>
      <c r="F1178" s="2">
        <v>20838619</v>
      </c>
      <c r="G1178" s="2" t="s">
        <v>561</v>
      </c>
      <c r="H1178" s="2" t="s">
        <v>562</v>
      </c>
      <c r="I1178" s="2" t="s">
        <v>17</v>
      </c>
      <c r="J1178" s="3">
        <v>0.39700000000000002</v>
      </c>
      <c r="K1178" s="2" t="s">
        <v>204</v>
      </c>
      <c r="L1178" s="2">
        <v>2023</v>
      </c>
      <c r="M1178" s="2" t="s">
        <v>205</v>
      </c>
      <c r="N1178" s="2" t="s">
        <v>21</v>
      </c>
      <c r="O1178">
        <f t="shared" si="36"/>
        <v>1.688999999999993</v>
      </c>
      <c r="P1178">
        <f t="shared" si="37"/>
        <v>46.311000000000007</v>
      </c>
    </row>
    <row r="1179" spans="1:16" x14ac:dyDescent="0.35">
      <c r="A1179" s="9" t="s">
        <v>211</v>
      </c>
      <c r="B1179" s="2">
        <v>135.768</v>
      </c>
      <c r="C1179" s="2">
        <v>136.376</v>
      </c>
      <c r="D1179" s="2">
        <v>134.702</v>
      </c>
      <c r="E1179" s="2">
        <v>134.851</v>
      </c>
      <c r="F1179" s="2">
        <v>18472226</v>
      </c>
      <c r="G1179" s="2" t="s">
        <v>561</v>
      </c>
      <c r="H1179" s="2" t="s">
        <v>562</v>
      </c>
      <c r="I1179" s="2" t="s">
        <v>17</v>
      </c>
      <c r="J1179" s="4">
        <v>-1.1539999999999999</v>
      </c>
      <c r="K1179" s="2" t="s">
        <v>204</v>
      </c>
      <c r="L1179" s="2">
        <v>2023</v>
      </c>
      <c r="M1179" s="2" t="s">
        <v>205</v>
      </c>
      <c r="N1179" s="2" t="s">
        <v>23</v>
      </c>
      <c r="O1179">
        <f t="shared" si="36"/>
        <v>1.6740000000000066</v>
      </c>
      <c r="P1179">
        <f t="shared" si="37"/>
        <v>45.157000000000011</v>
      </c>
    </row>
    <row r="1180" spans="1:16" x14ac:dyDescent="0.35">
      <c r="A1180" s="9" t="s">
        <v>212</v>
      </c>
      <c r="B1180" s="2">
        <v>134.602</v>
      </c>
      <c r="C1180" s="2">
        <v>136.40600000000001</v>
      </c>
      <c r="D1180" s="2">
        <v>133.66499999999999</v>
      </c>
      <c r="E1180" s="2">
        <v>136.21600000000001</v>
      </c>
      <c r="F1180" s="2">
        <v>20824715</v>
      </c>
      <c r="G1180" s="2" t="s">
        <v>561</v>
      </c>
      <c r="H1180" s="2" t="s">
        <v>562</v>
      </c>
      <c r="I1180" s="2" t="s">
        <v>17</v>
      </c>
      <c r="J1180" s="3">
        <v>1.012</v>
      </c>
      <c r="K1180" s="2" t="s">
        <v>204</v>
      </c>
      <c r="L1180" s="2">
        <v>2023</v>
      </c>
      <c r="M1180" s="2" t="s">
        <v>205</v>
      </c>
      <c r="N1180" s="2" t="s">
        <v>21</v>
      </c>
      <c r="O1180">
        <f t="shared" si="36"/>
        <v>2.7410000000000139</v>
      </c>
      <c r="P1180">
        <f t="shared" si="37"/>
        <v>46.169000000000011</v>
      </c>
    </row>
    <row r="1181" spans="1:16" x14ac:dyDescent="0.35">
      <c r="A1181" s="9" t="s">
        <v>213</v>
      </c>
      <c r="B1181" s="2">
        <v>137.10300000000001</v>
      </c>
      <c r="C1181" s="2">
        <v>138.19399999999999</v>
      </c>
      <c r="D1181" s="2">
        <v>135.74799999999999</v>
      </c>
      <c r="E1181" s="2">
        <v>137.601</v>
      </c>
      <c r="F1181" s="2">
        <v>24840692</v>
      </c>
      <c r="G1181" s="2" t="s">
        <v>561</v>
      </c>
      <c r="H1181" s="2" t="s">
        <v>562</v>
      </c>
      <c r="I1181" s="2" t="s">
        <v>17</v>
      </c>
      <c r="J1181" s="3">
        <v>1.0169999999999999</v>
      </c>
      <c r="K1181" s="2" t="s">
        <v>204</v>
      </c>
      <c r="L1181" s="2">
        <v>2023</v>
      </c>
      <c r="M1181" s="2" t="s">
        <v>205</v>
      </c>
      <c r="N1181" s="2" t="s">
        <v>21</v>
      </c>
      <c r="O1181">
        <f t="shared" si="36"/>
        <v>2.445999999999998</v>
      </c>
      <c r="P1181">
        <f t="shared" si="37"/>
        <v>47.186000000000014</v>
      </c>
    </row>
    <row r="1182" spans="1:16" x14ac:dyDescent="0.35">
      <c r="A1182" s="9" t="s">
        <v>214</v>
      </c>
      <c r="B1182" s="2">
        <v>137.48099999999999</v>
      </c>
      <c r="C1182" s="2">
        <v>138.02000000000001</v>
      </c>
      <c r="D1182" s="2">
        <v>135.98699999999999</v>
      </c>
      <c r="E1182" s="2">
        <v>136.90299999999999</v>
      </c>
      <c r="F1182" s="2">
        <v>39060701</v>
      </c>
      <c r="G1182" s="2" t="s">
        <v>561</v>
      </c>
      <c r="H1182" s="2" t="s">
        <v>562</v>
      </c>
      <c r="I1182" s="2" t="s">
        <v>17</v>
      </c>
      <c r="J1182" s="4">
        <v>-0.50700000000000001</v>
      </c>
      <c r="K1182" s="2" t="s">
        <v>204</v>
      </c>
      <c r="L1182" s="2">
        <v>2023</v>
      </c>
      <c r="M1182" s="2" t="s">
        <v>205</v>
      </c>
      <c r="N1182" s="2" t="s">
        <v>23</v>
      </c>
      <c r="O1182">
        <f t="shared" si="36"/>
        <v>2.0330000000000155</v>
      </c>
      <c r="P1182">
        <f t="shared" si="37"/>
        <v>46.679000000000016</v>
      </c>
    </row>
    <row r="1183" spans="1:16" x14ac:dyDescent="0.35">
      <c r="A1183" s="9" t="s">
        <v>215</v>
      </c>
      <c r="B1183" s="2">
        <v>136.11600000000001</v>
      </c>
      <c r="C1183" s="2">
        <v>138.65700000000001</v>
      </c>
      <c r="D1183" s="2">
        <v>136.11600000000001</v>
      </c>
      <c r="E1183" s="2">
        <v>137.71100000000001</v>
      </c>
      <c r="F1183" s="2">
        <v>21940595</v>
      </c>
      <c r="G1183" s="2" t="s">
        <v>561</v>
      </c>
      <c r="H1183" s="2" t="s">
        <v>562</v>
      </c>
      <c r="I1183" s="2" t="s">
        <v>17</v>
      </c>
      <c r="J1183" s="3">
        <v>0.59</v>
      </c>
      <c r="K1183" s="2" t="s">
        <v>204</v>
      </c>
      <c r="L1183" s="2">
        <v>2023</v>
      </c>
      <c r="M1183" s="2" t="s">
        <v>205</v>
      </c>
      <c r="N1183" s="2" t="s">
        <v>21</v>
      </c>
      <c r="O1183">
        <f t="shared" si="36"/>
        <v>2.5409999999999968</v>
      </c>
      <c r="P1183">
        <f t="shared" si="37"/>
        <v>47.26900000000002</v>
      </c>
    </row>
    <row r="1184" spans="1:16" x14ac:dyDescent="0.35">
      <c r="A1184" s="9" t="s">
        <v>216</v>
      </c>
      <c r="B1184" s="2">
        <v>136.923</v>
      </c>
      <c r="C1184" s="2">
        <v>137.91</v>
      </c>
      <c r="D1184" s="2">
        <v>136.126</v>
      </c>
      <c r="E1184" s="2">
        <v>137.541</v>
      </c>
      <c r="F1184" s="2">
        <v>20427437</v>
      </c>
      <c r="G1184" s="2" t="s">
        <v>561</v>
      </c>
      <c r="H1184" s="2" t="s">
        <v>562</v>
      </c>
      <c r="I1184" s="2" t="s">
        <v>17</v>
      </c>
      <c r="J1184" s="4">
        <v>-0.123</v>
      </c>
      <c r="K1184" s="2" t="s">
        <v>204</v>
      </c>
      <c r="L1184" s="2">
        <v>2023</v>
      </c>
      <c r="M1184" s="2" t="s">
        <v>205</v>
      </c>
      <c r="N1184" s="2" t="s">
        <v>23</v>
      </c>
      <c r="O1184">
        <f t="shared" si="36"/>
        <v>1.7839999999999918</v>
      </c>
      <c r="P1184">
        <f t="shared" si="37"/>
        <v>47.146000000000022</v>
      </c>
    </row>
    <row r="1185" spans="1:16" x14ac:dyDescent="0.35">
      <c r="A1185" s="9" t="s">
        <v>217</v>
      </c>
      <c r="B1185" s="2">
        <v>137.58099999999999</v>
      </c>
      <c r="C1185" s="2">
        <v>137.58099999999999</v>
      </c>
      <c r="D1185" s="2">
        <v>133.137</v>
      </c>
      <c r="E1185" s="2">
        <v>133.25700000000001</v>
      </c>
      <c r="F1185" s="2">
        <v>30035965</v>
      </c>
      <c r="G1185" s="2" t="s">
        <v>561</v>
      </c>
      <c r="H1185" s="2" t="s">
        <v>562</v>
      </c>
      <c r="I1185" s="2" t="s">
        <v>17</v>
      </c>
      <c r="J1185" s="4">
        <v>-3.1150000000000002</v>
      </c>
      <c r="K1185" s="2" t="s">
        <v>204</v>
      </c>
      <c r="L1185" s="2">
        <v>2023</v>
      </c>
      <c r="M1185" s="2" t="s">
        <v>205</v>
      </c>
      <c r="N1185" s="2" t="s">
        <v>23</v>
      </c>
      <c r="O1185">
        <f t="shared" si="36"/>
        <v>4.4439999999999884</v>
      </c>
      <c r="P1185">
        <f t="shared" si="37"/>
        <v>44.03100000000002</v>
      </c>
    </row>
    <row r="1186" spans="1:16" x14ac:dyDescent="0.35">
      <c r="A1186" s="9" t="s">
        <v>218</v>
      </c>
      <c r="B1186" s="2">
        <v>130.965</v>
      </c>
      <c r="C1186" s="2">
        <v>131.75200000000001</v>
      </c>
      <c r="D1186" s="2">
        <v>129.6</v>
      </c>
      <c r="E1186" s="2">
        <v>129.96799999999999</v>
      </c>
      <c r="F1186" s="2">
        <v>31618114</v>
      </c>
      <c r="G1186" s="2" t="s">
        <v>561</v>
      </c>
      <c r="H1186" s="2" t="s">
        <v>562</v>
      </c>
      <c r="I1186" s="2" t="s">
        <v>17</v>
      </c>
      <c r="J1186" s="4">
        <v>-2.468</v>
      </c>
      <c r="K1186" s="2" t="s">
        <v>204</v>
      </c>
      <c r="L1186" s="2">
        <v>2023</v>
      </c>
      <c r="M1186" s="2" t="s">
        <v>205</v>
      </c>
      <c r="N1186" s="2" t="s">
        <v>23</v>
      </c>
      <c r="O1186">
        <f t="shared" si="36"/>
        <v>2.1520000000000152</v>
      </c>
      <c r="P1186">
        <f t="shared" si="37"/>
        <v>41.563000000000017</v>
      </c>
    </row>
    <row r="1187" spans="1:16" x14ac:dyDescent="0.35">
      <c r="A1187" s="9" t="s">
        <v>219</v>
      </c>
      <c r="B1187" s="2">
        <v>130.28800000000001</v>
      </c>
      <c r="C1187" s="2">
        <v>131.548</v>
      </c>
      <c r="D1187" s="2">
        <v>129.131</v>
      </c>
      <c r="E1187" s="2">
        <v>129.78</v>
      </c>
      <c r="F1187" s="2">
        <v>26493030</v>
      </c>
      <c r="G1187" s="2" t="s">
        <v>561</v>
      </c>
      <c r="H1187" s="2" t="s">
        <v>562</v>
      </c>
      <c r="I1187" s="2" t="s">
        <v>17</v>
      </c>
      <c r="J1187" s="4">
        <v>-0.14499999999999999</v>
      </c>
      <c r="K1187" s="2" t="s">
        <v>204</v>
      </c>
      <c r="L1187" s="2">
        <v>2023</v>
      </c>
      <c r="M1187" s="2" t="s">
        <v>205</v>
      </c>
      <c r="N1187" s="2" t="s">
        <v>23</v>
      </c>
      <c r="O1187">
        <f t="shared" si="36"/>
        <v>2.4170000000000016</v>
      </c>
      <c r="P1187">
        <f t="shared" si="37"/>
        <v>41.418000000000013</v>
      </c>
    </row>
    <row r="1188" spans="1:16" x14ac:dyDescent="0.35">
      <c r="A1188" s="9" t="s">
        <v>220</v>
      </c>
      <c r="B1188" s="2">
        <v>129.36099999999999</v>
      </c>
      <c r="C1188" s="2">
        <v>130.696</v>
      </c>
      <c r="D1188" s="2">
        <v>128.494</v>
      </c>
      <c r="E1188" s="2">
        <v>130.636</v>
      </c>
      <c r="F1188" s="2">
        <v>20167488</v>
      </c>
      <c r="G1188" s="2" t="s">
        <v>561</v>
      </c>
      <c r="H1188" s="2" t="s">
        <v>562</v>
      </c>
      <c r="I1188" s="2" t="s">
        <v>17</v>
      </c>
      <c r="J1188" s="3">
        <v>0.66</v>
      </c>
      <c r="K1188" s="2" t="s">
        <v>204</v>
      </c>
      <c r="L1188" s="2">
        <v>2023</v>
      </c>
      <c r="M1188" s="2" t="s">
        <v>205</v>
      </c>
      <c r="N1188" s="2" t="s">
        <v>21</v>
      </c>
      <c r="O1188">
        <f t="shared" si="36"/>
        <v>2.2019999999999982</v>
      </c>
      <c r="P1188">
        <f t="shared" si="37"/>
        <v>42.07800000000001</v>
      </c>
    </row>
    <row r="1189" spans="1:16" x14ac:dyDescent="0.35">
      <c r="A1189" s="9" t="s">
        <v>221</v>
      </c>
      <c r="B1189" s="2">
        <v>129.30099999999999</v>
      </c>
      <c r="C1189" s="2">
        <v>129.893</v>
      </c>
      <c r="D1189" s="2">
        <v>126.761</v>
      </c>
      <c r="E1189" s="2">
        <v>128.101</v>
      </c>
      <c r="F1189" s="2">
        <v>25811936</v>
      </c>
      <c r="G1189" s="2" t="s">
        <v>561</v>
      </c>
      <c r="H1189" s="2" t="s">
        <v>562</v>
      </c>
      <c r="I1189" s="2" t="s">
        <v>17</v>
      </c>
      <c r="J1189" s="4">
        <v>-1.9410000000000001</v>
      </c>
      <c r="K1189" s="2" t="s">
        <v>204</v>
      </c>
      <c r="L1189" s="2">
        <v>2023</v>
      </c>
      <c r="M1189" s="2" t="s">
        <v>205</v>
      </c>
      <c r="N1189" s="2" t="s">
        <v>23</v>
      </c>
      <c r="O1189">
        <f t="shared" si="36"/>
        <v>3.132000000000005</v>
      </c>
      <c r="P1189">
        <f t="shared" si="37"/>
        <v>40.137000000000008</v>
      </c>
    </row>
    <row r="1190" spans="1:16" x14ac:dyDescent="0.35">
      <c r="A1190" s="9" t="s">
        <v>222</v>
      </c>
      <c r="B1190" s="2">
        <v>128.10599999999999</v>
      </c>
      <c r="C1190" s="2">
        <v>130.423</v>
      </c>
      <c r="D1190" s="2">
        <v>128.10599999999999</v>
      </c>
      <c r="E1190" s="2">
        <v>130.06800000000001</v>
      </c>
      <c r="F1190" s="2">
        <v>22828910</v>
      </c>
      <c r="G1190" s="2" t="s">
        <v>561</v>
      </c>
      <c r="H1190" s="2" t="s">
        <v>562</v>
      </c>
      <c r="I1190" s="2" t="s">
        <v>17</v>
      </c>
      <c r="J1190" s="3">
        <v>1.536</v>
      </c>
      <c r="K1190" s="2" t="s">
        <v>204</v>
      </c>
      <c r="L1190" s="2">
        <v>2023</v>
      </c>
      <c r="M1190" s="2" t="s">
        <v>205</v>
      </c>
      <c r="N1190" s="2" t="s">
        <v>21</v>
      </c>
      <c r="O1190">
        <f t="shared" si="36"/>
        <v>2.3170000000000073</v>
      </c>
      <c r="P1190">
        <f t="shared" si="37"/>
        <v>41.673000000000009</v>
      </c>
    </row>
    <row r="1191" spans="1:16" x14ac:dyDescent="0.35">
      <c r="A1191" s="9" t="s">
        <v>223</v>
      </c>
      <c r="B1191" s="2">
        <v>129.37100000000001</v>
      </c>
      <c r="C1191" s="2">
        <v>132.81899999999999</v>
      </c>
      <c r="D1191" s="2">
        <v>129.321</v>
      </c>
      <c r="E1191" s="2">
        <v>131.83199999999999</v>
      </c>
      <c r="F1191" s="2">
        <v>22594744</v>
      </c>
      <c r="G1191" s="2" t="s">
        <v>561</v>
      </c>
      <c r="H1191" s="2" t="s">
        <v>562</v>
      </c>
      <c r="I1191" s="2" t="s">
        <v>17</v>
      </c>
      <c r="J1191" s="3">
        <v>1.3560000000000001</v>
      </c>
      <c r="K1191" s="2" t="s">
        <v>204</v>
      </c>
      <c r="L1191" s="2">
        <v>2023</v>
      </c>
      <c r="M1191" s="2" t="s">
        <v>205</v>
      </c>
      <c r="N1191" s="2" t="s">
        <v>21</v>
      </c>
      <c r="O1191">
        <f t="shared" si="36"/>
        <v>3.4979999999999905</v>
      </c>
      <c r="P1191">
        <f t="shared" si="37"/>
        <v>43.029000000000011</v>
      </c>
    </row>
    <row r="1192" spans="1:16" x14ac:dyDescent="0.35">
      <c r="A1192" s="9" t="s">
        <v>224</v>
      </c>
      <c r="B1192" s="2">
        <v>132.79900000000001</v>
      </c>
      <c r="C1192" s="2">
        <v>133.566</v>
      </c>
      <c r="D1192" s="2">
        <v>129.88900000000001</v>
      </c>
      <c r="E1192" s="2">
        <v>130.38800000000001</v>
      </c>
      <c r="F1192" s="2">
        <v>30971659</v>
      </c>
      <c r="G1192" s="2" t="s">
        <v>561</v>
      </c>
      <c r="H1192" s="2" t="s">
        <v>562</v>
      </c>
      <c r="I1192" s="2" t="s">
        <v>17</v>
      </c>
      <c r="J1192" s="4">
        <v>-1.095</v>
      </c>
      <c r="K1192" s="2" t="s">
        <v>204</v>
      </c>
      <c r="L1192" s="2">
        <v>2023</v>
      </c>
      <c r="M1192" s="2" t="s">
        <v>205</v>
      </c>
      <c r="N1192" s="2" t="s">
        <v>23</v>
      </c>
      <c r="O1192">
        <f t="shared" si="36"/>
        <v>3.6769999999999925</v>
      </c>
      <c r="P1192">
        <f t="shared" si="37"/>
        <v>41.934000000000012</v>
      </c>
    </row>
    <row r="1193" spans="1:16" x14ac:dyDescent="0.35">
      <c r="A1193" s="9" t="s">
        <v>225</v>
      </c>
      <c r="B1193" s="2">
        <v>130.73599999999999</v>
      </c>
      <c r="C1193" s="2">
        <v>133.935</v>
      </c>
      <c r="D1193" s="2">
        <v>130.696</v>
      </c>
      <c r="E1193" s="2">
        <v>133.685</v>
      </c>
      <c r="F1193" s="2">
        <v>22368834</v>
      </c>
      <c r="G1193" s="2" t="s">
        <v>561</v>
      </c>
      <c r="H1193" s="2" t="s">
        <v>562</v>
      </c>
      <c r="I1193" s="2" t="s">
        <v>17</v>
      </c>
      <c r="J1193" s="3">
        <v>2.5289999999999999</v>
      </c>
      <c r="K1193" s="2" t="s">
        <v>226</v>
      </c>
      <c r="L1193" s="2">
        <v>2023</v>
      </c>
      <c r="M1193" s="2" t="s">
        <v>227</v>
      </c>
      <c r="N1193" s="2" t="s">
        <v>21</v>
      </c>
      <c r="O1193">
        <f t="shared" si="36"/>
        <v>3.2390000000000043</v>
      </c>
      <c r="P1193">
        <f t="shared" si="37"/>
        <v>44.463000000000008</v>
      </c>
    </row>
    <row r="1194" spans="1:16" x14ac:dyDescent="0.35">
      <c r="A1194" s="9" t="s">
        <v>228</v>
      </c>
      <c r="B1194" s="2">
        <v>133.45599999999999</v>
      </c>
      <c r="C1194" s="2">
        <v>133.77500000000001</v>
      </c>
      <c r="D1194" s="2">
        <v>131.363</v>
      </c>
      <c r="E1194" s="2">
        <v>131.952</v>
      </c>
      <c r="F1194" s="2">
        <v>23072739</v>
      </c>
      <c r="G1194" s="2" t="s">
        <v>561</v>
      </c>
      <c r="H1194" s="2" t="s">
        <v>562</v>
      </c>
      <c r="I1194" s="2" t="s">
        <v>17</v>
      </c>
      <c r="J1194" s="4">
        <v>-1.296</v>
      </c>
      <c r="K1194" s="2" t="s">
        <v>226</v>
      </c>
      <c r="L1194" s="2">
        <v>2023</v>
      </c>
      <c r="M1194" s="2" t="s">
        <v>227</v>
      </c>
      <c r="N1194" s="2" t="s">
        <v>23</v>
      </c>
      <c r="O1194">
        <f t="shared" si="36"/>
        <v>2.4120000000000061</v>
      </c>
      <c r="P1194">
        <f t="shared" si="37"/>
        <v>43.167000000000009</v>
      </c>
    </row>
    <row r="1195" spans="1:16" x14ac:dyDescent="0.35">
      <c r="A1195" s="9" t="s">
        <v>229</v>
      </c>
      <c r="B1195" s="2">
        <v>132.31</v>
      </c>
      <c r="C1195" s="2">
        <v>135.08099999999999</v>
      </c>
      <c r="D1195" s="2">
        <v>132.05199999999999</v>
      </c>
      <c r="E1195" s="2">
        <v>134.75200000000001</v>
      </c>
      <c r="F1195" s="2">
        <v>26849274</v>
      </c>
      <c r="G1195" s="2" t="s">
        <v>561</v>
      </c>
      <c r="H1195" s="2" t="s">
        <v>562</v>
      </c>
      <c r="I1195" s="2" t="s">
        <v>17</v>
      </c>
      <c r="J1195" s="3">
        <v>2.1219999999999999</v>
      </c>
      <c r="K1195" s="2" t="s">
        <v>226</v>
      </c>
      <c r="L1195" s="2">
        <v>2023</v>
      </c>
      <c r="M1195" s="2" t="s">
        <v>227</v>
      </c>
      <c r="N1195" s="2" t="s">
        <v>21</v>
      </c>
      <c r="O1195">
        <f t="shared" si="36"/>
        <v>3.0289999999999964</v>
      </c>
      <c r="P1195">
        <f t="shared" si="37"/>
        <v>45.289000000000009</v>
      </c>
    </row>
    <row r="1196" spans="1:16" x14ac:dyDescent="0.35">
      <c r="A1196" s="9" t="s">
        <v>230</v>
      </c>
      <c r="B1196" s="2">
        <v>134.58199999999999</v>
      </c>
      <c r="C1196" s="2">
        <v>135.001</v>
      </c>
      <c r="D1196" s="2">
        <v>132.96799999999999</v>
      </c>
      <c r="E1196" s="2">
        <v>134.58199999999999</v>
      </c>
      <c r="F1196" s="2">
        <v>19904510</v>
      </c>
      <c r="G1196" s="2" t="s">
        <v>561</v>
      </c>
      <c r="H1196" s="2" t="s">
        <v>562</v>
      </c>
      <c r="I1196" s="2" t="s">
        <v>17</v>
      </c>
      <c r="J1196" s="4">
        <v>-0.126</v>
      </c>
      <c r="K1196" s="2" t="s">
        <v>226</v>
      </c>
      <c r="L1196" s="2">
        <v>2023</v>
      </c>
      <c r="M1196" s="2" t="s">
        <v>227</v>
      </c>
      <c r="N1196" s="2" t="s">
        <v>23</v>
      </c>
      <c r="O1196">
        <f t="shared" si="36"/>
        <v>2.0330000000000155</v>
      </c>
      <c r="P1196">
        <f t="shared" si="37"/>
        <v>45.163000000000011</v>
      </c>
    </row>
    <row r="1197" spans="1:16" x14ac:dyDescent="0.35">
      <c r="A1197" s="9" t="s">
        <v>231</v>
      </c>
      <c r="B1197" s="2">
        <v>133.52600000000001</v>
      </c>
      <c r="C1197" s="2">
        <v>137.65600000000001</v>
      </c>
      <c r="D1197" s="2">
        <v>133.52600000000001</v>
      </c>
      <c r="E1197" s="2">
        <v>137.083</v>
      </c>
      <c r="F1197" s="2">
        <v>27697642</v>
      </c>
      <c r="G1197" s="2" t="s">
        <v>561</v>
      </c>
      <c r="H1197" s="2" t="s">
        <v>562</v>
      </c>
      <c r="I1197" s="2" t="s">
        <v>17</v>
      </c>
      <c r="J1197" s="3">
        <v>1.8580000000000001</v>
      </c>
      <c r="K1197" s="2" t="s">
        <v>226</v>
      </c>
      <c r="L1197" s="2">
        <v>2023</v>
      </c>
      <c r="M1197" s="2" t="s">
        <v>227</v>
      </c>
      <c r="N1197" s="2" t="s">
        <v>21</v>
      </c>
      <c r="O1197">
        <f t="shared" si="36"/>
        <v>4.1299999999999955</v>
      </c>
      <c r="P1197">
        <f t="shared" si="37"/>
        <v>47.021000000000008</v>
      </c>
    </row>
    <row r="1198" spans="1:16" x14ac:dyDescent="0.35">
      <c r="A1198" s="9" t="s">
        <v>232</v>
      </c>
      <c r="B1198" s="2">
        <v>136.446</v>
      </c>
      <c r="C1198" s="2">
        <v>138.43799999999999</v>
      </c>
      <c r="D1198" s="2">
        <v>135.12</v>
      </c>
      <c r="E1198" s="2">
        <v>137.91999999999999</v>
      </c>
      <c r="F1198" s="2">
        <v>19347954</v>
      </c>
      <c r="G1198" s="2" t="s">
        <v>561</v>
      </c>
      <c r="H1198" s="2" t="s">
        <v>562</v>
      </c>
      <c r="I1198" s="2" t="s">
        <v>17</v>
      </c>
      <c r="J1198" s="3">
        <v>0.61099999999999999</v>
      </c>
      <c r="K1198" s="2" t="s">
        <v>226</v>
      </c>
      <c r="L1198" s="2">
        <v>2023</v>
      </c>
      <c r="M1198" s="2" t="s">
        <v>227</v>
      </c>
      <c r="N1198" s="2" t="s">
        <v>21</v>
      </c>
      <c r="O1198">
        <f t="shared" si="36"/>
        <v>3.3179999999999836</v>
      </c>
      <c r="P1198">
        <f t="shared" si="37"/>
        <v>47.632000000000005</v>
      </c>
    </row>
    <row r="1199" spans="1:16" x14ac:dyDescent="0.35">
      <c r="A1199" s="9" t="s">
        <v>233</v>
      </c>
      <c r="B1199" s="2">
        <v>138</v>
      </c>
      <c r="C1199" s="2">
        <v>139.215</v>
      </c>
      <c r="D1199" s="2">
        <v>136.834</v>
      </c>
      <c r="E1199" s="2">
        <v>137.56100000000001</v>
      </c>
      <c r="F1199" s="2">
        <v>27887342</v>
      </c>
      <c r="G1199" s="2" t="s">
        <v>561</v>
      </c>
      <c r="H1199" s="2" t="s">
        <v>562</v>
      </c>
      <c r="I1199" s="2" t="s">
        <v>17</v>
      </c>
      <c r="J1199" s="4">
        <v>-0.26</v>
      </c>
      <c r="K1199" s="2" t="s">
        <v>226</v>
      </c>
      <c r="L1199" s="2">
        <v>2023</v>
      </c>
      <c r="M1199" s="2" t="s">
        <v>227</v>
      </c>
      <c r="N1199" s="2" t="s">
        <v>23</v>
      </c>
      <c r="O1199">
        <f t="shared" si="36"/>
        <v>2.3810000000000002</v>
      </c>
      <c r="P1199">
        <f t="shared" si="37"/>
        <v>47.372000000000007</v>
      </c>
    </row>
    <row r="1200" spans="1:16" x14ac:dyDescent="0.35">
      <c r="A1200" s="9" t="s">
        <v>234</v>
      </c>
      <c r="B1200" s="2">
        <v>138.08000000000001</v>
      </c>
      <c r="C1200" s="2">
        <v>140.6</v>
      </c>
      <c r="D1200" s="2">
        <v>138.08000000000001</v>
      </c>
      <c r="E1200" s="2">
        <v>140.04300000000001</v>
      </c>
      <c r="F1200" s="2">
        <v>25978136</v>
      </c>
      <c r="G1200" s="2" t="s">
        <v>561</v>
      </c>
      <c r="H1200" s="2" t="s">
        <v>562</v>
      </c>
      <c r="I1200" s="2" t="s">
        <v>17</v>
      </c>
      <c r="J1200" s="3">
        <v>1.804</v>
      </c>
      <c r="K1200" s="2" t="s">
        <v>226</v>
      </c>
      <c r="L1200" s="2">
        <v>2023</v>
      </c>
      <c r="M1200" s="2" t="s">
        <v>227</v>
      </c>
      <c r="N1200" s="2" t="s">
        <v>21</v>
      </c>
      <c r="O1200">
        <f t="shared" si="36"/>
        <v>2.5199999999999818</v>
      </c>
      <c r="P1200">
        <f t="shared" si="37"/>
        <v>49.176000000000009</v>
      </c>
    </row>
    <row r="1201" spans="1:16" x14ac:dyDescent="0.35">
      <c r="A1201" s="9" t="s">
        <v>235</v>
      </c>
      <c r="B1201" s="2">
        <v>140.54</v>
      </c>
      <c r="C1201" s="2">
        <v>140.71</v>
      </c>
      <c r="D1201" s="2">
        <v>137.76</v>
      </c>
      <c r="E1201" s="2">
        <v>138.46799999999999</v>
      </c>
      <c r="F1201" s="2">
        <v>24855314</v>
      </c>
      <c r="G1201" s="2" t="s">
        <v>561</v>
      </c>
      <c r="H1201" s="2" t="s">
        <v>562</v>
      </c>
      <c r="I1201" s="2" t="s">
        <v>17</v>
      </c>
      <c r="J1201" s="4">
        <v>-1.125</v>
      </c>
      <c r="K1201" s="2" t="s">
        <v>226</v>
      </c>
      <c r="L1201" s="2">
        <v>2023</v>
      </c>
      <c r="M1201" s="2" t="s">
        <v>227</v>
      </c>
      <c r="N1201" s="2" t="s">
        <v>23</v>
      </c>
      <c r="O1201">
        <f t="shared" si="36"/>
        <v>2.9500000000000171</v>
      </c>
      <c r="P1201">
        <f t="shared" si="37"/>
        <v>48.051000000000009</v>
      </c>
    </row>
    <row r="1202" spans="1:16" x14ac:dyDescent="0.35">
      <c r="A1202" s="9" t="s">
        <v>236</v>
      </c>
      <c r="B1202" s="2">
        <v>138.87700000000001</v>
      </c>
      <c r="C1202" s="2">
        <v>139.495</v>
      </c>
      <c r="D1202" s="2">
        <v>136.12100000000001</v>
      </c>
      <c r="E1202" s="2">
        <v>136.864</v>
      </c>
      <c r="F1202" s="2">
        <v>23520555</v>
      </c>
      <c r="G1202" s="2" t="s">
        <v>561</v>
      </c>
      <c r="H1202" s="2" t="s">
        <v>562</v>
      </c>
      <c r="I1202" s="2" t="s">
        <v>17</v>
      </c>
      <c r="J1202" s="4">
        <v>-1.1579999999999999</v>
      </c>
      <c r="K1202" s="2" t="s">
        <v>226</v>
      </c>
      <c r="L1202" s="2">
        <v>2023</v>
      </c>
      <c r="M1202" s="2" t="s">
        <v>227</v>
      </c>
      <c r="N1202" s="2" t="s">
        <v>23</v>
      </c>
      <c r="O1202">
        <f t="shared" si="36"/>
        <v>3.3739999999999952</v>
      </c>
      <c r="P1202">
        <f t="shared" si="37"/>
        <v>46.893000000000008</v>
      </c>
    </row>
    <row r="1203" spans="1:16" x14ac:dyDescent="0.35">
      <c r="A1203" s="9" t="s">
        <v>237</v>
      </c>
      <c r="B1203" s="2">
        <v>137.67099999999999</v>
      </c>
      <c r="C1203" s="2">
        <v>139.126</v>
      </c>
      <c r="D1203" s="2">
        <v>137.49100000000001</v>
      </c>
      <c r="E1203" s="2">
        <v>138.59299999999999</v>
      </c>
      <c r="F1203" s="2">
        <v>28605193</v>
      </c>
      <c r="G1203" s="2" t="s">
        <v>561</v>
      </c>
      <c r="H1203" s="2" t="s">
        <v>562</v>
      </c>
      <c r="I1203" s="2" t="s">
        <v>17</v>
      </c>
      <c r="J1203" s="3">
        <v>1.2629999999999999</v>
      </c>
      <c r="K1203" s="2" t="s">
        <v>226</v>
      </c>
      <c r="L1203" s="2">
        <v>2023</v>
      </c>
      <c r="M1203" s="2" t="s">
        <v>227</v>
      </c>
      <c r="N1203" s="2" t="s">
        <v>21</v>
      </c>
      <c r="O1203">
        <f t="shared" si="36"/>
        <v>1.6349999999999909</v>
      </c>
      <c r="P1203">
        <f t="shared" si="37"/>
        <v>48.156000000000006</v>
      </c>
    </row>
    <row r="1204" spans="1:16" x14ac:dyDescent="0.35">
      <c r="A1204" s="9" t="s">
        <v>238</v>
      </c>
      <c r="B1204" s="2">
        <v>138.12899999999999</v>
      </c>
      <c r="C1204" s="2">
        <v>139.39500000000001</v>
      </c>
      <c r="D1204" s="2">
        <v>136.684</v>
      </c>
      <c r="E1204" s="2">
        <v>139.215</v>
      </c>
      <c r="F1204" s="2">
        <v>23601027</v>
      </c>
      <c r="G1204" s="2" t="s">
        <v>561</v>
      </c>
      <c r="H1204" s="2" t="s">
        <v>562</v>
      </c>
      <c r="I1204" s="2" t="s">
        <v>17</v>
      </c>
      <c r="J1204" s="3">
        <v>0.44900000000000001</v>
      </c>
      <c r="K1204" s="2" t="s">
        <v>226</v>
      </c>
      <c r="L1204" s="2">
        <v>2023</v>
      </c>
      <c r="M1204" s="2" t="s">
        <v>227</v>
      </c>
      <c r="N1204" s="2" t="s">
        <v>21</v>
      </c>
      <c r="O1204">
        <f t="shared" si="36"/>
        <v>2.7110000000000127</v>
      </c>
      <c r="P1204">
        <f t="shared" si="37"/>
        <v>48.605000000000004</v>
      </c>
    </row>
    <row r="1205" spans="1:16" x14ac:dyDescent="0.35">
      <c r="A1205" s="9" t="s">
        <v>239</v>
      </c>
      <c r="B1205" s="2">
        <v>138.941</v>
      </c>
      <c r="C1205" s="2">
        <v>140.21199999999999</v>
      </c>
      <c r="D1205" s="2">
        <v>136.88399999999999</v>
      </c>
      <c r="E1205" s="2">
        <v>137.46100000000001</v>
      </c>
      <c r="F1205" s="2">
        <v>23459734</v>
      </c>
      <c r="G1205" s="2" t="s">
        <v>561</v>
      </c>
      <c r="H1205" s="2" t="s">
        <v>562</v>
      </c>
      <c r="I1205" s="2" t="s">
        <v>17</v>
      </c>
      <c r="J1205" s="4">
        <v>-1.26</v>
      </c>
      <c r="K1205" s="2" t="s">
        <v>226</v>
      </c>
      <c r="L1205" s="2">
        <v>2023</v>
      </c>
      <c r="M1205" s="2" t="s">
        <v>227</v>
      </c>
      <c r="N1205" s="2" t="s">
        <v>23</v>
      </c>
      <c r="O1205">
        <f t="shared" si="36"/>
        <v>3.328000000000003</v>
      </c>
      <c r="P1205">
        <f t="shared" si="37"/>
        <v>47.345000000000006</v>
      </c>
    </row>
    <row r="1206" spans="1:16" x14ac:dyDescent="0.35">
      <c r="A1206" s="9" t="s">
        <v>240</v>
      </c>
      <c r="B1206" s="2">
        <v>138</v>
      </c>
      <c r="C1206" s="2">
        <v>139.15600000000001</v>
      </c>
      <c r="D1206" s="2">
        <v>136.88399999999999</v>
      </c>
      <c r="E1206" s="2">
        <v>137.25299999999999</v>
      </c>
      <c r="F1206" s="2">
        <v>26160502</v>
      </c>
      <c r="G1206" s="2" t="s">
        <v>561</v>
      </c>
      <c r="H1206" s="2" t="s">
        <v>562</v>
      </c>
      <c r="I1206" s="2" t="s">
        <v>17</v>
      </c>
      <c r="J1206" s="4">
        <v>-0.151</v>
      </c>
      <c r="K1206" s="2" t="s">
        <v>226</v>
      </c>
      <c r="L1206" s="2">
        <v>2023</v>
      </c>
      <c r="M1206" s="2" t="s">
        <v>227</v>
      </c>
      <c r="N1206" s="2" t="s">
        <v>23</v>
      </c>
      <c r="O1206">
        <f t="shared" si="36"/>
        <v>2.2720000000000198</v>
      </c>
      <c r="P1206">
        <f t="shared" si="37"/>
        <v>47.194000000000003</v>
      </c>
    </row>
    <row r="1207" spans="1:16" x14ac:dyDescent="0.35">
      <c r="A1207" s="9" t="s">
        <v>241</v>
      </c>
      <c r="B1207" s="2">
        <v>136.834</v>
      </c>
      <c r="C1207" s="2">
        <v>137.37299999999999</v>
      </c>
      <c r="D1207" s="2">
        <v>134.59200000000001</v>
      </c>
      <c r="E1207" s="2">
        <v>135.11099999999999</v>
      </c>
      <c r="F1207" s="2">
        <v>26431142</v>
      </c>
      <c r="G1207" s="2" t="s">
        <v>561</v>
      </c>
      <c r="H1207" s="2" t="s">
        <v>562</v>
      </c>
      <c r="I1207" s="2" t="s">
        <v>17</v>
      </c>
      <c r="J1207" s="4">
        <v>-1.5609999999999999</v>
      </c>
      <c r="K1207" s="2" t="s">
        <v>226</v>
      </c>
      <c r="L1207" s="2">
        <v>2023</v>
      </c>
      <c r="M1207" s="2" t="s">
        <v>227</v>
      </c>
      <c r="N1207" s="2" t="s">
        <v>23</v>
      </c>
      <c r="O1207">
        <f t="shared" si="36"/>
        <v>2.7809999999999775</v>
      </c>
      <c r="P1207">
        <f t="shared" si="37"/>
        <v>45.633000000000003</v>
      </c>
    </row>
    <row r="1208" spans="1:16" x14ac:dyDescent="0.35">
      <c r="A1208" s="9" t="s">
        <v>242</v>
      </c>
      <c r="B1208" s="2">
        <v>134.55199999999999</v>
      </c>
      <c r="C1208" s="2">
        <v>137.16300000000001</v>
      </c>
      <c r="D1208" s="2">
        <v>133.46600000000001</v>
      </c>
      <c r="E1208" s="2">
        <v>136.00700000000001</v>
      </c>
      <c r="F1208" s="2">
        <v>26413335</v>
      </c>
      <c r="G1208" s="2" t="s">
        <v>561</v>
      </c>
      <c r="H1208" s="2" t="s">
        <v>562</v>
      </c>
      <c r="I1208" s="2" t="s">
        <v>17</v>
      </c>
      <c r="J1208" s="3">
        <v>0.66300000000000003</v>
      </c>
      <c r="K1208" s="2" t="s">
        <v>226</v>
      </c>
      <c r="L1208" s="2">
        <v>2023</v>
      </c>
      <c r="M1208" s="2" t="s">
        <v>227</v>
      </c>
      <c r="N1208" s="2" t="s">
        <v>21</v>
      </c>
      <c r="O1208">
        <f t="shared" si="36"/>
        <v>3.6970000000000027</v>
      </c>
      <c r="P1208">
        <f t="shared" si="37"/>
        <v>46.295999999999999</v>
      </c>
    </row>
    <row r="1209" spans="1:16" x14ac:dyDescent="0.35">
      <c r="A1209" s="9" t="s">
        <v>243</v>
      </c>
      <c r="B1209" s="2">
        <v>137.333</v>
      </c>
      <c r="C1209" s="2">
        <v>138.857</v>
      </c>
      <c r="D1209" s="2">
        <v>136.923</v>
      </c>
      <c r="E1209" s="2">
        <v>138.30799999999999</v>
      </c>
      <c r="F1209" s="2">
        <v>44976777</v>
      </c>
      <c r="G1209" s="2" t="s">
        <v>561</v>
      </c>
      <c r="H1209" s="2" t="s">
        <v>562</v>
      </c>
      <c r="I1209" s="2" t="s">
        <v>17</v>
      </c>
      <c r="J1209" s="3">
        <v>1.6919999999999999</v>
      </c>
      <c r="K1209" s="2" t="s">
        <v>226</v>
      </c>
      <c r="L1209" s="2">
        <v>2023</v>
      </c>
      <c r="M1209" s="2" t="s">
        <v>227</v>
      </c>
      <c r="N1209" s="2" t="s">
        <v>21</v>
      </c>
      <c r="O1209">
        <f t="shared" si="36"/>
        <v>1.9339999999999975</v>
      </c>
      <c r="P1209">
        <f t="shared" si="37"/>
        <v>47.988</v>
      </c>
    </row>
    <row r="1210" spans="1:16" x14ac:dyDescent="0.35">
      <c r="A1210" s="9" t="s">
        <v>244</v>
      </c>
      <c r="B1210" s="2">
        <v>127.697</v>
      </c>
      <c r="C1210" s="2">
        <v>127.846</v>
      </c>
      <c r="D1210" s="2">
        <v>124.61799999999999</v>
      </c>
      <c r="E1210" s="2">
        <v>125.157</v>
      </c>
      <c r="F1210" s="2">
        <v>84672044</v>
      </c>
      <c r="G1210" s="2" t="s">
        <v>561</v>
      </c>
      <c r="H1210" s="2" t="s">
        <v>562</v>
      </c>
      <c r="I1210" s="2" t="s">
        <v>17</v>
      </c>
      <c r="J1210" s="4">
        <v>-9.5079999999999991</v>
      </c>
      <c r="K1210" s="2" t="s">
        <v>226</v>
      </c>
      <c r="L1210" s="2">
        <v>2023</v>
      </c>
      <c r="M1210" s="2" t="s">
        <v>227</v>
      </c>
      <c r="N1210" s="2" t="s">
        <v>23</v>
      </c>
      <c r="O1210">
        <f t="shared" si="36"/>
        <v>3.2280000000000086</v>
      </c>
      <c r="P1210">
        <f t="shared" si="37"/>
        <v>38.480000000000004</v>
      </c>
    </row>
    <row r="1211" spans="1:16" x14ac:dyDescent="0.35">
      <c r="A1211" s="9" t="s">
        <v>245</v>
      </c>
      <c r="B1211" s="2">
        <v>122.825</v>
      </c>
      <c r="C1211" s="2">
        <v>123.88</v>
      </c>
      <c r="D1211" s="2">
        <v>120.83199999999999</v>
      </c>
      <c r="E1211" s="2">
        <v>121.83799999999999</v>
      </c>
      <c r="F1211" s="2">
        <v>57267992</v>
      </c>
      <c r="G1211" s="2" t="s">
        <v>561</v>
      </c>
      <c r="H1211" s="2" t="s">
        <v>562</v>
      </c>
      <c r="I1211" s="2" t="s">
        <v>17</v>
      </c>
      <c r="J1211" s="4">
        <v>-2.6520000000000001</v>
      </c>
      <c r="K1211" s="2" t="s">
        <v>226</v>
      </c>
      <c r="L1211" s="2">
        <v>2023</v>
      </c>
      <c r="M1211" s="2" t="s">
        <v>227</v>
      </c>
      <c r="N1211" s="2" t="s">
        <v>23</v>
      </c>
      <c r="O1211">
        <f t="shared" si="36"/>
        <v>3.0480000000000018</v>
      </c>
      <c r="P1211">
        <f t="shared" si="37"/>
        <v>35.828000000000003</v>
      </c>
    </row>
    <row r="1212" spans="1:16" x14ac:dyDescent="0.35">
      <c r="A1212" s="9" t="s">
        <v>246</v>
      </c>
      <c r="B1212" s="2">
        <v>122.43600000000001</v>
      </c>
      <c r="C1212" s="2">
        <v>122.86499999999999</v>
      </c>
      <c r="D1212" s="2">
        <v>119.77200000000001</v>
      </c>
      <c r="E1212" s="2">
        <v>121.72799999999999</v>
      </c>
      <c r="F1212" s="2">
        <v>44728064</v>
      </c>
      <c r="G1212" s="2" t="s">
        <v>561</v>
      </c>
      <c r="H1212" s="2" t="s">
        <v>562</v>
      </c>
      <c r="I1212" s="2" t="s">
        <v>17</v>
      </c>
      <c r="J1212" s="4">
        <v>-0.09</v>
      </c>
      <c r="K1212" s="2" t="s">
        <v>226</v>
      </c>
      <c r="L1212" s="2">
        <v>2023</v>
      </c>
      <c r="M1212" s="2" t="s">
        <v>227</v>
      </c>
      <c r="N1212" s="2" t="s">
        <v>23</v>
      </c>
      <c r="O1212">
        <f t="shared" si="36"/>
        <v>3.0929999999999893</v>
      </c>
      <c r="P1212">
        <f t="shared" si="37"/>
        <v>35.738</v>
      </c>
    </row>
    <row r="1213" spans="1:16" x14ac:dyDescent="0.35">
      <c r="A1213" s="9" t="s">
        <v>247</v>
      </c>
      <c r="B1213" s="2">
        <v>122.765</v>
      </c>
      <c r="C1213" s="2">
        <v>124.947</v>
      </c>
      <c r="D1213" s="2">
        <v>122.307</v>
      </c>
      <c r="E1213" s="2">
        <v>124.01</v>
      </c>
      <c r="F1213" s="2">
        <v>29044991</v>
      </c>
      <c r="G1213" s="2" t="s">
        <v>561</v>
      </c>
      <c r="H1213" s="2" t="s">
        <v>562</v>
      </c>
      <c r="I1213" s="2" t="s">
        <v>17</v>
      </c>
      <c r="J1213" s="3">
        <v>1.875</v>
      </c>
      <c r="K1213" s="2" t="s">
        <v>226</v>
      </c>
      <c r="L1213" s="2">
        <v>2023</v>
      </c>
      <c r="M1213" s="2" t="s">
        <v>227</v>
      </c>
      <c r="N1213" s="2" t="s">
        <v>21</v>
      </c>
      <c r="O1213">
        <f t="shared" si="36"/>
        <v>2.6400000000000006</v>
      </c>
      <c r="P1213">
        <f t="shared" si="37"/>
        <v>37.613</v>
      </c>
    </row>
    <row r="1214" spans="1:16" x14ac:dyDescent="0.35">
      <c r="A1214" s="9" t="s">
        <v>248</v>
      </c>
      <c r="B1214" s="2">
        <v>124.608</v>
      </c>
      <c r="C1214" s="2">
        <v>124.917</v>
      </c>
      <c r="D1214" s="2">
        <v>122.242</v>
      </c>
      <c r="E1214" s="2">
        <v>123.63200000000001</v>
      </c>
      <c r="F1214" s="2">
        <v>26387654</v>
      </c>
      <c r="G1214" s="2" t="s">
        <v>561</v>
      </c>
      <c r="H1214" s="2" t="s">
        <v>562</v>
      </c>
      <c r="I1214" s="2" t="s">
        <v>17</v>
      </c>
      <c r="J1214" s="4">
        <v>-0.30499999999999999</v>
      </c>
      <c r="K1214" s="2" t="s">
        <v>226</v>
      </c>
      <c r="L1214" s="2">
        <v>2023</v>
      </c>
      <c r="M1214" s="2" t="s">
        <v>227</v>
      </c>
      <c r="N1214" s="2" t="s">
        <v>23</v>
      </c>
      <c r="O1214">
        <f t="shared" si="36"/>
        <v>2.6749999999999972</v>
      </c>
      <c r="P1214">
        <f t="shared" si="37"/>
        <v>37.308</v>
      </c>
    </row>
    <row r="1215" spans="1:16" x14ac:dyDescent="0.35">
      <c r="A1215" s="9" t="s">
        <v>249</v>
      </c>
      <c r="B1215" s="2">
        <v>123.622</v>
      </c>
      <c r="C1215" s="2">
        <v>126.03400000000001</v>
      </c>
      <c r="D1215" s="2">
        <v>123.268</v>
      </c>
      <c r="E1215" s="2">
        <v>125.994</v>
      </c>
      <c r="F1215" s="2">
        <v>30191489</v>
      </c>
      <c r="G1215" s="2" t="s">
        <v>561</v>
      </c>
      <c r="H1215" s="2" t="s">
        <v>562</v>
      </c>
      <c r="I1215" s="2" t="s">
        <v>17</v>
      </c>
      <c r="J1215" s="3">
        <v>1.911</v>
      </c>
      <c r="K1215" s="2" t="s">
        <v>250</v>
      </c>
      <c r="L1215" s="2">
        <v>2023</v>
      </c>
      <c r="M1215" s="2" t="s">
        <v>251</v>
      </c>
      <c r="N1215" s="2" t="s">
        <v>21</v>
      </c>
      <c r="O1215">
        <f t="shared" si="36"/>
        <v>2.7660000000000053</v>
      </c>
      <c r="P1215">
        <f t="shared" si="37"/>
        <v>39.219000000000001</v>
      </c>
    </row>
    <row r="1216" spans="1:16" x14ac:dyDescent="0.35">
      <c r="A1216" s="9" t="s">
        <v>252</v>
      </c>
      <c r="B1216" s="2">
        <v>127.956</v>
      </c>
      <c r="C1216" s="2">
        <v>128.51400000000001</v>
      </c>
      <c r="D1216" s="2">
        <v>126.471</v>
      </c>
      <c r="E1216" s="2">
        <v>127.029</v>
      </c>
      <c r="F1216" s="2">
        <v>27222976</v>
      </c>
      <c r="G1216" s="2" t="s">
        <v>561</v>
      </c>
      <c r="H1216" s="2" t="s">
        <v>562</v>
      </c>
      <c r="I1216" s="2" t="s">
        <v>17</v>
      </c>
      <c r="J1216" s="3">
        <v>0.82099999999999995</v>
      </c>
      <c r="K1216" s="2" t="s">
        <v>250</v>
      </c>
      <c r="L1216" s="2">
        <v>2023</v>
      </c>
      <c r="M1216" s="2" t="s">
        <v>251</v>
      </c>
      <c r="N1216" s="2" t="s">
        <v>21</v>
      </c>
      <c r="O1216">
        <f t="shared" si="36"/>
        <v>2.0430000000000064</v>
      </c>
      <c r="P1216">
        <f t="shared" si="37"/>
        <v>40.04</v>
      </c>
    </row>
    <row r="1217" spans="1:16" x14ac:dyDescent="0.35">
      <c r="A1217" s="9" t="s">
        <v>253</v>
      </c>
      <c r="B1217" s="2">
        <v>127.55800000000001</v>
      </c>
      <c r="C1217" s="2">
        <v>129.05799999999999</v>
      </c>
      <c r="D1217" s="2">
        <v>127.398</v>
      </c>
      <c r="E1217" s="2">
        <v>128.63399999999999</v>
      </c>
      <c r="F1217" s="2">
        <v>26488786</v>
      </c>
      <c r="G1217" s="2" t="s">
        <v>561</v>
      </c>
      <c r="H1217" s="2" t="s">
        <v>562</v>
      </c>
      <c r="I1217" s="2" t="s">
        <v>17</v>
      </c>
      <c r="J1217" s="3">
        <v>1.2629999999999999</v>
      </c>
      <c r="K1217" s="2" t="s">
        <v>250</v>
      </c>
      <c r="L1217" s="2">
        <v>2023</v>
      </c>
      <c r="M1217" s="2" t="s">
        <v>251</v>
      </c>
      <c r="N1217" s="2" t="s">
        <v>21</v>
      </c>
      <c r="O1217">
        <f t="shared" si="36"/>
        <v>1.6599999999999966</v>
      </c>
      <c r="P1217">
        <f t="shared" si="37"/>
        <v>41.302999999999997</v>
      </c>
    </row>
    <row r="1218" spans="1:16" x14ac:dyDescent="0.35">
      <c r="A1218" s="9" t="s">
        <v>254</v>
      </c>
      <c r="B1218" s="2">
        <v>128.584</v>
      </c>
      <c r="C1218" s="2">
        <v>129.869</v>
      </c>
      <c r="D1218" s="2">
        <v>128.20500000000001</v>
      </c>
      <c r="E1218" s="2">
        <v>129.78</v>
      </c>
      <c r="F1218" s="2">
        <v>19121808</v>
      </c>
      <c r="G1218" s="2" t="s">
        <v>561</v>
      </c>
      <c r="H1218" s="2" t="s">
        <v>562</v>
      </c>
      <c r="I1218" s="2" t="s">
        <v>17</v>
      </c>
      <c r="J1218" s="3">
        <v>0.89100000000000001</v>
      </c>
      <c r="K1218" s="2" t="s">
        <v>250</v>
      </c>
      <c r="L1218" s="2">
        <v>2023</v>
      </c>
      <c r="M1218" s="2" t="s">
        <v>251</v>
      </c>
      <c r="N1218" s="2" t="s">
        <v>21</v>
      </c>
      <c r="O1218">
        <f t="shared" si="36"/>
        <v>1.6639999999999873</v>
      </c>
      <c r="P1218">
        <f t="shared" si="37"/>
        <v>42.193999999999996</v>
      </c>
    </row>
    <row r="1219" spans="1:16" x14ac:dyDescent="0.35">
      <c r="A1219" s="9" t="s">
        <v>255</v>
      </c>
      <c r="B1219" s="2">
        <v>130.238</v>
      </c>
      <c r="C1219" s="2">
        <v>131.43299999999999</v>
      </c>
      <c r="D1219" s="2">
        <v>129.411</v>
      </c>
      <c r="E1219" s="2">
        <v>130.49700000000001</v>
      </c>
      <c r="F1219" s="2">
        <v>29865149</v>
      </c>
      <c r="G1219" s="2" t="s">
        <v>561</v>
      </c>
      <c r="H1219" s="2" t="s">
        <v>562</v>
      </c>
      <c r="I1219" s="2" t="s">
        <v>17</v>
      </c>
      <c r="J1219" s="3">
        <v>0.55200000000000005</v>
      </c>
      <c r="K1219" s="2" t="s">
        <v>250</v>
      </c>
      <c r="L1219" s="2">
        <v>2023</v>
      </c>
      <c r="M1219" s="2" t="s">
        <v>251</v>
      </c>
      <c r="N1219" s="2" t="s">
        <v>21</v>
      </c>
      <c r="O1219">
        <f t="shared" ref="O1219:O1282" si="38">C1219-D1219</f>
        <v>2.0219999999999914</v>
      </c>
      <c r="P1219">
        <f t="shared" si="37"/>
        <v>42.745999999999995</v>
      </c>
    </row>
    <row r="1220" spans="1:16" x14ac:dyDescent="0.35">
      <c r="A1220" s="9" t="s">
        <v>256</v>
      </c>
      <c r="B1220" s="2">
        <v>130.49700000000001</v>
      </c>
      <c r="C1220" s="2">
        <v>131.732</v>
      </c>
      <c r="D1220" s="2">
        <v>130.30799999999999</v>
      </c>
      <c r="E1220" s="2">
        <v>131.363</v>
      </c>
      <c r="F1220" s="2">
        <v>26521645</v>
      </c>
      <c r="G1220" s="2" t="s">
        <v>561</v>
      </c>
      <c r="H1220" s="2" t="s">
        <v>562</v>
      </c>
      <c r="I1220" s="2" t="s">
        <v>17</v>
      </c>
      <c r="J1220" s="3">
        <v>0.66400000000000003</v>
      </c>
      <c r="K1220" s="2" t="s">
        <v>250</v>
      </c>
      <c r="L1220" s="2">
        <v>2023</v>
      </c>
      <c r="M1220" s="2" t="s">
        <v>251</v>
      </c>
      <c r="N1220" s="2" t="s">
        <v>21</v>
      </c>
      <c r="O1220">
        <f t="shared" si="38"/>
        <v>1.4240000000000066</v>
      </c>
      <c r="P1220">
        <f t="shared" ref="P1220:P1283" si="39">IF(G1220=G1219, P1219+J1220, J1220)</f>
        <v>43.41</v>
      </c>
    </row>
    <row r="1221" spans="1:16" x14ac:dyDescent="0.35">
      <c r="A1221" s="9" t="s">
        <v>257</v>
      </c>
      <c r="B1221" s="2">
        <v>131.483</v>
      </c>
      <c r="C1221" s="2">
        <v>132.072</v>
      </c>
      <c r="D1221" s="2">
        <v>129.595</v>
      </c>
      <c r="E1221" s="2">
        <v>129.77000000000001</v>
      </c>
      <c r="F1221" s="2">
        <v>23833861</v>
      </c>
      <c r="G1221" s="2" t="s">
        <v>561</v>
      </c>
      <c r="H1221" s="2" t="s">
        <v>562</v>
      </c>
      <c r="I1221" s="2" t="s">
        <v>17</v>
      </c>
      <c r="J1221" s="4">
        <v>-1.2130000000000001</v>
      </c>
      <c r="K1221" s="2" t="s">
        <v>250</v>
      </c>
      <c r="L1221" s="2">
        <v>2023</v>
      </c>
      <c r="M1221" s="2" t="s">
        <v>251</v>
      </c>
      <c r="N1221" s="2" t="s">
        <v>23</v>
      </c>
      <c r="O1221">
        <f t="shared" si="38"/>
        <v>2.4770000000000039</v>
      </c>
      <c r="P1221">
        <f t="shared" si="39"/>
        <v>42.196999999999996</v>
      </c>
    </row>
    <row r="1222" spans="1:16" x14ac:dyDescent="0.35">
      <c r="A1222" s="9" t="s">
        <v>258</v>
      </c>
      <c r="B1222" s="2">
        <v>129.63499999999999</v>
      </c>
      <c r="C1222" s="2">
        <v>132.32</v>
      </c>
      <c r="D1222" s="2">
        <v>128.94300000000001</v>
      </c>
      <c r="E1222" s="2">
        <v>132.11099999999999</v>
      </c>
      <c r="F1222" s="2">
        <v>27025442</v>
      </c>
      <c r="G1222" s="2" t="s">
        <v>561</v>
      </c>
      <c r="H1222" s="2" t="s">
        <v>562</v>
      </c>
      <c r="I1222" s="2" t="s">
        <v>17</v>
      </c>
      <c r="J1222" s="3">
        <v>1.804</v>
      </c>
      <c r="K1222" s="2" t="s">
        <v>250</v>
      </c>
      <c r="L1222" s="2">
        <v>2023</v>
      </c>
      <c r="M1222" s="2" t="s">
        <v>251</v>
      </c>
      <c r="N1222" s="2" t="s">
        <v>21</v>
      </c>
      <c r="O1222">
        <f t="shared" si="38"/>
        <v>3.3769999999999811</v>
      </c>
      <c r="P1222">
        <f t="shared" si="39"/>
        <v>44.000999999999998</v>
      </c>
    </row>
    <row r="1223" spans="1:16" x14ac:dyDescent="0.35">
      <c r="A1223" s="9" t="s">
        <v>259</v>
      </c>
      <c r="B1223" s="2">
        <v>131.30500000000001</v>
      </c>
      <c r="C1223" s="2">
        <v>132.11099999999999</v>
      </c>
      <c r="D1223" s="2">
        <v>130.77600000000001</v>
      </c>
      <c r="E1223" s="2">
        <v>131.613</v>
      </c>
      <c r="F1223" s="2">
        <v>18391180</v>
      </c>
      <c r="G1223" s="2" t="s">
        <v>561</v>
      </c>
      <c r="H1223" s="2" t="s">
        <v>562</v>
      </c>
      <c r="I1223" s="2" t="s">
        <v>17</v>
      </c>
      <c r="J1223" s="4">
        <v>-0.377</v>
      </c>
      <c r="K1223" s="2" t="s">
        <v>250</v>
      </c>
      <c r="L1223" s="2">
        <v>2023</v>
      </c>
      <c r="M1223" s="2" t="s">
        <v>251</v>
      </c>
      <c r="N1223" s="2" t="s">
        <v>23</v>
      </c>
      <c r="O1223">
        <f t="shared" si="38"/>
        <v>1.3349999999999795</v>
      </c>
      <c r="P1223">
        <f t="shared" si="39"/>
        <v>43.623999999999995</v>
      </c>
    </row>
    <row r="1224" spans="1:16" x14ac:dyDescent="0.35">
      <c r="A1224" s="9" t="s">
        <v>260</v>
      </c>
      <c r="B1224" s="2">
        <v>133.70500000000001</v>
      </c>
      <c r="C1224" s="2">
        <v>135.209</v>
      </c>
      <c r="D1224" s="2">
        <v>132.839</v>
      </c>
      <c r="E1224" s="2">
        <v>133.137</v>
      </c>
      <c r="F1224" s="2">
        <v>32512613</v>
      </c>
      <c r="G1224" s="2" t="s">
        <v>561</v>
      </c>
      <c r="H1224" s="2" t="s">
        <v>562</v>
      </c>
      <c r="I1224" s="2" t="s">
        <v>17</v>
      </c>
      <c r="J1224" s="3">
        <v>1.1579999999999999</v>
      </c>
      <c r="K1224" s="2" t="s">
        <v>250</v>
      </c>
      <c r="L1224" s="2">
        <v>2023</v>
      </c>
      <c r="M1224" s="2" t="s">
        <v>251</v>
      </c>
      <c r="N1224" s="2" t="s">
        <v>21</v>
      </c>
      <c r="O1224">
        <f t="shared" si="38"/>
        <v>2.3700000000000045</v>
      </c>
      <c r="P1224">
        <f t="shared" si="39"/>
        <v>44.781999999999996</v>
      </c>
    </row>
    <row r="1225" spans="1:16" x14ac:dyDescent="0.35">
      <c r="A1225" s="9" t="s">
        <v>261</v>
      </c>
      <c r="B1225" s="2">
        <v>134.38200000000001</v>
      </c>
      <c r="C1225" s="2">
        <v>134.542</v>
      </c>
      <c r="D1225" s="2">
        <v>133.08699999999999</v>
      </c>
      <c r="E1225" s="2">
        <v>134.13399999999999</v>
      </c>
      <c r="F1225" s="2">
        <v>23948015</v>
      </c>
      <c r="G1225" s="2" t="s">
        <v>561</v>
      </c>
      <c r="H1225" s="2" t="s">
        <v>562</v>
      </c>
      <c r="I1225" s="2" t="s">
        <v>17</v>
      </c>
      <c r="J1225" s="3">
        <v>0.749</v>
      </c>
      <c r="K1225" s="2" t="s">
        <v>250</v>
      </c>
      <c r="L1225" s="2">
        <v>2023</v>
      </c>
      <c r="M1225" s="2" t="s">
        <v>251</v>
      </c>
      <c r="N1225" s="2" t="s">
        <v>21</v>
      </c>
      <c r="O1225">
        <f t="shared" si="38"/>
        <v>1.4550000000000125</v>
      </c>
      <c r="P1225">
        <f t="shared" si="39"/>
        <v>45.530999999999999</v>
      </c>
    </row>
    <row r="1226" spans="1:16" x14ac:dyDescent="0.35">
      <c r="A1226" s="9" t="s">
        <v>262</v>
      </c>
      <c r="B1226" s="2">
        <v>134.702</v>
      </c>
      <c r="C1226" s="2">
        <v>136.72399999999999</v>
      </c>
      <c r="D1226" s="2">
        <v>133.83500000000001</v>
      </c>
      <c r="E1226" s="2">
        <v>136.43600000000001</v>
      </c>
      <c r="F1226" s="2">
        <v>28114729</v>
      </c>
      <c r="G1226" s="2" t="s">
        <v>561</v>
      </c>
      <c r="H1226" s="2" t="s">
        <v>562</v>
      </c>
      <c r="I1226" s="2" t="s">
        <v>17</v>
      </c>
      <c r="J1226" s="3">
        <v>1.716</v>
      </c>
      <c r="K1226" s="2" t="s">
        <v>250</v>
      </c>
      <c r="L1226" s="2">
        <v>2023</v>
      </c>
      <c r="M1226" s="2" t="s">
        <v>251</v>
      </c>
      <c r="N1226" s="2" t="s">
        <v>21</v>
      </c>
      <c r="O1226">
        <f t="shared" si="38"/>
        <v>2.8889999999999816</v>
      </c>
      <c r="P1226">
        <f t="shared" si="39"/>
        <v>47.247</v>
      </c>
    </row>
    <row r="1227" spans="1:16" x14ac:dyDescent="0.35">
      <c r="A1227" s="9" t="s">
        <v>263</v>
      </c>
      <c r="B1227" s="2">
        <v>135.50899999999999</v>
      </c>
      <c r="C1227" s="2">
        <v>135.56899999999999</v>
      </c>
      <c r="D1227" s="2">
        <v>133.167</v>
      </c>
      <c r="E1227" s="2">
        <v>134.821</v>
      </c>
      <c r="F1227" s="2">
        <v>37422862</v>
      </c>
      <c r="G1227" s="2" t="s">
        <v>561</v>
      </c>
      <c r="H1227" s="2" t="s">
        <v>562</v>
      </c>
      <c r="I1227" s="2" t="s">
        <v>17</v>
      </c>
      <c r="J1227" s="4">
        <v>-1.1839999999999999</v>
      </c>
      <c r="K1227" s="2" t="s">
        <v>250</v>
      </c>
      <c r="L1227" s="2">
        <v>2023</v>
      </c>
      <c r="M1227" s="2" t="s">
        <v>251</v>
      </c>
      <c r="N1227" s="2" t="s">
        <v>23</v>
      </c>
      <c r="O1227">
        <f t="shared" si="38"/>
        <v>2.4019999999999868</v>
      </c>
      <c r="P1227">
        <f t="shared" si="39"/>
        <v>46.063000000000002</v>
      </c>
    </row>
    <row r="1228" spans="1:16" x14ac:dyDescent="0.35">
      <c r="A1228" s="9" t="s">
        <v>264</v>
      </c>
      <c r="B1228" s="2">
        <v>133.20699999999999</v>
      </c>
      <c r="C1228" s="2">
        <v>136.166</v>
      </c>
      <c r="D1228" s="2">
        <v>133.137</v>
      </c>
      <c r="E1228" s="2">
        <v>135.75800000000001</v>
      </c>
      <c r="F1228" s="2">
        <v>27951723</v>
      </c>
      <c r="G1228" s="2" t="s">
        <v>561</v>
      </c>
      <c r="H1228" s="2" t="s">
        <v>562</v>
      </c>
      <c r="I1228" s="2" t="s">
        <v>17</v>
      </c>
      <c r="J1228" s="3">
        <v>0.69499999999999995</v>
      </c>
      <c r="K1228" s="2" t="s">
        <v>250</v>
      </c>
      <c r="L1228" s="2">
        <v>2023</v>
      </c>
      <c r="M1228" s="2" t="s">
        <v>251</v>
      </c>
      <c r="N1228" s="2" t="s">
        <v>21</v>
      </c>
      <c r="O1228">
        <f t="shared" si="38"/>
        <v>3.0289999999999964</v>
      </c>
      <c r="P1228">
        <f t="shared" si="39"/>
        <v>46.758000000000003</v>
      </c>
    </row>
    <row r="1229" spans="1:16" x14ac:dyDescent="0.35">
      <c r="A1229" s="9" t="s">
        <v>265</v>
      </c>
      <c r="B1229" s="2">
        <v>135.798</v>
      </c>
      <c r="C1229" s="2">
        <v>136.684</v>
      </c>
      <c r="D1229" s="2">
        <v>135.46899999999999</v>
      </c>
      <c r="E1229" s="2">
        <v>136.476</v>
      </c>
      <c r="F1229" s="2">
        <v>22717327</v>
      </c>
      <c r="G1229" s="2" t="s">
        <v>561</v>
      </c>
      <c r="H1229" s="2" t="s">
        <v>562</v>
      </c>
      <c r="I1229" s="2" t="s">
        <v>17</v>
      </c>
      <c r="J1229" s="3">
        <v>0.52900000000000003</v>
      </c>
      <c r="K1229" s="2" t="s">
        <v>250</v>
      </c>
      <c r="L1229" s="2">
        <v>2023</v>
      </c>
      <c r="M1229" s="2" t="s">
        <v>251</v>
      </c>
      <c r="N1229" s="2" t="s">
        <v>21</v>
      </c>
      <c r="O1229">
        <f t="shared" si="38"/>
        <v>1.2150000000000034</v>
      </c>
      <c r="P1229">
        <f t="shared" si="39"/>
        <v>47.287000000000006</v>
      </c>
    </row>
    <row r="1230" spans="1:16" x14ac:dyDescent="0.35">
      <c r="A1230" s="9" t="s">
        <v>266</v>
      </c>
      <c r="B1230" s="2">
        <v>136.97300000000001</v>
      </c>
      <c r="C1230" s="2">
        <v>138.916</v>
      </c>
      <c r="D1230" s="2">
        <v>136.97300000000001</v>
      </c>
      <c r="E1230" s="2">
        <v>137.99</v>
      </c>
      <c r="F1230" s="2">
        <v>17885056</v>
      </c>
      <c r="G1230" s="2" t="s">
        <v>561</v>
      </c>
      <c r="H1230" s="2" t="s">
        <v>562</v>
      </c>
      <c r="I1230" s="2" t="s">
        <v>17</v>
      </c>
      <c r="J1230" s="3">
        <v>1.109</v>
      </c>
      <c r="K1230" s="2" t="s">
        <v>250</v>
      </c>
      <c r="L1230" s="2">
        <v>2023</v>
      </c>
      <c r="M1230" s="2" t="s">
        <v>251</v>
      </c>
      <c r="N1230" s="2" t="s">
        <v>21</v>
      </c>
      <c r="O1230">
        <f t="shared" si="38"/>
        <v>1.9429999999999836</v>
      </c>
      <c r="P1230">
        <f t="shared" si="39"/>
        <v>48.396000000000008</v>
      </c>
    </row>
    <row r="1231" spans="1:16" x14ac:dyDescent="0.35">
      <c r="A1231" s="9" t="s">
        <v>267</v>
      </c>
      <c r="B1231" s="2">
        <v>137.53100000000001</v>
      </c>
      <c r="C1231" s="2">
        <v>137.631</v>
      </c>
      <c r="D1231" s="2">
        <v>135.499</v>
      </c>
      <c r="E1231" s="2">
        <v>136.196</v>
      </c>
      <c r="F1231" s="2">
        <v>12559687</v>
      </c>
      <c r="G1231" s="2" t="s">
        <v>561</v>
      </c>
      <c r="H1231" s="2" t="s">
        <v>562</v>
      </c>
      <c r="I1231" s="2" t="s">
        <v>17</v>
      </c>
      <c r="J1231" s="4">
        <v>-1.3</v>
      </c>
      <c r="K1231" s="2" t="s">
        <v>250</v>
      </c>
      <c r="L1231" s="2">
        <v>2023</v>
      </c>
      <c r="M1231" s="2" t="s">
        <v>251</v>
      </c>
      <c r="N1231" s="2" t="s">
        <v>23</v>
      </c>
      <c r="O1231">
        <f t="shared" si="38"/>
        <v>2.132000000000005</v>
      </c>
      <c r="P1231">
        <f t="shared" si="39"/>
        <v>47.096000000000011</v>
      </c>
    </row>
    <row r="1232" spans="1:16" x14ac:dyDescent="0.35">
      <c r="A1232" s="9" t="s">
        <v>268</v>
      </c>
      <c r="B1232" s="2">
        <v>135.53899999999999</v>
      </c>
      <c r="C1232" s="2">
        <v>137.91999999999999</v>
      </c>
      <c r="D1232" s="2">
        <v>135.50899999999999</v>
      </c>
      <c r="E1232" s="2">
        <v>135.917</v>
      </c>
      <c r="F1232" s="2">
        <v>23521485</v>
      </c>
      <c r="G1232" s="2" t="s">
        <v>561</v>
      </c>
      <c r="H1232" s="2" t="s">
        <v>562</v>
      </c>
      <c r="I1232" s="2" t="s">
        <v>17</v>
      </c>
      <c r="J1232" s="4">
        <v>-0.20499999999999999</v>
      </c>
      <c r="K1232" s="2" t="s">
        <v>250</v>
      </c>
      <c r="L1232" s="2">
        <v>2023</v>
      </c>
      <c r="M1232" s="2" t="s">
        <v>251</v>
      </c>
      <c r="N1232" s="2" t="s">
        <v>23</v>
      </c>
      <c r="O1232">
        <f t="shared" si="38"/>
        <v>2.4110000000000014</v>
      </c>
      <c r="P1232">
        <f t="shared" si="39"/>
        <v>46.891000000000012</v>
      </c>
    </row>
    <row r="1233" spans="1:16" x14ac:dyDescent="0.35">
      <c r="A1233" s="9" t="s">
        <v>269</v>
      </c>
      <c r="B1233" s="2">
        <v>135.589</v>
      </c>
      <c r="C1233" s="2">
        <v>136.75399999999999</v>
      </c>
      <c r="D1233" s="2">
        <v>134.93299999999999</v>
      </c>
      <c r="E1233" s="2">
        <v>136.70400000000001</v>
      </c>
      <c r="F1233" s="2">
        <v>18797930</v>
      </c>
      <c r="G1233" s="2" t="s">
        <v>561</v>
      </c>
      <c r="H1233" s="2" t="s">
        <v>562</v>
      </c>
      <c r="I1233" s="2" t="s">
        <v>17</v>
      </c>
      <c r="J1233" s="3">
        <v>0.57899999999999996</v>
      </c>
      <c r="K1233" s="2" t="s">
        <v>250</v>
      </c>
      <c r="L1233" s="2">
        <v>2023</v>
      </c>
      <c r="M1233" s="2" t="s">
        <v>251</v>
      </c>
      <c r="N1233" s="2" t="s">
        <v>21</v>
      </c>
      <c r="O1233">
        <f t="shared" si="38"/>
        <v>1.820999999999998</v>
      </c>
      <c r="P1233">
        <f t="shared" si="39"/>
        <v>47.470000000000013</v>
      </c>
    </row>
    <row r="1234" spans="1:16" x14ac:dyDescent="0.35">
      <c r="A1234" s="9" t="s">
        <v>270</v>
      </c>
      <c r="B1234" s="2">
        <v>137.07300000000001</v>
      </c>
      <c r="C1234" s="2">
        <v>137.78800000000001</v>
      </c>
      <c r="D1234" s="2">
        <v>134.35300000000001</v>
      </c>
      <c r="E1234" s="2">
        <v>134.50200000000001</v>
      </c>
      <c r="F1234" s="2">
        <v>24054105</v>
      </c>
      <c r="G1234" s="2" t="s">
        <v>561</v>
      </c>
      <c r="H1234" s="2" t="s">
        <v>562</v>
      </c>
      <c r="I1234" s="2" t="s">
        <v>17</v>
      </c>
      <c r="J1234" s="4">
        <v>-1.611</v>
      </c>
      <c r="K1234" s="2" t="s">
        <v>250</v>
      </c>
      <c r="L1234" s="2">
        <v>2023</v>
      </c>
      <c r="M1234" s="2" t="s">
        <v>251</v>
      </c>
      <c r="N1234" s="2" t="s">
        <v>23</v>
      </c>
      <c r="O1234">
        <f t="shared" si="38"/>
        <v>3.4350000000000023</v>
      </c>
      <c r="P1234">
        <f t="shared" si="39"/>
        <v>45.859000000000016</v>
      </c>
    </row>
    <row r="1235" spans="1:16" x14ac:dyDescent="0.35">
      <c r="A1235" s="9" t="s">
        <v>271</v>
      </c>
      <c r="B1235" s="2">
        <v>134.56200000000001</v>
      </c>
      <c r="C1235" s="2">
        <v>135.06100000000001</v>
      </c>
      <c r="D1235" s="2">
        <v>130.80600000000001</v>
      </c>
      <c r="E1235" s="2">
        <v>132.05199999999999</v>
      </c>
      <c r="F1235" s="2">
        <v>39129599</v>
      </c>
      <c r="G1235" s="2" t="s">
        <v>561</v>
      </c>
      <c r="H1235" s="2" t="s">
        <v>562</v>
      </c>
      <c r="I1235" s="2" t="s">
        <v>17</v>
      </c>
      <c r="J1235" s="4">
        <v>-1.8220000000000001</v>
      </c>
      <c r="K1235" s="2" t="s">
        <v>250</v>
      </c>
      <c r="L1235" s="2">
        <v>2023</v>
      </c>
      <c r="M1235" s="2" t="s">
        <v>251</v>
      </c>
      <c r="N1235" s="2" t="s">
        <v>23</v>
      </c>
      <c r="O1235">
        <f t="shared" si="38"/>
        <v>4.2549999999999955</v>
      </c>
      <c r="P1235">
        <f t="shared" si="39"/>
        <v>44.037000000000013</v>
      </c>
    </row>
    <row r="1236" spans="1:16" x14ac:dyDescent="0.35">
      <c r="A1236" s="9" t="s">
        <v>272</v>
      </c>
      <c r="B1236" s="2">
        <v>131.38300000000001</v>
      </c>
      <c r="C1236" s="2">
        <v>131.63300000000001</v>
      </c>
      <c r="D1236" s="2">
        <v>130.19300000000001</v>
      </c>
      <c r="E1236" s="2">
        <v>131.38300000000001</v>
      </c>
      <c r="F1236" s="2">
        <v>31556244</v>
      </c>
      <c r="G1236" s="2" t="s">
        <v>561</v>
      </c>
      <c r="H1236" s="2" t="s">
        <v>562</v>
      </c>
      <c r="I1236" s="2" t="s">
        <v>17</v>
      </c>
      <c r="J1236" s="4">
        <v>-0.50700000000000001</v>
      </c>
      <c r="K1236" s="2" t="s">
        <v>273</v>
      </c>
      <c r="L1236" s="2">
        <v>2023</v>
      </c>
      <c r="M1236" s="2" t="s">
        <v>274</v>
      </c>
      <c r="N1236" s="2" t="s">
        <v>23</v>
      </c>
      <c r="O1236">
        <f t="shared" si="38"/>
        <v>1.4399999999999977</v>
      </c>
      <c r="P1236">
        <f t="shared" si="39"/>
        <v>43.530000000000015</v>
      </c>
    </row>
    <row r="1237" spans="1:16" x14ac:dyDescent="0.35">
      <c r="A1237" s="9" t="s">
        <v>275</v>
      </c>
      <c r="B1237" s="2">
        <v>129.411</v>
      </c>
      <c r="C1237" s="2">
        <v>129.56100000000001</v>
      </c>
      <c r="D1237" s="2">
        <v>127.438</v>
      </c>
      <c r="E1237" s="2">
        <v>128.803</v>
      </c>
      <c r="F1237" s="2">
        <v>36802808</v>
      </c>
      <c r="G1237" s="2" t="s">
        <v>561</v>
      </c>
      <c r="H1237" s="2" t="s">
        <v>562</v>
      </c>
      <c r="I1237" s="2" t="s">
        <v>17</v>
      </c>
      <c r="J1237" s="4">
        <v>-1.964</v>
      </c>
      <c r="K1237" s="2" t="s">
        <v>273</v>
      </c>
      <c r="L1237" s="2">
        <v>2023</v>
      </c>
      <c r="M1237" s="2" t="s">
        <v>274</v>
      </c>
      <c r="N1237" s="2" t="s">
        <v>23</v>
      </c>
      <c r="O1237">
        <f t="shared" si="38"/>
        <v>2.1230000000000047</v>
      </c>
      <c r="P1237">
        <f t="shared" si="39"/>
        <v>41.566000000000017</v>
      </c>
    </row>
    <row r="1238" spans="1:16" x14ac:dyDescent="0.35">
      <c r="A1238" s="9" t="s">
        <v>276</v>
      </c>
      <c r="B1238" s="2">
        <v>128.48400000000001</v>
      </c>
      <c r="C1238" s="2">
        <v>131.66300000000001</v>
      </c>
      <c r="D1238" s="2">
        <v>127.78700000000001</v>
      </c>
      <c r="E1238" s="2">
        <v>130.517</v>
      </c>
      <c r="F1238" s="2">
        <v>27484056</v>
      </c>
      <c r="G1238" s="2" t="s">
        <v>561</v>
      </c>
      <c r="H1238" s="2" t="s">
        <v>562</v>
      </c>
      <c r="I1238" s="2" t="s">
        <v>17</v>
      </c>
      <c r="J1238" s="3">
        <v>1.331</v>
      </c>
      <c r="K1238" s="2" t="s">
        <v>273</v>
      </c>
      <c r="L1238" s="2">
        <v>2023</v>
      </c>
      <c r="M1238" s="2" t="s">
        <v>274</v>
      </c>
      <c r="N1238" s="2" t="s">
        <v>21</v>
      </c>
      <c r="O1238">
        <f t="shared" si="38"/>
        <v>3.8760000000000048</v>
      </c>
      <c r="P1238">
        <f t="shared" si="39"/>
        <v>42.89700000000002</v>
      </c>
    </row>
    <row r="1239" spans="1:16" x14ac:dyDescent="0.35">
      <c r="A1239" s="9" t="s">
        <v>277</v>
      </c>
      <c r="B1239" s="2">
        <v>130.965</v>
      </c>
      <c r="C1239" s="2">
        <v>131.363</v>
      </c>
      <c r="D1239" s="2">
        <v>129.40600000000001</v>
      </c>
      <c r="E1239" s="2">
        <v>129.55099999999999</v>
      </c>
      <c r="F1239" s="2">
        <v>23661642</v>
      </c>
      <c r="G1239" s="2" t="s">
        <v>561</v>
      </c>
      <c r="H1239" s="2" t="s">
        <v>562</v>
      </c>
      <c r="I1239" s="2" t="s">
        <v>17</v>
      </c>
      <c r="J1239" s="4">
        <v>-0.74</v>
      </c>
      <c r="K1239" s="2" t="s">
        <v>273</v>
      </c>
      <c r="L1239" s="2">
        <v>2023</v>
      </c>
      <c r="M1239" s="2" t="s">
        <v>274</v>
      </c>
      <c r="N1239" s="2" t="s">
        <v>23</v>
      </c>
      <c r="O1239">
        <f t="shared" si="38"/>
        <v>1.9569999999999936</v>
      </c>
      <c r="P1239">
        <f t="shared" si="39"/>
        <v>42.157000000000018</v>
      </c>
    </row>
    <row r="1240" spans="1:16" x14ac:dyDescent="0.35">
      <c r="A1240" s="9" t="s">
        <v>278</v>
      </c>
      <c r="B1240" s="2">
        <v>134.55199999999999</v>
      </c>
      <c r="C1240" s="2">
        <v>138.06</v>
      </c>
      <c r="D1240" s="2">
        <v>134.214</v>
      </c>
      <c r="E1240" s="2">
        <v>136.43600000000001</v>
      </c>
      <c r="F1240" s="2">
        <v>56972886</v>
      </c>
      <c r="G1240" s="2" t="s">
        <v>561</v>
      </c>
      <c r="H1240" s="2" t="s">
        <v>562</v>
      </c>
      <c r="I1240" s="2" t="s">
        <v>17</v>
      </c>
      <c r="J1240" s="3">
        <v>5.3150000000000004</v>
      </c>
      <c r="K1240" s="2" t="s">
        <v>273</v>
      </c>
      <c r="L1240" s="2">
        <v>2023</v>
      </c>
      <c r="M1240" s="2" t="s">
        <v>274</v>
      </c>
      <c r="N1240" s="2" t="s">
        <v>21</v>
      </c>
      <c r="O1240">
        <f t="shared" si="38"/>
        <v>3.8460000000000036</v>
      </c>
      <c r="P1240">
        <f t="shared" si="39"/>
        <v>47.472000000000016</v>
      </c>
    </row>
    <row r="1241" spans="1:16" x14ac:dyDescent="0.35">
      <c r="A1241" s="9" t="s">
        <v>279</v>
      </c>
      <c r="B1241" s="2">
        <v>133.715</v>
      </c>
      <c r="C1241" s="2">
        <v>135.90700000000001</v>
      </c>
      <c r="D1241" s="2">
        <v>133.541</v>
      </c>
      <c r="E1241" s="2">
        <v>134.50200000000001</v>
      </c>
      <c r="F1241" s="2">
        <v>32377058</v>
      </c>
      <c r="G1241" s="2" t="s">
        <v>561</v>
      </c>
      <c r="H1241" s="2" t="s">
        <v>562</v>
      </c>
      <c r="I1241" s="2" t="s">
        <v>17</v>
      </c>
      <c r="J1241" s="4">
        <v>-1.4179999999999999</v>
      </c>
      <c r="K1241" s="2" t="s">
        <v>273</v>
      </c>
      <c r="L1241" s="2">
        <v>2023</v>
      </c>
      <c r="M1241" s="2" t="s">
        <v>274</v>
      </c>
      <c r="N1241" s="2" t="s">
        <v>23</v>
      </c>
      <c r="O1241">
        <f t="shared" si="38"/>
        <v>2.3660000000000139</v>
      </c>
      <c r="P1241">
        <f t="shared" si="39"/>
        <v>46.054000000000016</v>
      </c>
    </row>
    <row r="1242" spans="1:16" x14ac:dyDescent="0.35">
      <c r="A1242" s="9" t="s">
        <v>280</v>
      </c>
      <c r="B1242" s="2">
        <v>131.90199999999999</v>
      </c>
      <c r="C1242" s="2">
        <v>132.85400000000001</v>
      </c>
      <c r="D1242" s="2">
        <v>130.88499999999999</v>
      </c>
      <c r="E1242" s="2">
        <v>132.809</v>
      </c>
      <c r="F1242" s="2">
        <v>31250889</v>
      </c>
      <c r="G1242" s="2" t="s">
        <v>561</v>
      </c>
      <c r="H1242" s="2" t="s">
        <v>562</v>
      </c>
      <c r="I1242" s="2" t="s">
        <v>17</v>
      </c>
      <c r="J1242" s="4">
        <v>-1.2589999999999999</v>
      </c>
      <c r="K1242" s="2" t="s">
        <v>273</v>
      </c>
      <c r="L1242" s="2">
        <v>2023</v>
      </c>
      <c r="M1242" s="2" t="s">
        <v>274</v>
      </c>
      <c r="N1242" s="2" t="s">
        <v>23</v>
      </c>
      <c r="O1242">
        <f t="shared" si="38"/>
        <v>1.9690000000000225</v>
      </c>
      <c r="P1242">
        <f t="shared" si="39"/>
        <v>44.795000000000016</v>
      </c>
    </row>
    <row r="1243" spans="1:16" x14ac:dyDescent="0.35">
      <c r="A1243" s="9" t="s">
        <v>281</v>
      </c>
      <c r="B1243" s="2">
        <v>131.334</v>
      </c>
      <c r="C1243" s="2">
        <v>132.52000000000001</v>
      </c>
      <c r="D1243" s="2">
        <v>130.786</v>
      </c>
      <c r="E1243" s="2">
        <v>132.042</v>
      </c>
      <c r="F1243" s="2">
        <v>29138077</v>
      </c>
      <c r="G1243" s="2" t="s">
        <v>561</v>
      </c>
      <c r="H1243" s="2" t="s">
        <v>562</v>
      </c>
      <c r="I1243" s="2" t="s">
        <v>17</v>
      </c>
      <c r="J1243" s="4">
        <v>-0.57799999999999996</v>
      </c>
      <c r="K1243" s="2" t="s">
        <v>273</v>
      </c>
      <c r="L1243" s="2">
        <v>2023</v>
      </c>
      <c r="M1243" s="2" t="s">
        <v>274</v>
      </c>
      <c r="N1243" s="2" t="s">
        <v>23</v>
      </c>
      <c r="O1243">
        <f t="shared" si="38"/>
        <v>1.7340000000000089</v>
      </c>
      <c r="P1243">
        <f t="shared" si="39"/>
        <v>44.217000000000013</v>
      </c>
    </row>
    <row r="1244" spans="1:16" x14ac:dyDescent="0.35">
      <c r="A1244" s="9" t="s">
        <v>282</v>
      </c>
      <c r="B1244" s="2">
        <v>132.898</v>
      </c>
      <c r="C1244" s="2">
        <v>133.018</v>
      </c>
      <c r="D1244" s="2">
        <v>131.095</v>
      </c>
      <c r="E1244" s="2">
        <v>132.09200000000001</v>
      </c>
      <c r="F1244" s="2">
        <v>30213907</v>
      </c>
      <c r="G1244" s="2" t="s">
        <v>561</v>
      </c>
      <c r="H1244" s="2" t="s">
        <v>562</v>
      </c>
      <c r="I1244" s="2" t="s">
        <v>17</v>
      </c>
      <c r="J1244" s="3">
        <v>3.7999999999999999E-2</v>
      </c>
      <c r="K1244" s="2" t="s">
        <v>273</v>
      </c>
      <c r="L1244" s="2">
        <v>2023</v>
      </c>
      <c r="M1244" s="2" t="s">
        <v>274</v>
      </c>
      <c r="N1244" s="2" t="s">
        <v>21</v>
      </c>
      <c r="O1244">
        <f t="shared" si="38"/>
        <v>1.9230000000000018</v>
      </c>
      <c r="P1244">
        <f t="shared" si="39"/>
        <v>44.25500000000001</v>
      </c>
    </row>
    <row r="1245" spans="1:16" x14ac:dyDescent="0.35">
      <c r="A1245" s="9" t="s">
        <v>283</v>
      </c>
      <c r="B1245" s="2">
        <v>132.898</v>
      </c>
      <c r="C1245" s="2">
        <v>133.23699999999999</v>
      </c>
      <c r="D1245" s="2">
        <v>129.21600000000001</v>
      </c>
      <c r="E1245" s="2">
        <v>131.46299999999999</v>
      </c>
      <c r="F1245" s="2">
        <v>38862785</v>
      </c>
      <c r="G1245" s="2" t="s">
        <v>561</v>
      </c>
      <c r="H1245" s="2" t="s">
        <v>562</v>
      </c>
      <c r="I1245" s="2" t="s">
        <v>17</v>
      </c>
      <c r="J1245" s="4">
        <v>-0.47599999999999998</v>
      </c>
      <c r="K1245" s="2" t="s">
        <v>273</v>
      </c>
      <c r="L1245" s="2">
        <v>2023</v>
      </c>
      <c r="M1245" s="2" t="s">
        <v>274</v>
      </c>
      <c r="N1245" s="2" t="s">
        <v>23</v>
      </c>
      <c r="O1245">
        <f t="shared" si="38"/>
        <v>4.0209999999999866</v>
      </c>
      <c r="P1245">
        <f t="shared" si="39"/>
        <v>43.779000000000011</v>
      </c>
    </row>
    <row r="1246" spans="1:16" x14ac:dyDescent="0.35">
      <c r="A1246" s="9" t="s">
        <v>284</v>
      </c>
      <c r="B1246" s="2">
        <v>131.14500000000001</v>
      </c>
      <c r="C1246" s="2">
        <v>133.02799999999999</v>
      </c>
      <c r="D1246" s="2">
        <v>130.70599999999999</v>
      </c>
      <c r="E1246" s="2">
        <v>132.12100000000001</v>
      </c>
      <c r="F1246" s="2">
        <v>51031438</v>
      </c>
      <c r="G1246" s="2" t="s">
        <v>561</v>
      </c>
      <c r="H1246" s="2" t="s">
        <v>562</v>
      </c>
      <c r="I1246" s="2" t="s">
        <v>17</v>
      </c>
      <c r="J1246" s="3">
        <v>0.501</v>
      </c>
      <c r="K1246" s="2" t="s">
        <v>273</v>
      </c>
      <c r="L1246" s="2">
        <v>2023</v>
      </c>
      <c r="M1246" s="2" t="s">
        <v>274</v>
      </c>
      <c r="N1246" s="2" t="s">
        <v>21</v>
      </c>
      <c r="O1246">
        <f t="shared" si="38"/>
        <v>2.3220000000000027</v>
      </c>
      <c r="P1246">
        <f t="shared" si="39"/>
        <v>44.280000000000008</v>
      </c>
    </row>
    <row r="1247" spans="1:16" x14ac:dyDescent="0.35">
      <c r="A1247" s="9" t="s">
        <v>285</v>
      </c>
      <c r="B1247" s="2">
        <v>132.15100000000001</v>
      </c>
      <c r="C1247" s="2">
        <v>136.65199999999999</v>
      </c>
      <c r="D1247" s="2">
        <v>131.952</v>
      </c>
      <c r="E1247" s="2">
        <v>135.309</v>
      </c>
      <c r="F1247" s="2">
        <v>32374905</v>
      </c>
      <c r="G1247" s="2" t="s">
        <v>561</v>
      </c>
      <c r="H1247" s="2" t="s">
        <v>562</v>
      </c>
      <c r="I1247" s="2" t="s">
        <v>17</v>
      </c>
      <c r="J1247" s="3">
        <v>2.4129999999999998</v>
      </c>
      <c r="K1247" s="2" t="s">
        <v>273</v>
      </c>
      <c r="L1247" s="2">
        <v>2023</v>
      </c>
      <c r="M1247" s="2" t="s">
        <v>274</v>
      </c>
      <c r="N1247" s="2" t="s">
        <v>21</v>
      </c>
      <c r="O1247">
        <f t="shared" si="38"/>
        <v>4.6999999999999886</v>
      </c>
      <c r="P1247">
        <f t="shared" si="39"/>
        <v>46.693000000000005</v>
      </c>
    </row>
    <row r="1248" spans="1:16" x14ac:dyDescent="0.35">
      <c r="A1248" s="9" t="s">
        <v>286</v>
      </c>
      <c r="B1248" s="2">
        <v>136.346</v>
      </c>
      <c r="C1248" s="2">
        <v>136.97300000000001</v>
      </c>
      <c r="D1248" s="2">
        <v>135.589</v>
      </c>
      <c r="E1248" s="2">
        <v>136.15600000000001</v>
      </c>
      <c r="F1248" s="2">
        <v>25569108</v>
      </c>
      <c r="G1248" s="2" t="s">
        <v>561</v>
      </c>
      <c r="H1248" s="2" t="s">
        <v>562</v>
      </c>
      <c r="I1248" s="2" t="s">
        <v>17</v>
      </c>
      <c r="J1248" s="3">
        <v>0.626</v>
      </c>
      <c r="K1248" s="2" t="s">
        <v>273</v>
      </c>
      <c r="L1248" s="2">
        <v>2023</v>
      </c>
      <c r="M1248" s="2" t="s">
        <v>274</v>
      </c>
      <c r="N1248" s="2" t="s">
        <v>21</v>
      </c>
      <c r="O1248">
        <f t="shared" si="38"/>
        <v>1.3840000000000146</v>
      </c>
      <c r="P1248">
        <f t="shared" si="39"/>
        <v>47.319000000000003</v>
      </c>
    </row>
    <row r="1249" spans="1:16" x14ac:dyDescent="0.35">
      <c r="A1249" s="9" t="s">
        <v>287</v>
      </c>
      <c r="B1249" s="2">
        <v>138.46799999999999</v>
      </c>
      <c r="C1249" s="2">
        <v>141.18299999999999</v>
      </c>
      <c r="D1249" s="2">
        <v>137.566</v>
      </c>
      <c r="E1249" s="2">
        <v>137.84</v>
      </c>
      <c r="F1249" s="2">
        <v>49285197</v>
      </c>
      <c r="G1249" s="2" t="s">
        <v>561</v>
      </c>
      <c r="H1249" s="2" t="s">
        <v>562</v>
      </c>
      <c r="I1249" s="2" t="s">
        <v>17</v>
      </c>
      <c r="J1249" s="3">
        <v>1.2370000000000001</v>
      </c>
      <c r="K1249" s="2" t="s">
        <v>273</v>
      </c>
      <c r="L1249" s="2">
        <v>2023</v>
      </c>
      <c r="M1249" s="2" t="s">
        <v>274</v>
      </c>
      <c r="N1249" s="2" t="s">
        <v>21</v>
      </c>
      <c r="O1249">
        <f t="shared" si="38"/>
        <v>3.6169999999999902</v>
      </c>
      <c r="P1249">
        <f t="shared" si="39"/>
        <v>48.556000000000004</v>
      </c>
    </row>
    <row r="1250" spans="1:16" x14ac:dyDescent="0.35">
      <c r="A1250" s="9" t="s">
        <v>288</v>
      </c>
      <c r="B1250" s="2">
        <v>138.98599999999999</v>
      </c>
      <c r="C1250" s="2">
        <v>140.17699999999999</v>
      </c>
      <c r="D1250" s="2">
        <v>138.67699999999999</v>
      </c>
      <c r="E1250" s="2">
        <v>139.91300000000001</v>
      </c>
      <c r="F1250" s="2">
        <v>27587931</v>
      </c>
      <c r="G1250" s="2" t="s">
        <v>561</v>
      </c>
      <c r="H1250" s="2" t="s">
        <v>562</v>
      </c>
      <c r="I1250" s="2" t="s">
        <v>17</v>
      </c>
      <c r="J1250" s="3">
        <v>1.504</v>
      </c>
      <c r="K1250" s="2" t="s">
        <v>273</v>
      </c>
      <c r="L1250" s="2">
        <v>2023</v>
      </c>
      <c r="M1250" s="2" t="s">
        <v>274</v>
      </c>
      <c r="N1250" s="2" t="s">
        <v>21</v>
      </c>
      <c r="O1250">
        <f t="shared" si="38"/>
        <v>1.5</v>
      </c>
      <c r="P1250">
        <f t="shared" si="39"/>
        <v>50.06</v>
      </c>
    </row>
    <row r="1251" spans="1:16" x14ac:dyDescent="0.35">
      <c r="A1251" s="9" t="s">
        <v>289</v>
      </c>
      <c r="B1251" s="2">
        <v>140.262</v>
      </c>
      <c r="C1251" s="2">
        <v>141.477</v>
      </c>
      <c r="D1251" s="2">
        <v>140.202</v>
      </c>
      <c r="E1251" s="2">
        <v>140.97900000000001</v>
      </c>
      <c r="F1251" s="2">
        <v>26628380</v>
      </c>
      <c r="G1251" s="2" t="s">
        <v>561</v>
      </c>
      <c r="H1251" s="2" t="s">
        <v>562</v>
      </c>
      <c r="I1251" s="2" t="s">
        <v>17</v>
      </c>
      <c r="J1251" s="3">
        <v>0.76200000000000001</v>
      </c>
      <c r="K1251" s="2" t="s">
        <v>273</v>
      </c>
      <c r="L1251" s="2">
        <v>2023</v>
      </c>
      <c r="M1251" s="2" t="s">
        <v>274</v>
      </c>
      <c r="N1251" s="2" t="s">
        <v>21</v>
      </c>
      <c r="O1251">
        <f t="shared" si="38"/>
        <v>1.2750000000000057</v>
      </c>
      <c r="P1251">
        <f t="shared" si="39"/>
        <v>50.822000000000003</v>
      </c>
    </row>
    <row r="1252" spans="1:16" x14ac:dyDescent="0.35">
      <c r="A1252" s="9" t="s">
        <v>290</v>
      </c>
      <c r="B1252" s="2">
        <v>141.07900000000001</v>
      </c>
      <c r="C1252" s="2">
        <v>142.16399999999999</v>
      </c>
      <c r="D1252" s="2">
        <v>140.68</v>
      </c>
      <c r="E1252" s="2">
        <v>141.00899999999999</v>
      </c>
      <c r="F1252" s="2">
        <v>16841163</v>
      </c>
      <c r="G1252" s="2" t="s">
        <v>561</v>
      </c>
      <c r="H1252" s="2" t="s">
        <v>562</v>
      </c>
      <c r="I1252" s="2" t="s">
        <v>17</v>
      </c>
      <c r="J1252" s="3">
        <v>2.1000000000000001E-2</v>
      </c>
      <c r="K1252" s="2" t="s">
        <v>273</v>
      </c>
      <c r="L1252" s="2">
        <v>2023</v>
      </c>
      <c r="M1252" s="2" t="s">
        <v>274</v>
      </c>
      <c r="N1252" s="2" t="s">
        <v>21</v>
      </c>
      <c r="O1252">
        <f t="shared" si="38"/>
        <v>1.4839999999999804</v>
      </c>
      <c r="P1252">
        <f t="shared" si="39"/>
        <v>50.843000000000004</v>
      </c>
    </row>
    <row r="1253" spans="1:16" x14ac:dyDescent="0.35">
      <c r="A1253" s="9" t="s">
        <v>291</v>
      </c>
      <c r="B1253" s="2">
        <v>141.07900000000001</v>
      </c>
      <c r="C1253" s="2">
        <v>141.56700000000001</v>
      </c>
      <c r="D1253" s="2">
        <v>139.381</v>
      </c>
      <c r="E1253" s="2">
        <v>139.863</v>
      </c>
      <c r="F1253" s="2">
        <v>19699773</v>
      </c>
      <c r="G1253" s="2" t="s">
        <v>561</v>
      </c>
      <c r="H1253" s="2" t="s">
        <v>562</v>
      </c>
      <c r="I1253" s="2" t="s">
        <v>17</v>
      </c>
      <c r="J1253" s="4">
        <v>-0.81299999999999994</v>
      </c>
      <c r="K1253" s="2" t="s">
        <v>273</v>
      </c>
      <c r="L1253" s="2">
        <v>2023</v>
      </c>
      <c r="M1253" s="2" t="s">
        <v>274</v>
      </c>
      <c r="N1253" s="2" t="s">
        <v>23</v>
      </c>
      <c r="O1253">
        <f t="shared" si="38"/>
        <v>2.186000000000007</v>
      </c>
      <c r="P1253">
        <f t="shared" si="39"/>
        <v>50.03</v>
      </c>
    </row>
    <row r="1254" spans="1:16" x14ac:dyDescent="0.35">
      <c r="A1254" s="9" t="s">
        <v>292</v>
      </c>
      <c r="B1254" s="2">
        <v>140.27199999999999</v>
      </c>
      <c r="C1254" s="2">
        <v>140.63</v>
      </c>
      <c r="D1254" s="2">
        <v>139.245</v>
      </c>
      <c r="E1254" s="2">
        <v>139.72300000000001</v>
      </c>
      <c r="F1254" s="2">
        <v>16103879</v>
      </c>
      <c r="G1254" s="2" t="s">
        <v>561</v>
      </c>
      <c r="H1254" s="2" t="s">
        <v>562</v>
      </c>
      <c r="I1254" s="2" t="s">
        <v>17</v>
      </c>
      <c r="J1254" s="4">
        <v>-0.1</v>
      </c>
      <c r="K1254" s="2" t="s">
        <v>273</v>
      </c>
      <c r="L1254" s="2">
        <v>2023</v>
      </c>
      <c r="M1254" s="2" t="s">
        <v>274</v>
      </c>
      <c r="N1254" s="2" t="s">
        <v>23</v>
      </c>
      <c r="O1254">
        <f t="shared" si="38"/>
        <v>1.3849999999999909</v>
      </c>
      <c r="P1254">
        <f t="shared" si="39"/>
        <v>49.93</v>
      </c>
    </row>
    <row r="1255" spans="1:16" x14ac:dyDescent="0.35">
      <c r="A1255" s="9" t="s">
        <v>293</v>
      </c>
      <c r="B1255" s="2">
        <v>139.126</v>
      </c>
      <c r="C1255" s="2">
        <v>139.85300000000001</v>
      </c>
      <c r="D1255" s="2">
        <v>138.279</v>
      </c>
      <c r="E1255" s="2">
        <v>139.185</v>
      </c>
      <c r="F1255" s="2">
        <v>18800926</v>
      </c>
      <c r="G1255" s="2" t="s">
        <v>561</v>
      </c>
      <c r="H1255" s="2" t="s">
        <v>562</v>
      </c>
      <c r="I1255" s="2" t="s">
        <v>17</v>
      </c>
      <c r="J1255" s="4">
        <v>-0.38500000000000001</v>
      </c>
      <c r="K1255" s="2" t="s">
        <v>273</v>
      </c>
      <c r="L1255" s="2">
        <v>2023</v>
      </c>
      <c r="M1255" s="2" t="s">
        <v>274</v>
      </c>
      <c r="N1255" s="2" t="s">
        <v>23</v>
      </c>
      <c r="O1255">
        <f t="shared" si="38"/>
        <v>1.5740000000000123</v>
      </c>
      <c r="P1255">
        <f t="shared" si="39"/>
        <v>49.545000000000002</v>
      </c>
    </row>
    <row r="1256" spans="1:16" x14ac:dyDescent="0.35">
      <c r="A1256" s="9" t="s">
        <v>294</v>
      </c>
      <c r="B1256" s="2">
        <v>138.05000000000001</v>
      </c>
      <c r="C1256" s="2">
        <v>138.946</v>
      </c>
      <c r="D1256" s="2">
        <v>135.98699999999999</v>
      </c>
      <c r="E1256" s="2">
        <v>137.67099999999999</v>
      </c>
      <c r="F1256" s="2">
        <v>23797175</v>
      </c>
      <c r="G1256" s="2" t="s">
        <v>561</v>
      </c>
      <c r="H1256" s="2" t="s">
        <v>562</v>
      </c>
      <c r="I1256" s="2" t="s">
        <v>17</v>
      </c>
      <c r="J1256" s="4">
        <v>-1.0880000000000001</v>
      </c>
      <c r="K1256" s="2" t="s">
        <v>295</v>
      </c>
      <c r="L1256" s="2">
        <v>2024</v>
      </c>
      <c r="M1256" s="2" t="s">
        <v>19</v>
      </c>
      <c r="N1256" s="2" t="s">
        <v>23</v>
      </c>
      <c r="O1256">
        <f t="shared" si="38"/>
        <v>2.9590000000000032</v>
      </c>
      <c r="P1256">
        <f t="shared" si="39"/>
        <v>48.457000000000001</v>
      </c>
    </row>
    <row r="1257" spans="1:16" x14ac:dyDescent="0.35">
      <c r="A1257" s="9" t="s">
        <v>296</v>
      </c>
      <c r="B1257" s="2">
        <v>136.75399999999999</v>
      </c>
      <c r="C1257" s="2">
        <v>139.126</v>
      </c>
      <c r="D1257" s="2">
        <v>136.58500000000001</v>
      </c>
      <c r="E1257" s="2">
        <v>138.41800000000001</v>
      </c>
      <c r="F1257" s="2">
        <v>24299918</v>
      </c>
      <c r="G1257" s="2" t="s">
        <v>561</v>
      </c>
      <c r="H1257" s="2" t="s">
        <v>562</v>
      </c>
      <c r="I1257" s="2" t="s">
        <v>17</v>
      </c>
      <c r="J1257" s="3">
        <v>0.54300000000000004</v>
      </c>
      <c r="K1257" s="2" t="s">
        <v>295</v>
      </c>
      <c r="L1257" s="2">
        <v>2024</v>
      </c>
      <c r="M1257" s="2" t="s">
        <v>19</v>
      </c>
      <c r="N1257" s="2" t="s">
        <v>21</v>
      </c>
      <c r="O1257">
        <f t="shared" si="38"/>
        <v>2.5409999999999968</v>
      </c>
      <c r="P1257">
        <f t="shared" si="39"/>
        <v>49</v>
      </c>
    </row>
    <row r="1258" spans="1:16" x14ac:dyDescent="0.35">
      <c r="A1258" s="9" t="s">
        <v>297</v>
      </c>
      <c r="B1258" s="2">
        <v>137.91999999999999</v>
      </c>
      <c r="C1258" s="2">
        <v>138.65700000000001</v>
      </c>
      <c r="D1258" s="2">
        <v>135.858</v>
      </c>
      <c r="E1258" s="2">
        <v>135.89699999999999</v>
      </c>
      <c r="F1258" s="2">
        <v>27236112</v>
      </c>
      <c r="G1258" s="2" t="s">
        <v>561</v>
      </c>
      <c r="H1258" s="2" t="s">
        <v>562</v>
      </c>
      <c r="I1258" s="2" t="s">
        <v>17</v>
      </c>
      <c r="J1258" s="4">
        <v>-1.821</v>
      </c>
      <c r="K1258" s="2" t="s">
        <v>295</v>
      </c>
      <c r="L1258" s="2">
        <v>2024</v>
      </c>
      <c r="M1258" s="2" t="s">
        <v>19</v>
      </c>
      <c r="N1258" s="2" t="s">
        <v>23</v>
      </c>
      <c r="O1258">
        <f t="shared" si="38"/>
        <v>2.7990000000000066</v>
      </c>
      <c r="P1258">
        <f t="shared" si="39"/>
        <v>47.179000000000002</v>
      </c>
    </row>
    <row r="1259" spans="1:16" x14ac:dyDescent="0.35">
      <c r="A1259" s="9" t="s">
        <v>298</v>
      </c>
      <c r="B1259" s="2">
        <v>136.251</v>
      </c>
      <c r="C1259" s="2">
        <v>136.66</v>
      </c>
      <c r="D1259" s="2">
        <v>134.66200000000001</v>
      </c>
      <c r="E1259" s="2">
        <v>135.239</v>
      </c>
      <c r="F1259" s="2">
        <v>22595468</v>
      </c>
      <c r="G1259" s="2" t="s">
        <v>561</v>
      </c>
      <c r="H1259" s="2" t="s">
        <v>562</v>
      </c>
      <c r="I1259" s="2" t="s">
        <v>17</v>
      </c>
      <c r="J1259" s="4">
        <v>-0.48399999999999999</v>
      </c>
      <c r="K1259" s="2" t="s">
        <v>295</v>
      </c>
      <c r="L1259" s="2">
        <v>2024</v>
      </c>
      <c r="M1259" s="2" t="s">
        <v>19</v>
      </c>
      <c r="N1259" s="2" t="s">
        <v>23</v>
      </c>
      <c r="O1259">
        <f t="shared" si="38"/>
        <v>1.9979999999999905</v>
      </c>
      <c r="P1259">
        <f t="shared" si="39"/>
        <v>46.695</v>
      </c>
    </row>
    <row r="1260" spans="1:16" x14ac:dyDescent="0.35">
      <c r="A1260" s="9" t="s">
        <v>299</v>
      </c>
      <c r="B1260" s="2">
        <v>135.798</v>
      </c>
      <c r="C1260" s="2">
        <v>138.50800000000001</v>
      </c>
      <c r="D1260" s="2">
        <v>135.768</v>
      </c>
      <c r="E1260" s="2">
        <v>138.33799999999999</v>
      </c>
      <c r="F1260" s="2">
        <v>21481573</v>
      </c>
      <c r="G1260" s="2" t="s">
        <v>561</v>
      </c>
      <c r="H1260" s="2" t="s">
        <v>562</v>
      </c>
      <c r="I1260" s="2" t="s">
        <v>17</v>
      </c>
      <c r="J1260" s="3">
        <v>2.2909999999999999</v>
      </c>
      <c r="K1260" s="2" t="s">
        <v>295</v>
      </c>
      <c r="L1260" s="2">
        <v>2024</v>
      </c>
      <c r="M1260" s="2" t="s">
        <v>19</v>
      </c>
      <c r="N1260" s="2" t="s">
        <v>21</v>
      </c>
      <c r="O1260">
        <f t="shared" si="38"/>
        <v>2.7400000000000091</v>
      </c>
      <c r="P1260">
        <f t="shared" si="39"/>
        <v>48.985999999999997</v>
      </c>
    </row>
    <row r="1261" spans="1:16" x14ac:dyDescent="0.35">
      <c r="A1261" s="9" t="s">
        <v>300</v>
      </c>
      <c r="B1261" s="2">
        <v>138</v>
      </c>
      <c r="C1261" s="2">
        <v>140.97399999999999</v>
      </c>
      <c r="D1261" s="2">
        <v>137.65100000000001</v>
      </c>
      <c r="E1261" s="2">
        <v>140.44</v>
      </c>
      <c r="F1261" s="2">
        <v>24849354</v>
      </c>
      <c r="G1261" s="2" t="s">
        <v>561</v>
      </c>
      <c r="H1261" s="2" t="s">
        <v>562</v>
      </c>
      <c r="I1261" s="2" t="s">
        <v>17</v>
      </c>
      <c r="J1261" s="3">
        <v>1.5189999999999999</v>
      </c>
      <c r="K1261" s="2" t="s">
        <v>295</v>
      </c>
      <c r="L1261" s="2">
        <v>2024</v>
      </c>
      <c r="M1261" s="2" t="s">
        <v>19</v>
      </c>
      <c r="N1261" s="2" t="s">
        <v>21</v>
      </c>
      <c r="O1261">
        <f t="shared" si="38"/>
        <v>3.3229999999999791</v>
      </c>
      <c r="P1261">
        <f t="shared" si="39"/>
        <v>50.504999999999995</v>
      </c>
    </row>
    <row r="1262" spans="1:16" x14ac:dyDescent="0.35">
      <c r="A1262" s="9" t="s">
        <v>301</v>
      </c>
      <c r="B1262" s="2">
        <v>140.49</v>
      </c>
      <c r="C1262" s="2">
        <v>142.48400000000001</v>
      </c>
      <c r="D1262" s="2">
        <v>140.4</v>
      </c>
      <c r="E1262" s="2">
        <v>141.767</v>
      </c>
      <c r="F1262" s="2">
        <v>21397490</v>
      </c>
      <c r="G1262" s="2" t="s">
        <v>561</v>
      </c>
      <c r="H1262" s="2" t="s">
        <v>562</v>
      </c>
      <c r="I1262" s="2" t="s">
        <v>17</v>
      </c>
      <c r="J1262" s="3">
        <v>0.94499999999999995</v>
      </c>
      <c r="K1262" s="2" t="s">
        <v>295</v>
      </c>
      <c r="L1262" s="2">
        <v>2024</v>
      </c>
      <c r="M1262" s="2" t="s">
        <v>19</v>
      </c>
      <c r="N1262" s="2" t="s">
        <v>21</v>
      </c>
      <c r="O1262">
        <f t="shared" si="38"/>
        <v>2.0840000000000032</v>
      </c>
      <c r="P1262">
        <f t="shared" si="39"/>
        <v>51.449999999999996</v>
      </c>
    </row>
    <row r="1263" spans="1:16" x14ac:dyDescent="0.35">
      <c r="A1263" s="9" t="s">
        <v>302</v>
      </c>
      <c r="B1263" s="2">
        <v>142.97200000000001</v>
      </c>
      <c r="C1263" s="2">
        <v>144.696</v>
      </c>
      <c r="D1263" s="2">
        <v>140.12700000000001</v>
      </c>
      <c r="E1263" s="2">
        <v>141.56700000000001</v>
      </c>
      <c r="F1263" s="2">
        <v>24095756</v>
      </c>
      <c r="G1263" s="2" t="s">
        <v>561</v>
      </c>
      <c r="H1263" s="2" t="s">
        <v>562</v>
      </c>
      <c r="I1263" s="2" t="s">
        <v>17</v>
      </c>
      <c r="J1263" s="4">
        <v>-0.14099999999999999</v>
      </c>
      <c r="K1263" s="2" t="s">
        <v>295</v>
      </c>
      <c r="L1263" s="2">
        <v>2024</v>
      </c>
      <c r="M1263" s="2" t="s">
        <v>19</v>
      </c>
      <c r="N1263" s="2" t="s">
        <v>23</v>
      </c>
      <c r="O1263">
        <f t="shared" si="38"/>
        <v>4.5689999999999884</v>
      </c>
      <c r="P1263">
        <f t="shared" si="39"/>
        <v>51.308999999999997</v>
      </c>
    </row>
    <row r="1264" spans="1:16" x14ac:dyDescent="0.35">
      <c r="A1264" s="9" t="s">
        <v>303</v>
      </c>
      <c r="B1264" s="2">
        <v>142.154</v>
      </c>
      <c r="C1264" s="2">
        <v>142.67699999999999</v>
      </c>
      <c r="D1264" s="2">
        <v>141.30699999999999</v>
      </c>
      <c r="E1264" s="2">
        <v>142.13399999999999</v>
      </c>
      <c r="F1264" s="2">
        <v>18853613</v>
      </c>
      <c r="G1264" s="2" t="s">
        <v>561</v>
      </c>
      <c r="H1264" s="2" t="s">
        <v>562</v>
      </c>
      <c r="I1264" s="2" t="s">
        <v>17</v>
      </c>
      <c r="J1264" s="3">
        <v>0.40100000000000002</v>
      </c>
      <c r="K1264" s="2" t="s">
        <v>295</v>
      </c>
      <c r="L1264" s="2">
        <v>2024</v>
      </c>
      <c r="M1264" s="2" t="s">
        <v>19</v>
      </c>
      <c r="N1264" s="2" t="s">
        <v>21</v>
      </c>
      <c r="O1264">
        <f t="shared" si="38"/>
        <v>1.3700000000000045</v>
      </c>
      <c r="P1264">
        <f t="shared" si="39"/>
        <v>51.71</v>
      </c>
    </row>
    <row r="1265" spans="1:16" x14ac:dyDescent="0.35">
      <c r="A1265" s="9" t="s">
        <v>304</v>
      </c>
      <c r="B1265" s="2">
        <v>141.48699999999999</v>
      </c>
      <c r="C1265" s="2">
        <v>143.82900000000001</v>
      </c>
      <c r="D1265" s="2">
        <v>140.93899999999999</v>
      </c>
      <c r="E1265" s="2">
        <v>141.97499999999999</v>
      </c>
      <c r="F1265" s="2">
        <v>22752649</v>
      </c>
      <c r="G1265" s="2" t="s">
        <v>561</v>
      </c>
      <c r="H1265" s="2" t="s">
        <v>562</v>
      </c>
      <c r="I1265" s="2" t="s">
        <v>17</v>
      </c>
      <c r="J1265" s="4">
        <v>-0.112</v>
      </c>
      <c r="K1265" s="2" t="s">
        <v>295</v>
      </c>
      <c r="L1265" s="2">
        <v>2024</v>
      </c>
      <c r="M1265" s="2" t="s">
        <v>19</v>
      </c>
      <c r="N1265" s="2" t="s">
        <v>23</v>
      </c>
      <c r="O1265">
        <f t="shared" si="38"/>
        <v>2.8900000000000148</v>
      </c>
      <c r="P1265">
        <f t="shared" si="39"/>
        <v>51.597999999999999</v>
      </c>
    </row>
    <row r="1266" spans="1:16" x14ac:dyDescent="0.35">
      <c r="A1266" s="9" t="s">
        <v>305</v>
      </c>
      <c r="B1266" s="2">
        <v>140.83500000000001</v>
      </c>
      <c r="C1266" s="2">
        <v>141.327</v>
      </c>
      <c r="D1266" s="2">
        <v>138.398</v>
      </c>
      <c r="E1266" s="2">
        <v>140.959</v>
      </c>
      <c r="F1266" s="2">
        <v>21044662</v>
      </c>
      <c r="G1266" s="2" t="s">
        <v>561</v>
      </c>
      <c r="H1266" s="2" t="s">
        <v>562</v>
      </c>
      <c r="I1266" s="2" t="s">
        <v>17</v>
      </c>
      <c r="J1266" s="4">
        <v>-0.71599999999999997</v>
      </c>
      <c r="K1266" s="2" t="s">
        <v>295</v>
      </c>
      <c r="L1266" s="2">
        <v>2024</v>
      </c>
      <c r="M1266" s="2" t="s">
        <v>19</v>
      </c>
      <c r="N1266" s="2" t="s">
        <v>23</v>
      </c>
      <c r="O1266">
        <f t="shared" si="38"/>
        <v>2.929000000000002</v>
      </c>
      <c r="P1266">
        <f t="shared" si="39"/>
        <v>50.881999999999998</v>
      </c>
    </row>
    <row r="1267" spans="1:16" x14ac:dyDescent="0.35">
      <c r="A1267" s="9" t="s">
        <v>306</v>
      </c>
      <c r="B1267" s="2">
        <v>141.53700000000001</v>
      </c>
      <c r="C1267" s="2">
        <v>143.68899999999999</v>
      </c>
      <c r="D1267" s="2">
        <v>141.477</v>
      </c>
      <c r="E1267" s="2">
        <v>142.96199999999999</v>
      </c>
      <c r="F1267" s="2">
        <v>25839750</v>
      </c>
      <c r="G1267" s="2" t="s">
        <v>561</v>
      </c>
      <c r="H1267" s="2" t="s">
        <v>562</v>
      </c>
      <c r="I1267" s="2" t="s">
        <v>17</v>
      </c>
      <c r="J1267" s="3">
        <v>1.421</v>
      </c>
      <c r="K1267" s="2" t="s">
        <v>295</v>
      </c>
      <c r="L1267" s="2">
        <v>2024</v>
      </c>
      <c r="M1267" s="2" t="s">
        <v>19</v>
      </c>
      <c r="N1267" s="2" t="s">
        <v>21</v>
      </c>
      <c r="O1267">
        <f t="shared" si="38"/>
        <v>2.2119999999999891</v>
      </c>
      <c r="P1267">
        <f t="shared" si="39"/>
        <v>52.302999999999997</v>
      </c>
    </row>
    <row r="1268" spans="1:16" x14ac:dyDescent="0.35">
      <c r="A1268" s="9" t="s">
        <v>307</v>
      </c>
      <c r="B1268" s="2">
        <v>144.21700000000001</v>
      </c>
      <c r="C1268" s="2">
        <v>145.92099999999999</v>
      </c>
      <c r="D1268" s="2">
        <v>143.858</v>
      </c>
      <c r="E1268" s="2">
        <v>145.851</v>
      </c>
      <c r="F1268" s="2">
        <v>34396105</v>
      </c>
      <c r="G1268" s="2" t="s">
        <v>561</v>
      </c>
      <c r="H1268" s="2" t="s">
        <v>562</v>
      </c>
      <c r="I1268" s="2" t="s">
        <v>17</v>
      </c>
      <c r="J1268" s="3">
        <v>2.0209999999999999</v>
      </c>
      <c r="K1268" s="2" t="s">
        <v>295</v>
      </c>
      <c r="L1268" s="2">
        <v>2024</v>
      </c>
      <c r="M1268" s="2" t="s">
        <v>19</v>
      </c>
      <c r="N1268" s="2" t="s">
        <v>21</v>
      </c>
      <c r="O1268">
        <f t="shared" si="38"/>
        <v>2.0629999999999882</v>
      </c>
      <c r="P1268">
        <f t="shared" si="39"/>
        <v>54.323999999999998</v>
      </c>
    </row>
    <row r="1269" spans="1:16" x14ac:dyDescent="0.35">
      <c r="A1269" s="9" t="s">
        <v>308</v>
      </c>
      <c r="B1269" s="2">
        <v>146.56800000000001</v>
      </c>
      <c r="C1269" s="2">
        <v>147.85499999999999</v>
      </c>
      <c r="D1269" s="2">
        <v>145.31299999999999</v>
      </c>
      <c r="E1269" s="2">
        <v>145.46299999999999</v>
      </c>
      <c r="F1269" s="2">
        <v>32317098</v>
      </c>
      <c r="G1269" s="2" t="s">
        <v>561</v>
      </c>
      <c r="H1269" s="2" t="s">
        <v>562</v>
      </c>
      <c r="I1269" s="2" t="s">
        <v>17</v>
      </c>
      <c r="J1269" s="4">
        <v>-0.26600000000000001</v>
      </c>
      <c r="K1269" s="2" t="s">
        <v>295</v>
      </c>
      <c r="L1269" s="2">
        <v>2024</v>
      </c>
      <c r="M1269" s="2" t="s">
        <v>19</v>
      </c>
      <c r="N1269" s="2" t="s">
        <v>23</v>
      </c>
      <c r="O1269">
        <f t="shared" si="38"/>
        <v>2.5420000000000016</v>
      </c>
      <c r="P1269">
        <f t="shared" si="39"/>
        <v>54.058</v>
      </c>
    </row>
    <row r="1270" spans="1:16" x14ac:dyDescent="0.35">
      <c r="A1270" s="9" t="s">
        <v>309</v>
      </c>
      <c r="B1270" s="2">
        <v>145.363</v>
      </c>
      <c r="C1270" s="2">
        <v>146.65</v>
      </c>
      <c r="D1270" s="2">
        <v>144.97399999999999</v>
      </c>
      <c r="E1270" s="2">
        <v>146.50800000000001</v>
      </c>
      <c r="F1270" s="2">
        <v>21714562</v>
      </c>
      <c r="G1270" s="2" t="s">
        <v>561</v>
      </c>
      <c r="H1270" s="2" t="s">
        <v>562</v>
      </c>
      <c r="I1270" s="2" t="s">
        <v>17</v>
      </c>
      <c r="J1270" s="3">
        <v>0.71799999999999997</v>
      </c>
      <c r="K1270" s="2" t="s">
        <v>295</v>
      </c>
      <c r="L1270" s="2">
        <v>2024</v>
      </c>
      <c r="M1270" s="2" t="s">
        <v>19</v>
      </c>
      <c r="N1270" s="2" t="s">
        <v>21</v>
      </c>
      <c r="O1270">
        <f t="shared" si="38"/>
        <v>1.6760000000000161</v>
      </c>
      <c r="P1270">
        <f t="shared" si="39"/>
        <v>54.775999999999996</v>
      </c>
    </row>
    <row r="1271" spans="1:16" x14ac:dyDescent="0.35">
      <c r="A1271" s="9" t="s">
        <v>310</v>
      </c>
      <c r="B1271" s="2">
        <v>148.00299999999999</v>
      </c>
      <c r="C1271" s="2">
        <v>149.31399999999999</v>
      </c>
      <c r="D1271" s="2">
        <v>147.565</v>
      </c>
      <c r="E1271" s="2">
        <v>148.16300000000001</v>
      </c>
      <c r="F1271" s="2">
        <v>25324923</v>
      </c>
      <c r="G1271" s="2" t="s">
        <v>561</v>
      </c>
      <c r="H1271" s="2" t="s">
        <v>562</v>
      </c>
      <c r="I1271" s="2" t="s">
        <v>17</v>
      </c>
      <c r="J1271" s="3">
        <v>1.1299999999999999</v>
      </c>
      <c r="K1271" s="2" t="s">
        <v>295</v>
      </c>
      <c r="L1271" s="2">
        <v>2024</v>
      </c>
      <c r="M1271" s="2" t="s">
        <v>19</v>
      </c>
      <c r="N1271" s="2" t="s">
        <v>21</v>
      </c>
      <c r="O1271">
        <f t="shared" si="38"/>
        <v>1.7489999999999952</v>
      </c>
      <c r="P1271">
        <f t="shared" si="39"/>
        <v>55.905999999999999</v>
      </c>
    </row>
    <row r="1272" spans="1:16" x14ac:dyDescent="0.35">
      <c r="A1272" s="9" t="s">
        <v>311</v>
      </c>
      <c r="B1272" s="2">
        <v>149.523</v>
      </c>
      <c r="C1272" s="2">
        <v>152.49700000000001</v>
      </c>
      <c r="D1272" s="2">
        <v>149</v>
      </c>
      <c r="E1272" s="2">
        <v>151.322</v>
      </c>
      <c r="F1272" s="2">
        <v>29254737</v>
      </c>
      <c r="G1272" s="2" t="s">
        <v>561</v>
      </c>
      <c r="H1272" s="2" t="s">
        <v>562</v>
      </c>
      <c r="I1272" s="2" t="s">
        <v>17</v>
      </c>
      <c r="J1272" s="3">
        <v>2.1320000000000001</v>
      </c>
      <c r="K1272" s="2" t="s">
        <v>295</v>
      </c>
      <c r="L1272" s="2">
        <v>2024</v>
      </c>
      <c r="M1272" s="2" t="s">
        <v>19</v>
      </c>
      <c r="N1272" s="2" t="s">
        <v>21</v>
      </c>
      <c r="O1272">
        <f t="shared" si="38"/>
        <v>3.4970000000000141</v>
      </c>
      <c r="P1272">
        <f t="shared" si="39"/>
        <v>58.037999999999997</v>
      </c>
    </row>
    <row r="1273" spans="1:16" x14ac:dyDescent="0.35">
      <c r="A1273" s="9" t="s">
        <v>312</v>
      </c>
      <c r="B1273" s="2">
        <v>150.554</v>
      </c>
      <c r="C1273" s="2">
        <v>151.98400000000001</v>
      </c>
      <c r="D1273" s="2">
        <v>150.465</v>
      </c>
      <c r="E1273" s="2">
        <v>151.636</v>
      </c>
      <c r="F1273" s="2">
        <v>26210165</v>
      </c>
      <c r="G1273" s="2" t="s">
        <v>561</v>
      </c>
      <c r="H1273" s="2" t="s">
        <v>562</v>
      </c>
      <c r="I1273" s="2" t="s">
        <v>17</v>
      </c>
      <c r="J1273" s="3">
        <v>0.20799999999999999</v>
      </c>
      <c r="K1273" s="2" t="s">
        <v>295</v>
      </c>
      <c r="L1273" s="2">
        <v>2024</v>
      </c>
      <c r="M1273" s="2" t="s">
        <v>19</v>
      </c>
      <c r="N1273" s="2" t="s">
        <v>21</v>
      </c>
      <c r="O1273">
        <f t="shared" si="38"/>
        <v>1.5190000000000055</v>
      </c>
      <c r="P1273">
        <f t="shared" si="39"/>
        <v>58.245999999999995</v>
      </c>
    </row>
    <row r="1274" spans="1:16" x14ac:dyDescent="0.35">
      <c r="A1274" s="9" t="s">
        <v>313</v>
      </c>
      <c r="B1274" s="2">
        <v>151.511</v>
      </c>
      <c r="C1274" s="2">
        <v>153.22399999999999</v>
      </c>
      <c r="D1274" s="2">
        <v>150.88300000000001</v>
      </c>
      <c r="E1274" s="2">
        <v>152.95599999999999</v>
      </c>
      <c r="F1274" s="2">
        <v>27884979</v>
      </c>
      <c r="G1274" s="2" t="s">
        <v>561</v>
      </c>
      <c r="H1274" s="2" t="s">
        <v>562</v>
      </c>
      <c r="I1274" s="2" t="s">
        <v>17</v>
      </c>
      <c r="J1274" s="3">
        <v>0.871</v>
      </c>
      <c r="K1274" s="2" t="s">
        <v>295</v>
      </c>
      <c r="L1274" s="2">
        <v>2024</v>
      </c>
      <c r="M1274" s="2" t="s">
        <v>19</v>
      </c>
      <c r="N1274" s="2" t="s">
        <v>21</v>
      </c>
      <c r="O1274">
        <f t="shared" si="38"/>
        <v>2.3409999999999798</v>
      </c>
      <c r="P1274">
        <f t="shared" si="39"/>
        <v>59.116999999999997</v>
      </c>
    </row>
    <row r="1275" spans="1:16" x14ac:dyDescent="0.35">
      <c r="A1275" s="9" t="s">
        <v>314</v>
      </c>
      <c r="B1275" s="2">
        <v>152.249</v>
      </c>
      <c r="C1275" s="2">
        <v>153.066</v>
      </c>
      <c r="D1275" s="2">
        <v>150.63900000000001</v>
      </c>
      <c r="E1275" s="2">
        <v>150.91300000000001</v>
      </c>
      <c r="F1275" s="2">
        <v>36463539</v>
      </c>
      <c r="G1275" s="2" t="s">
        <v>561</v>
      </c>
      <c r="H1275" s="2" t="s">
        <v>562</v>
      </c>
      <c r="I1275" s="2" t="s">
        <v>17</v>
      </c>
      <c r="J1275" s="4">
        <v>-1.3360000000000001</v>
      </c>
      <c r="K1275" s="2" t="s">
        <v>295</v>
      </c>
      <c r="L1275" s="2">
        <v>2024</v>
      </c>
      <c r="M1275" s="2" t="s">
        <v>19</v>
      </c>
      <c r="N1275" s="2" t="s">
        <v>23</v>
      </c>
      <c r="O1275">
        <f t="shared" si="38"/>
        <v>2.4269999999999925</v>
      </c>
      <c r="P1275">
        <f t="shared" si="39"/>
        <v>57.780999999999999</v>
      </c>
    </row>
    <row r="1276" spans="1:16" x14ac:dyDescent="0.35">
      <c r="A1276" s="9" t="s">
        <v>315</v>
      </c>
      <c r="B1276" s="2">
        <v>143.101</v>
      </c>
      <c r="C1276" s="2">
        <v>143.47999999999999</v>
      </c>
      <c r="D1276" s="2">
        <v>139.36500000000001</v>
      </c>
      <c r="E1276" s="2">
        <v>139.59399999999999</v>
      </c>
      <c r="F1276" s="2">
        <v>72170725</v>
      </c>
      <c r="G1276" s="2" t="s">
        <v>561</v>
      </c>
      <c r="H1276" s="2" t="s">
        <v>562</v>
      </c>
      <c r="I1276" s="2" t="s">
        <v>17</v>
      </c>
      <c r="J1276" s="4">
        <v>-7.5</v>
      </c>
      <c r="K1276" s="2" t="s">
        <v>295</v>
      </c>
      <c r="L1276" s="2">
        <v>2024</v>
      </c>
      <c r="M1276" s="2" t="s">
        <v>19</v>
      </c>
      <c r="N1276" s="2" t="s">
        <v>23</v>
      </c>
      <c r="O1276">
        <f t="shared" si="38"/>
        <v>4.1149999999999807</v>
      </c>
      <c r="P1276">
        <f t="shared" si="39"/>
        <v>50.280999999999999</v>
      </c>
    </row>
    <row r="1277" spans="1:16" x14ac:dyDescent="0.35">
      <c r="A1277" s="9" t="s">
        <v>316</v>
      </c>
      <c r="B1277" s="2">
        <v>141.607</v>
      </c>
      <c r="C1277" s="2">
        <v>142.54400000000001</v>
      </c>
      <c r="D1277" s="2">
        <v>140.28200000000001</v>
      </c>
      <c r="E1277" s="2">
        <v>140.65</v>
      </c>
      <c r="F1277" s="2">
        <v>40613244</v>
      </c>
      <c r="G1277" s="2" t="s">
        <v>561</v>
      </c>
      <c r="H1277" s="2" t="s">
        <v>562</v>
      </c>
      <c r="I1277" s="2" t="s">
        <v>17</v>
      </c>
      <c r="J1277" s="3">
        <v>0.75600000000000001</v>
      </c>
      <c r="K1277" s="2" t="s">
        <v>317</v>
      </c>
      <c r="L1277" s="2">
        <v>2024</v>
      </c>
      <c r="M1277" s="2" t="s">
        <v>43</v>
      </c>
      <c r="N1277" s="2" t="s">
        <v>21</v>
      </c>
      <c r="O1277">
        <f t="shared" si="38"/>
        <v>2.2620000000000005</v>
      </c>
      <c r="P1277">
        <f t="shared" si="39"/>
        <v>51.036999999999999</v>
      </c>
    </row>
    <row r="1278" spans="1:16" x14ac:dyDescent="0.35">
      <c r="A1278" s="9" t="s">
        <v>318</v>
      </c>
      <c r="B1278" s="2">
        <v>138.75700000000001</v>
      </c>
      <c r="C1278" s="2">
        <v>142.10499999999999</v>
      </c>
      <c r="D1278" s="2">
        <v>136.00700000000001</v>
      </c>
      <c r="E1278" s="2">
        <v>141.86600000000001</v>
      </c>
      <c r="F1278" s="2">
        <v>62726141</v>
      </c>
      <c r="G1278" s="2" t="s">
        <v>561</v>
      </c>
      <c r="H1278" s="2" t="s">
        <v>562</v>
      </c>
      <c r="I1278" s="2" t="s">
        <v>17</v>
      </c>
      <c r="J1278" s="3">
        <v>0.86499999999999999</v>
      </c>
      <c r="K1278" s="2" t="s">
        <v>317</v>
      </c>
      <c r="L1278" s="2">
        <v>2024</v>
      </c>
      <c r="M1278" s="2" t="s">
        <v>43</v>
      </c>
      <c r="N1278" s="2" t="s">
        <v>21</v>
      </c>
      <c r="O1278">
        <f t="shared" si="38"/>
        <v>6.0979999999999848</v>
      </c>
      <c r="P1278">
        <f t="shared" si="39"/>
        <v>51.902000000000001</v>
      </c>
    </row>
    <row r="1279" spans="1:16" x14ac:dyDescent="0.35">
      <c r="A1279" s="9" t="s">
        <v>319</v>
      </c>
      <c r="B1279" s="2">
        <v>142.304</v>
      </c>
      <c r="C1279" s="2">
        <v>144.94399999999999</v>
      </c>
      <c r="D1279" s="2">
        <v>142.26400000000001</v>
      </c>
      <c r="E1279" s="2">
        <v>143.161</v>
      </c>
      <c r="F1279" s="2">
        <v>38644990</v>
      </c>
      <c r="G1279" s="2" t="s">
        <v>561</v>
      </c>
      <c r="H1279" s="2" t="s">
        <v>562</v>
      </c>
      <c r="I1279" s="2" t="s">
        <v>17</v>
      </c>
      <c r="J1279" s="3">
        <v>0.91300000000000003</v>
      </c>
      <c r="K1279" s="2" t="s">
        <v>317</v>
      </c>
      <c r="L1279" s="2">
        <v>2024</v>
      </c>
      <c r="M1279" s="2" t="s">
        <v>43</v>
      </c>
      <c r="N1279" s="2" t="s">
        <v>21</v>
      </c>
      <c r="O1279">
        <f t="shared" si="38"/>
        <v>2.6799999999999784</v>
      </c>
      <c r="P1279">
        <f t="shared" si="39"/>
        <v>52.814999999999998</v>
      </c>
    </row>
    <row r="1280" spans="1:16" x14ac:dyDescent="0.35">
      <c r="A1280" s="9" t="s">
        <v>320</v>
      </c>
      <c r="B1280" s="2">
        <v>144.12799999999999</v>
      </c>
      <c r="C1280" s="2">
        <v>144.83500000000001</v>
      </c>
      <c r="D1280" s="2">
        <v>142.672</v>
      </c>
      <c r="E1280" s="2">
        <v>143.57900000000001</v>
      </c>
      <c r="F1280" s="2">
        <v>29233793</v>
      </c>
      <c r="G1280" s="2" t="s">
        <v>561</v>
      </c>
      <c r="H1280" s="2" t="s">
        <v>562</v>
      </c>
      <c r="I1280" s="2" t="s">
        <v>17</v>
      </c>
      <c r="J1280" s="3">
        <v>0.29199999999999998</v>
      </c>
      <c r="K1280" s="2" t="s">
        <v>317</v>
      </c>
      <c r="L1280" s="2">
        <v>2024</v>
      </c>
      <c r="M1280" s="2" t="s">
        <v>43</v>
      </c>
      <c r="N1280" s="2" t="s">
        <v>21</v>
      </c>
      <c r="O1280">
        <f t="shared" si="38"/>
        <v>2.1630000000000109</v>
      </c>
      <c r="P1280">
        <f t="shared" si="39"/>
        <v>53.106999999999999</v>
      </c>
    </row>
    <row r="1281" spans="1:16" x14ac:dyDescent="0.35">
      <c r="A1281" s="9" t="s">
        <v>321</v>
      </c>
      <c r="B1281" s="2">
        <v>144.23699999999999</v>
      </c>
      <c r="C1281" s="2">
        <v>145.089</v>
      </c>
      <c r="D1281" s="2">
        <v>143.405</v>
      </c>
      <c r="E1281" s="2">
        <v>145.01400000000001</v>
      </c>
      <c r="F1281" s="2">
        <v>25300246</v>
      </c>
      <c r="G1281" s="2" t="s">
        <v>561</v>
      </c>
      <c r="H1281" s="2" t="s">
        <v>562</v>
      </c>
      <c r="I1281" s="2" t="s">
        <v>17</v>
      </c>
      <c r="J1281" s="3">
        <v>0.999</v>
      </c>
      <c r="K1281" s="2" t="s">
        <v>317</v>
      </c>
      <c r="L1281" s="2">
        <v>2024</v>
      </c>
      <c r="M1281" s="2" t="s">
        <v>43</v>
      </c>
      <c r="N1281" s="2" t="s">
        <v>21</v>
      </c>
      <c r="O1281">
        <f t="shared" si="38"/>
        <v>1.6839999999999975</v>
      </c>
      <c r="P1281">
        <f t="shared" si="39"/>
        <v>54.106000000000002</v>
      </c>
    </row>
    <row r="1282" spans="1:16" x14ac:dyDescent="0.35">
      <c r="A1282" s="9" t="s">
        <v>322</v>
      </c>
      <c r="B1282" s="2">
        <v>145.303</v>
      </c>
      <c r="C1282" s="2">
        <v>145.80099999999999</v>
      </c>
      <c r="D1282" s="2">
        <v>144.58099999999999</v>
      </c>
      <c r="E1282" s="2">
        <v>145.38300000000001</v>
      </c>
      <c r="F1282" s="2">
        <v>22645559</v>
      </c>
      <c r="G1282" s="2" t="s">
        <v>561</v>
      </c>
      <c r="H1282" s="2" t="s">
        <v>562</v>
      </c>
      <c r="I1282" s="2" t="s">
        <v>17</v>
      </c>
      <c r="J1282" s="3">
        <v>0.254</v>
      </c>
      <c r="K1282" s="2" t="s">
        <v>317</v>
      </c>
      <c r="L1282" s="2">
        <v>2024</v>
      </c>
      <c r="M1282" s="2" t="s">
        <v>43</v>
      </c>
      <c r="N1282" s="2" t="s">
        <v>21</v>
      </c>
      <c r="O1282">
        <f t="shared" si="38"/>
        <v>1.2199999999999989</v>
      </c>
      <c r="P1282">
        <f t="shared" si="39"/>
        <v>54.36</v>
      </c>
    </row>
    <row r="1283" spans="1:16" x14ac:dyDescent="0.35">
      <c r="A1283" s="9" t="s">
        <v>323</v>
      </c>
      <c r="B1283" s="2">
        <v>146.15100000000001</v>
      </c>
      <c r="C1283" s="2">
        <v>148.9</v>
      </c>
      <c r="D1283" s="2">
        <v>145.65199999999999</v>
      </c>
      <c r="E1283" s="2">
        <v>148.46199999999999</v>
      </c>
      <c r="F1283" s="2">
        <v>26926763</v>
      </c>
      <c r="G1283" s="2" t="s">
        <v>561</v>
      </c>
      <c r="H1283" s="2" t="s">
        <v>562</v>
      </c>
      <c r="I1283" s="2" t="s">
        <v>17</v>
      </c>
      <c r="J1283" s="3">
        <v>2.1179999999999999</v>
      </c>
      <c r="K1283" s="2" t="s">
        <v>317</v>
      </c>
      <c r="L1283" s="2">
        <v>2024</v>
      </c>
      <c r="M1283" s="2" t="s">
        <v>43</v>
      </c>
      <c r="N1283" s="2" t="s">
        <v>21</v>
      </c>
      <c r="O1283">
        <f t="shared" ref="O1283:O1346" si="40">C1283-D1283</f>
        <v>3.2480000000000189</v>
      </c>
      <c r="P1283">
        <f t="shared" si="39"/>
        <v>56.478000000000002</v>
      </c>
    </row>
    <row r="1284" spans="1:16" x14ac:dyDescent="0.35">
      <c r="A1284" s="9" t="s">
        <v>324</v>
      </c>
      <c r="B1284" s="2">
        <v>147.88499999999999</v>
      </c>
      <c r="C1284" s="2">
        <v>148.79499999999999</v>
      </c>
      <c r="D1284" s="2">
        <v>146.83799999999999</v>
      </c>
      <c r="E1284" s="2">
        <v>146.99799999999999</v>
      </c>
      <c r="F1284" s="2">
        <v>21642256</v>
      </c>
      <c r="G1284" s="2" t="s">
        <v>561</v>
      </c>
      <c r="H1284" s="2" t="s">
        <v>562</v>
      </c>
      <c r="I1284" s="2" t="s">
        <v>17</v>
      </c>
      <c r="J1284" s="4">
        <v>-0.98599999999999999</v>
      </c>
      <c r="K1284" s="2" t="s">
        <v>317</v>
      </c>
      <c r="L1284" s="2">
        <v>2024</v>
      </c>
      <c r="M1284" s="2" t="s">
        <v>43</v>
      </c>
      <c r="N1284" s="2" t="s">
        <v>23</v>
      </c>
      <c r="O1284">
        <f t="shared" si="40"/>
        <v>1.9569999999999936</v>
      </c>
      <c r="P1284">
        <f t="shared" ref="P1284:P1347" si="41">IF(G1284=G1283, P1283+J1284, J1284)</f>
        <v>55.492000000000004</v>
      </c>
    </row>
    <row r="1285" spans="1:16" x14ac:dyDescent="0.35">
      <c r="A1285" s="9" t="s">
        <v>325</v>
      </c>
      <c r="B1285" s="2">
        <v>144.39699999999999</v>
      </c>
      <c r="C1285" s="2">
        <v>146.14099999999999</v>
      </c>
      <c r="D1285" s="2">
        <v>143.17099999999999</v>
      </c>
      <c r="E1285" s="2">
        <v>144.61600000000001</v>
      </c>
      <c r="F1285" s="2">
        <v>27938644</v>
      </c>
      <c r="G1285" s="2" t="s">
        <v>561</v>
      </c>
      <c r="H1285" s="2" t="s">
        <v>562</v>
      </c>
      <c r="I1285" s="2" t="s">
        <v>17</v>
      </c>
      <c r="J1285" s="4">
        <v>-1.62</v>
      </c>
      <c r="K1285" s="2" t="s">
        <v>317</v>
      </c>
      <c r="L1285" s="2">
        <v>2024</v>
      </c>
      <c r="M1285" s="2" t="s">
        <v>43</v>
      </c>
      <c r="N1285" s="2" t="s">
        <v>23</v>
      </c>
      <c r="O1285">
        <f t="shared" si="40"/>
        <v>2.9699999999999989</v>
      </c>
      <c r="P1285">
        <f t="shared" si="41"/>
        <v>53.872000000000007</v>
      </c>
    </row>
    <row r="1286" spans="1:16" x14ac:dyDescent="0.35">
      <c r="A1286" s="9" t="s">
        <v>326</v>
      </c>
      <c r="B1286" s="2">
        <v>145.553</v>
      </c>
      <c r="C1286" s="2">
        <v>145.99100000000001</v>
      </c>
      <c r="D1286" s="2">
        <v>143.57300000000001</v>
      </c>
      <c r="E1286" s="2">
        <v>145.41300000000001</v>
      </c>
      <c r="F1286" s="2">
        <v>22786470</v>
      </c>
      <c r="G1286" s="2" t="s">
        <v>561</v>
      </c>
      <c r="H1286" s="2" t="s">
        <v>562</v>
      </c>
      <c r="I1286" s="2" t="s">
        <v>17</v>
      </c>
      <c r="J1286" s="3">
        <v>0.55100000000000005</v>
      </c>
      <c r="K1286" s="2" t="s">
        <v>317</v>
      </c>
      <c r="L1286" s="2">
        <v>2024</v>
      </c>
      <c r="M1286" s="2" t="s">
        <v>43</v>
      </c>
      <c r="N1286" s="2" t="s">
        <v>21</v>
      </c>
      <c r="O1286">
        <f t="shared" si="40"/>
        <v>2.4180000000000064</v>
      </c>
      <c r="P1286">
        <f t="shared" si="41"/>
        <v>54.423000000000009</v>
      </c>
    </row>
    <row r="1287" spans="1:16" x14ac:dyDescent="0.35">
      <c r="A1287" s="9" t="s">
        <v>327</v>
      </c>
      <c r="B1287" s="2">
        <v>142.624</v>
      </c>
      <c r="C1287" s="2">
        <v>143.001</v>
      </c>
      <c r="D1287" s="2">
        <v>139.953</v>
      </c>
      <c r="E1287" s="2">
        <v>142.25399999999999</v>
      </c>
      <c r="F1287" s="2">
        <v>37726965</v>
      </c>
      <c r="G1287" s="2" t="s">
        <v>561</v>
      </c>
      <c r="H1287" s="2" t="s">
        <v>562</v>
      </c>
      <c r="I1287" s="2" t="s">
        <v>17</v>
      </c>
      <c r="J1287" s="4">
        <v>-2.1720000000000002</v>
      </c>
      <c r="K1287" s="2" t="s">
        <v>317</v>
      </c>
      <c r="L1287" s="2">
        <v>2024</v>
      </c>
      <c r="M1287" s="2" t="s">
        <v>43</v>
      </c>
      <c r="N1287" s="2" t="s">
        <v>23</v>
      </c>
      <c r="O1287">
        <f t="shared" si="40"/>
        <v>3.0480000000000018</v>
      </c>
      <c r="P1287">
        <f t="shared" si="41"/>
        <v>52.251000000000012</v>
      </c>
    </row>
    <row r="1288" spans="1:16" x14ac:dyDescent="0.35">
      <c r="A1288" s="9" t="s">
        <v>328</v>
      </c>
      <c r="B1288" s="2">
        <v>142.47399999999999</v>
      </c>
      <c r="C1288" s="2">
        <v>142.672</v>
      </c>
      <c r="D1288" s="2">
        <v>139.63300000000001</v>
      </c>
      <c r="E1288" s="2">
        <v>140.01300000000001</v>
      </c>
      <c r="F1288" s="2">
        <v>31583004</v>
      </c>
      <c r="G1288" s="2" t="s">
        <v>561</v>
      </c>
      <c r="H1288" s="2" t="s">
        <v>562</v>
      </c>
      <c r="I1288" s="2" t="s">
        <v>17</v>
      </c>
      <c r="J1288" s="4">
        <v>-1.575</v>
      </c>
      <c r="K1288" s="2" t="s">
        <v>317</v>
      </c>
      <c r="L1288" s="2">
        <v>2024</v>
      </c>
      <c r="M1288" s="2" t="s">
        <v>43</v>
      </c>
      <c r="N1288" s="2" t="s">
        <v>23</v>
      </c>
      <c r="O1288">
        <f t="shared" si="40"/>
        <v>3.0389999999999873</v>
      </c>
      <c r="P1288">
        <f t="shared" si="41"/>
        <v>50.676000000000009</v>
      </c>
    </row>
    <row r="1289" spans="1:16" x14ac:dyDescent="0.35">
      <c r="A1289" s="9" t="s">
        <v>329</v>
      </c>
      <c r="B1289" s="2">
        <v>139.15100000000001</v>
      </c>
      <c r="C1289" s="2">
        <v>141.56700000000001</v>
      </c>
      <c r="D1289" s="2">
        <v>138.98599999999999</v>
      </c>
      <c r="E1289" s="2">
        <v>140.61000000000001</v>
      </c>
      <c r="F1289" s="2">
        <v>25026104</v>
      </c>
      <c r="G1289" s="2" t="s">
        <v>561</v>
      </c>
      <c r="H1289" s="2" t="s">
        <v>562</v>
      </c>
      <c r="I1289" s="2" t="s">
        <v>17</v>
      </c>
      <c r="J1289" s="3">
        <v>0.42599999999999999</v>
      </c>
      <c r="K1289" s="2" t="s">
        <v>317</v>
      </c>
      <c r="L1289" s="2">
        <v>2024</v>
      </c>
      <c r="M1289" s="2" t="s">
        <v>43</v>
      </c>
      <c r="N1289" s="2" t="s">
        <v>21</v>
      </c>
      <c r="O1289">
        <f t="shared" si="40"/>
        <v>2.5810000000000173</v>
      </c>
      <c r="P1289">
        <f t="shared" si="41"/>
        <v>51.102000000000011</v>
      </c>
    </row>
    <row r="1290" spans="1:16" x14ac:dyDescent="0.35">
      <c r="A1290" s="9" t="s">
        <v>330</v>
      </c>
      <c r="B1290" s="2">
        <v>140.93899999999999</v>
      </c>
      <c r="C1290" s="2">
        <v>142.17400000000001</v>
      </c>
      <c r="D1290" s="2">
        <v>140.167</v>
      </c>
      <c r="E1290" s="2">
        <v>142.035</v>
      </c>
      <c r="F1290" s="2">
        <v>23400208</v>
      </c>
      <c r="G1290" s="2" t="s">
        <v>561</v>
      </c>
      <c r="H1290" s="2" t="s">
        <v>562</v>
      </c>
      <c r="I1290" s="2" t="s">
        <v>17</v>
      </c>
      <c r="J1290" s="3">
        <v>1.0129999999999999</v>
      </c>
      <c r="K1290" s="2" t="s">
        <v>317</v>
      </c>
      <c r="L1290" s="2">
        <v>2024</v>
      </c>
      <c r="M1290" s="2" t="s">
        <v>43</v>
      </c>
      <c r="N1290" s="2" t="s">
        <v>21</v>
      </c>
      <c r="O1290">
        <f t="shared" si="40"/>
        <v>2.007000000000005</v>
      </c>
      <c r="P1290">
        <f t="shared" si="41"/>
        <v>52.115000000000009</v>
      </c>
    </row>
    <row r="1291" spans="1:16" x14ac:dyDescent="0.35">
      <c r="A1291" s="9" t="s">
        <v>331</v>
      </c>
      <c r="B1291" s="2">
        <v>144.40700000000001</v>
      </c>
      <c r="C1291" s="2">
        <v>144.476</v>
      </c>
      <c r="D1291" s="2">
        <v>142.28399999999999</v>
      </c>
      <c r="E1291" s="2">
        <v>143.56899999999999</v>
      </c>
      <c r="F1291" s="2">
        <v>27290465</v>
      </c>
      <c r="G1291" s="2" t="s">
        <v>561</v>
      </c>
      <c r="H1291" s="2" t="s">
        <v>562</v>
      </c>
      <c r="I1291" s="2" t="s">
        <v>17</v>
      </c>
      <c r="J1291" s="3">
        <v>1.08</v>
      </c>
      <c r="K1291" s="2" t="s">
        <v>317</v>
      </c>
      <c r="L1291" s="2">
        <v>2024</v>
      </c>
      <c r="M1291" s="2" t="s">
        <v>43</v>
      </c>
      <c r="N1291" s="2" t="s">
        <v>21</v>
      </c>
      <c r="O1291">
        <f t="shared" si="40"/>
        <v>2.1920000000000073</v>
      </c>
      <c r="P1291">
        <f t="shared" si="41"/>
        <v>53.195000000000007</v>
      </c>
    </row>
    <row r="1292" spans="1:16" x14ac:dyDescent="0.35">
      <c r="A1292" s="9" t="s">
        <v>332</v>
      </c>
      <c r="B1292" s="2">
        <v>143.15100000000001</v>
      </c>
      <c r="C1292" s="2">
        <v>144.15700000000001</v>
      </c>
      <c r="D1292" s="2">
        <v>142.91200000000001</v>
      </c>
      <c r="E1292" s="2">
        <v>143.44</v>
      </c>
      <c r="F1292" s="2">
        <v>19564418</v>
      </c>
      <c r="G1292" s="2" t="s">
        <v>561</v>
      </c>
      <c r="H1292" s="2" t="s">
        <v>562</v>
      </c>
      <c r="I1292" s="2" t="s">
        <v>17</v>
      </c>
      <c r="J1292" s="4">
        <v>-0.09</v>
      </c>
      <c r="K1292" s="2" t="s">
        <v>317</v>
      </c>
      <c r="L1292" s="2">
        <v>2024</v>
      </c>
      <c r="M1292" s="2" t="s">
        <v>43</v>
      </c>
      <c r="N1292" s="2" t="s">
        <v>23</v>
      </c>
      <c r="O1292">
        <f t="shared" si="40"/>
        <v>1.2450000000000045</v>
      </c>
      <c r="P1292">
        <f t="shared" si="41"/>
        <v>53.105000000000004</v>
      </c>
    </row>
    <row r="1293" spans="1:16" x14ac:dyDescent="0.35">
      <c r="A1293" s="9" t="s">
        <v>333</v>
      </c>
      <c r="B1293" s="2">
        <v>141.62700000000001</v>
      </c>
      <c r="C1293" s="2">
        <v>141.92500000000001</v>
      </c>
      <c r="D1293" s="2">
        <v>136.893</v>
      </c>
      <c r="E1293" s="2">
        <v>137.07300000000001</v>
      </c>
      <c r="F1293" s="2">
        <v>53836251</v>
      </c>
      <c r="G1293" s="2" t="s">
        <v>561</v>
      </c>
      <c r="H1293" s="2" t="s">
        <v>562</v>
      </c>
      <c r="I1293" s="2" t="s">
        <v>17</v>
      </c>
      <c r="J1293" s="4">
        <v>-4.4390000000000001</v>
      </c>
      <c r="K1293" s="2" t="s">
        <v>317</v>
      </c>
      <c r="L1293" s="2">
        <v>2024</v>
      </c>
      <c r="M1293" s="2" t="s">
        <v>43</v>
      </c>
      <c r="N1293" s="2" t="s">
        <v>23</v>
      </c>
      <c r="O1293">
        <f t="shared" si="40"/>
        <v>5.0320000000000107</v>
      </c>
      <c r="P1293">
        <f t="shared" si="41"/>
        <v>48.666000000000004</v>
      </c>
    </row>
    <row r="1294" spans="1:16" x14ac:dyDescent="0.35">
      <c r="A1294" s="9" t="s">
        <v>334</v>
      </c>
      <c r="B1294" s="2">
        <v>137.52099999999999</v>
      </c>
      <c r="C1294" s="2">
        <v>138.74700000000001</v>
      </c>
      <c r="D1294" s="2">
        <v>136.595</v>
      </c>
      <c r="E1294" s="2">
        <v>138.37799999999999</v>
      </c>
      <c r="F1294" s="2">
        <v>33219177</v>
      </c>
      <c r="G1294" s="2" t="s">
        <v>561</v>
      </c>
      <c r="H1294" s="2" t="s">
        <v>562</v>
      </c>
      <c r="I1294" s="2" t="s">
        <v>17</v>
      </c>
      <c r="J1294" s="3">
        <v>0.95199999999999996</v>
      </c>
      <c r="K1294" s="2" t="s">
        <v>317</v>
      </c>
      <c r="L1294" s="2">
        <v>2024</v>
      </c>
      <c r="M1294" s="2" t="s">
        <v>43</v>
      </c>
      <c r="N1294" s="2" t="s">
        <v>21</v>
      </c>
      <c r="O1294">
        <f t="shared" si="40"/>
        <v>2.1520000000000152</v>
      </c>
      <c r="P1294">
        <f t="shared" si="41"/>
        <v>49.618000000000002</v>
      </c>
    </row>
    <row r="1295" spans="1:16" x14ac:dyDescent="0.35">
      <c r="A1295" s="9" t="s">
        <v>335</v>
      </c>
      <c r="B1295" s="2">
        <v>137.40199999999999</v>
      </c>
      <c r="C1295" s="2">
        <v>137.511</v>
      </c>
      <c r="D1295" s="2">
        <v>134.92099999999999</v>
      </c>
      <c r="E1295" s="2">
        <v>135.887</v>
      </c>
      <c r="F1295" s="2">
        <v>37463877</v>
      </c>
      <c r="G1295" s="2" t="s">
        <v>561</v>
      </c>
      <c r="H1295" s="2" t="s">
        <v>562</v>
      </c>
      <c r="I1295" s="2" t="s">
        <v>17</v>
      </c>
      <c r="J1295" s="4">
        <v>-1.8</v>
      </c>
      <c r="K1295" s="2" t="s">
        <v>317</v>
      </c>
      <c r="L1295" s="2">
        <v>2024</v>
      </c>
      <c r="M1295" s="2" t="s">
        <v>43</v>
      </c>
      <c r="N1295" s="2" t="s">
        <v>23</v>
      </c>
      <c r="O1295">
        <f t="shared" si="40"/>
        <v>2.5900000000000034</v>
      </c>
      <c r="P1295">
        <f t="shared" si="41"/>
        <v>47.818000000000005</v>
      </c>
    </row>
    <row r="1296" spans="1:16" x14ac:dyDescent="0.35">
      <c r="A1296" s="9" t="s">
        <v>336</v>
      </c>
      <c r="B1296" s="2">
        <v>136.78399999999999</v>
      </c>
      <c r="C1296" s="2">
        <v>138.358</v>
      </c>
      <c r="D1296" s="2">
        <v>135.90700000000001</v>
      </c>
      <c r="E1296" s="2">
        <v>137.96</v>
      </c>
      <c r="F1296" s="2">
        <v>42285689</v>
      </c>
      <c r="G1296" s="2" t="s">
        <v>561</v>
      </c>
      <c r="H1296" s="2" t="s">
        <v>562</v>
      </c>
      <c r="I1296" s="2" t="s">
        <v>17</v>
      </c>
      <c r="J1296" s="3">
        <v>1.526</v>
      </c>
      <c r="K1296" s="2" t="s">
        <v>317</v>
      </c>
      <c r="L1296" s="2">
        <v>2024</v>
      </c>
      <c r="M1296" s="2" t="s">
        <v>43</v>
      </c>
      <c r="N1296" s="2" t="s">
        <v>21</v>
      </c>
      <c r="O1296">
        <f t="shared" si="40"/>
        <v>2.4509999999999934</v>
      </c>
      <c r="P1296">
        <f t="shared" si="41"/>
        <v>49.344000000000008</v>
      </c>
    </row>
    <row r="1297" spans="1:16" x14ac:dyDescent="0.35">
      <c r="A1297" s="9" t="s">
        <v>337</v>
      </c>
      <c r="B1297" s="2">
        <v>137.93</v>
      </c>
      <c r="C1297" s="2">
        <v>138.36799999999999</v>
      </c>
      <c r="D1297" s="2">
        <v>136.42599999999999</v>
      </c>
      <c r="E1297" s="2">
        <v>136.64400000000001</v>
      </c>
      <c r="F1297" s="2">
        <v>31264041</v>
      </c>
      <c r="G1297" s="2" t="s">
        <v>561</v>
      </c>
      <c r="H1297" s="2" t="s">
        <v>562</v>
      </c>
      <c r="I1297" s="2" t="s">
        <v>17</v>
      </c>
      <c r="J1297" s="4">
        <v>-0.95399999999999996</v>
      </c>
      <c r="K1297" s="2" t="s">
        <v>338</v>
      </c>
      <c r="L1297" s="2">
        <v>2024</v>
      </c>
      <c r="M1297" s="2" t="s">
        <v>64</v>
      </c>
      <c r="N1297" s="2" t="s">
        <v>23</v>
      </c>
      <c r="O1297">
        <f t="shared" si="40"/>
        <v>1.9420000000000073</v>
      </c>
      <c r="P1297">
        <f t="shared" si="41"/>
        <v>48.390000000000008</v>
      </c>
    </row>
    <row r="1298" spans="1:16" x14ac:dyDescent="0.35">
      <c r="A1298" s="9" t="s">
        <v>339</v>
      </c>
      <c r="B1298" s="2">
        <v>135.16900000000001</v>
      </c>
      <c r="C1298" s="2">
        <v>135.16900000000001</v>
      </c>
      <c r="D1298" s="2">
        <v>131.43299999999999</v>
      </c>
      <c r="E1298" s="2">
        <v>132.86799999999999</v>
      </c>
      <c r="F1298" s="2">
        <v>56202418</v>
      </c>
      <c r="G1298" s="2" t="s">
        <v>561</v>
      </c>
      <c r="H1298" s="2" t="s">
        <v>562</v>
      </c>
      <c r="I1298" s="2" t="s">
        <v>17</v>
      </c>
      <c r="J1298" s="4">
        <v>-2.7629999999999999</v>
      </c>
      <c r="K1298" s="2" t="s">
        <v>338</v>
      </c>
      <c r="L1298" s="2">
        <v>2024</v>
      </c>
      <c r="M1298" s="2" t="s">
        <v>64</v>
      </c>
      <c r="N1298" s="2" t="s">
        <v>23</v>
      </c>
      <c r="O1298">
        <f t="shared" si="40"/>
        <v>3.7360000000000184</v>
      </c>
      <c r="P1298">
        <f t="shared" si="41"/>
        <v>45.62700000000001</v>
      </c>
    </row>
    <row r="1299" spans="1:16" x14ac:dyDescent="0.35">
      <c r="A1299" s="9" t="s">
        <v>340</v>
      </c>
      <c r="B1299" s="2">
        <v>131.40299999999999</v>
      </c>
      <c r="C1299" s="2">
        <v>132.75899999999999</v>
      </c>
      <c r="D1299" s="2">
        <v>130.19300000000001</v>
      </c>
      <c r="E1299" s="2">
        <v>132.191</v>
      </c>
      <c r="F1299" s="2">
        <v>40340467</v>
      </c>
      <c r="G1299" s="2" t="s">
        <v>561</v>
      </c>
      <c r="H1299" s="2" t="s">
        <v>562</v>
      </c>
      <c r="I1299" s="2" t="s">
        <v>17</v>
      </c>
      <c r="J1299" s="4">
        <v>-0.51</v>
      </c>
      <c r="K1299" s="2" t="s">
        <v>338</v>
      </c>
      <c r="L1299" s="2">
        <v>2024</v>
      </c>
      <c r="M1299" s="2" t="s">
        <v>64</v>
      </c>
      <c r="N1299" s="2" t="s">
        <v>23</v>
      </c>
      <c r="O1299">
        <f t="shared" si="40"/>
        <v>2.5659999999999741</v>
      </c>
      <c r="P1299">
        <f t="shared" si="41"/>
        <v>45.117000000000012</v>
      </c>
    </row>
    <row r="1300" spans="1:16" x14ac:dyDescent="0.35">
      <c r="A1300" s="9" t="s">
        <v>341</v>
      </c>
      <c r="B1300" s="2">
        <v>132.63900000000001</v>
      </c>
      <c r="C1300" s="2">
        <v>133.09700000000001</v>
      </c>
      <c r="D1300" s="2">
        <v>130.37799999999999</v>
      </c>
      <c r="E1300" s="2">
        <v>130.92500000000001</v>
      </c>
      <c r="F1300" s="2">
        <v>35446643</v>
      </c>
      <c r="G1300" s="2" t="s">
        <v>561</v>
      </c>
      <c r="H1300" s="2" t="s">
        <v>562</v>
      </c>
      <c r="I1300" s="2" t="s">
        <v>17</v>
      </c>
      <c r="J1300" s="4">
        <v>-0.95799999999999996</v>
      </c>
      <c r="K1300" s="2" t="s">
        <v>338</v>
      </c>
      <c r="L1300" s="2">
        <v>2024</v>
      </c>
      <c r="M1300" s="2" t="s">
        <v>64</v>
      </c>
      <c r="N1300" s="2" t="s">
        <v>23</v>
      </c>
      <c r="O1300">
        <f t="shared" si="40"/>
        <v>2.7190000000000225</v>
      </c>
      <c r="P1300">
        <f t="shared" si="41"/>
        <v>44.159000000000013</v>
      </c>
    </row>
    <row r="1301" spans="1:16" x14ac:dyDescent="0.35">
      <c r="A1301" s="9" t="s">
        <v>342</v>
      </c>
      <c r="B1301" s="2">
        <v>132.315</v>
      </c>
      <c r="C1301" s="2">
        <v>134.452</v>
      </c>
      <c r="D1301" s="2">
        <v>131.13499999999999</v>
      </c>
      <c r="E1301" s="2">
        <v>133.89500000000001</v>
      </c>
      <c r="F1301" s="2">
        <v>37875013</v>
      </c>
      <c r="G1301" s="2" t="s">
        <v>561</v>
      </c>
      <c r="H1301" s="2" t="s">
        <v>562</v>
      </c>
      <c r="I1301" s="2" t="s">
        <v>17</v>
      </c>
      <c r="J1301" s="3">
        <v>2.2679999999999998</v>
      </c>
      <c r="K1301" s="2" t="s">
        <v>338</v>
      </c>
      <c r="L1301" s="2">
        <v>2024</v>
      </c>
      <c r="M1301" s="2" t="s">
        <v>64</v>
      </c>
      <c r="N1301" s="2" t="s">
        <v>21</v>
      </c>
      <c r="O1301">
        <f t="shared" si="40"/>
        <v>3.3170000000000073</v>
      </c>
      <c r="P1301">
        <f t="shared" si="41"/>
        <v>46.427000000000014</v>
      </c>
    </row>
    <row r="1302" spans="1:16" x14ac:dyDescent="0.35">
      <c r="A1302" s="9" t="s">
        <v>343</v>
      </c>
      <c r="B1302" s="2">
        <v>133.72499999999999</v>
      </c>
      <c r="C1302" s="2">
        <v>137.58600000000001</v>
      </c>
      <c r="D1302" s="2">
        <v>133.51599999999999</v>
      </c>
      <c r="E1302" s="2">
        <v>134.92099999999999</v>
      </c>
      <c r="F1302" s="2">
        <v>39513113</v>
      </c>
      <c r="G1302" s="2" t="s">
        <v>561</v>
      </c>
      <c r="H1302" s="2" t="s">
        <v>562</v>
      </c>
      <c r="I1302" s="2" t="s">
        <v>17</v>
      </c>
      <c r="J1302" s="3">
        <v>0.76600000000000001</v>
      </c>
      <c r="K1302" s="2" t="s">
        <v>338</v>
      </c>
      <c r="L1302" s="2">
        <v>2024</v>
      </c>
      <c r="M1302" s="2" t="s">
        <v>64</v>
      </c>
      <c r="N1302" s="2" t="s">
        <v>21</v>
      </c>
      <c r="O1302">
        <f t="shared" si="40"/>
        <v>4.0700000000000216</v>
      </c>
      <c r="P1302">
        <f t="shared" si="41"/>
        <v>47.193000000000012</v>
      </c>
    </row>
    <row r="1303" spans="1:16" x14ac:dyDescent="0.35">
      <c r="A1303" s="9" t="s">
        <v>344</v>
      </c>
      <c r="B1303" s="2">
        <v>135.63900000000001</v>
      </c>
      <c r="C1303" s="2">
        <v>138.59299999999999</v>
      </c>
      <c r="D1303" s="2">
        <v>135.63900000000001</v>
      </c>
      <c r="E1303" s="2">
        <v>137.173</v>
      </c>
      <c r="F1303" s="2">
        <v>32555362</v>
      </c>
      <c r="G1303" s="2" t="s">
        <v>561</v>
      </c>
      <c r="H1303" s="2" t="s">
        <v>562</v>
      </c>
      <c r="I1303" s="2" t="s">
        <v>17</v>
      </c>
      <c r="J1303" s="3">
        <v>1.669</v>
      </c>
      <c r="K1303" s="2" t="s">
        <v>338</v>
      </c>
      <c r="L1303" s="2">
        <v>2024</v>
      </c>
      <c r="M1303" s="2" t="s">
        <v>64</v>
      </c>
      <c r="N1303" s="2" t="s">
        <v>21</v>
      </c>
      <c r="O1303">
        <f t="shared" si="40"/>
        <v>2.9539999999999793</v>
      </c>
      <c r="P1303">
        <f t="shared" si="41"/>
        <v>48.862000000000009</v>
      </c>
    </row>
    <row r="1304" spans="1:16" x14ac:dyDescent="0.35">
      <c r="A1304" s="9" t="s">
        <v>345</v>
      </c>
      <c r="B1304" s="2">
        <v>136.536</v>
      </c>
      <c r="C1304" s="2">
        <v>138.87200000000001</v>
      </c>
      <c r="D1304" s="2">
        <v>136.536</v>
      </c>
      <c r="E1304" s="2">
        <v>138</v>
      </c>
      <c r="F1304" s="2">
        <v>27663273</v>
      </c>
      <c r="G1304" s="2" t="s">
        <v>561</v>
      </c>
      <c r="H1304" s="2" t="s">
        <v>562</v>
      </c>
      <c r="I1304" s="2" t="s">
        <v>17</v>
      </c>
      <c r="J1304" s="3">
        <v>0.60299999999999998</v>
      </c>
      <c r="K1304" s="2" t="s">
        <v>338</v>
      </c>
      <c r="L1304" s="2">
        <v>2024</v>
      </c>
      <c r="M1304" s="2" t="s">
        <v>64</v>
      </c>
      <c r="N1304" s="2" t="s">
        <v>21</v>
      </c>
      <c r="O1304">
        <f t="shared" si="40"/>
        <v>2.3360000000000127</v>
      </c>
      <c r="P1304">
        <f t="shared" si="41"/>
        <v>49.465000000000011</v>
      </c>
    </row>
    <row r="1305" spans="1:16" x14ac:dyDescent="0.35">
      <c r="A1305" s="9" t="s">
        <v>346</v>
      </c>
      <c r="B1305" s="2">
        <v>138.49799999999999</v>
      </c>
      <c r="C1305" s="2">
        <v>140.58000000000001</v>
      </c>
      <c r="D1305" s="2">
        <v>138.488</v>
      </c>
      <c r="E1305" s="2">
        <v>139.285</v>
      </c>
      <c r="F1305" s="2">
        <v>23431843</v>
      </c>
      <c r="G1305" s="2" t="s">
        <v>561</v>
      </c>
      <c r="H1305" s="2" t="s">
        <v>562</v>
      </c>
      <c r="I1305" s="2" t="s">
        <v>17</v>
      </c>
      <c r="J1305" s="3">
        <v>0.93100000000000005</v>
      </c>
      <c r="K1305" s="2" t="s">
        <v>338</v>
      </c>
      <c r="L1305" s="2">
        <v>2024</v>
      </c>
      <c r="M1305" s="2" t="s">
        <v>64</v>
      </c>
      <c r="N1305" s="2" t="s">
        <v>21</v>
      </c>
      <c r="O1305">
        <f t="shared" si="40"/>
        <v>2.092000000000013</v>
      </c>
      <c r="P1305">
        <f t="shared" si="41"/>
        <v>50.396000000000008</v>
      </c>
    </row>
    <row r="1306" spans="1:16" x14ac:dyDescent="0.35">
      <c r="A1306" s="9" t="s">
        <v>347</v>
      </c>
      <c r="B1306" s="2">
        <v>140.68</v>
      </c>
      <c r="C1306" s="2">
        <v>143.066</v>
      </c>
      <c r="D1306" s="2">
        <v>139.94800000000001</v>
      </c>
      <c r="E1306" s="2">
        <v>142.584</v>
      </c>
      <c r="F1306" s="2">
        <v>42908372</v>
      </c>
      <c r="G1306" s="2" t="s">
        <v>561</v>
      </c>
      <c r="H1306" s="2" t="s">
        <v>562</v>
      </c>
      <c r="I1306" s="2" t="s">
        <v>17</v>
      </c>
      <c r="J1306" s="3">
        <v>2.3690000000000002</v>
      </c>
      <c r="K1306" s="2" t="s">
        <v>338</v>
      </c>
      <c r="L1306" s="2">
        <v>2024</v>
      </c>
      <c r="M1306" s="2" t="s">
        <v>64</v>
      </c>
      <c r="N1306" s="2" t="s">
        <v>21</v>
      </c>
      <c r="O1306">
        <f t="shared" si="40"/>
        <v>3.117999999999995</v>
      </c>
      <c r="P1306">
        <f t="shared" si="41"/>
        <v>52.765000000000008</v>
      </c>
    </row>
    <row r="1307" spans="1:16" x14ac:dyDescent="0.35">
      <c r="A1307" s="9" t="s">
        <v>348</v>
      </c>
      <c r="B1307" s="2">
        <v>141.98500000000001</v>
      </c>
      <c r="C1307" s="2">
        <v>142.66200000000001</v>
      </c>
      <c r="D1307" s="2">
        <v>139.524</v>
      </c>
      <c r="E1307" s="2">
        <v>140.66999999999999</v>
      </c>
      <c r="F1307" s="2">
        <v>49654770</v>
      </c>
      <c r="G1307" s="2" t="s">
        <v>561</v>
      </c>
      <c r="H1307" s="2" t="s">
        <v>562</v>
      </c>
      <c r="I1307" s="2" t="s">
        <v>17</v>
      </c>
      <c r="J1307" s="4">
        <v>-1.3420000000000001</v>
      </c>
      <c r="K1307" s="2" t="s">
        <v>338</v>
      </c>
      <c r="L1307" s="2">
        <v>2024</v>
      </c>
      <c r="M1307" s="2" t="s">
        <v>64</v>
      </c>
      <c r="N1307" s="2" t="s">
        <v>23</v>
      </c>
      <c r="O1307">
        <f t="shared" si="40"/>
        <v>3.1380000000000052</v>
      </c>
      <c r="P1307">
        <f t="shared" si="41"/>
        <v>51.423000000000009</v>
      </c>
    </row>
    <row r="1308" spans="1:16" x14ac:dyDescent="0.35">
      <c r="A1308" s="9" t="s">
        <v>349</v>
      </c>
      <c r="B1308" s="2">
        <v>148.07300000000001</v>
      </c>
      <c r="C1308" s="2">
        <v>151.601</v>
      </c>
      <c r="D1308" s="2">
        <v>146.63800000000001</v>
      </c>
      <c r="E1308" s="2">
        <v>147.14699999999999</v>
      </c>
      <c r="F1308" s="2">
        <v>69524823</v>
      </c>
      <c r="G1308" s="2" t="s">
        <v>561</v>
      </c>
      <c r="H1308" s="2" t="s">
        <v>562</v>
      </c>
      <c r="I1308" s="2" t="s">
        <v>17</v>
      </c>
      <c r="J1308" s="3">
        <v>4.6040000000000001</v>
      </c>
      <c r="K1308" s="2" t="s">
        <v>338</v>
      </c>
      <c r="L1308" s="2">
        <v>2024</v>
      </c>
      <c r="M1308" s="2" t="s">
        <v>64</v>
      </c>
      <c r="N1308" s="2" t="s">
        <v>21</v>
      </c>
      <c r="O1308">
        <f t="shared" si="40"/>
        <v>4.9629999999999939</v>
      </c>
      <c r="P1308">
        <f t="shared" si="41"/>
        <v>56.027000000000008</v>
      </c>
    </row>
    <row r="1309" spans="1:16" x14ac:dyDescent="0.35">
      <c r="A1309" s="9" t="s">
        <v>350</v>
      </c>
      <c r="B1309" s="2">
        <v>147.625</v>
      </c>
      <c r="C1309" s="2">
        <v>148.25399999999999</v>
      </c>
      <c r="D1309" s="2">
        <v>145.553</v>
      </c>
      <c r="E1309" s="2">
        <v>146.49799999999999</v>
      </c>
      <c r="F1309" s="2">
        <v>24157692</v>
      </c>
      <c r="G1309" s="2" t="s">
        <v>561</v>
      </c>
      <c r="H1309" s="2" t="s">
        <v>562</v>
      </c>
      <c r="I1309" s="2" t="s">
        <v>17</v>
      </c>
      <c r="J1309" s="4">
        <v>-0.441</v>
      </c>
      <c r="K1309" s="2" t="s">
        <v>338</v>
      </c>
      <c r="L1309" s="2">
        <v>2024</v>
      </c>
      <c r="M1309" s="2" t="s">
        <v>64</v>
      </c>
      <c r="N1309" s="2" t="s">
        <v>23</v>
      </c>
      <c r="O1309">
        <f t="shared" si="40"/>
        <v>2.7009999999999934</v>
      </c>
      <c r="P1309">
        <f t="shared" si="41"/>
        <v>55.586000000000006</v>
      </c>
    </row>
    <row r="1310" spans="1:16" x14ac:dyDescent="0.35">
      <c r="A1310" s="9" t="s">
        <v>351</v>
      </c>
      <c r="B1310" s="2">
        <v>147.465</v>
      </c>
      <c r="C1310" s="2">
        <v>148.322</v>
      </c>
      <c r="D1310" s="2">
        <v>146.20500000000001</v>
      </c>
      <c r="E1310" s="2">
        <v>148.202</v>
      </c>
      <c r="F1310" s="2">
        <v>21388757</v>
      </c>
      <c r="G1310" s="2" t="s">
        <v>561</v>
      </c>
      <c r="H1310" s="2" t="s">
        <v>562</v>
      </c>
      <c r="I1310" s="2" t="s">
        <v>17</v>
      </c>
      <c r="J1310" s="3">
        <v>1.163</v>
      </c>
      <c r="K1310" s="2" t="s">
        <v>338</v>
      </c>
      <c r="L1310" s="2">
        <v>2024</v>
      </c>
      <c r="M1310" s="2" t="s">
        <v>64</v>
      </c>
      <c r="N1310" s="2" t="s">
        <v>21</v>
      </c>
      <c r="O1310">
        <f t="shared" si="40"/>
        <v>2.1169999999999902</v>
      </c>
      <c r="P1310">
        <f t="shared" si="41"/>
        <v>56.749000000000002</v>
      </c>
    </row>
    <row r="1311" spans="1:16" x14ac:dyDescent="0.35">
      <c r="A1311" s="9" t="s">
        <v>352</v>
      </c>
      <c r="B1311" s="2">
        <v>148.93</v>
      </c>
      <c r="C1311" s="2">
        <v>149.827</v>
      </c>
      <c r="D1311" s="2">
        <v>146.37</v>
      </c>
      <c r="E1311" s="2">
        <v>147.06700000000001</v>
      </c>
      <c r="F1311" s="2">
        <v>24845338</v>
      </c>
      <c r="G1311" s="2" t="s">
        <v>561</v>
      </c>
      <c r="H1311" s="2" t="s">
        <v>562</v>
      </c>
      <c r="I1311" s="2" t="s">
        <v>17</v>
      </c>
      <c r="J1311" s="4">
        <v>-0.76600000000000001</v>
      </c>
      <c r="K1311" s="2" t="s">
        <v>338</v>
      </c>
      <c r="L1311" s="2">
        <v>2024</v>
      </c>
      <c r="M1311" s="2" t="s">
        <v>64</v>
      </c>
      <c r="N1311" s="2" t="s">
        <v>23</v>
      </c>
      <c r="O1311">
        <f t="shared" si="40"/>
        <v>3.4569999999999936</v>
      </c>
      <c r="P1311">
        <f t="shared" si="41"/>
        <v>55.983000000000004</v>
      </c>
    </row>
    <row r="1312" spans="1:16" x14ac:dyDescent="0.35">
      <c r="A1312" s="9" t="s">
        <v>353</v>
      </c>
      <c r="B1312" s="2">
        <v>148.58199999999999</v>
      </c>
      <c r="C1312" s="2">
        <v>151.03200000000001</v>
      </c>
      <c r="D1312" s="2">
        <v>148.44200000000001</v>
      </c>
      <c r="E1312" s="2">
        <v>150.22499999999999</v>
      </c>
      <c r="F1312" s="2">
        <v>29317664</v>
      </c>
      <c r="G1312" s="2" t="s">
        <v>561</v>
      </c>
      <c r="H1312" s="2" t="s">
        <v>562</v>
      </c>
      <c r="I1312" s="2" t="s">
        <v>17</v>
      </c>
      <c r="J1312" s="3">
        <v>2.1469999999999998</v>
      </c>
      <c r="K1312" s="2" t="s">
        <v>338</v>
      </c>
      <c r="L1312" s="2">
        <v>2024</v>
      </c>
      <c r="M1312" s="2" t="s">
        <v>64</v>
      </c>
      <c r="N1312" s="2" t="s">
        <v>21</v>
      </c>
      <c r="O1312">
        <f t="shared" si="40"/>
        <v>2.5900000000000034</v>
      </c>
      <c r="P1312">
        <f t="shared" si="41"/>
        <v>58.13</v>
      </c>
    </row>
    <row r="1313" spans="1:16" x14ac:dyDescent="0.35">
      <c r="A1313" s="9" t="s">
        <v>354</v>
      </c>
      <c r="B1313" s="2">
        <v>149.399</v>
      </c>
      <c r="C1313" s="2">
        <v>149.83199999999999</v>
      </c>
      <c r="D1313" s="2">
        <v>147.286</v>
      </c>
      <c r="E1313" s="2">
        <v>149.52799999999999</v>
      </c>
      <c r="F1313" s="2">
        <v>19298993</v>
      </c>
      <c r="G1313" s="2" t="s">
        <v>561</v>
      </c>
      <c r="H1313" s="2" t="s">
        <v>562</v>
      </c>
      <c r="I1313" s="2" t="s">
        <v>17</v>
      </c>
      <c r="J1313" s="4">
        <v>-0.46400000000000002</v>
      </c>
      <c r="K1313" s="2" t="s">
        <v>338</v>
      </c>
      <c r="L1313" s="2">
        <v>2024</v>
      </c>
      <c r="M1313" s="2" t="s">
        <v>64</v>
      </c>
      <c r="N1313" s="2" t="s">
        <v>23</v>
      </c>
      <c r="O1313">
        <f t="shared" si="40"/>
        <v>2.5459999999999923</v>
      </c>
      <c r="P1313">
        <f t="shared" si="41"/>
        <v>57.666000000000004</v>
      </c>
    </row>
    <row r="1314" spans="1:16" x14ac:dyDescent="0.35">
      <c r="A1314" s="9" t="s">
        <v>355</v>
      </c>
      <c r="B1314" s="2">
        <v>149.67699999999999</v>
      </c>
      <c r="C1314" s="2">
        <v>151.70500000000001</v>
      </c>
      <c r="D1314" s="2">
        <v>149.43799999999999</v>
      </c>
      <c r="E1314" s="2">
        <v>150.126</v>
      </c>
      <c r="F1314" s="2">
        <v>22229429</v>
      </c>
      <c r="G1314" s="2" t="s">
        <v>561</v>
      </c>
      <c r="H1314" s="2" t="s">
        <v>562</v>
      </c>
      <c r="I1314" s="2" t="s">
        <v>17</v>
      </c>
      <c r="J1314" s="3">
        <v>0.4</v>
      </c>
      <c r="K1314" s="2" t="s">
        <v>338</v>
      </c>
      <c r="L1314" s="2">
        <v>2024</v>
      </c>
      <c r="M1314" s="2" t="s">
        <v>64</v>
      </c>
      <c r="N1314" s="2" t="s">
        <v>21</v>
      </c>
      <c r="O1314">
        <f t="shared" si="40"/>
        <v>2.2670000000000243</v>
      </c>
      <c r="P1314">
        <f t="shared" si="41"/>
        <v>58.066000000000003</v>
      </c>
    </row>
    <row r="1315" spans="1:16" x14ac:dyDescent="0.35">
      <c r="A1315" s="9" t="s">
        <v>356</v>
      </c>
      <c r="B1315" s="2">
        <v>150.63399999999999</v>
      </c>
      <c r="C1315" s="2">
        <v>151.08699999999999</v>
      </c>
      <c r="D1315" s="2">
        <v>148.36199999999999</v>
      </c>
      <c r="E1315" s="2">
        <v>150.32499999999999</v>
      </c>
      <c r="F1315" s="2">
        <v>22962117</v>
      </c>
      <c r="G1315" s="2" t="s">
        <v>561</v>
      </c>
      <c r="H1315" s="2" t="s">
        <v>562</v>
      </c>
      <c r="I1315" s="2" t="s">
        <v>17</v>
      </c>
      <c r="J1315" s="3">
        <v>0.13300000000000001</v>
      </c>
      <c r="K1315" s="2" t="s">
        <v>338</v>
      </c>
      <c r="L1315" s="2">
        <v>2024</v>
      </c>
      <c r="M1315" s="2" t="s">
        <v>64</v>
      </c>
      <c r="N1315" s="2" t="s">
        <v>21</v>
      </c>
      <c r="O1315">
        <f t="shared" si="40"/>
        <v>2.7249999999999943</v>
      </c>
      <c r="P1315">
        <f t="shared" si="41"/>
        <v>58.199000000000005</v>
      </c>
    </row>
    <row r="1316" spans="1:16" x14ac:dyDescent="0.35">
      <c r="A1316" s="9" t="s">
        <v>357</v>
      </c>
      <c r="B1316" s="2">
        <v>150.30500000000001</v>
      </c>
      <c r="C1316" s="2">
        <v>150.88300000000001</v>
      </c>
      <c r="D1316" s="2">
        <v>149.62799999999999</v>
      </c>
      <c r="E1316" s="2">
        <v>150.38499999999999</v>
      </c>
      <c r="F1316" s="2">
        <v>24574152</v>
      </c>
      <c r="G1316" s="2" t="s">
        <v>561</v>
      </c>
      <c r="H1316" s="2" t="s">
        <v>562</v>
      </c>
      <c r="I1316" s="2" t="s">
        <v>17</v>
      </c>
      <c r="J1316" s="3">
        <v>0.04</v>
      </c>
      <c r="K1316" s="2" t="s">
        <v>338</v>
      </c>
      <c r="L1316" s="2">
        <v>2024</v>
      </c>
      <c r="M1316" s="2" t="s">
        <v>64</v>
      </c>
      <c r="N1316" s="2" t="s">
        <v>21</v>
      </c>
      <c r="O1316">
        <f t="shared" si="40"/>
        <v>1.2550000000000239</v>
      </c>
      <c r="P1316">
        <f t="shared" si="41"/>
        <v>58.239000000000004</v>
      </c>
    </row>
    <row r="1317" spans="1:16" x14ac:dyDescent="0.35">
      <c r="A1317" s="9" t="s">
        <v>358</v>
      </c>
      <c r="B1317" s="2">
        <v>150.14599999999999</v>
      </c>
      <c r="C1317" s="2">
        <v>155.17699999999999</v>
      </c>
      <c r="D1317" s="2">
        <v>150.066</v>
      </c>
      <c r="E1317" s="2">
        <v>154.928</v>
      </c>
      <c r="F1317" s="2">
        <v>31845875</v>
      </c>
      <c r="G1317" s="2" t="s">
        <v>561</v>
      </c>
      <c r="H1317" s="2" t="s">
        <v>562</v>
      </c>
      <c r="I1317" s="2" t="s">
        <v>17</v>
      </c>
      <c r="J1317" s="3">
        <v>3.0209999999999999</v>
      </c>
      <c r="K1317" s="2" t="s">
        <v>359</v>
      </c>
      <c r="L1317" s="2">
        <v>2024</v>
      </c>
      <c r="M1317" s="2" t="s">
        <v>89</v>
      </c>
      <c r="N1317" s="2" t="s">
        <v>21</v>
      </c>
      <c r="O1317">
        <f t="shared" si="40"/>
        <v>5.11099999999999</v>
      </c>
      <c r="P1317">
        <f t="shared" si="41"/>
        <v>61.260000000000005</v>
      </c>
    </row>
    <row r="1318" spans="1:16" x14ac:dyDescent="0.35">
      <c r="A1318" s="9" t="s">
        <v>360</v>
      </c>
      <c r="B1318" s="2">
        <v>152.946</v>
      </c>
      <c r="C1318" s="2">
        <v>154.14099999999999</v>
      </c>
      <c r="D1318" s="2">
        <v>151.601</v>
      </c>
      <c r="E1318" s="2">
        <v>154.00200000000001</v>
      </c>
      <c r="F1318" s="2">
        <v>24675111</v>
      </c>
      <c r="G1318" s="2" t="s">
        <v>561</v>
      </c>
      <c r="H1318" s="2" t="s">
        <v>562</v>
      </c>
      <c r="I1318" s="2" t="s">
        <v>17</v>
      </c>
      <c r="J1318" s="4">
        <v>-0.59799999999999998</v>
      </c>
      <c r="K1318" s="2" t="s">
        <v>359</v>
      </c>
      <c r="L1318" s="2">
        <v>2024</v>
      </c>
      <c r="M1318" s="2" t="s">
        <v>89</v>
      </c>
      <c r="N1318" s="2" t="s">
        <v>23</v>
      </c>
      <c r="O1318">
        <f t="shared" si="40"/>
        <v>2.539999999999992</v>
      </c>
      <c r="P1318">
        <f t="shared" si="41"/>
        <v>60.662000000000006</v>
      </c>
    </row>
    <row r="1319" spans="1:16" x14ac:dyDescent="0.35">
      <c r="A1319" s="9" t="s">
        <v>361</v>
      </c>
      <c r="B1319" s="2">
        <v>153.04599999999999</v>
      </c>
      <c r="C1319" s="2">
        <v>154.52000000000001</v>
      </c>
      <c r="D1319" s="2">
        <v>152.179</v>
      </c>
      <c r="E1319" s="2">
        <v>154.36000000000001</v>
      </c>
      <c r="F1319" s="2">
        <v>24794549</v>
      </c>
      <c r="G1319" s="2" t="s">
        <v>561</v>
      </c>
      <c r="H1319" s="2" t="s">
        <v>562</v>
      </c>
      <c r="I1319" s="2" t="s">
        <v>17</v>
      </c>
      <c r="J1319" s="3">
        <v>0.23200000000000001</v>
      </c>
      <c r="K1319" s="2" t="s">
        <v>359</v>
      </c>
      <c r="L1319" s="2">
        <v>2024</v>
      </c>
      <c r="M1319" s="2" t="s">
        <v>89</v>
      </c>
      <c r="N1319" s="2" t="s">
        <v>21</v>
      </c>
      <c r="O1319">
        <f t="shared" si="40"/>
        <v>2.3410000000000082</v>
      </c>
      <c r="P1319">
        <f t="shared" si="41"/>
        <v>60.894000000000005</v>
      </c>
    </row>
    <row r="1320" spans="1:16" x14ac:dyDescent="0.35">
      <c r="A1320" s="9" t="s">
        <v>362</v>
      </c>
      <c r="B1320" s="2">
        <v>152.946</v>
      </c>
      <c r="C1320" s="2">
        <v>154.21100000000001</v>
      </c>
      <c r="D1320" s="2">
        <v>149.90700000000001</v>
      </c>
      <c r="E1320" s="2">
        <v>149.98599999999999</v>
      </c>
      <c r="F1320" s="2">
        <v>34850618</v>
      </c>
      <c r="G1320" s="2" t="s">
        <v>561</v>
      </c>
      <c r="H1320" s="2" t="s">
        <v>562</v>
      </c>
      <c r="I1320" s="2" t="s">
        <v>17</v>
      </c>
      <c r="J1320" s="4">
        <v>-2.8340000000000001</v>
      </c>
      <c r="K1320" s="2" t="s">
        <v>359</v>
      </c>
      <c r="L1320" s="2">
        <v>2024</v>
      </c>
      <c r="M1320" s="2" t="s">
        <v>89</v>
      </c>
      <c r="N1320" s="2" t="s">
        <v>23</v>
      </c>
      <c r="O1320">
        <f t="shared" si="40"/>
        <v>4.304000000000002</v>
      </c>
      <c r="P1320">
        <f t="shared" si="41"/>
        <v>58.06</v>
      </c>
    </row>
    <row r="1321" spans="1:16" x14ac:dyDescent="0.35">
      <c r="A1321" s="9" t="s">
        <v>363</v>
      </c>
      <c r="B1321" s="2">
        <v>149.488</v>
      </c>
      <c r="C1321" s="2">
        <v>152.86600000000001</v>
      </c>
      <c r="D1321" s="2">
        <v>149.059</v>
      </c>
      <c r="E1321" s="2">
        <v>151.94900000000001</v>
      </c>
      <c r="F1321" s="2">
        <v>23544288</v>
      </c>
      <c r="G1321" s="2" t="s">
        <v>561</v>
      </c>
      <c r="H1321" s="2" t="s">
        <v>562</v>
      </c>
      <c r="I1321" s="2" t="s">
        <v>17</v>
      </c>
      <c r="J1321" s="3">
        <v>1.3089999999999999</v>
      </c>
      <c r="K1321" s="2" t="s">
        <v>359</v>
      </c>
      <c r="L1321" s="2">
        <v>2024</v>
      </c>
      <c r="M1321" s="2" t="s">
        <v>89</v>
      </c>
      <c r="N1321" s="2" t="s">
        <v>21</v>
      </c>
      <c r="O1321">
        <f t="shared" si="40"/>
        <v>3.8070000000000164</v>
      </c>
      <c r="P1321">
        <f t="shared" si="41"/>
        <v>59.369</v>
      </c>
    </row>
    <row r="1322" spans="1:16" x14ac:dyDescent="0.35">
      <c r="A1322" s="9" t="s">
        <v>364</v>
      </c>
      <c r="B1322" s="2">
        <v>152.22900000000001</v>
      </c>
      <c r="C1322" s="2">
        <v>154.709</v>
      </c>
      <c r="D1322" s="2">
        <v>152.059</v>
      </c>
      <c r="E1322" s="2">
        <v>154.29</v>
      </c>
      <c r="F1322" s="2">
        <v>20777020</v>
      </c>
      <c r="G1322" s="2" t="s">
        <v>561</v>
      </c>
      <c r="H1322" s="2" t="s">
        <v>562</v>
      </c>
      <c r="I1322" s="2" t="s">
        <v>17</v>
      </c>
      <c r="J1322" s="3">
        <v>1.5409999999999999</v>
      </c>
      <c r="K1322" s="2" t="s">
        <v>359</v>
      </c>
      <c r="L1322" s="2">
        <v>2024</v>
      </c>
      <c r="M1322" s="2" t="s">
        <v>89</v>
      </c>
      <c r="N1322" s="2" t="s">
        <v>21</v>
      </c>
      <c r="O1322">
        <f t="shared" si="40"/>
        <v>2.6500000000000057</v>
      </c>
      <c r="P1322">
        <f t="shared" si="41"/>
        <v>60.91</v>
      </c>
    </row>
    <row r="1323" spans="1:16" x14ac:dyDescent="0.35">
      <c r="A1323" s="9" t="s">
        <v>365</v>
      </c>
      <c r="B1323" s="2">
        <v>155.52099999999999</v>
      </c>
      <c r="C1323" s="2">
        <v>157.98699999999999</v>
      </c>
      <c r="D1323" s="2">
        <v>154.63</v>
      </c>
      <c r="E1323" s="2">
        <v>156.03399999999999</v>
      </c>
      <c r="F1323" s="2">
        <v>31225800</v>
      </c>
      <c r="G1323" s="2" t="s">
        <v>561</v>
      </c>
      <c r="H1323" s="2" t="s">
        <v>562</v>
      </c>
      <c r="I1323" s="2" t="s">
        <v>17</v>
      </c>
      <c r="J1323" s="3">
        <v>1.1299999999999999</v>
      </c>
      <c r="K1323" s="2" t="s">
        <v>359</v>
      </c>
      <c r="L1323" s="2">
        <v>2024</v>
      </c>
      <c r="M1323" s="2" t="s">
        <v>89</v>
      </c>
      <c r="N1323" s="2" t="s">
        <v>21</v>
      </c>
      <c r="O1323">
        <f t="shared" si="40"/>
        <v>3.3569999999999993</v>
      </c>
      <c r="P1323">
        <f t="shared" si="41"/>
        <v>62.04</v>
      </c>
    </row>
    <row r="1324" spans="1:16" x14ac:dyDescent="0.35">
      <c r="A1324" s="9" t="s">
        <v>366</v>
      </c>
      <c r="B1324" s="2">
        <v>155.64599999999999</v>
      </c>
      <c r="C1324" s="2">
        <v>156.04400000000001</v>
      </c>
      <c r="D1324" s="2">
        <v>154.12100000000001</v>
      </c>
      <c r="E1324" s="2">
        <v>155.57599999999999</v>
      </c>
      <c r="F1324" s="2">
        <v>22921421</v>
      </c>
      <c r="G1324" s="2" t="s">
        <v>561</v>
      </c>
      <c r="H1324" s="2" t="s">
        <v>562</v>
      </c>
      <c r="I1324" s="2" t="s">
        <v>17</v>
      </c>
      <c r="J1324" s="4">
        <v>-0.29399999999999998</v>
      </c>
      <c r="K1324" s="2" t="s">
        <v>359</v>
      </c>
      <c r="L1324" s="2">
        <v>2024</v>
      </c>
      <c r="M1324" s="2" t="s">
        <v>89</v>
      </c>
      <c r="N1324" s="2" t="s">
        <v>23</v>
      </c>
      <c r="O1324">
        <f t="shared" si="40"/>
        <v>1.9230000000000018</v>
      </c>
      <c r="P1324">
        <f t="shared" si="41"/>
        <v>61.746000000000002</v>
      </c>
    </row>
    <row r="1325" spans="1:16" x14ac:dyDescent="0.35">
      <c r="A1325" s="9" t="s">
        <v>367</v>
      </c>
      <c r="B1325" s="2">
        <v>156.34299999999999</v>
      </c>
      <c r="C1325" s="2">
        <v>159.10400000000001</v>
      </c>
      <c r="D1325" s="2">
        <v>155.89500000000001</v>
      </c>
      <c r="E1325" s="2">
        <v>158.834</v>
      </c>
      <c r="F1325" s="2">
        <v>27264912</v>
      </c>
      <c r="G1325" s="2" t="s">
        <v>561</v>
      </c>
      <c r="H1325" s="2" t="s">
        <v>562</v>
      </c>
      <c r="I1325" s="2" t="s">
        <v>17</v>
      </c>
      <c r="J1325" s="3">
        <v>2.0939999999999999</v>
      </c>
      <c r="K1325" s="2" t="s">
        <v>359</v>
      </c>
      <c r="L1325" s="2">
        <v>2024</v>
      </c>
      <c r="M1325" s="2" t="s">
        <v>89</v>
      </c>
      <c r="N1325" s="2" t="s">
        <v>21</v>
      </c>
      <c r="O1325">
        <f t="shared" si="40"/>
        <v>3.2090000000000032</v>
      </c>
      <c r="P1325">
        <f t="shared" si="41"/>
        <v>63.84</v>
      </c>
    </row>
    <row r="1326" spans="1:16" x14ac:dyDescent="0.35">
      <c r="A1326" s="9" t="s">
        <v>368</v>
      </c>
      <c r="B1326" s="2">
        <v>157.38999999999999</v>
      </c>
      <c r="C1326" s="2">
        <v>159.64400000000001</v>
      </c>
      <c r="D1326" s="2">
        <v>156.57300000000001</v>
      </c>
      <c r="E1326" s="2">
        <v>157.16</v>
      </c>
      <c r="F1326" s="2">
        <v>25445655</v>
      </c>
      <c r="G1326" s="2" t="s">
        <v>561</v>
      </c>
      <c r="H1326" s="2" t="s">
        <v>562</v>
      </c>
      <c r="I1326" s="2" t="s">
        <v>17</v>
      </c>
      <c r="J1326" s="4">
        <v>-1.054</v>
      </c>
      <c r="K1326" s="2" t="s">
        <v>359</v>
      </c>
      <c r="L1326" s="2">
        <v>2024</v>
      </c>
      <c r="M1326" s="2" t="s">
        <v>89</v>
      </c>
      <c r="N1326" s="2" t="s">
        <v>23</v>
      </c>
      <c r="O1326">
        <f t="shared" si="40"/>
        <v>3.070999999999998</v>
      </c>
      <c r="P1326">
        <f t="shared" si="41"/>
        <v>62.786000000000001</v>
      </c>
    </row>
    <row r="1327" spans="1:16" x14ac:dyDescent="0.35">
      <c r="A1327" s="9" t="s">
        <v>369</v>
      </c>
      <c r="B1327" s="2">
        <v>158.28700000000001</v>
      </c>
      <c r="C1327" s="2">
        <v>158.66399999999999</v>
      </c>
      <c r="D1327" s="2">
        <v>154.03100000000001</v>
      </c>
      <c r="E1327" s="2">
        <v>154.30000000000001</v>
      </c>
      <c r="F1327" s="2">
        <v>27234844</v>
      </c>
      <c r="G1327" s="2" t="s">
        <v>561</v>
      </c>
      <c r="H1327" s="2" t="s">
        <v>562</v>
      </c>
      <c r="I1327" s="2" t="s">
        <v>17</v>
      </c>
      <c r="J1327" s="4">
        <v>-1.82</v>
      </c>
      <c r="K1327" s="2" t="s">
        <v>359</v>
      </c>
      <c r="L1327" s="2">
        <v>2024</v>
      </c>
      <c r="M1327" s="2" t="s">
        <v>89</v>
      </c>
      <c r="N1327" s="2" t="s">
        <v>23</v>
      </c>
      <c r="O1327">
        <f t="shared" si="40"/>
        <v>4.6329999999999814</v>
      </c>
      <c r="P1327">
        <f t="shared" si="41"/>
        <v>60.966000000000001</v>
      </c>
    </row>
    <row r="1328" spans="1:16" x14ac:dyDescent="0.35">
      <c r="A1328" s="9" t="s">
        <v>370</v>
      </c>
      <c r="B1328" s="2">
        <v>153.63300000000001</v>
      </c>
      <c r="C1328" s="2">
        <v>155.08799999999999</v>
      </c>
      <c r="D1328" s="2">
        <v>152.876</v>
      </c>
      <c r="E1328" s="2">
        <v>153.84299999999999</v>
      </c>
      <c r="F1328" s="2">
        <v>20854822</v>
      </c>
      <c r="G1328" s="2" t="s">
        <v>561</v>
      </c>
      <c r="H1328" s="2" t="s">
        <v>562</v>
      </c>
      <c r="I1328" s="2" t="s">
        <v>17</v>
      </c>
      <c r="J1328" s="4">
        <v>-0.29599999999999999</v>
      </c>
      <c r="K1328" s="2" t="s">
        <v>359</v>
      </c>
      <c r="L1328" s="2">
        <v>2024</v>
      </c>
      <c r="M1328" s="2" t="s">
        <v>89</v>
      </c>
      <c r="N1328" s="2" t="s">
        <v>23</v>
      </c>
      <c r="O1328">
        <f t="shared" si="40"/>
        <v>2.2119999999999891</v>
      </c>
      <c r="P1328">
        <f t="shared" si="41"/>
        <v>60.67</v>
      </c>
    </row>
    <row r="1329" spans="1:16" x14ac:dyDescent="0.35">
      <c r="A1329" s="9" t="s">
        <v>371</v>
      </c>
      <c r="B1329" s="2">
        <v>155.05799999999999</v>
      </c>
      <c r="C1329" s="2">
        <v>156.51300000000001</v>
      </c>
      <c r="D1329" s="2">
        <v>154.02099999999999</v>
      </c>
      <c r="E1329" s="2">
        <v>154.90799999999999</v>
      </c>
      <c r="F1329" s="2">
        <v>21842023</v>
      </c>
      <c r="G1329" s="2" t="s">
        <v>561</v>
      </c>
      <c r="H1329" s="2" t="s">
        <v>562</v>
      </c>
      <c r="I1329" s="2" t="s">
        <v>17</v>
      </c>
      <c r="J1329" s="3">
        <v>0.69199999999999995</v>
      </c>
      <c r="K1329" s="2" t="s">
        <v>359</v>
      </c>
      <c r="L1329" s="2">
        <v>2024</v>
      </c>
      <c r="M1329" s="2" t="s">
        <v>89</v>
      </c>
      <c r="N1329" s="2" t="s">
        <v>21</v>
      </c>
      <c r="O1329">
        <f t="shared" si="40"/>
        <v>2.4920000000000186</v>
      </c>
      <c r="P1329">
        <f t="shared" si="41"/>
        <v>61.362000000000002</v>
      </c>
    </row>
    <row r="1330" spans="1:16" x14ac:dyDescent="0.35">
      <c r="A1330" s="9" t="s">
        <v>372</v>
      </c>
      <c r="B1330" s="2">
        <v>154.779</v>
      </c>
      <c r="C1330" s="2">
        <v>156.37299999999999</v>
      </c>
      <c r="D1330" s="2">
        <v>154.06100000000001</v>
      </c>
      <c r="E1330" s="2">
        <v>155.446</v>
      </c>
      <c r="F1330" s="2">
        <v>19955122</v>
      </c>
      <c r="G1330" s="2" t="s">
        <v>561</v>
      </c>
      <c r="H1330" s="2" t="s">
        <v>562</v>
      </c>
      <c r="I1330" s="2" t="s">
        <v>17</v>
      </c>
      <c r="J1330" s="3">
        <v>0.34699999999999998</v>
      </c>
      <c r="K1330" s="2" t="s">
        <v>359</v>
      </c>
      <c r="L1330" s="2">
        <v>2024</v>
      </c>
      <c r="M1330" s="2" t="s">
        <v>89</v>
      </c>
      <c r="N1330" s="2" t="s">
        <v>21</v>
      </c>
      <c r="O1330">
        <f t="shared" si="40"/>
        <v>2.3119999999999834</v>
      </c>
      <c r="P1330">
        <f t="shared" si="41"/>
        <v>61.709000000000003</v>
      </c>
    </row>
    <row r="1331" spans="1:16" x14ac:dyDescent="0.35">
      <c r="A1331" s="9" t="s">
        <v>373</v>
      </c>
      <c r="B1331" s="2">
        <v>155.636</v>
      </c>
      <c r="C1331" s="2">
        <v>155.79499999999999</v>
      </c>
      <c r="D1331" s="2">
        <v>151.749</v>
      </c>
      <c r="E1331" s="2">
        <v>153.553</v>
      </c>
      <c r="F1331" s="2">
        <v>32704731</v>
      </c>
      <c r="G1331" s="2" t="s">
        <v>561</v>
      </c>
      <c r="H1331" s="2" t="s">
        <v>562</v>
      </c>
      <c r="I1331" s="2" t="s">
        <v>17</v>
      </c>
      <c r="J1331" s="4">
        <v>-1.218</v>
      </c>
      <c r="K1331" s="2" t="s">
        <v>359</v>
      </c>
      <c r="L1331" s="2">
        <v>2024</v>
      </c>
      <c r="M1331" s="2" t="s">
        <v>89</v>
      </c>
      <c r="N1331" s="2" t="s">
        <v>23</v>
      </c>
      <c r="O1331">
        <f t="shared" si="40"/>
        <v>4.0459999999999923</v>
      </c>
      <c r="P1331">
        <f t="shared" si="41"/>
        <v>60.491</v>
      </c>
    </row>
    <row r="1332" spans="1:16" x14ac:dyDescent="0.35">
      <c r="A1332" s="9" t="s">
        <v>374</v>
      </c>
      <c r="B1332" s="2">
        <v>153.75299999999999</v>
      </c>
      <c r="C1332" s="2">
        <v>157.07</v>
      </c>
      <c r="D1332" s="2">
        <v>153.50299999999999</v>
      </c>
      <c r="E1332" s="2">
        <v>155.71600000000001</v>
      </c>
      <c r="F1332" s="2">
        <v>26542076</v>
      </c>
      <c r="G1332" s="2" t="s">
        <v>561</v>
      </c>
      <c r="H1332" s="2" t="s">
        <v>562</v>
      </c>
      <c r="I1332" s="2" t="s">
        <v>17</v>
      </c>
      <c r="J1332" s="3">
        <v>1.409</v>
      </c>
      <c r="K1332" s="2" t="s">
        <v>359</v>
      </c>
      <c r="L1332" s="2">
        <v>2024</v>
      </c>
      <c r="M1332" s="2" t="s">
        <v>89</v>
      </c>
      <c r="N1332" s="2" t="s">
        <v>21</v>
      </c>
      <c r="O1332">
        <f t="shared" si="40"/>
        <v>3.5670000000000073</v>
      </c>
      <c r="P1332">
        <f t="shared" si="41"/>
        <v>61.9</v>
      </c>
    </row>
    <row r="1333" spans="1:16" x14ac:dyDescent="0.35">
      <c r="A1333" s="9" t="s">
        <v>375</v>
      </c>
      <c r="B1333" s="2">
        <v>156.393</v>
      </c>
      <c r="C1333" s="2">
        <v>158.39599999999999</v>
      </c>
      <c r="D1333" s="2">
        <v>155.71600000000001</v>
      </c>
      <c r="E1333" s="2">
        <v>157.68899999999999</v>
      </c>
      <c r="F1333" s="2">
        <v>21228244</v>
      </c>
      <c r="G1333" s="2" t="s">
        <v>561</v>
      </c>
      <c r="H1333" s="2" t="s">
        <v>562</v>
      </c>
      <c r="I1333" s="2" t="s">
        <v>17</v>
      </c>
      <c r="J1333" s="3">
        <v>1.2669999999999999</v>
      </c>
      <c r="K1333" s="2" t="s">
        <v>359</v>
      </c>
      <c r="L1333" s="2">
        <v>2024</v>
      </c>
      <c r="M1333" s="2" t="s">
        <v>89</v>
      </c>
      <c r="N1333" s="2" t="s">
        <v>21</v>
      </c>
      <c r="O1333">
        <f t="shared" si="40"/>
        <v>2.6799999999999784</v>
      </c>
      <c r="P1333">
        <f t="shared" si="41"/>
        <v>63.167000000000002</v>
      </c>
    </row>
    <row r="1334" spans="1:16" x14ac:dyDescent="0.35">
      <c r="A1334" s="9" t="s">
        <v>376</v>
      </c>
      <c r="B1334" s="2">
        <v>156.92099999999999</v>
      </c>
      <c r="C1334" s="2">
        <v>158.989</v>
      </c>
      <c r="D1334" s="2">
        <v>156.59800000000001</v>
      </c>
      <c r="E1334" s="2">
        <v>158.55500000000001</v>
      </c>
      <c r="F1334" s="2">
        <v>22861688</v>
      </c>
      <c r="G1334" s="2" t="s">
        <v>561</v>
      </c>
      <c r="H1334" s="2" t="s">
        <v>562</v>
      </c>
      <c r="I1334" s="2" t="s">
        <v>17</v>
      </c>
      <c r="J1334" s="3">
        <v>0.54900000000000004</v>
      </c>
      <c r="K1334" s="2" t="s">
        <v>359</v>
      </c>
      <c r="L1334" s="2">
        <v>2024</v>
      </c>
      <c r="M1334" s="2" t="s">
        <v>89</v>
      </c>
      <c r="N1334" s="2" t="s">
        <v>21</v>
      </c>
      <c r="O1334">
        <f t="shared" si="40"/>
        <v>2.3909999999999911</v>
      </c>
      <c r="P1334">
        <f t="shared" si="41"/>
        <v>63.716000000000001</v>
      </c>
    </row>
    <row r="1335" spans="1:16" x14ac:dyDescent="0.35">
      <c r="A1335" s="9" t="s">
        <v>377</v>
      </c>
      <c r="B1335" s="2">
        <v>150.78399999999999</v>
      </c>
      <c r="C1335" s="2">
        <v>155.92500000000001</v>
      </c>
      <c r="D1335" s="2">
        <v>150.32499999999999</v>
      </c>
      <c r="E1335" s="2">
        <v>155.43700000000001</v>
      </c>
      <c r="F1335" s="2">
        <v>57316758</v>
      </c>
      <c r="G1335" s="2" t="s">
        <v>561</v>
      </c>
      <c r="H1335" s="2" t="s">
        <v>562</v>
      </c>
      <c r="I1335" s="2" t="s">
        <v>17</v>
      </c>
      <c r="J1335" s="4">
        <v>-1.9670000000000001</v>
      </c>
      <c r="K1335" s="2" t="s">
        <v>359</v>
      </c>
      <c r="L1335" s="2">
        <v>2024</v>
      </c>
      <c r="M1335" s="2" t="s">
        <v>89</v>
      </c>
      <c r="N1335" s="2" t="s">
        <v>23</v>
      </c>
      <c r="O1335">
        <f t="shared" si="40"/>
        <v>5.6000000000000227</v>
      </c>
      <c r="P1335">
        <f t="shared" si="41"/>
        <v>61.749000000000002</v>
      </c>
    </row>
    <row r="1336" spans="1:16" x14ac:dyDescent="0.35">
      <c r="A1336" s="9" t="s">
        <v>378</v>
      </c>
      <c r="B1336" s="2">
        <v>173.74</v>
      </c>
      <c r="C1336" s="2">
        <v>174.07900000000001</v>
      </c>
      <c r="D1336" s="2">
        <v>169.03700000000001</v>
      </c>
      <c r="E1336" s="2">
        <v>171.32900000000001</v>
      </c>
      <c r="F1336" s="2">
        <v>64899717</v>
      </c>
      <c r="G1336" s="2" t="s">
        <v>561</v>
      </c>
      <c r="H1336" s="2" t="s">
        <v>562</v>
      </c>
      <c r="I1336" s="2" t="s">
        <v>17</v>
      </c>
      <c r="J1336" s="3">
        <v>10.224</v>
      </c>
      <c r="K1336" s="2" t="s">
        <v>359</v>
      </c>
      <c r="L1336" s="2">
        <v>2024</v>
      </c>
      <c r="M1336" s="2" t="s">
        <v>89</v>
      </c>
      <c r="N1336" s="2" t="s">
        <v>21</v>
      </c>
      <c r="O1336">
        <f t="shared" si="40"/>
        <v>5.0420000000000016</v>
      </c>
      <c r="P1336">
        <f t="shared" si="41"/>
        <v>71.972999999999999</v>
      </c>
    </row>
    <row r="1337" spans="1:16" x14ac:dyDescent="0.35">
      <c r="A1337" s="9" t="s">
        <v>379</v>
      </c>
      <c r="B1337" s="2">
        <v>168.447</v>
      </c>
      <c r="C1337" s="2">
        <v>168.93799999999999</v>
      </c>
      <c r="D1337" s="2">
        <v>164.613</v>
      </c>
      <c r="E1337" s="2">
        <v>165.55</v>
      </c>
      <c r="F1337" s="2">
        <v>45775364</v>
      </c>
      <c r="G1337" s="2" t="s">
        <v>561</v>
      </c>
      <c r="H1337" s="2" t="s">
        <v>562</v>
      </c>
      <c r="I1337" s="2" t="s">
        <v>17</v>
      </c>
      <c r="J1337" s="4">
        <v>-3.3730000000000002</v>
      </c>
      <c r="K1337" s="2" t="s">
        <v>359</v>
      </c>
      <c r="L1337" s="2">
        <v>2024</v>
      </c>
      <c r="M1337" s="2" t="s">
        <v>89</v>
      </c>
      <c r="N1337" s="2" t="s">
        <v>23</v>
      </c>
      <c r="O1337">
        <f t="shared" si="40"/>
        <v>4.3249999999999886</v>
      </c>
      <c r="P1337">
        <f t="shared" si="41"/>
        <v>68.599999999999994</v>
      </c>
    </row>
    <row r="1338" spans="1:16" x14ac:dyDescent="0.35">
      <c r="A1338" s="9" t="s">
        <v>380</v>
      </c>
      <c r="B1338" s="2">
        <v>165.01400000000001</v>
      </c>
      <c r="C1338" s="2">
        <v>167.49199999999999</v>
      </c>
      <c r="D1338" s="2">
        <v>162.01300000000001</v>
      </c>
      <c r="E1338" s="2">
        <v>162.19200000000001</v>
      </c>
      <c r="F1338" s="2">
        <v>33684529</v>
      </c>
      <c r="G1338" s="2" t="s">
        <v>561</v>
      </c>
      <c r="H1338" s="2" t="s">
        <v>562</v>
      </c>
      <c r="I1338" s="2" t="s">
        <v>17</v>
      </c>
      <c r="J1338" s="4">
        <v>-2.028</v>
      </c>
      <c r="K1338" s="2" t="s">
        <v>359</v>
      </c>
      <c r="L1338" s="2">
        <v>2024</v>
      </c>
      <c r="M1338" s="2" t="s">
        <v>89</v>
      </c>
      <c r="N1338" s="2" t="s">
        <v>23</v>
      </c>
      <c r="O1338">
        <f t="shared" si="40"/>
        <v>5.478999999999985</v>
      </c>
      <c r="P1338">
        <f t="shared" si="41"/>
        <v>66.571999999999989</v>
      </c>
    </row>
    <row r="1339" spans="1:16" x14ac:dyDescent="0.35">
      <c r="A1339" s="9" t="s">
        <v>381</v>
      </c>
      <c r="B1339" s="2">
        <v>163.70699999999999</v>
      </c>
      <c r="C1339" s="2">
        <v>166.51599999999999</v>
      </c>
      <c r="D1339" s="2">
        <v>162.501</v>
      </c>
      <c r="E1339" s="2">
        <v>163.268</v>
      </c>
      <c r="F1339" s="2">
        <v>33614567</v>
      </c>
      <c r="G1339" s="2" t="s">
        <v>561</v>
      </c>
      <c r="H1339" s="2" t="s">
        <v>562</v>
      </c>
      <c r="I1339" s="2" t="s">
        <v>17</v>
      </c>
      <c r="J1339" s="3">
        <v>0.66300000000000003</v>
      </c>
      <c r="K1339" s="2" t="s">
        <v>382</v>
      </c>
      <c r="L1339" s="2">
        <v>2024</v>
      </c>
      <c r="M1339" s="2" t="s">
        <v>110</v>
      </c>
      <c r="N1339" s="2" t="s">
        <v>21</v>
      </c>
      <c r="O1339">
        <f t="shared" si="40"/>
        <v>4.0149999999999864</v>
      </c>
      <c r="P1339">
        <f t="shared" si="41"/>
        <v>67.234999999999985</v>
      </c>
    </row>
    <row r="1340" spans="1:16" x14ac:dyDescent="0.35">
      <c r="A1340" s="9" t="s">
        <v>383</v>
      </c>
      <c r="B1340" s="2">
        <v>164.19</v>
      </c>
      <c r="C1340" s="2">
        <v>166.12799999999999</v>
      </c>
      <c r="D1340" s="2">
        <v>163.298</v>
      </c>
      <c r="E1340" s="2">
        <v>166.018</v>
      </c>
      <c r="F1340" s="2">
        <v>24382619</v>
      </c>
      <c r="G1340" s="2" t="s">
        <v>561</v>
      </c>
      <c r="H1340" s="2" t="s">
        <v>562</v>
      </c>
      <c r="I1340" s="2" t="s">
        <v>17</v>
      </c>
      <c r="J1340" s="3">
        <v>1.6839999999999999</v>
      </c>
      <c r="K1340" s="2" t="s">
        <v>382</v>
      </c>
      <c r="L1340" s="2">
        <v>2024</v>
      </c>
      <c r="M1340" s="2" t="s">
        <v>110</v>
      </c>
      <c r="N1340" s="2" t="s">
        <v>21</v>
      </c>
      <c r="O1340">
        <f t="shared" si="40"/>
        <v>2.8299999999999841</v>
      </c>
      <c r="P1340">
        <f t="shared" si="41"/>
        <v>68.918999999999983</v>
      </c>
    </row>
    <row r="1341" spans="1:16" x14ac:dyDescent="0.35">
      <c r="A1341" s="9" t="s">
        <v>384</v>
      </c>
      <c r="B1341" s="2">
        <v>166.95500000000001</v>
      </c>
      <c r="C1341" s="2">
        <v>167.35300000000001</v>
      </c>
      <c r="D1341" s="2">
        <v>162.46100000000001</v>
      </c>
      <c r="E1341" s="2">
        <v>166.636</v>
      </c>
      <c r="F1341" s="2">
        <v>34788086</v>
      </c>
      <c r="G1341" s="2" t="s">
        <v>561</v>
      </c>
      <c r="H1341" s="2" t="s">
        <v>562</v>
      </c>
      <c r="I1341" s="2" t="s">
        <v>17</v>
      </c>
      <c r="J1341" s="3">
        <v>0.372</v>
      </c>
      <c r="K1341" s="2" t="s">
        <v>382</v>
      </c>
      <c r="L1341" s="2">
        <v>2024</v>
      </c>
      <c r="M1341" s="2" t="s">
        <v>110</v>
      </c>
      <c r="N1341" s="2" t="s">
        <v>21</v>
      </c>
      <c r="O1341">
        <f t="shared" si="40"/>
        <v>4.8919999999999959</v>
      </c>
      <c r="P1341">
        <f t="shared" si="41"/>
        <v>69.290999999999983</v>
      </c>
    </row>
    <row r="1342" spans="1:16" x14ac:dyDescent="0.35">
      <c r="A1342" s="9" t="s">
        <v>385</v>
      </c>
      <c r="B1342" s="2">
        <v>166.85499999999999</v>
      </c>
      <c r="C1342" s="2">
        <v>167.53200000000001</v>
      </c>
      <c r="D1342" s="2">
        <v>165.43</v>
      </c>
      <c r="E1342" s="2">
        <v>167.49199999999999</v>
      </c>
      <c r="F1342" s="2">
        <v>21950568</v>
      </c>
      <c r="G1342" s="2" t="s">
        <v>561</v>
      </c>
      <c r="H1342" s="2" t="s">
        <v>562</v>
      </c>
      <c r="I1342" s="2" t="s">
        <v>17</v>
      </c>
      <c r="J1342" s="3">
        <v>0.51400000000000001</v>
      </c>
      <c r="K1342" s="2" t="s">
        <v>382</v>
      </c>
      <c r="L1342" s="2">
        <v>2024</v>
      </c>
      <c r="M1342" s="2" t="s">
        <v>110</v>
      </c>
      <c r="N1342" s="2" t="s">
        <v>21</v>
      </c>
      <c r="O1342">
        <f t="shared" si="40"/>
        <v>2.1020000000000039</v>
      </c>
      <c r="P1342">
        <f t="shared" si="41"/>
        <v>69.804999999999978</v>
      </c>
    </row>
    <row r="1343" spans="1:16" x14ac:dyDescent="0.35">
      <c r="A1343" s="9" t="s">
        <v>386</v>
      </c>
      <c r="B1343" s="2">
        <v>167.892</v>
      </c>
      <c r="C1343" s="2">
        <v>171.14</v>
      </c>
      <c r="D1343" s="2">
        <v>167.78200000000001</v>
      </c>
      <c r="E1343" s="2">
        <v>170.631</v>
      </c>
      <c r="F1343" s="2">
        <v>28141342</v>
      </c>
      <c r="G1343" s="2" t="s">
        <v>561</v>
      </c>
      <c r="H1343" s="2" t="s">
        <v>562</v>
      </c>
      <c r="I1343" s="2" t="s">
        <v>17</v>
      </c>
      <c r="J1343" s="3">
        <v>1.8740000000000001</v>
      </c>
      <c r="K1343" s="2" t="s">
        <v>382</v>
      </c>
      <c r="L1343" s="2">
        <v>2024</v>
      </c>
      <c r="M1343" s="2" t="s">
        <v>110</v>
      </c>
      <c r="N1343" s="2" t="s">
        <v>21</v>
      </c>
      <c r="O1343">
        <f t="shared" si="40"/>
        <v>3.3579999999999757</v>
      </c>
      <c r="P1343">
        <f t="shared" si="41"/>
        <v>71.678999999999974</v>
      </c>
    </row>
    <row r="1344" spans="1:16" x14ac:dyDescent="0.35">
      <c r="A1344" s="9" t="s">
        <v>387</v>
      </c>
      <c r="B1344" s="2">
        <v>168.38900000000001</v>
      </c>
      <c r="C1344" s="2">
        <v>169.536</v>
      </c>
      <c r="D1344" s="2">
        <v>168.126</v>
      </c>
      <c r="E1344" s="2">
        <v>168.76900000000001</v>
      </c>
      <c r="F1344" s="2">
        <v>19640086</v>
      </c>
      <c r="G1344" s="2" t="s">
        <v>561</v>
      </c>
      <c r="H1344" s="2" t="s">
        <v>562</v>
      </c>
      <c r="I1344" s="2" t="s">
        <v>17</v>
      </c>
      <c r="J1344" s="4">
        <v>-1.091</v>
      </c>
      <c r="K1344" s="2" t="s">
        <v>382</v>
      </c>
      <c r="L1344" s="2">
        <v>2024</v>
      </c>
      <c r="M1344" s="2" t="s">
        <v>110</v>
      </c>
      <c r="N1344" s="2" t="s">
        <v>23</v>
      </c>
      <c r="O1344">
        <f t="shared" si="40"/>
        <v>1.4099999999999966</v>
      </c>
      <c r="P1344">
        <f t="shared" si="41"/>
        <v>70.58799999999998</v>
      </c>
    </row>
    <row r="1345" spans="1:16" x14ac:dyDescent="0.35">
      <c r="A1345" s="9" t="s">
        <v>388</v>
      </c>
      <c r="B1345" s="2">
        <v>168.779</v>
      </c>
      <c r="C1345" s="2">
        <v>170.07300000000001</v>
      </c>
      <c r="D1345" s="2">
        <v>167.572</v>
      </c>
      <c r="E1345" s="2">
        <v>169.346</v>
      </c>
      <c r="F1345" s="2">
        <v>15402333</v>
      </c>
      <c r="G1345" s="2" t="s">
        <v>561</v>
      </c>
      <c r="H1345" s="2" t="s">
        <v>562</v>
      </c>
      <c r="I1345" s="2" t="s">
        <v>17</v>
      </c>
      <c r="J1345" s="3">
        <v>0.34200000000000003</v>
      </c>
      <c r="K1345" s="2" t="s">
        <v>382</v>
      </c>
      <c r="L1345" s="2">
        <v>2024</v>
      </c>
      <c r="M1345" s="2" t="s">
        <v>110</v>
      </c>
      <c r="N1345" s="2" t="s">
        <v>21</v>
      </c>
      <c r="O1345">
        <f t="shared" si="40"/>
        <v>2.5010000000000048</v>
      </c>
      <c r="P1345">
        <f t="shared" si="41"/>
        <v>70.929999999999978</v>
      </c>
    </row>
    <row r="1346" spans="1:16" x14ac:dyDescent="0.35">
      <c r="A1346" s="9" t="s">
        <v>389</v>
      </c>
      <c r="B1346" s="2">
        <v>167.41800000000001</v>
      </c>
      <c r="C1346" s="2">
        <v>169.23599999999999</v>
      </c>
      <c r="D1346" s="2">
        <v>165.589</v>
      </c>
      <c r="E1346" s="2">
        <v>168.041</v>
      </c>
      <c r="F1346" s="2">
        <v>29907958</v>
      </c>
      <c r="G1346" s="2" t="s">
        <v>561</v>
      </c>
      <c r="H1346" s="2" t="s">
        <v>562</v>
      </c>
      <c r="I1346" s="2" t="s">
        <v>17</v>
      </c>
      <c r="J1346" s="4">
        <v>-0.77100000000000002</v>
      </c>
      <c r="K1346" s="2" t="s">
        <v>382</v>
      </c>
      <c r="L1346" s="2">
        <v>2024</v>
      </c>
      <c r="M1346" s="2" t="s">
        <v>110</v>
      </c>
      <c r="N1346" s="2" t="s">
        <v>23</v>
      </c>
      <c r="O1346">
        <f t="shared" si="40"/>
        <v>3.6469999999999914</v>
      </c>
      <c r="P1346">
        <f t="shared" si="41"/>
        <v>70.158999999999978</v>
      </c>
    </row>
    <row r="1347" spans="1:16" x14ac:dyDescent="0.35">
      <c r="A1347" s="9" t="s">
        <v>390</v>
      </c>
      <c r="B1347" s="2">
        <v>163.667</v>
      </c>
      <c r="C1347" s="2">
        <v>168.66900000000001</v>
      </c>
      <c r="D1347" s="2">
        <v>163.40799999999999</v>
      </c>
      <c r="E1347" s="2">
        <v>168.529</v>
      </c>
      <c r="F1347" s="2">
        <v>31441167</v>
      </c>
      <c r="G1347" s="2" t="s">
        <v>561</v>
      </c>
      <c r="H1347" s="2" t="s">
        <v>562</v>
      </c>
      <c r="I1347" s="2" t="s">
        <v>17</v>
      </c>
      <c r="J1347" s="3">
        <v>0.28999999999999998</v>
      </c>
      <c r="K1347" s="2" t="s">
        <v>382</v>
      </c>
      <c r="L1347" s="2">
        <v>2024</v>
      </c>
      <c r="M1347" s="2" t="s">
        <v>110</v>
      </c>
      <c r="N1347" s="2" t="s">
        <v>21</v>
      </c>
      <c r="O1347">
        <f t="shared" ref="O1347:O1410" si="42">C1347-D1347</f>
        <v>5.2610000000000241</v>
      </c>
      <c r="P1347">
        <f t="shared" si="41"/>
        <v>70.448999999999984</v>
      </c>
    </row>
    <row r="1348" spans="1:16" x14ac:dyDescent="0.35">
      <c r="A1348" s="9" t="s">
        <v>391</v>
      </c>
      <c r="B1348" s="2">
        <v>169.15600000000001</v>
      </c>
      <c r="C1348" s="2">
        <v>170.631</v>
      </c>
      <c r="D1348" s="2">
        <v>168.19</v>
      </c>
      <c r="E1348" s="2">
        <v>169.72499999999999</v>
      </c>
      <c r="F1348" s="2">
        <v>25218226</v>
      </c>
      <c r="G1348" s="2" t="s">
        <v>561</v>
      </c>
      <c r="H1348" s="2" t="s">
        <v>562</v>
      </c>
      <c r="I1348" s="2" t="s">
        <v>17</v>
      </c>
      <c r="J1348" s="3">
        <v>0.71</v>
      </c>
      <c r="K1348" s="2" t="s">
        <v>382</v>
      </c>
      <c r="L1348" s="2">
        <v>2024</v>
      </c>
      <c r="M1348" s="2" t="s">
        <v>110</v>
      </c>
      <c r="N1348" s="2" t="s">
        <v>21</v>
      </c>
      <c r="O1348">
        <f t="shared" si="42"/>
        <v>2.4410000000000025</v>
      </c>
      <c r="P1348">
        <f t="shared" ref="P1348:P1411" si="43">IF(G1348=G1347, P1347+J1348, J1348)</f>
        <v>71.158999999999978</v>
      </c>
    </row>
    <row r="1349" spans="1:16" x14ac:dyDescent="0.35">
      <c r="A1349" s="9" t="s">
        <v>392</v>
      </c>
      <c r="B1349" s="2">
        <v>170.01300000000001</v>
      </c>
      <c r="C1349" s="2">
        <v>172.02600000000001</v>
      </c>
      <c r="D1349" s="2">
        <v>169.89400000000001</v>
      </c>
      <c r="E1349" s="2">
        <v>171.887</v>
      </c>
      <c r="F1349" s="2">
        <v>27046060</v>
      </c>
      <c r="G1349" s="2" t="s">
        <v>561</v>
      </c>
      <c r="H1349" s="2" t="s">
        <v>562</v>
      </c>
      <c r="I1349" s="2" t="s">
        <v>17</v>
      </c>
      <c r="J1349" s="3">
        <v>1.274</v>
      </c>
      <c r="K1349" s="2" t="s">
        <v>382</v>
      </c>
      <c r="L1349" s="2">
        <v>2024</v>
      </c>
      <c r="M1349" s="2" t="s">
        <v>110</v>
      </c>
      <c r="N1349" s="2" t="s">
        <v>21</v>
      </c>
      <c r="O1349">
        <f t="shared" si="42"/>
        <v>2.132000000000005</v>
      </c>
      <c r="P1349">
        <f t="shared" si="43"/>
        <v>72.432999999999979</v>
      </c>
    </row>
    <row r="1350" spans="1:16" x14ac:dyDescent="0.35">
      <c r="A1350" s="9" t="s">
        <v>393</v>
      </c>
      <c r="B1350" s="2">
        <v>172.66399999999999</v>
      </c>
      <c r="C1350" s="2">
        <v>174.482</v>
      </c>
      <c r="D1350" s="2">
        <v>172.066</v>
      </c>
      <c r="E1350" s="2">
        <v>173.55</v>
      </c>
      <c r="F1350" s="2">
        <v>27968971</v>
      </c>
      <c r="G1350" s="2" t="s">
        <v>561</v>
      </c>
      <c r="H1350" s="2" t="s">
        <v>562</v>
      </c>
      <c r="I1350" s="2" t="s">
        <v>17</v>
      </c>
      <c r="J1350" s="3">
        <v>0.96699999999999997</v>
      </c>
      <c r="K1350" s="2" t="s">
        <v>382</v>
      </c>
      <c r="L1350" s="2">
        <v>2024</v>
      </c>
      <c r="M1350" s="2" t="s">
        <v>110</v>
      </c>
      <c r="N1350" s="2" t="s">
        <v>21</v>
      </c>
      <c r="O1350">
        <f t="shared" si="42"/>
        <v>2.4159999999999968</v>
      </c>
      <c r="P1350">
        <f t="shared" si="43"/>
        <v>73.399999999999977</v>
      </c>
    </row>
    <row r="1351" spans="1:16" x14ac:dyDescent="0.35">
      <c r="A1351" s="9" t="s">
        <v>394</v>
      </c>
      <c r="B1351" s="2">
        <v>173.55</v>
      </c>
      <c r="C1351" s="2">
        <v>175.62899999999999</v>
      </c>
      <c r="D1351" s="2">
        <v>173.06299999999999</v>
      </c>
      <c r="E1351" s="2">
        <v>175.42400000000001</v>
      </c>
      <c r="F1351" s="2">
        <v>24568001</v>
      </c>
      <c r="G1351" s="2" t="s">
        <v>561</v>
      </c>
      <c r="H1351" s="2" t="s">
        <v>562</v>
      </c>
      <c r="I1351" s="2" t="s">
        <v>17</v>
      </c>
      <c r="J1351" s="3">
        <v>1.08</v>
      </c>
      <c r="K1351" s="2" t="s">
        <v>382</v>
      </c>
      <c r="L1351" s="2">
        <v>2024</v>
      </c>
      <c r="M1351" s="2" t="s">
        <v>110</v>
      </c>
      <c r="N1351" s="2" t="s">
        <v>21</v>
      </c>
      <c r="O1351">
        <f t="shared" si="42"/>
        <v>2.5660000000000025</v>
      </c>
      <c r="P1351">
        <f t="shared" si="43"/>
        <v>74.479999999999976</v>
      </c>
    </row>
    <row r="1352" spans="1:16" x14ac:dyDescent="0.35">
      <c r="A1352" s="9" t="s">
        <v>395</v>
      </c>
      <c r="B1352" s="2">
        <v>175.55600000000001</v>
      </c>
      <c r="C1352" s="2">
        <v>178.124</v>
      </c>
      <c r="D1352" s="2">
        <v>175.44399999999999</v>
      </c>
      <c r="E1352" s="2">
        <v>176.28100000000001</v>
      </c>
      <c r="F1352" s="2">
        <v>22636161</v>
      </c>
      <c r="G1352" s="2" t="s">
        <v>561</v>
      </c>
      <c r="H1352" s="2" t="s">
        <v>562</v>
      </c>
      <c r="I1352" s="2" t="s">
        <v>17</v>
      </c>
      <c r="J1352" s="3">
        <v>0.48899999999999999</v>
      </c>
      <c r="K1352" s="2" t="s">
        <v>382</v>
      </c>
      <c r="L1352" s="2">
        <v>2024</v>
      </c>
      <c r="M1352" s="2" t="s">
        <v>110</v>
      </c>
      <c r="N1352" s="2" t="s">
        <v>21</v>
      </c>
      <c r="O1352">
        <f t="shared" si="42"/>
        <v>2.6800000000000068</v>
      </c>
      <c r="P1352">
        <f t="shared" si="43"/>
        <v>74.96899999999998</v>
      </c>
    </row>
    <row r="1353" spans="1:16" x14ac:dyDescent="0.35">
      <c r="A1353" s="9" t="s">
        <v>396</v>
      </c>
      <c r="B1353" s="2">
        <v>176.261</v>
      </c>
      <c r="C1353" s="2">
        <v>177.50700000000001</v>
      </c>
      <c r="D1353" s="2">
        <v>175.17400000000001</v>
      </c>
      <c r="E1353" s="2">
        <v>177.208</v>
      </c>
      <c r="F1353" s="2">
        <v>17050957</v>
      </c>
      <c r="G1353" s="2" t="s">
        <v>561</v>
      </c>
      <c r="H1353" s="2" t="s">
        <v>562</v>
      </c>
      <c r="I1353" s="2" t="s">
        <v>17</v>
      </c>
      <c r="J1353" s="3">
        <v>0.52600000000000002</v>
      </c>
      <c r="K1353" s="2" t="s">
        <v>382</v>
      </c>
      <c r="L1353" s="2">
        <v>2024</v>
      </c>
      <c r="M1353" s="2" t="s">
        <v>110</v>
      </c>
      <c r="N1353" s="2" t="s">
        <v>21</v>
      </c>
      <c r="O1353">
        <f t="shared" si="42"/>
        <v>2.3329999999999984</v>
      </c>
      <c r="P1353">
        <f t="shared" si="43"/>
        <v>75.494999999999976</v>
      </c>
    </row>
    <row r="1354" spans="1:16" x14ac:dyDescent="0.35">
      <c r="A1354" s="9" t="s">
        <v>397</v>
      </c>
      <c r="B1354" s="2">
        <v>176.005</v>
      </c>
      <c r="C1354" s="2">
        <v>176.511</v>
      </c>
      <c r="D1354" s="2">
        <v>174.577</v>
      </c>
      <c r="E1354" s="2">
        <v>175.744</v>
      </c>
      <c r="F1354" s="2">
        <v>17944858</v>
      </c>
      <c r="G1354" s="2" t="s">
        <v>561</v>
      </c>
      <c r="H1354" s="2" t="s">
        <v>562</v>
      </c>
      <c r="I1354" s="2" t="s">
        <v>17</v>
      </c>
      <c r="J1354" s="4">
        <v>-0.82599999999999996</v>
      </c>
      <c r="K1354" s="2" t="s">
        <v>382</v>
      </c>
      <c r="L1354" s="2">
        <v>2024</v>
      </c>
      <c r="M1354" s="2" t="s">
        <v>110</v>
      </c>
      <c r="N1354" s="2" t="s">
        <v>23</v>
      </c>
      <c r="O1354">
        <f t="shared" si="42"/>
        <v>1.9339999999999975</v>
      </c>
      <c r="P1354">
        <f t="shared" si="43"/>
        <v>74.668999999999983</v>
      </c>
    </row>
    <row r="1355" spans="1:16" x14ac:dyDescent="0.35">
      <c r="A1355" s="9" t="s">
        <v>398</v>
      </c>
      <c r="B1355" s="2">
        <v>176.43100000000001</v>
      </c>
      <c r="C1355" s="2">
        <v>177.60599999999999</v>
      </c>
      <c r="D1355" s="2">
        <v>172.32599999999999</v>
      </c>
      <c r="E1355" s="2">
        <v>172.923</v>
      </c>
      <c r="F1355" s="2">
        <v>21101152</v>
      </c>
      <c r="G1355" s="2" t="s">
        <v>561</v>
      </c>
      <c r="H1355" s="2" t="s">
        <v>562</v>
      </c>
      <c r="I1355" s="2" t="s">
        <v>17</v>
      </c>
      <c r="J1355" s="4">
        <v>-1.605</v>
      </c>
      <c r="K1355" s="2" t="s">
        <v>382</v>
      </c>
      <c r="L1355" s="2">
        <v>2024</v>
      </c>
      <c r="M1355" s="2" t="s">
        <v>110</v>
      </c>
      <c r="N1355" s="2" t="s">
        <v>23</v>
      </c>
      <c r="O1355">
        <f t="shared" si="42"/>
        <v>5.2800000000000011</v>
      </c>
      <c r="P1355">
        <f t="shared" si="43"/>
        <v>73.063999999999979</v>
      </c>
    </row>
    <row r="1356" spans="1:16" x14ac:dyDescent="0.35">
      <c r="A1356" s="9" t="s">
        <v>399</v>
      </c>
      <c r="B1356" s="2">
        <v>174.34700000000001</v>
      </c>
      <c r="C1356" s="2">
        <v>175.13399999999999</v>
      </c>
      <c r="D1356" s="2">
        <v>173.023</v>
      </c>
      <c r="E1356" s="2">
        <v>174.357</v>
      </c>
      <c r="F1356" s="2">
        <v>16639540</v>
      </c>
      <c r="G1356" s="2" t="s">
        <v>561</v>
      </c>
      <c r="H1356" s="2" t="s">
        <v>562</v>
      </c>
      <c r="I1356" s="2" t="s">
        <v>17</v>
      </c>
      <c r="J1356" s="3">
        <v>0.82899999999999996</v>
      </c>
      <c r="K1356" s="2" t="s">
        <v>382</v>
      </c>
      <c r="L1356" s="2">
        <v>2024</v>
      </c>
      <c r="M1356" s="2" t="s">
        <v>110</v>
      </c>
      <c r="N1356" s="2" t="s">
        <v>21</v>
      </c>
      <c r="O1356">
        <f t="shared" si="42"/>
        <v>2.11099999999999</v>
      </c>
      <c r="P1356">
        <f t="shared" si="43"/>
        <v>73.892999999999972</v>
      </c>
    </row>
    <row r="1357" spans="1:16" x14ac:dyDescent="0.35">
      <c r="A1357" s="9" t="s">
        <v>400</v>
      </c>
      <c r="B1357" s="2">
        <v>173.82</v>
      </c>
      <c r="C1357" s="2">
        <v>176.63</v>
      </c>
      <c r="D1357" s="2">
        <v>173.73500000000001</v>
      </c>
      <c r="E1357" s="2">
        <v>175.76400000000001</v>
      </c>
      <c r="F1357" s="2">
        <v>20646733</v>
      </c>
      <c r="G1357" s="2" t="s">
        <v>561</v>
      </c>
      <c r="H1357" s="2" t="s">
        <v>562</v>
      </c>
      <c r="I1357" s="2" t="s">
        <v>17</v>
      </c>
      <c r="J1357" s="3">
        <v>0.80700000000000005</v>
      </c>
      <c r="K1357" s="2" t="s">
        <v>382</v>
      </c>
      <c r="L1357" s="2">
        <v>2024</v>
      </c>
      <c r="M1357" s="2" t="s">
        <v>110</v>
      </c>
      <c r="N1357" s="2" t="s">
        <v>21</v>
      </c>
      <c r="O1357">
        <f t="shared" si="42"/>
        <v>2.8949999999999818</v>
      </c>
      <c r="P1357">
        <f t="shared" si="43"/>
        <v>74.699999999999974</v>
      </c>
    </row>
    <row r="1358" spans="1:16" x14ac:dyDescent="0.35">
      <c r="A1358" s="9" t="s">
        <v>401</v>
      </c>
      <c r="B1358" s="2">
        <v>174.797</v>
      </c>
      <c r="C1358" s="2">
        <v>176.197</v>
      </c>
      <c r="D1358" s="2">
        <v>174.089</v>
      </c>
      <c r="E1358" s="2">
        <v>175.26400000000001</v>
      </c>
      <c r="F1358" s="2">
        <v>23473479</v>
      </c>
      <c r="G1358" s="2" t="s">
        <v>561</v>
      </c>
      <c r="H1358" s="2" t="s">
        <v>562</v>
      </c>
      <c r="I1358" s="2" t="s">
        <v>17</v>
      </c>
      <c r="J1358" s="4">
        <v>-0.28399999999999997</v>
      </c>
      <c r="K1358" s="2" t="s">
        <v>382</v>
      </c>
      <c r="L1358" s="2">
        <v>2024</v>
      </c>
      <c r="M1358" s="2" t="s">
        <v>110</v>
      </c>
      <c r="N1358" s="2" t="s">
        <v>23</v>
      </c>
      <c r="O1358">
        <f t="shared" si="42"/>
        <v>2.1080000000000041</v>
      </c>
      <c r="P1358">
        <f t="shared" si="43"/>
        <v>74.415999999999968</v>
      </c>
    </row>
    <row r="1359" spans="1:16" x14ac:dyDescent="0.35">
      <c r="A1359" s="9" t="s">
        <v>402</v>
      </c>
      <c r="B1359" s="2">
        <v>174.56700000000001</v>
      </c>
      <c r="C1359" s="2">
        <v>174.58699999999999</v>
      </c>
      <c r="D1359" s="2">
        <v>171.17</v>
      </c>
      <c r="E1359" s="2">
        <v>171.488</v>
      </c>
      <c r="F1359" s="2">
        <v>23041904</v>
      </c>
      <c r="G1359" s="2" t="s">
        <v>561</v>
      </c>
      <c r="H1359" s="2" t="s">
        <v>562</v>
      </c>
      <c r="I1359" s="2" t="s">
        <v>17</v>
      </c>
      <c r="J1359" s="4">
        <v>-2.1539999999999999</v>
      </c>
      <c r="K1359" s="2" t="s">
        <v>382</v>
      </c>
      <c r="L1359" s="2">
        <v>2024</v>
      </c>
      <c r="M1359" s="2" t="s">
        <v>110</v>
      </c>
      <c r="N1359" s="2" t="s">
        <v>23</v>
      </c>
      <c r="O1359">
        <f t="shared" si="42"/>
        <v>3.4170000000000016</v>
      </c>
      <c r="P1359">
        <f t="shared" si="43"/>
        <v>72.261999999999972</v>
      </c>
    </row>
    <row r="1360" spans="1:16" x14ac:dyDescent="0.35">
      <c r="A1360" s="9" t="s">
        <v>403</v>
      </c>
      <c r="B1360" s="2">
        <v>171.24</v>
      </c>
      <c r="C1360" s="2">
        <v>172.435</v>
      </c>
      <c r="D1360" s="2">
        <v>168.82900000000001</v>
      </c>
      <c r="E1360" s="2">
        <v>171.87700000000001</v>
      </c>
      <c r="F1360" s="2">
        <v>37775320</v>
      </c>
      <c r="G1360" s="2" t="s">
        <v>561</v>
      </c>
      <c r="H1360" s="2" t="s">
        <v>562</v>
      </c>
      <c r="I1360" s="2" t="s">
        <v>17</v>
      </c>
      <c r="J1360" s="3">
        <v>0.22700000000000001</v>
      </c>
      <c r="K1360" s="2" t="s">
        <v>382</v>
      </c>
      <c r="L1360" s="2">
        <v>2024</v>
      </c>
      <c r="M1360" s="2" t="s">
        <v>110</v>
      </c>
      <c r="N1360" s="2" t="s">
        <v>21</v>
      </c>
      <c r="O1360">
        <f t="shared" si="42"/>
        <v>3.6059999999999945</v>
      </c>
      <c r="P1360">
        <f t="shared" si="43"/>
        <v>72.488999999999976</v>
      </c>
    </row>
    <row r="1361" spans="1:16" x14ac:dyDescent="0.35">
      <c r="A1361" s="9" t="s">
        <v>404</v>
      </c>
      <c r="B1361" s="2">
        <v>171.917</v>
      </c>
      <c r="C1361" s="2">
        <v>173.89500000000001</v>
      </c>
      <c r="D1361" s="2">
        <v>170.542</v>
      </c>
      <c r="E1361" s="2">
        <v>172.54400000000001</v>
      </c>
      <c r="F1361" s="2">
        <v>27558660</v>
      </c>
      <c r="G1361" s="2" t="s">
        <v>561</v>
      </c>
      <c r="H1361" s="2" t="s">
        <v>562</v>
      </c>
      <c r="I1361" s="2" t="s">
        <v>17</v>
      </c>
      <c r="J1361" s="3">
        <v>0.38800000000000001</v>
      </c>
      <c r="K1361" s="2" t="s">
        <v>405</v>
      </c>
      <c r="L1361" s="2">
        <v>2024</v>
      </c>
      <c r="M1361" s="2" t="s">
        <v>135</v>
      </c>
      <c r="N1361" s="2" t="s">
        <v>21</v>
      </c>
      <c r="O1361">
        <f t="shared" si="42"/>
        <v>3.3530000000000086</v>
      </c>
      <c r="P1361">
        <f t="shared" si="43"/>
        <v>72.876999999999981</v>
      </c>
    </row>
    <row r="1362" spans="1:16" x14ac:dyDescent="0.35">
      <c r="A1362" s="9" t="s">
        <v>406</v>
      </c>
      <c r="B1362" s="2">
        <v>172.654</v>
      </c>
      <c r="C1362" s="2">
        <v>173.21700000000001</v>
      </c>
      <c r="D1362" s="2">
        <v>171.26900000000001</v>
      </c>
      <c r="E1362" s="2">
        <v>173.16300000000001</v>
      </c>
      <c r="F1362" s="2">
        <v>26977037</v>
      </c>
      <c r="G1362" s="2" t="s">
        <v>561</v>
      </c>
      <c r="H1362" s="2" t="s">
        <v>562</v>
      </c>
      <c r="I1362" s="2" t="s">
        <v>17</v>
      </c>
      <c r="J1362" s="3">
        <v>0.35899999999999999</v>
      </c>
      <c r="K1362" s="2" t="s">
        <v>405</v>
      </c>
      <c r="L1362" s="2">
        <v>2024</v>
      </c>
      <c r="M1362" s="2" t="s">
        <v>135</v>
      </c>
      <c r="N1362" s="2" t="s">
        <v>21</v>
      </c>
      <c r="O1362">
        <f t="shared" si="42"/>
        <v>1.9480000000000075</v>
      </c>
      <c r="P1362">
        <f t="shared" si="43"/>
        <v>73.235999999999976</v>
      </c>
    </row>
    <row r="1363" spans="1:16" x14ac:dyDescent="0.35">
      <c r="A1363" s="9" t="s">
        <v>407</v>
      </c>
      <c r="B1363" s="2">
        <v>174.56700000000001</v>
      </c>
      <c r="C1363" s="2">
        <v>176.006</v>
      </c>
      <c r="D1363" s="2">
        <v>173.30600000000001</v>
      </c>
      <c r="E1363" s="2">
        <v>174.77699999999999</v>
      </c>
      <c r="F1363" s="2">
        <v>22148519</v>
      </c>
      <c r="G1363" s="2" t="s">
        <v>561</v>
      </c>
      <c r="H1363" s="2" t="s">
        <v>562</v>
      </c>
      <c r="I1363" s="2" t="s">
        <v>17</v>
      </c>
      <c r="J1363" s="3">
        <v>0.93200000000000005</v>
      </c>
      <c r="K1363" s="2" t="s">
        <v>405</v>
      </c>
      <c r="L1363" s="2">
        <v>2024</v>
      </c>
      <c r="M1363" s="2" t="s">
        <v>135</v>
      </c>
      <c r="N1363" s="2" t="s">
        <v>21</v>
      </c>
      <c r="O1363">
        <f t="shared" si="42"/>
        <v>2.6999999999999886</v>
      </c>
      <c r="P1363">
        <f t="shared" si="43"/>
        <v>74.167999999999978</v>
      </c>
    </row>
    <row r="1364" spans="1:16" x14ac:dyDescent="0.35">
      <c r="A1364" s="9" t="s">
        <v>408</v>
      </c>
      <c r="B1364" s="2">
        <v>175.25899999999999</v>
      </c>
      <c r="C1364" s="2">
        <v>176.511</v>
      </c>
      <c r="D1364" s="2">
        <v>175.11500000000001</v>
      </c>
      <c r="E1364" s="2">
        <v>176.09100000000001</v>
      </c>
      <c r="F1364" s="2">
        <v>23335300</v>
      </c>
      <c r="G1364" s="2" t="s">
        <v>561</v>
      </c>
      <c r="H1364" s="2" t="s">
        <v>562</v>
      </c>
      <c r="I1364" s="2" t="s">
        <v>17</v>
      </c>
      <c r="J1364" s="3">
        <v>0.752</v>
      </c>
      <c r="K1364" s="2" t="s">
        <v>405</v>
      </c>
      <c r="L1364" s="2">
        <v>2024</v>
      </c>
      <c r="M1364" s="2" t="s">
        <v>135</v>
      </c>
      <c r="N1364" s="2" t="s">
        <v>21</v>
      </c>
      <c r="O1364">
        <f t="shared" si="42"/>
        <v>1.3959999999999866</v>
      </c>
      <c r="P1364">
        <f t="shared" si="43"/>
        <v>74.919999999999973</v>
      </c>
    </row>
    <row r="1365" spans="1:16" x14ac:dyDescent="0.35">
      <c r="A1365" s="9" t="s">
        <v>409</v>
      </c>
      <c r="B1365" s="2">
        <v>176.411</v>
      </c>
      <c r="C1365" s="2">
        <v>177.22800000000001</v>
      </c>
      <c r="D1365" s="2">
        <v>173.67</v>
      </c>
      <c r="E1365" s="2">
        <v>173.83</v>
      </c>
      <c r="F1365" s="2">
        <v>19732673</v>
      </c>
      <c r="G1365" s="2" t="s">
        <v>561</v>
      </c>
      <c r="H1365" s="2" t="s">
        <v>562</v>
      </c>
      <c r="I1365" s="2" t="s">
        <v>17</v>
      </c>
      <c r="J1365" s="4">
        <v>-1.284</v>
      </c>
      <c r="K1365" s="2" t="s">
        <v>405</v>
      </c>
      <c r="L1365" s="2">
        <v>2024</v>
      </c>
      <c r="M1365" s="2" t="s">
        <v>135</v>
      </c>
      <c r="N1365" s="2" t="s">
        <v>23</v>
      </c>
      <c r="O1365">
        <f t="shared" si="42"/>
        <v>3.5580000000000211</v>
      </c>
      <c r="P1365">
        <f t="shared" si="43"/>
        <v>73.635999999999967</v>
      </c>
    </row>
    <row r="1366" spans="1:16" x14ac:dyDescent="0.35">
      <c r="A1366" s="9" t="s">
        <v>410</v>
      </c>
      <c r="B1366" s="2">
        <v>174.53800000000001</v>
      </c>
      <c r="C1366" s="2">
        <v>176.62299999999999</v>
      </c>
      <c r="D1366" s="2">
        <v>172.333</v>
      </c>
      <c r="E1366" s="2">
        <v>174.578</v>
      </c>
      <c r="F1366" s="2">
        <v>23838060</v>
      </c>
      <c r="G1366" s="2" t="s">
        <v>561</v>
      </c>
      <c r="H1366" s="2" t="s">
        <v>562</v>
      </c>
      <c r="I1366" s="2" t="s">
        <v>17</v>
      </c>
      <c r="J1366" s="3">
        <v>0.43</v>
      </c>
      <c r="K1366" s="2" t="s">
        <v>405</v>
      </c>
      <c r="L1366" s="2">
        <v>2024</v>
      </c>
      <c r="M1366" s="2" t="s">
        <v>135</v>
      </c>
      <c r="N1366" s="2" t="s">
        <v>21</v>
      </c>
      <c r="O1366">
        <f t="shared" si="42"/>
        <v>4.289999999999992</v>
      </c>
      <c r="P1366">
        <f t="shared" si="43"/>
        <v>74.065999999999974</v>
      </c>
    </row>
    <row r="1367" spans="1:16" x14ac:dyDescent="0.35">
      <c r="A1367" s="9" t="s">
        <v>411</v>
      </c>
      <c r="B1367" s="2">
        <v>175.785</v>
      </c>
      <c r="C1367" s="2">
        <v>176.404</v>
      </c>
      <c r="D1367" s="2">
        <v>173.34100000000001</v>
      </c>
      <c r="E1367" s="2">
        <v>176.184</v>
      </c>
      <c r="F1367" s="2">
        <v>21593885</v>
      </c>
      <c r="G1367" s="2" t="s">
        <v>561</v>
      </c>
      <c r="H1367" s="2" t="s">
        <v>562</v>
      </c>
      <c r="I1367" s="2" t="s">
        <v>17</v>
      </c>
      <c r="J1367" s="3">
        <v>0.92</v>
      </c>
      <c r="K1367" s="2" t="s">
        <v>405</v>
      </c>
      <c r="L1367" s="2">
        <v>2024</v>
      </c>
      <c r="M1367" s="2" t="s">
        <v>135</v>
      </c>
      <c r="N1367" s="2" t="s">
        <v>21</v>
      </c>
      <c r="O1367">
        <f t="shared" si="42"/>
        <v>3.0629999999999882</v>
      </c>
      <c r="P1367">
        <f t="shared" si="43"/>
        <v>74.985999999999976</v>
      </c>
    </row>
    <row r="1368" spans="1:16" x14ac:dyDescent="0.35">
      <c r="A1368" s="9" t="s">
        <v>412</v>
      </c>
      <c r="B1368" s="2">
        <v>177.81</v>
      </c>
      <c r="C1368" s="2">
        <v>179.965</v>
      </c>
      <c r="D1368" s="2">
        <v>175.67599999999999</v>
      </c>
      <c r="E1368" s="2">
        <v>177.351</v>
      </c>
      <c r="F1368" s="2">
        <v>27933689</v>
      </c>
      <c r="G1368" s="2" t="s">
        <v>561</v>
      </c>
      <c r="H1368" s="2" t="s">
        <v>562</v>
      </c>
      <c r="I1368" s="2" t="s">
        <v>17</v>
      </c>
      <c r="J1368" s="3">
        <v>0.66200000000000003</v>
      </c>
      <c r="K1368" s="2" t="s">
        <v>405</v>
      </c>
      <c r="L1368" s="2">
        <v>2024</v>
      </c>
      <c r="M1368" s="2" t="s">
        <v>135</v>
      </c>
      <c r="N1368" s="2" t="s">
        <v>21</v>
      </c>
      <c r="O1368">
        <f t="shared" si="42"/>
        <v>4.2890000000000157</v>
      </c>
      <c r="P1368">
        <f t="shared" si="43"/>
        <v>75.647999999999982</v>
      </c>
    </row>
    <row r="1369" spans="1:16" x14ac:dyDescent="0.35">
      <c r="A1369" s="9" t="s">
        <v>413</v>
      </c>
      <c r="B1369" s="2">
        <v>175.67599999999999</v>
      </c>
      <c r="C1369" s="2">
        <v>176.304</v>
      </c>
      <c r="D1369" s="2">
        <v>174.44800000000001</v>
      </c>
      <c r="E1369" s="2">
        <v>174.72800000000001</v>
      </c>
      <c r="F1369" s="2">
        <v>20965050</v>
      </c>
      <c r="G1369" s="2" t="s">
        <v>561</v>
      </c>
      <c r="H1369" s="2" t="s">
        <v>562</v>
      </c>
      <c r="I1369" s="2" t="s">
        <v>17</v>
      </c>
      <c r="J1369" s="4">
        <v>-1.4790000000000001</v>
      </c>
      <c r="K1369" s="2" t="s">
        <v>405</v>
      </c>
      <c r="L1369" s="2">
        <v>2024</v>
      </c>
      <c r="M1369" s="2" t="s">
        <v>135</v>
      </c>
      <c r="N1369" s="2" t="s">
        <v>23</v>
      </c>
      <c r="O1369">
        <f t="shared" si="42"/>
        <v>1.8559999999999945</v>
      </c>
      <c r="P1369">
        <f t="shared" si="43"/>
        <v>74.168999999999983</v>
      </c>
    </row>
    <row r="1370" spans="1:16" x14ac:dyDescent="0.35">
      <c r="A1370" s="9" t="s">
        <v>414</v>
      </c>
      <c r="B1370" s="2">
        <v>173.79</v>
      </c>
      <c r="C1370" s="2">
        <v>176.626</v>
      </c>
      <c r="D1370" s="2">
        <v>173.72</v>
      </c>
      <c r="E1370" s="2">
        <v>176.35400000000001</v>
      </c>
      <c r="F1370" s="2">
        <v>18108254</v>
      </c>
      <c r="G1370" s="2" t="s">
        <v>561</v>
      </c>
      <c r="H1370" s="2" t="s">
        <v>562</v>
      </c>
      <c r="I1370" s="2" t="s">
        <v>17</v>
      </c>
      <c r="J1370" s="3">
        <v>0.93100000000000005</v>
      </c>
      <c r="K1370" s="2" t="s">
        <v>405</v>
      </c>
      <c r="L1370" s="2">
        <v>2024</v>
      </c>
      <c r="M1370" s="2" t="s">
        <v>135</v>
      </c>
      <c r="N1370" s="2" t="s">
        <v>21</v>
      </c>
      <c r="O1370">
        <f t="shared" si="42"/>
        <v>2.9060000000000059</v>
      </c>
      <c r="P1370">
        <f t="shared" si="43"/>
        <v>75.09999999999998</v>
      </c>
    </row>
    <row r="1371" spans="1:16" x14ac:dyDescent="0.35">
      <c r="A1371" s="9" t="s">
        <v>415</v>
      </c>
      <c r="B1371" s="2">
        <v>175.02600000000001</v>
      </c>
      <c r="C1371" s="2">
        <v>177.92</v>
      </c>
      <c r="D1371" s="2">
        <v>174.37799999999999</v>
      </c>
      <c r="E1371" s="2">
        <v>176.80199999999999</v>
      </c>
      <c r="F1371" s="2">
        <v>19667043</v>
      </c>
      <c r="G1371" s="2" t="s">
        <v>561</v>
      </c>
      <c r="H1371" s="2" t="s">
        <v>562</v>
      </c>
      <c r="I1371" s="2" t="s">
        <v>17</v>
      </c>
      <c r="J1371" s="3">
        <v>0.254</v>
      </c>
      <c r="K1371" s="2" t="s">
        <v>405</v>
      </c>
      <c r="L1371" s="2">
        <v>2024</v>
      </c>
      <c r="M1371" s="2" t="s">
        <v>135</v>
      </c>
      <c r="N1371" s="2" t="s">
        <v>21</v>
      </c>
      <c r="O1371">
        <f t="shared" si="42"/>
        <v>3.5420000000000016</v>
      </c>
      <c r="P1371">
        <f t="shared" si="43"/>
        <v>75.353999999999985</v>
      </c>
    </row>
    <row r="1372" spans="1:16" x14ac:dyDescent="0.35">
      <c r="A1372" s="9" t="s">
        <v>416</v>
      </c>
      <c r="B1372" s="2">
        <v>176.702</v>
      </c>
      <c r="C1372" s="2">
        <v>176.947</v>
      </c>
      <c r="D1372" s="2">
        <v>173.67400000000001</v>
      </c>
      <c r="E1372" s="2">
        <v>174.65799999999999</v>
      </c>
      <c r="F1372" s="2">
        <v>21923975</v>
      </c>
      <c r="G1372" s="2" t="s">
        <v>561</v>
      </c>
      <c r="H1372" s="2" t="s">
        <v>562</v>
      </c>
      <c r="I1372" s="2" t="s">
        <v>17</v>
      </c>
      <c r="J1372" s="4">
        <v>-1.2130000000000001</v>
      </c>
      <c r="K1372" s="2" t="s">
        <v>405</v>
      </c>
      <c r="L1372" s="2">
        <v>2024</v>
      </c>
      <c r="M1372" s="2" t="s">
        <v>135</v>
      </c>
      <c r="N1372" s="2" t="s">
        <v>23</v>
      </c>
      <c r="O1372">
        <f t="shared" si="42"/>
        <v>3.2729999999999961</v>
      </c>
      <c r="P1372">
        <f t="shared" si="43"/>
        <v>74.140999999999991</v>
      </c>
    </row>
    <row r="1373" spans="1:16" x14ac:dyDescent="0.35">
      <c r="A1373" s="9" t="s">
        <v>417</v>
      </c>
      <c r="B1373" s="2">
        <v>174.93799999999999</v>
      </c>
      <c r="C1373" s="2">
        <v>176.852</v>
      </c>
      <c r="D1373" s="2">
        <v>174.55799999999999</v>
      </c>
      <c r="E1373" s="2">
        <v>175.864</v>
      </c>
      <c r="F1373" s="2">
        <v>20209972</v>
      </c>
      <c r="G1373" s="2" t="s">
        <v>561</v>
      </c>
      <c r="H1373" s="2" t="s">
        <v>562</v>
      </c>
      <c r="I1373" s="2" t="s">
        <v>17</v>
      </c>
      <c r="J1373" s="3">
        <v>0.69</v>
      </c>
      <c r="K1373" s="2" t="s">
        <v>405</v>
      </c>
      <c r="L1373" s="2">
        <v>2024</v>
      </c>
      <c r="M1373" s="2" t="s">
        <v>135</v>
      </c>
      <c r="N1373" s="2" t="s">
        <v>21</v>
      </c>
      <c r="O1373">
        <f t="shared" si="42"/>
        <v>2.2940000000000111</v>
      </c>
      <c r="P1373">
        <f t="shared" si="43"/>
        <v>74.830999999999989</v>
      </c>
    </row>
    <row r="1374" spans="1:16" x14ac:dyDescent="0.35">
      <c r="A1374" s="9" t="s">
        <v>418</v>
      </c>
      <c r="B1374" s="2">
        <v>176.56299999999999</v>
      </c>
      <c r="C1374" s="2">
        <v>180.40299999999999</v>
      </c>
      <c r="D1374" s="2">
        <v>176.17400000000001</v>
      </c>
      <c r="E1374" s="2">
        <v>179.18700000000001</v>
      </c>
      <c r="F1374" s="2">
        <v>58727708</v>
      </c>
      <c r="G1374" s="2" t="s">
        <v>561</v>
      </c>
      <c r="H1374" s="2" t="s">
        <v>562</v>
      </c>
      <c r="I1374" s="2" t="s">
        <v>17</v>
      </c>
      <c r="J1374" s="3">
        <v>1.89</v>
      </c>
      <c r="K1374" s="2" t="s">
        <v>405</v>
      </c>
      <c r="L1374" s="2">
        <v>2024</v>
      </c>
      <c r="M1374" s="2" t="s">
        <v>135</v>
      </c>
      <c r="N1374" s="2" t="s">
        <v>21</v>
      </c>
      <c r="O1374">
        <f t="shared" si="42"/>
        <v>4.228999999999985</v>
      </c>
      <c r="P1374">
        <f t="shared" si="43"/>
        <v>76.720999999999989</v>
      </c>
    </row>
    <row r="1375" spans="1:16" x14ac:dyDescent="0.35">
      <c r="A1375" s="9" t="s">
        <v>419</v>
      </c>
      <c r="B1375" s="2">
        <v>179.715</v>
      </c>
      <c r="C1375" s="2">
        <v>180.44300000000001</v>
      </c>
      <c r="D1375" s="2">
        <v>178.22900000000001</v>
      </c>
      <c r="E1375" s="2">
        <v>178.77699999999999</v>
      </c>
      <c r="F1375" s="2">
        <v>18343291</v>
      </c>
      <c r="G1375" s="2" t="s">
        <v>561</v>
      </c>
      <c r="H1375" s="2" t="s">
        <v>562</v>
      </c>
      <c r="I1375" s="2" t="s">
        <v>17</v>
      </c>
      <c r="J1375" s="4">
        <v>-0.22900000000000001</v>
      </c>
      <c r="K1375" s="2" t="s">
        <v>405</v>
      </c>
      <c r="L1375" s="2">
        <v>2024</v>
      </c>
      <c r="M1375" s="2" t="s">
        <v>135</v>
      </c>
      <c r="N1375" s="2" t="s">
        <v>23</v>
      </c>
      <c r="O1375">
        <f t="shared" si="42"/>
        <v>2.2139999999999986</v>
      </c>
      <c r="P1375">
        <f t="shared" si="43"/>
        <v>76.49199999999999</v>
      </c>
    </row>
    <row r="1376" spans="1:16" x14ac:dyDescent="0.35">
      <c r="A1376" s="9" t="s">
        <v>420</v>
      </c>
      <c r="B1376" s="2">
        <v>179.17699999999999</v>
      </c>
      <c r="C1376" s="2">
        <v>183.83500000000001</v>
      </c>
      <c r="D1376" s="2">
        <v>178.977</v>
      </c>
      <c r="E1376" s="2">
        <v>183.57599999999999</v>
      </c>
      <c r="F1376" s="2">
        <v>23293086</v>
      </c>
      <c r="G1376" s="2" t="s">
        <v>561</v>
      </c>
      <c r="H1376" s="2" t="s">
        <v>562</v>
      </c>
      <c r="I1376" s="2" t="s">
        <v>17</v>
      </c>
      <c r="J1376" s="3">
        <v>2.6840000000000002</v>
      </c>
      <c r="K1376" s="2" t="s">
        <v>405</v>
      </c>
      <c r="L1376" s="2">
        <v>2024</v>
      </c>
      <c r="M1376" s="2" t="s">
        <v>135</v>
      </c>
      <c r="N1376" s="2" t="s">
        <v>21</v>
      </c>
      <c r="O1376">
        <f t="shared" si="42"/>
        <v>4.8580000000000041</v>
      </c>
      <c r="P1376">
        <f t="shared" si="43"/>
        <v>79.175999999999988</v>
      </c>
    </row>
    <row r="1377" spans="1:16" x14ac:dyDescent="0.35">
      <c r="A1377" s="9" t="s">
        <v>421</v>
      </c>
      <c r="B1377" s="2">
        <v>182.179</v>
      </c>
      <c r="C1377" s="2">
        <v>184.054</v>
      </c>
      <c r="D1377" s="2">
        <v>182.029</v>
      </c>
      <c r="E1377" s="2">
        <v>183.42599999999999</v>
      </c>
      <c r="F1377" s="2">
        <v>19888064</v>
      </c>
      <c r="G1377" s="2" t="s">
        <v>561</v>
      </c>
      <c r="H1377" s="2" t="s">
        <v>562</v>
      </c>
      <c r="I1377" s="2" t="s">
        <v>17</v>
      </c>
      <c r="J1377" s="4">
        <v>-8.2000000000000003E-2</v>
      </c>
      <c r="K1377" s="2" t="s">
        <v>405</v>
      </c>
      <c r="L1377" s="2">
        <v>2024</v>
      </c>
      <c r="M1377" s="2" t="s">
        <v>135</v>
      </c>
      <c r="N1377" s="2" t="s">
        <v>23</v>
      </c>
      <c r="O1377">
        <f t="shared" si="42"/>
        <v>2.0250000000000057</v>
      </c>
      <c r="P1377">
        <f t="shared" si="43"/>
        <v>79.093999999999994</v>
      </c>
    </row>
    <row r="1378" spans="1:16" x14ac:dyDescent="0.35">
      <c r="A1378" s="9" t="s">
        <v>422</v>
      </c>
      <c r="B1378" s="2">
        <v>183.72499999999999</v>
      </c>
      <c r="C1378" s="2">
        <v>185.59</v>
      </c>
      <c r="D1378" s="2">
        <v>183.566</v>
      </c>
      <c r="E1378" s="2">
        <v>184.952</v>
      </c>
      <c r="F1378" s="2">
        <v>18895526</v>
      </c>
      <c r="G1378" s="2" t="s">
        <v>561</v>
      </c>
      <c r="H1378" s="2" t="s">
        <v>562</v>
      </c>
      <c r="I1378" s="2" t="s">
        <v>17</v>
      </c>
      <c r="J1378" s="3">
        <v>0.83199999999999996</v>
      </c>
      <c r="K1378" s="2" t="s">
        <v>405</v>
      </c>
      <c r="L1378" s="2">
        <v>2024</v>
      </c>
      <c r="M1378" s="2" t="s">
        <v>135</v>
      </c>
      <c r="N1378" s="2" t="s">
        <v>21</v>
      </c>
      <c r="O1378">
        <f t="shared" si="42"/>
        <v>2.0240000000000009</v>
      </c>
      <c r="P1378">
        <f t="shared" si="43"/>
        <v>79.925999999999988</v>
      </c>
    </row>
    <row r="1379" spans="1:16" x14ac:dyDescent="0.35">
      <c r="A1379" s="9" t="s">
        <v>423</v>
      </c>
      <c r="B1379" s="2">
        <v>183.86500000000001</v>
      </c>
      <c r="C1379" s="2">
        <v>184.673</v>
      </c>
      <c r="D1379" s="2">
        <v>181.511</v>
      </c>
      <c r="E1379" s="2">
        <v>181.70099999999999</v>
      </c>
      <c r="F1379" s="2">
        <v>29228793</v>
      </c>
      <c r="G1379" s="2" t="s">
        <v>561</v>
      </c>
      <c r="H1379" s="2" t="s">
        <v>562</v>
      </c>
      <c r="I1379" s="2" t="s">
        <v>17</v>
      </c>
      <c r="J1379" s="4">
        <v>-1.758</v>
      </c>
      <c r="K1379" s="2" t="s">
        <v>405</v>
      </c>
      <c r="L1379" s="2">
        <v>2024</v>
      </c>
      <c r="M1379" s="2" t="s">
        <v>135</v>
      </c>
      <c r="N1379" s="2" t="s">
        <v>23</v>
      </c>
      <c r="O1379">
        <f t="shared" si="42"/>
        <v>3.1620000000000061</v>
      </c>
      <c r="P1379">
        <f t="shared" si="43"/>
        <v>78.167999999999992</v>
      </c>
    </row>
    <row r="1380" spans="1:16" x14ac:dyDescent="0.35">
      <c r="A1380" s="9" t="s">
        <v>424</v>
      </c>
      <c r="B1380" s="2">
        <v>182.578</v>
      </c>
      <c r="C1380" s="2">
        <v>183.42599999999999</v>
      </c>
      <c r="D1380" s="2">
        <v>180.85300000000001</v>
      </c>
      <c r="E1380" s="2">
        <v>182.53899999999999</v>
      </c>
      <c r="F1380" s="2">
        <v>16045735</v>
      </c>
      <c r="G1380" s="2" t="s">
        <v>561</v>
      </c>
      <c r="H1380" s="2" t="s">
        <v>562</v>
      </c>
      <c r="I1380" s="2" t="s">
        <v>17</v>
      </c>
      <c r="J1380" s="3">
        <v>0.46100000000000002</v>
      </c>
      <c r="K1380" s="2" t="s">
        <v>425</v>
      </c>
      <c r="L1380" s="2">
        <v>2024</v>
      </c>
      <c r="M1380" s="2" t="s">
        <v>158</v>
      </c>
      <c r="N1380" s="2" t="s">
        <v>21</v>
      </c>
      <c r="O1380">
        <f t="shared" si="42"/>
        <v>2.5729999999999791</v>
      </c>
      <c r="P1380">
        <f t="shared" si="43"/>
        <v>78.628999999999991</v>
      </c>
    </row>
    <row r="1381" spans="1:16" x14ac:dyDescent="0.35">
      <c r="A1381" s="9" t="s">
        <v>426</v>
      </c>
      <c r="B1381" s="2">
        <v>181.601</v>
      </c>
      <c r="C1381" s="2">
        <v>185.11199999999999</v>
      </c>
      <c r="D1381" s="2">
        <v>181.11099999999999</v>
      </c>
      <c r="E1381" s="2">
        <v>184.78299999999999</v>
      </c>
      <c r="F1381" s="2">
        <v>17415474</v>
      </c>
      <c r="G1381" s="2" t="s">
        <v>561</v>
      </c>
      <c r="H1381" s="2" t="s">
        <v>562</v>
      </c>
      <c r="I1381" s="2" t="s">
        <v>17</v>
      </c>
      <c r="J1381" s="3">
        <v>1.2290000000000001</v>
      </c>
      <c r="K1381" s="2" t="s">
        <v>425</v>
      </c>
      <c r="L1381" s="2">
        <v>2024</v>
      </c>
      <c r="M1381" s="2" t="s">
        <v>158</v>
      </c>
      <c r="N1381" s="2" t="s">
        <v>21</v>
      </c>
      <c r="O1381">
        <f t="shared" si="42"/>
        <v>4.0010000000000048</v>
      </c>
      <c r="P1381">
        <f t="shared" si="43"/>
        <v>79.85799999999999</v>
      </c>
    </row>
    <row r="1382" spans="1:16" x14ac:dyDescent="0.35">
      <c r="A1382" s="9" t="s">
        <v>427</v>
      </c>
      <c r="B1382" s="2">
        <v>184.39400000000001</v>
      </c>
      <c r="C1382" s="2">
        <v>185.63</v>
      </c>
      <c r="D1382" s="2">
        <v>183.54599999999999</v>
      </c>
      <c r="E1382" s="2">
        <v>185.36199999999999</v>
      </c>
      <c r="F1382" s="2">
        <v>10267470</v>
      </c>
      <c r="G1382" s="2" t="s">
        <v>561</v>
      </c>
      <c r="H1382" s="2" t="s">
        <v>562</v>
      </c>
      <c r="I1382" s="2" t="s">
        <v>17</v>
      </c>
      <c r="J1382" s="3">
        <v>0.313</v>
      </c>
      <c r="K1382" s="2" t="s">
        <v>425</v>
      </c>
      <c r="L1382" s="2">
        <v>2024</v>
      </c>
      <c r="M1382" s="2" t="s">
        <v>158</v>
      </c>
      <c r="N1382" s="2" t="s">
        <v>21</v>
      </c>
      <c r="O1382">
        <f t="shared" si="42"/>
        <v>2.0840000000000032</v>
      </c>
      <c r="P1382">
        <f t="shared" si="43"/>
        <v>80.170999999999992</v>
      </c>
    </row>
    <row r="1383" spans="1:16" x14ac:dyDescent="0.35">
      <c r="A1383" s="9" t="s">
        <v>428</v>
      </c>
      <c r="B1383" s="2">
        <v>185.39699999999999</v>
      </c>
      <c r="C1383" s="2">
        <v>190.38900000000001</v>
      </c>
      <c r="D1383" s="2">
        <v>185.34200000000001</v>
      </c>
      <c r="E1383" s="2">
        <v>190.12899999999999</v>
      </c>
      <c r="F1383" s="2">
        <v>21019335</v>
      </c>
      <c r="G1383" s="2" t="s">
        <v>561</v>
      </c>
      <c r="H1383" s="2" t="s">
        <v>562</v>
      </c>
      <c r="I1383" s="2" t="s">
        <v>17</v>
      </c>
      <c r="J1383" s="3">
        <v>2.5720000000000001</v>
      </c>
      <c r="K1383" s="2" t="s">
        <v>425</v>
      </c>
      <c r="L1383" s="2">
        <v>2024</v>
      </c>
      <c r="M1383" s="2" t="s">
        <v>158</v>
      </c>
      <c r="N1383" s="2" t="s">
        <v>21</v>
      </c>
      <c r="O1383">
        <f t="shared" si="42"/>
        <v>5.046999999999997</v>
      </c>
      <c r="P1383">
        <f t="shared" si="43"/>
        <v>82.742999999999995</v>
      </c>
    </row>
    <row r="1384" spans="1:16" x14ac:dyDescent="0.35">
      <c r="A1384" s="9" t="s">
        <v>429</v>
      </c>
      <c r="B1384" s="2">
        <v>189.42599999999999</v>
      </c>
      <c r="C1384" s="2">
        <v>189.70099999999999</v>
      </c>
      <c r="D1384" s="2">
        <v>187.316</v>
      </c>
      <c r="E1384" s="2">
        <v>188.56299999999999</v>
      </c>
      <c r="F1384" s="2">
        <v>21087940</v>
      </c>
      <c r="G1384" s="2" t="s">
        <v>561</v>
      </c>
      <c r="H1384" s="2" t="s">
        <v>562</v>
      </c>
      <c r="I1384" s="2" t="s">
        <v>17</v>
      </c>
      <c r="J1384" s="4">
        <v>-0.82399999999999995</v>
      </c>
      <c r="K1384" s="2" t="s">
        <v>425</v>
      </c>
      <c r="L1384" s="2">
        <v>2024</v>
      </c>
      <c r="M1384" s="2" t="s">
        <v>158</v>
      </c>
      <c r="N1384" s="2" t="s">
        <v>23</v>
      </c>
      <c r="O1384">
        <f t="shared" si="42"/>
        <v>2.3849999999999909</v>
      </c>
      <c r="P1384">
        <f t="shared" si="43"/>
        <v>81.918999999999997</v>
      </c>
    </row>
    <row r="1385" spans="1:16" x14ac:dyDescent="0.35">
      <c r="A1385" s="9" t="s">
        <v>430</v>
      </c>
      <c r="B1385" s="2">
        <v>189.84</v>
      </c>
      <c r="C1385" s="2">
        <v>190.887</v>
      </c>
      <c r="D1385" s="2">
        <v>188.25399999999999</v>
      </c>
      <c r="E1385" s="2">
        <v>188.51400000000001</v>
      </c>
      <c r="F1385" s="2">
        <v>15178779</v>
      </c>
      <c r="G1385" s="2" t="s">
        <v>561</v>
      </c>
      <c r="H1385" s="2" t="s">
        <v>562</v>
      </c>
      <c r="I1385" s="2" t="s">
        <v>17</v>
      </c>
      <c r="J1385" s="4">
        <v>-2.5999999999999999E-2</v>
      </c>
      <c r="K1385" s="2" t="s">
        <v>425</v>
      </c>
      <c r="L1385" s="2">
        <v>2024</v>
      </c>
      <c r="M1385" s="2" t="s">
        <v>158</v>
      </c>
      <c r="N1385" s="2" t="s">
        <v>23</v>
      </c>
      <c r="O1385">
        <f t="shared" si="42"/>
        <v>2.6330000000000098</v>
      </c>
      <c r="P1385">
        <f t="shared" si="43"/>
        <v>81.893000000000001</v>
      </c>
    </row>
    <row r="1386" spans="1:16" x14ac:dyDescent="0.35">
      <c r="A1386" s="9" t="s">
        <v>431</v>
      </c>
      <c r="B1386" s="2">
        <v>188.68299999999999</v>
      </c>
      <c r="C1386" s="2">
        <v>191.27699999999999</v>
      </c>
      <c r="D1386" s="2">
        <v>188.56299999999999</v>
      </c>
      <c r="E1386" s="2">
        <v>190.708</v>
      </c>
      <c r="F1386" s="2">
        <v>15991929</v>
      </c>
      <c r="G1386" s="2" t="s">
        <v>561</v>
      </c>
      <c r="H1386" s="2" t="s">
        <v>562</v>
      </c>
      <c r="I1386" s="2" t="s">
        <v>17</v>
      </c>
      <c r="J1386" s="3">
        <v>1.1639999999999999</v>
      </c>
      <c r="K1386" s="2" t="s">
        <v>425</v>
      </c>
      <c r="L1386" s="2">
        <v>2024</v>
      </c>
      <c r="M1386" s="2" t="s">
        <v>158</v>
      </c>
      <c r="N1386" s="2" t="s">
        <v>21</v>
      </c>
      <c r="O1386">
        <f t="shared" si="42"/>
        <v>2.7139999999999986</v>
      </c>
      <c r="P1386">
        <f t="shared" si="43"/>
        <v>83.057000000000002</v>
      </c>
    </row>
    <row r="1387" spans="1:16" x14ac:dyDescent="0.35">
      <c r="A1387" s="9" t="s">
        <v>432</v>
      </c>
      <c r="B1387" s="2">
        <v>189.376</v>
      </c>
      <c r="C1387" s="2">
        <v>190.38900000000001</v>
      </c>
      <c r="D1387" s="2">
        <v>184.62299999999999</v>
      </c>
      <c r="E1387" s="2">
        <v>185.11199999999999</v>
      </c>
      <c r="F1387" s="2">
        <v>25689196</v>
      </c>
      <c r="G1387" s="2" t="s">
        <v>561</v>
      </c>
      <c r="H1387" s="2" t="s">
        <v>562</v>
      </c>
      <c r="I1387" s="2" t="s">
        <v>17</v>
      </c>
      <c r="J1387" s="4">
        <v>-2.9340000000000002</v>
      </c>
      <c r="K1387" s="2" t="s">
        <v>425</v>
      </c>
      <c r="L1387" s="2">
        <v>2024</v>
      </c>
      <c r="M1387" s="2" t="s">
        <v>158</v>
      </c>
      <c r="N1387" s="2" t="s">
        <v>23</v>
      </c>
      <c r="O1387">
        <f t="shared" si="42"/>
        <v>5.7660000000000196</v>
      </c>
      <c r="P1387">
        <f t="shared" si="43"/>
        <v>80.123000000000005</v>
      </c>
    </row>
    <row r="1388" spans="1:16" x14ac:dyDescent="0.35">
      <c r="A1388" s="9" t="s">
        <v>433</v>
      </c>
      <c r="B1388" s="2">
        <v>184.62299999999999</v>
      </c>
      <c r="C1388" s="2">
        <v>186.648</v>
      </c>
      <c r="D1388" s="2">
        <v>184.035</v>
      </c>
      <c r="E1388" s="2">
        <v>184.613</v>
      </c>
      <c r="F1388" s="2">
        <v>22955069</v>
      </c>
      <c r="G1388" s="2" t="s">
        <v>561</v>
      </c>
      <c r="H1388" s="2" t="s">
        <v>562</v>
      </c>
      <c r="I1388" s="2" t="s">
        <v>17</v>
      </c>
      <c r="J1388" s="4">
        <v>-0.27</v>
      </c>
      <c r="K1388" s="2" t="s">
        <v>425</v>
      </c>
      <c r="L1388" s="2">
        <v>2024</v>
      </c>
      <c r="M1388" s="2" t="s">
        <v>158</v>
      </c>
      <c r="N1388" s="2" t="s">
        <v>23</v>
      </c>
      <c r="O1388">
        <f t="shared" si="42"/>
        <v>2.6129999999999995</v>
      </c>
      <c r="P1388">
        <f t="shared" si="43"/>
        <v>79.853000000000009</v>
      </c>
    </row>
    <row r="1389" spans="1:16" x14ac:dyDescent="0.35">
      <c r="A1389" s="9" t="s">
        <v>434</v>
      </c>
      <c r="B1389" s="2">
        <v>184.464</v>
      </c>
      <c r="C1389" s="2">
        <v>187.77600000000001</v>
      </c>
      <c r="D1389" s="2">
        <v>184.464</v>
      </c>
      <c r="E1389" s="2">
        <v>186.07</v>
      </c>
      <c r="F1389" s="2">
        <v>16514808</v>
      </c>
      <c r="G1389" s="2" t="s">
        <v>561</v>
      </c>
      <c r="H1389" s="2" t="s">
        <v>562</v>
      </c>
      <c r="I1389" s="2" t="s">
        <v>17</v>
      </c>
      <c r="J1389" s="3">
        <v>0.78900000000000003</v>
      </c>
      <c r="K1389" s="2" t="s">
        <v>425</v>
      </c>
      <c r="L1389" s="2">
        <v>2024</v>
      </c>
      <c r="M1389" s="2" t="s">
        <v>158</v>
      </c>
      <c r="N1389" s="2" t="s">
        <v>21</v>
      </c>
      <c r="O1389">
        <f t="shared" si="42"/>
        <v>3.3120000000000118</v>
      </c>
      <c r="P1389">
        <f t="shared" si="43"/>
        <v>80.64200000000001</v>
      </c>
    </row>
    <row r="1390" spans="1:16" x14ac:dyDescent="0.35">
      <c r="A1390" s="9" t="s">
        <v>435</v>
      </c>
      <c r="B1390" s="2">
        <v>186.898</v>
      </c>
      <c r="C1390" s="2">
        <v>188.214</v>
      </c>
      <c r="D1390" s="2">
        <v>182.92099999999999</v>
      </c>
      <c r="E1390" s="2">
        <v>183.46600000000001</v>
      </c>
      <c r="F1390" s="2">
        <v>18335983</v>
      </c>
      <c r="G1390" s="2" t="s">
        <v>561</v>
      </c>
      <c r="H1390" s="2" t="s">
        <v>562</v>
      </c>
      <c r="I1390" s="2" t="s">
        <v>17</v>
      </c>
      <c r="J1390" s="4">
        <v>-1.399</v>
      </c>
      <c r="K1390" s="2" t="s">
        <v>425</v>
      </c>
      <c r="L1390" s="2">
        <v>2024</v>
      </c>
      <c r="M1390" s="2" t="s">
        <v>158</v>
      </c>
      <c r="N1390" s="2" t="s">
        <v>23</v>
      </c>
      <c r="O1390">
        <f t="shared" si="42"/>
        <v>5.2930000000000064</v>
      </c>
      <c r="P1390">
        <f t="shared" si="43"/>
        <v>79.243000000000009</v>
      </c>
    </row>
    <row r="1391" spans="1:16" x14ac:dyDescent="0.35">
      <c r="A1391" s="9" t="s">
        <v>436</v>
      </c>
      <c r="B1391" s="2">
        <v>182.51400000000001</v>
      </c>
      <c r="C1391" s="2">
        <v>183.09700000000001</v>
      </c>
      <c r="D1391" s="2">
        <v>179.45599999999999</v>
      </c>
      <c r="E1391" s="2">
        <v>180.57300000000001</v>
      </c>
      <c r="F1391" s="2">
        <v>20785378</v>
      </c>
      <c r="G1391" s="2" t="s">
        <v>561</v>
      </c>
      <c r="H1391" s="2" t="s">
        <v>562</v>
      </c>
      <c r="I1391" s="2" t="s">
        <v>17</v>
      </c>
      <c r="J1391" s="4">
        <v>-1.577</v>
      </c>
      <c r="K1391" s="2" t="s">
        <v>425</v>
      </c>
      <c r="L1391" s="2">
        <v>2024</v>
      </c>
      <c r="M1391" s="2" t="s">
        <v>158</v>
      </c>
      <c r="N1391" s="2" t="s">
        <v>23</v>
      </c>
      <c r="O1391">
        <f t="shared" si="42"/>
        <v>3.6410000000000196</v>
      </c>
      <c r="P1391">
        <f t="shared" si="43"/>
        <v>77.666000000000011</v>
      </c>
    </row>
    <row r="1392" spans="1:16" x14ac:dyDescent="0.35">
      <c r="A1392" s="9" t="s">
        <v>437</v>
      </c>
      <c r="B1392" s="2">
        <v>181.48099999999999</v>
      </c>
      <c r="C1392" s="2">
        <v>182.04900000000001</v>
      </c>
      <c r="D1392" s="2">
        <v>176.03399999999999</v>
      </c>
      <c r="E1392" s="2">
        <v>177.25200000000001</v>
      </c>
      <c r="F1392" s="2">
        <v>25378372</v>
      </c>
      <c r="G1392" s="2" t="s">
        <v>561</v>
      </c>
      <c r="H1392" s="2" t="s">
        <v>562</v>
      </c>
      <c r="I1392" s="2" t="s">
        <v>17</v>
      </c>
      <c r="J1392" s="4">
        <v>-1.839</v>
      </c>
      <c r="K1392" s="2" t="s">
        <v>425</v>
      </c>
      <c r="L1392" s="2">
        <v>2024</v>
      </c>
      <c r="M1392" s="2" t="s">
        <v>158</v>
      </c>
      <c r="N1392" s="2" t="s">
        <v>23</v>
      </c>
      <c r="O1392">
        <f t="shared" si="42"/>
        <v>6.0150000000000148</v>
      </c>
      <c r="P1392">
        <f t="shared" si="43"/>
        <v>75.827000000000012</v>
      </c>
    </row>
    <row r="1393" spans="1:16" x14ac:dyDescent="0.35">
      <c r="A1393" s="9" t="s">
        <v>438</v>
      </c>
      <c r="B1393" s="2">
        <v>178.43799999999999</v>
      </c>
      <c r="C1393" s="2">
        <v>179.845</v>
      </c>
      <c r="D1393" s="2">
        <v>176.69200000000001</v>
      </c>
      <c r="E1393" s="2">
        <v>177.22200000000001</v>
      </c>
      <c r="F1393" s="2">
        <v>18928609</v>
      </c>
      <c r="G1393" s="2" t="s">
        <v>561</v>
      </c>
      <c r="H1393" s="2" t="s">
        <v>562</v>
      </c>
      <c r="I1393" s="2" t="s">
        <v>17</v>
      </c>
      <c r="J1393" s="4">
        <v>-1.7000000000000001E-2</v>
      </c>
      <c r="K1393" s="2" t="s">
        <v>425</v>
      </c>
      <c r="L1393" s="2">
        <v>2024</v>
      </c>
      <c r="M1393" s="2" t="s">
        <v>158</v>
      </c>
      <c r="N1393" s="2" t="s">
        <v>23</v>
      </c>
      <c r="O1393">
        <f t="shared" si="42"/>
        <v>3.1529999999999916</v>
      </c>
      <c r="P1393">
        <f t="shared" si="43"/>
        <v>75.810000000000016</v>
      </c>
    </row>
    <row r="1394" spans="1:16" x14ac:dyDescent="0.35">
      <c r="A1394" s="9" t="s">
        <v>439</v>
      </c>
      <c r="B1394" s="2">
        <v>180.14500000000001</v>
      </c>
      <c r="C1394" s="2">
        <v>182.249</v>
      </c>
      <c r="D1394" s="2">
        <v>179.785</v>
      </c>
      <c r="E1394" s="2">
        <v>181.221</v>
      </c>
      <c r="F1394" s="2">
        <v>24159982</v>
      </c>
      <c r="G1394" s="2" t="s">
        <v>561</v>
      </c>
      <c r="H1394" s="2" t="s">
        <v>562</v>
      </c>
      <c r="I1394" s="2" t="s">
        <v>17</v>
      </c>
      <c r="J1394" s="3">
        <v>2.2559999999999998</v>
      </c>
      <c r="K1394" s="2" t="s">
        <v>425</v>
      </c>
      <c r="L1394" s="2">
        <v>2024</v>
      </c>
      <c r="M1394" s="2" t="s">
        <v>158</v>
      </c>
      <c r="N1394" s="2" t="s">
        <v>21</v>
      </c>
      <c r="O1394">
        <f t="shared" si="42"/>
        <v>2.4639999999999986</v>
      </c>
      <c r="P1394">
        <f t="shared" si="43"/>
        <v>78.066000000000017</v>
      </c>
    </row>
    <row r="1395" spans="1:16" x14ac:dyDescent="0.35">
      <c r="A1395" s="9" t="s">
        <v>440</v>
      </c>
      <c r="B1395" s="2">
        <v>181.601</v>
      </c>
      <c r="C1395" s="2">
        <v>183.15700000000001</v>
      </c>
      <c r="D1395" s="2">
        <v>181.09100000000001</v>
      </c>
      <c r="E1395" s="2">
        <v>181.34100000000001</v>
      </c>
      <c r="F1395" s="2">
        <v>36442670</v>
      </c>
      <c r="G1395" s="2" t="s">
        <v>561</v>
      </c>
      <c r="H1395" s="2" t="s">
        <v>562</v>
      </c>
      <c r="I1395" s="2" t="s">
        <v>17</v>
      </c>
      <c r="J1395" s="3">
        <v>6.6000000000000003E-2</v>
      </c>
      <c r="K1395" s="2" t="s">
        <v>425</v>
      </c>
      <c r="L1395" s="2">
        <v>2024</v>
      </c>
      <c r="M1395" s="2" t="s">
        <v>158</v>
      </c>
      <c r="N1395" s="2" t="s">
        <v>21</v>
      </c>
      <c r="O1395">
        <f t="shared" si="42"/>
        <v>2.0660000000000025</v>
      </c>
      <c r="P1395">
        <f t="shared" si="43"/>
        <v>78.132000000000019</v>
      </c>
    </row>
    <row r="1396" spans="1:16" x14ac:dyDescent="0.35">
      <c r="A1396" s="9" t="s">
        <v>441</v>
      </c>
      <c r="B1396" s="2">
        <v>173.172</v>
      </c>
      <c r="C1396" s="2">
        <v>175.756</v>
      </c>
      <c r="D1396" s="2">
        <v>171.39599999999999</v>
      </c>
      <c r="E1396" s="2">
        <v>172.20400000000001</v>
      </c>
      <c r="F1396" s="2">
        <v>49707904</v>
      </c>
      <c r="G1396" s="2" t="s">
        <v>561</v>
      </c>
      <c r="H1396" s="2" t="s">
        <v>562</v>
      </c>
      <c r="I1396" s="2" t="s">
        <v>17</v>
      </c>
      <c r="J1396" s="4">
        <v>-5.0389999999999997</v>
      </c>
      <c r="K1396" s="2" t="s">
        <v>425</v>
      </c>
      <c r="L1396" s="2">
        <v>2024</v>
      </c>
      <c r="M1396" s="2" t="s">
        <v>158</v>
      </c>
      <c r="N1396" s="2" t="s">
        <v>23</v>
      </c>
      <c r="O1396">
        <f t="shared" si="42"/>
        <v>4.3600000000000136</v>
      </c>
      <c r="P1396">
        <f t="shared" si="43"/>
        <v>73.093000000000018</v>
      </c>
    </row>
    <row r="1397" spans="1:16" x14ac:dyDescent="0.35">
      <c r="A1397" s="9" t="s">
        <v>442</v>
      </c>
      <c r="B1397" s="2">
        <v>172.09399999999999</v>
      </c>
      <c r="C1397" s="2">
        <v>172.99199999999999</v>
      </c>
      <c r="D1397" s="2">
        <v>166.77699999999999</v>
      </c>
      <c r="E1397" s="2">
        <v>166.86699999999999</v>
      </c>
      <c r="F1397" s="2">
        <v>44962961</v>
      </c>
      <c r="G1397" s="2" t="s">
        <v>561</v>
      </c>
      <c r="H1397" s="2" t="s">
        <v>562</v>
      </c>
      <c r="I1397" s="2" t="s">
        <v>17</v>
      </c>
      <c r="J1397" s="4">
        <v>-3.0990000000000002</v>
      </c>
      <c r="K1397" s="2" t="s">
        <v>425</v>
      </c>
      <c r="L1397" s="2">
        <v>2024</v>
      </c>
      <c r="M1397" s="2" t="s">
        <v>158</v>
      </c>
      <c r="N1397" s="2" t="s">
        <v>23</v>
      </c>
      <c r="O1397">
        <f t="shared" si="42"/>
        <v>6.2150000000000034</v>
      </c>
      <c r="P1397">
        <f t="shared" si="43"/>
        <v>69.994000000000014</v>
      </c>
    </row>
    <row r="1398" spans="1:16" x14ac:dyDescent="0.35">
      <c r="A1398" s="9" t="s">
        <v>443</v>
      </c>
      <c r="B1398" s="2">
        <v>166.73699999999999</v>
      </c>
      <c r="C1398" s="2">
        <v>167.67500000000001</v>
      </c>
      <c r="D1398" s="2">
        <v>163.655</v>
      </c>
      <c r="E1398" s="2">
        <v>166.58799999999999</v>
      </c>
      <c r="F1398" s="2">
        <v>41439176</v>
      </c>
      <c r="G1398" s="2" t="s">
        <v>561</v>
      </c>
      <c r="H1398" s="2" t="s">
        <v>562</v>
      </c>
      <c r="I1398" s="2" t="s">
        <v>17</v>
      </c>
      <c r="J1398" s="4">
        <v>-0.16700000000000001</v>
      </c>
      <c r="K1398" s="2" t="s">
        <v>425</v>
      </c>
      <c r="L1398" s="2">
        <v>2024</v>
      </c>
      <c r="M1398" s="2" t="s">
        <v>158</v>
      </c>
      <c r="N1398" s="2" t="s">
        <v>23</v>
      </c>
      <c r="O1398">
        <f t="shared" si="42"/>
        <v>4.0200000000000102</v>
      </c>
      <c r="P1398">
        <f t="shared" si="43"/>
        <v>69.827000000000012</v>
      </c>
    </row>
    <row r="1399" spans="1:16" x14ac:dyDescent="0.35">
      <c r="A1399" s="9" t="s">
        <v>444</v>
      </c>
      <c r="B1399" s="2">
        <v>168.41300000000001</v>
      </c>
      <c r="C1399" s="2">
        <v>170.00899999999999</v>
      </c>
      <c r="D1399" s="2">
        <v>167.57499999999999</v>
      </c>
      <c r="E1399" s="2">
        <v>169.11099999999999</v>
      </c>
      <c r="F1399" s="2">
        <v>20344040</v>
      </c>
      <c r="G1399" s="2" t="s">
        <v>561</v>
      </c>
      <c r="H1399" s="2" t="s">
        <v>562</v>
      </c>
      <c r="I1399" s="2" t="s">
        <v>17</v>
      </c>
      <c r="J1399" s="3">
        <v>1.5149999999999999</v>
      </c>
      <c r="K1399" s="2" t="s">
        <v>425</v>
      </c>
      <c r="L1399" s="2">
        <v>2024</v>
      </c>
      <c r="M1399" s="2" t="s">
        <v>158</v>
      </c>
      <c r="N1399" s="2" t="s">
        <v>21</v>
      </c>
      <c r="O1399">
        <f t="shared" si="42"/>
        <v>2.4339999999999975</v>
      </c>
      <c r="P1399">
        <f t="shared" si="43"/>
        <v>71.342000000000013</v>
      </c>
    </row>
    <row r="1400" spans="1:16" x14ac:dyDescent="0.35">
      <c r="A1400" s="9" t="s">
        <v>445</v>
      </c>
      <c r="B1400" s="2">
        <v>169.81899999999999</v>
      </c>
      <c r="C1400" s="2">
        <v>170.80699999999999</v>
      </c>
      <c r="D1400" s="2">
        <v>168.024</v>
      </c>
      <c r="E1400" s="2">
        <v>169.869</v>
      </c>
      <c r="F1400" s="2">
        <v>19006602</v>
      </c>
      <c r="G1400" s="2" t="s">
        <v>561</v>
      </c>
      <c r="H1400" s="2" t="s">
        <v>562</v>
      </c>
      <c r="I1400" s="2" t="s">
        <v>17</v>
      </c>
      <c r="J1400" s="3">
        <v>0.44800000000000001</v>
      </c>
      <c r="K1400" s="2" t="s">
        <v>425</v>
      </c>
      <c r="L1400" s="2">
        <v>2024</v>
      </c>
      <c r="M1400" s="2" t="s">
        <v>158</v>
      </c>
      <c r="N1400" s="2" t="s">
        <v>21</v>
      </c>
      <c r="O1400">
        <f t="shared" si="42"/>
        <v>2.782999999999987</v>
      </c>
      <c r="P1400">
        <f t="shared" si="43"/>
        <v>71.790000000000006</v>
      </c>
    </row>
    <row r="1401" spans="1:16" x14ac:dyDescent="0.35">
      <c r="A1401" s="9" t="s">
        <v>446</v>
      </c>
      <c r="B1401" s="2">
        <v>172.81200000000001</v>
      </c>
      <c r="C1401" s="2">
        <v>173.815</v>
      </c>
      <c r="D1401" s="2">
        <v>169.59100000000001</v>
      </c>
      <c r="E1401" s="2">
        <v>171.11699999999999</v>
      </c>
      <c r="F1401" s="2">
        <v>25792757</v>
      </c>
      <c r="G1401" s="2" t="s">
        <v>561</v>
      </c>
      <c r="H1401" s="2" t="s">
        <v>562</v>
      </c>
      <c r="I1401" s="2" t="s">
        <v>17</v>
      </c>
      <c r="J1401" s="3">
        <v>0.73499999999999999</v>
      </c>
      <c r="K1401" s="2" t="s">
        <v>425</v>
      </c>
      <c r="L1401" s="2">
        <v>2024</v>
      </c>
      <c r="M1401" s="2" t="s">
        <v>158</v>
      </c>
      <c r="N1401" s="2" t="s">
        <v>21</v>
      </c>
      <c r="O1401">
        <f t="shared" si="42"/>
        <v>4.2239999999999895</v>
      </c>
      <c r="P1401">
        <f t="shared" si="43"/>
        <v>72.525000000000006</v>
      </c>
    </row>
    <row r="1402" spans="1:16" x14ac:dyDescent="0.35">
      <c r="A1402" s="9" t="s">
        <v>447</v>
      </c>
      <c r="B1402" s="2">
        <v>169.82900000000001</v>
      </c>
      <c r="C1402" s="2">
        <v>173.62</v>
      </c>
      <c r="D1402" s="2">
        <v>168.46299999999999</v>
      </c>
      <c r="E1402" s="2">
        <v>170.339</v>
      </c>
      <c r="F1402" s="2">
        <v>24592096</v>
      </c>
      <c r="G1402" s="2" t="s">
        <v>561</v>
      </c>
      <c r="H1402" s="2" t="s">
        <v>562</v>
      </c>
      <c r="I1402" s="2" t="s">
        <v>17</v>
      </c>
      <c r="J1402" s="4">
        <v>-0.45500000000000002</v>
      </c>
      <c r="K1402" s="2" t="s">
        <v>448</v>
      </c>
      <c r="L1402" s="2">
        <v>2024</v>
      </c>
      <c r="M1402" s="2" t="s">
        <v>180</v>
      </c>
      <c r="N1402" s="2" t="s">
        <v>23</v>
      </c>
      <c r="O1402">
        <f t="shared" si="42"/>
        <v>5.1570000000000107</v>
      </c>
      <c r="P1402">
        <f t="shared" si="43"/>
        <v>72.070000000000007</v>
      </c>
    </row>
    <row r="1403" spans="1:16" x14ac:dyDescent="0.35">
      <c r="A1403" s="9" t="s">
        <v>449</v>
      </c>
      <c r="B1403" s="2">
        <v>166.029</v>
      </c>
      <c r="C1403" s="2">
        <v>168.09399999999999</v>
      </c>
      <c r="D1403" s="2">
        <v>164.26400000000001</v>
      </c>
      <c r="E1403" s="2">
        <v>166.24799999999999</v>
      </c>
      <c r="F1403" s="2">
        <v>29202185</v>
      </c>
      <c r="G1403" s="2" t="s">
        <v>561</v>
      </c>
      <c r="H1403" s="2" t="s">
        <v>562</v>
      </c>
      <c r="I1403" s="2" t="s">
        <v>17</v>
      </c>
      <c r="J1403" s="4">
        <v>-2.4020000000000001</v>
      </c>
      <c r="K1403" s="2" t="s">
        <v>448</v>
      </c>
      <c r="L1403" s="2">
        <v>2024</v>
      </c>
      <c r="M1403" s="2" t="s">
        <v>180</v>
      </c>
      <c r="N1403" s="2" t="s">
        <v>23</v>
      </c>
      <c r="O1403">
        <f t="shared" si="42"/>
        <v>3.8299999999999841</v>
      </c>
      <c r="P1403">
        <f t="shared" si="43"/>
        <v>69.668000000000006</v>
      </c>
    </row>
    <row r="1404" spans="1:16" x14ac:dyDescent="0.35">
      <c r="A1404" s="9" t="s">
        <v>450</v>
      </c>
      <c r="B1404" s="2">
        <v>155.11600000000001</v>
      </c>
      <c r="C1404" s="2">
        <v>164.024</v>
      </c>
      <c r="D1404" s="2">
        <v>154.548</v>
      </c>
      <c r="E1404" s="2">
        <v>158.857</v>
      </c>
      <c r="F1404" s="2">
        <v>53763384</v>
      </c>
      <c r="G1404" s="2" t="s">
        <v>561</v>
      </c>
      <c r="H1404" s="2" t="s">
        <v>562</v>
      </c>
      <c r="I1404" s="2" t="s">
        <v>17</v>
      </c>
      <c r="J1404" s="4">
        <v>-4.4459999999999997</v>
      </c>
      <c r="K1404" s="2" t="s">
        <v>448</v>
      </c>
      <c r="L1404" s="2">
        <v>2024</v>
      </c>
      <c r="M1404" s="2" t="s">
        <v>180</v>
      </c>
      <c r="N1404" s="2" t="s">
        <v>23</v>
      </c>
      <c r="O1404">
        <f t="shared" si="42"/>
        <v>9.4759999999999991</v>
      </c>
      <c r="P1404">
        <f t="shared" si="43"/>
        <v>65.222000000000008</v>
      </c>
    </row>
    <row r="1405" spans="1:16" x14ac:dyDescent="0.35">
      <c r="A1405" s="9" t="s">
        <v>451</v>
      </c>
      <c r="B1405" s="2">
        <v>158.93700000000001</v>
      </c>
      <c r="C1405" s="2">
        <v>160.173</v>
      </c>
      <c r="D1405" s="2">
        <v>156.024</v>
      </c>
      <c r="E1405" s="2">
        <v>157.899</v>
      </c>
      <c r="F1405" s="2">
        <v>49125825</v>
      </c>
      <c r="G1405" s="2" t="s">
        <v>561</v>
      </c>
      <c r="H1405" s="2" t="s">
        <v>562</v>
      </c>
      <c r="I1405" s="2" t="s">
        <v>17</v>
      </c>
      <c r="J1405" s="4">
        <v>-0.60299999999999998</v>
      </c>
      <c r="K1405" s="2" t="s">
        <v>448</v>
      </c>
      <c r="L1405" s="2">
        <v>2024</v>
      </c>
      <c r="M1405" s="2" t="s">
        <v>180</v>
      </c>
      <c r="N1405" s="2" t="s">
        <v>23</v>
      </c>
      <c r="O1405">
        <f t="shared" si="42"/>
        <v>4.1490000000000009</v>
      </c>
      <c r="P1405">
        <f t="shared" si="43"/>
        <v>64.619000000000014</v>
      </c>
    </row>
    <row r="1406" spans="1:16" x14ac:dyDescent="0.35">
      <c r="A1406" s="9" t="s">
        <v>452</v>
      </c>
      <c r="B1406" s="2">
        <v>160.852</v>
      </c>
      <c r="C1406" s="2">
        <v>162.578</v>
      </c>
      <c r="D1406" s="2">
        <v>158.07900000000001</v>
      </c>
      <c r="E1406" s="2">
        <v>158.547</v>
      </c>
      <c r="F1406" s="2">
        <v>25200779</v>
      </c>
      <c r="G1406" s="2" t="s">
        <v>561</v>
      </c>
      <c r="H1406" s="2" t="s">
        <v>562</v>
      </c>
      <c r="I1406" s="2" t="s">
        <v>17</v>
      </c>
      <c r="J1406" s="3">
        <v>0.41</v>
      </c>
      <c r="K1406" s="2" t="s">
        <v>448</v>
      </c>
      <c r="L1406" s="2">
        <v>2024</v>
      </c>
      <c r="M1406" s="2" t="s">
        <v>180</v>
      </c>
      <c r="N1406" s="2" t="s">
        <v>21</v>
      </c>
      <c r="O1406">
        <f t="shared" si="42"/>
        <v>4.4989999999999952</v>
      </c>
      <c r="P1406">
        <f t="shared" si="43"/>
        <v>65.029000000000011</v>
      </c>
    </row>
    <row r="1407" spans="1:16" x14ac:dyDescent="0.35">
      <c r="A1407" s="9" t="s">
        <v>453</v>
      </c>
      <c r="B1407" s="2">
        <v>160.113</v>
      </c>
      <c r="C1407" s="2">
        <v>163.286</v>
      </c>
      <c r="D1407" s="2">
        <v>159.815</v>
      </c>
      <c r="E1407" s="2">
        <v>161.63</v>
      </c>
      <c r="F1407" s="2">
        <v>25642135</v>
      </c>
      <c r="G1407" s="2" t="s">
        <v>561</v>
      </c>
      <c r="H1407" s="2" t="s">
        <v>562</v>
      </c>
      <c r="I1407" s="2" t="s">
        <v>17</v>
      </c>
      <c r="J1407" s="3">
        <v>1.9450000000000001</v>
      </c>
      <c r="K1407" s="2" t="s">
        <v>448</v>
      </c>
      <c r="L1407" s="2">
        <v>2024</v>
      </c>
      <c r="M1407" s="2" t="s">
        <v>180</v>
      </c>
      <c r="N1407" s="2" t="s">
        <v>21</v>
      </c>
      <c r="O1407">
        <f t="shared" si="42"/>
        <v>3.4710000000000036</v>
      </c>
      <c r="P1407">
        <f t="shared" si="43"/>
        <v>66.974000000000004</v>
      </c>
    </row>
    <row r="1408" spans="1:16" x14ac:dyDescent="0.35">
      <c r="A1408" s="9" t="s">
        <v>454</v>
      </c>
      <c r="B1408" s="2">
        <v>159.61500000000001</v>
      </c>
      <c r="C1408" s="2">
        <v>163.386</v>
      </c>
      <c r="D1408" s="2">
        <v>158.667</v>
      </c>
      <c r="E1408" s="2">
        <v>163.26599999999999</v>
      </c>
      <c r="F1408" s="2">
        <v>28673062</v>
      </c>
      <c r="G1408" s="2" t="s">
        <v>561</v>
      </c>
      <c r="H1408" s="2" t="s">
        <v>562</v>
      </c>
      <c r="I1408" s="2" t="s">
        <v>17</v>
      </c>
      <c r="J1408" s="3">
        <v>1.012</v>
      </c>
      <c r="K1408" s="2" t="s">
        <v>448</v>
      </c>
      <c r="L1408" s="2">
        <v>2024</v>
      </c>
      <c r="M1408" s="2" t="s">
        <v>180</v>
      </c>
      <c r="N1408" s="2" t="s">
        <v>21</v>
      </c>
      <c r="O1408">
        <f t="shared" si="42"/>
        <v>4.7189999999999941</v>
      </c>
      <c r="P1408">
        <f t="shared" si="43"/>
        <v>67.986000000000004</v>
      </c>
    </row>
    <row r="1409" spans="1:16" x14ac:dyDescent="0.35">
      <c r="A1409" s="9" t="s">
        <v>455</v>
      </c>
      <c r="B1409" s="2">
        <v>163.94399999999999</v>
      </c>
      <c r="C1409" s="2">
        <v>164.49199999999999</v>
      </c>
      <c r="D1409" s="2">
        <v>161.441</v>
      </c>
      <c r="E1409" s="2">
        <v>161.88900000000001</v>
      </c>
      <c r="F1409" s="2">
        <v>15934619</v>
      </c>
      <c r="G1409" s="2" t="s">
        <v>561</v>
      </c>
      <c r="H1409" s="2" t="s">
        <v>562</v>
      </c>
      <c r="I1409" s="2" t="s">
        <v>17</v>
      </c>
      <c r="J1409" s="4">
        <v>-0.84299999999999997</v>
      </c>
      <c r="K1409" s="2" t="s">
        <v>448</v>
      </c>
      <c r="L1409" s="2">
        <v>2024</v>
      </c>
      <c r="M1409" s="2" t="s">
        <v>180</v>
      </c>
      <c r="N1409" s="2" t="s">
        <v>23</v>
      </c>
      <c r="O1409">
        <f t="shared" si="42"/>
        <v>3.0509999999999877</v>
      </c>
      <c r="P1409">
        <f t="shared" si="43"/>
        <v>67.143000000000001</v>
      </c>
    </row>
    <row r="1410" spans="1:16" x14ac:dyDescent="0.35">
      <c r="A1410" s="9" t="s">
        <v>456</v>
      </c>
      <c r="B1410" s="2">
        <v>163.006</v>
      </c>
      <c r="C1410" s="2">
        <v>164.32400000000001</v>
      </c>
      <c r="D1410" s="2">
        <v>162.56800000000001</v>
      </c>
      <c r="E1410" s="2">
        <v>163.75399999999999</v>
      </c>
      <c r="F1410" s="2">
        <v>18597597</v>
      </c>
      <c r="G1410" s="2" t="s">
        <v>561</v>
      </c>
      <c r="H1410" s="2" t="s">
        <v>562</v>
      </c>
      <c r="I1410" s="2" t="s">
        <v>17</v>
      </c>
      <c r="J1410" s="3">
        <v>1.1519999999999999</v>
      </c>
      <c r="K1410" s="2" t="s">
        <v>448</v>
      </c>
      <c r="L1410" s="2">
        <v>2024</v>
      </c>
      <c r="M1410" s="2" t="s">
        <v>180</v>
      </c>
      <c r="N1410" s="2" t="s">
        <v>21</v>
      </c>
      <c r="O1410">
        <f t="shared" si="42"/>
        <v>1.7560000000000002</v>
      </c>
      <c r="P1410">
        <f t="shared" si="43"/>
        <v>68.295000000000002</v>
      </c>
    </row>
    <row r="1411" spans="1:16" x14ac:dyDescent="0.35">
      <c r="A1411" s="9" t="s">
        <v>457</v>
      </c>
      <c r="B1411" s="2">
        <v>161.999</v>
      </c>
      <c r="C1411" s="2">
        <v>162.81700000000001</v>
      </c>
      <c r="D1411" s="2">
        <v>157.321</v>
      </c>
      <c r="E1411" s="2">
        <v>159.97399999999999</v>
      </c>
      <c r="F1411" s="2">
        <v>40691570</v>
      </c>
      <c r="G1411" s="2" t="s">
        <v>561</v>
      </c>
      <c r="H1411" s="2" t="s">
        <v>562</v>
      </c>
      <c r="I1411" s="2" t="s">
        <v>17</v>
      </c>
      <c r="J1411" s="4">
        <v>-2.3079999999999998</v>
      </c>
      <c r="K1411" s="2" t="s">
        <v>448</v>
      </c>
      <c r="L1411" s="2">
        <v>2024</v>
      </c>
      <c r="M1411" s="2" t="s">
        <v>180</v>
      </c>
      <c r="N1411" s="2" t="s">
        <v>23</v>
      </c>
      <c r="O1411">
        <f t="shared" ref="O1411:O1474" si="44">C1411-D1411</f>
        <v>5.4960000000000093</v>
      </c>
      <c r="P1411">
        <f t="shared" si="43"/>
        <v>65.986999999999995</v>
      </c>
    </row>
    <row r="1412" spans="1:16" x14ac:dyDescent="0.35">
      <c r="A1412" s="9" t="s">
        <v>458</v>
      </c>
      <c r="B1412" s="2">
        <v>160.10400000000001</v>
      </c>
      <c r="C1412" s="2">
        <v>161.23599999999999</v>
      </c>
      <c r="D1412" s="2">
        <v>159.21600000000001</v>
      </c>
      <c r="E1412" s="2">
        <v>160.90199999999999</v>
      </c>
      <c r="F1412" s="2">
        <v>31602260</v>
      </c>
      <c r="G1412" s="2" t="s">
        <v>561</v>
      </c>
      <c r="H1412" s="2" t="s">
        <v>562</v>
      </c>
      <c r="I1412" s="2" t="s">
        <v>17</v>
      </c>
      <c r="J1412" s="3">
        <v>0.57999999999999996</v>
      </c>
      <c r="K1412" s="2" t="s">
        <v>448</v>
      </c>
      <c r="L1412" s="2">
        <v>2024</v>
      </c>
      <c r="M1412" s="2" t="s">
        <v>180</v>
      </c>
      <c r="N1412" s="2" t="s">
        <v>21</v>
      </c>
      <c r="O1412">
        <f t="shared" si="44"/>
        <v>2.0199999999999818</v>
      </c>
      <c r="P1412">
        <f t="shared" ref="P1412:P1475" si="45">IF(G1412=G1411, P1411+J1412, J1412)</f>
        <v>66.566999999999993</v>
      </c>
    </row>
    <row r="1413" spans="1:16" x14ac:dyDescent="0.35">
      <c r="A1413" s="9" t="s">
        <v>459</v>
      </c>
      <c r="B1413" s="2">
        <v>161.071</v>
      </c>
      <c r="C1413" s="2">
        <v>164.65199999999999</v>
      </c>
      <c r="D1413" s="2">
        <v>160.732</v>
      </c>
      <c r="E1413" s="2">
        <v>162.55799999999999</v>
      </c>
      <c r="F1413" s="2">
        <v>24268552</v>
      </c>
      <c r="G1413" s="2" t="s">
        <v>561</v>
      </c>
      <c r="H1413" s="2" t="s">
        <v>562</v>
      </c>
      <c r="I1413" s="2" t="s">
        <v>17</v>
      </c>
      <c r="J1413" s="3">
        <v>1.0289999999999999</v>
      </c>
      <c r="K1413" s="2" t="s">
        <v>448</v>
      </c>
      <c r="L1413" s="2">
        <v>2024</v>
      </c>
      <c r="M1413" s="2" t="s">
        <v>180</v>
      </c>
      <c r="N1413" s="2" t="s">
        <v>21</v>
      </c>
      <c r="O1413">
        <f t="shared" si="44"/>
        <v>3.9199999999999875</v>
      </c>
      <c r="P1413">
        <f t="shared" si="45"/>
        <v>67.595999999999989</v>
      </c>
    </row>
    <row r="1414" spans="1:16" x14ac:dyDescent="0.35">
      <c r="A1414" s="9" t="s">
        <v>460</v>
      </c>
      <c r="B1414" s="2">
        <v>164.87200000000001</v>
      </c>
      <c r="C1414" s="2">
        <v>166.27799999999999</v>
      </c>
      <c r="D1414" s="2">
        <v>163.85400000000001</v>
      </c>
      <c r="E1414" s="2">
        <v>166.25800000000001</v>
      </c>
      <c r="F1414" s="2">
        <v>22471654</v>
      </c>
      <c r="G1414" s="2" t="s">
        <v>561</v>
      </c>
      <c r="H1414" s="2" t="s">
        <v>562</v>
      </c>
      <c r="I1414" s="2" t="s">
        <v>17</v>
      </c>
      <c r="J1414" s="3">
        <v>2.2759999999999998</v>
      </c>
      <c r="K1414" s="2" t="s">
        <v>448</v>
      </c>
      <c r="L1414" s="2">
        <v>2024</v>
      </c>
      <c r="M1414" s="2" t="s">
        <v>180</v>
      </c>
      <c r="N1414" s="2" t="s">
        <v>21</v>
      </c>
      <c r="O1414">
        <f t="shared" si="44"/>
        <v>2.4239999999999782</v>
      </c>
      <c r="P1414">
        <f t="shared" si="45"/>
        <v>69.871999999999986</v>
      </c>
    </row>
    <row r="1415" spans="1:16" x14ac:dyDescent="0.35">
      <c r="A1415" s="9" t="s">
        <v>461</v>
      </c>
      <c r="B1415" s="2">
        <v>166.488</v>
      </c>
      <c r="C1415" s="2">
        <v>168.22399999999999</v>
      </c>
      <c r="D1415" s="2">
        <v>166.40799999999999</v>
      </c>
      <c r="E1415" s="2">
        <v>166.767</v>
      </c>
      <c r="F1415" s="2">
        <v>18386920</v>
      </c>
      <c r="G1415" s="2" t="s">
        <v>561</v>
      </c>
      <c r="H1415" s="2" t="s">
        <v>562</v>
      </c>
      <c r="I1415" s="2" t="s">
        <v>17</v>
      </c>
      <c r="J1415" s="3">
        <v>0.30599999999999999</v>
      </c>
      <c r="K1415" s="2" t="s">
        <v>448</v>
      </c>
      <c r="L1415" s="2">
        <v>2024</v>
      </c>
      <c r="M1415" s="2" t="s">
        <v>180</v>
      </c>
      <c r="N1415" s="2" t="s">
        <v>21</v>
      </c>
      <c r="O1415">
        <f t="shared" si="44"/>
        <v>1.8160000000000025</v>
      </c>
      <c r="P1415">
        <f t="shared" si="45"/>
        <v>70.177999999999983</v>
      </c>
    </row>
    <row r="1416" spans="1:16" x14ac:dyDescent="0.35">
      <c r="A1416" s="9" t="s">
        <v>462</v>
      </c>
      <c r="B1416" s="2">
        <v>164.74199999999999</v>
      </c>
      <c r="C1416" s="2">
        <v>166.43799999999999</v>
      </c>
      <c r="D1416" s="2">
        <v>164.26400000000001</v>
      </c>
      <c r="E1416" s="2">
        <v>165.44</v>
      </c>
      <c r="F1416" s="2">
        <v>22958669</v>
      </c>
      <c r="G1416" s="2" t="s">
        <v>561</v>
      </c>
      <c r="H1416" s="2" t="s">
        <v>562</v>
      </c>
      <c r="I1416" s="2" t="s">
        <v>17</v>
      </c>
      <c r="J1416" s="4">
        <v>-0.79600000000000004</v>
      </c>
      <c r="K1416" s="2" t="s">
        <v>448</v>
      </c>
      <c r="L1416" s="2">
        <v>2024</v>
      </c>
      <c r="M1416" s="2" t="s">
        <v>180</v>
      </c>
      <c r="N1416" s="2" t="s">
        <v>23</v>
      </c>
      <c r="O1416">
        <f t="shared" si="44"/>
        <v>2.1739999999999782</v>
      </c>
      <c r="P1416">
        <f t="shared" si="45"/>
        <v>69.381999999999977</v>
      </c>
    </row>
    <row r="1417" spans="1:16" x14ac:dyDescent="0.35">
      <c r="A1417" s="9" t="s">
        <v>463</v>
      </c>
      <c r="B1417" s="2">
        <v>166.84700000000001</v>
      </c>
      <c r="C1417" s="2">
        <v>167.17599999999999</v>
      </c>
      <c r="D1417" s="2">
        <v>162.90700000000001</v>
      </c>
      <c r="E1417" s="2">
        <v>163.39599999999999</v>
      </c>
      <c r="F1417" s="2">
        <v>22548935</v>
      </c>
      <c r="G1417" s="2" t="s">
        <v>561</v>
      </c>
      <c r="H1417" s="2" t="s">
        <v>562</v>
      </c>
      <c r="I1417" s="2" t="s">
        <v>17</v>
      </c>
      <c r="J1417" s="4">
        <v>-1.2350000000000001</v>
      </c>
      <c r="K1417" s="2" t="s">
        <v>448</v>
      </c>
      <c r="L1417" s="2">
        <v>2024</v>
      </c>
      <c r="M1417" s="2" t="s">
        <v>180</v>
      </c>
      <c r="N1417" s="2" t="s">
        <v>23</v>
      </c>
      <c r="O1417">
        <f t="shared" si="44"/>
        <v>4.268999999999977</v>
      </c>
      <c r="P1417">
        <f t="shared" si="45"/>
        <v>68.146999999999977</v>
      </c>
    </row>
    <row r="1418" spans="1:16" x14ac:dyDescent="0.35">
      <c r="A1418" s="9" t="s">
        <v>464</v>
      </c>
      <c r="B1418" s="2">
        <v>164.31399999999999</v>
      </c>
      <c r="C1418" s="2">
        <v>165.77</v>
      </c>
      <c r="D1418" s="2">
        <v>163.42599999999999</v>
      </c>
      <c r="E1418" s="2">
        <v>165.21199999999999</v>
      </c>
      <c r="F1418" s="2">
        <v>13990275</v>
      </c>
      <c r="G1418" s="2" t="s">
        <v>561</v>
      </c>
      <c r="H1418" s="2" t="s">
        <v>562</v>
      </c>
      <c r="I1418" s="2" t="s">
        <v>17</v>
      </c>
      <c r="J1418" s="3">
        <v>1.111</v>
      </c>
      <c r="K1418" s="2" t="s">
        <v>448</v>
      </c>
      <c r="L1418" s="2">
        <v>2024</v>
      </c>
      <c r="M1418" s="2" t="s">
        <v>180</v>
      </c>
      <c r="N1418" s="2" t="s">
        <v>21</v>
      </c>
      <c r="O1418">
        <f t="shared" si="44"/>
        <v>2.3440000000000225</v>
      </c>
      <c r="P1418">
        <f t="shared" si="45"/>
        <v>69.257999999999981</v>
      </c>
    </row>
    <row r="1419" spans="1:16" x14ac:dyDescent="0.35">
      <c r="A1419" s="9" t="s">
        <v>465</v>
      </c>
      <c r="B1419" s="2">
        <v>165.97</v>
      </c>
      <c r="C1419" s="2">
        <v>167.136</v>
      </c>
      <c r="D1419" s="2">
        <v>164.04900000000001</v>
      </c>
      <c r="E1419" s="2">
        <v>165.75</v>
      </c>
      <c r="F1419" s="2">
        <v>14225531</v>
      </c>
      <c r="G1419" s="2" t="s">
        <v>561</v>
      </c>
      <c r="H1419" s="2" t="s">
        <v>562</v>
      </c>
      <c r="I1419" s="2" t="s">
        <v>17</v>
      </c>
      <c r="J1419" s="3">
        <v>0.32600000000000001</v>
      </c>
      <c r="K1419" s="2" t="s">
        <v>448</v>
      </c>
      <c r="L1419" s="2">
        <v>2024</v>
      </c>
      <c r="M1419" s="2" t="s">
        <v>180</v>
      </c>
      <c r="N1419" s="2" t="s">
        <v>21</v>
      </c>
      <c r="O1419">
        <f t="shared" si="44"/>
        <v>3.0869999999999891</v>
      </c>
      <c r="P1419">
        <f t="shared" si="45"/>
        <v>69.583999999999975</v>
      </c>
    </row>
    <row r="1420" spans="1:16" x14ac:dyDescent="0.35">
      <c r="A1420" s="9" t="s">
        <v>466</v>
      </c>
      <c r="B1420" s="2">
        <v>165.42500000000001</v>
      </c>
      <c r="C1420" s="2">
        <v>166.03200000000001</v>
      </c>
      <c r="D1420" s="2">
        <v>164.054</v>
      </c>
      <c r="E1420" s="2">
        <v>164.274</v>
      </c>
      <c r="F1420" s="2">
        <v>11851194</v>
      </c>
      <c r="G1420" s="2" t="s">
        <v>561</v>
      </c>
      <c r="H1420" s="2" t="s">
        <v>562</v>
      </c>
      <c r="I1420" s="2" t="s">
        <v>17</v>
      </c>
      <c r="J1420" s="4">
        <v>-0.89</v>
      </c>
      <c r="K1420" s="2" t="s">
        <v>448</v>
      </c>
      <c r="L1420" s="2">
        <v>2024</v>
      </c>
      <c r="M1420" s="2" t="s">
        <v>180</v>
      </c>
      <c r="N1420" s="2" t="s">
        <v>23</v>
      </c>
      <c r="O1420">
        <f t="shared" si="44"/>
        <v>1.9780000000000086</v>
      </c>
      <c r="P1420">
        <f t="shared" si="45"/>
        <v>68.693999999999974</v>
      </c>
    </row>
    <row r="1421" spans="1:16" x14ac:dyDescent="0.35">
      <c r="A1421" s="9" t="s">
        <v>467</v>
      </c>
      <c r="B1421" s="2">
        <v>164.62700000000001</v>
      </c>
      <c r="C1421" s="2">
        <v>165.19200000000001</v>
      </c>
      <c r="D1421" s="2">
        <v>161.12899999999999</v>
      </c>
      <c r="E1421" s="2">
        <v>162.44800000000001</v>
      </c>
      <c r="F1421" s="2">
        <v>16448045</v>
      </c>
      <c r="G1421" s="2" t="s">
        <v>561</v>
      </c>
      <c r="H1421" s="2" t="s">
        <v>562</v>
      </c>
      <c r="I1421" s="2" t="s">
        <v>17</v>
      </c>
      <c r="J1421" s="4">
        <v>-1.1120000000000001</v>
      </c>
      <c r="K1421" s="2" t="s">
        <v>448</v>
      </c>
      <c r="L1421" s="2">
        <v>2024</v>
      </c>
      <c r="M1421" s="2" t="s">
        <v>180</v>
      </c>
      <c r="N1421" s="2" t="s">
        <v>23</v>
      </c>
      <c r="O1421">
        <f t="shared" si="44"/>
        <v>4.0630000000000166</v>
      </c>
      <c r="P1421">
        <f t="shared" si="45"/>
        <v>67.581999999999979</v>
      </c>
    </row>
    <row r="1422" spans="1:16" x14ac:dyDescent="0.35">
      <c r="A1422" s="9" t="s">
        <v>468</v>
      </c>
      <c r="B1422" s="2">
        <v>163.904</v>
      </c>
      <c r="C1422" s="2">
        <v>165.56</v>
      </c>
      <c r="D1422" s="2">
        <v>159.85499999999999</v>
      </c>
      <c r="E1422" s="2">
        <v>161.381</v>
      </c>
      <c r="F1422" s="2">
        <v>19748515</v>
      </c>
      <c r="G1422" s="2" t="s">
        <v>561</v>
      </c>
      <c r="H1422" s="2" t="s">
        <v>562</v>
      </c>
      <c r="I1422" s="2" t="s">
        <v>17</v>
      </c>
      <c r="J1422" s="4">
        <v>-0.65700000000000003</v>
      </c>
      <c r="K1422" s="2" t="s">
        <v>448</v>
      </c>
      <c r="L1422" s="2">
        <v>2024</v>
      </c>
      <c r="M1422" s="2" t="s">
        <v>180</v>
      </c>
      <c r="N1422" s="2" t="s">
        <v>23</v>
      </c>
      <c r="O1422">
        <f t="shared" si="44"/>
        <v>5.7050000000000125</v>
      </c>
      <c r="P1422">
        <f t="shared" si="45"/>
        <v>66.924999999999983</v>
      </c>
    </row>
    <row r="1423" spans="1:16" x14ac:dyDescent="0.35">
      <c r="A1423" s="9" t="s">
        <v>469</v>
      </c>
      <c r="B1423" s="2">
        <v>162.214</v>
      </c>
      <c r="C1423" s="2">
        <v>163.256</v>
      </c>
      <c r="D1423" s="2">
        <v>161.29300000000001</v>
      </c>
      <c r="E1423" s="2">
        <v>162.976</v>
      </c>
      <c r="F1423" s="2">
        <v>22178557</v>
      </c>
      <c r="G1423" s="2" t="s">
        <v>561</v>
      </c>
      <c r="H1423" s="2" t="s">
        <v>562</v>
      </c>
      <c r="I1423" s="2" t="s">
        <v>17</v>
      </c>
      <c r="J1423" s="3">
        <v>0.98799999999999999</v>
      </c>
      <c r="K1423" s="2" t="s">
        <v>448</v>
      </c>
      <c r="L1423" s="2">
        <v>2024</v>
      </c>
      <c r="M1423" s="2" t="s">
        <v>180</v>
      </c>
      <c r="N1423" s="2" t="s">
        <v>21</v>
      </c>
      <c r="O1423">
        <f t="shared" si="44"/>
        <v>1.9629999999999939</v>
      </c>
      <c r="P1423">
        <f t="shared" si="45"/>
        <v>67.912999999999982</v>
      </c>
    </row>
    <row r="1424" spans="1:16" x14ac:dyDescent="0.35">
      <c r="A1424" s="9" t="s">
        <v>470</v>
      </c>
      <c r="B1424" s="2">
        <v>161.321</v>
      </c>
      <c r="C1424" s="2">
        <v>161.45099999999999</v>
      </c>
      <c r="D1424" s="2">
        <v>156.09399999999999</v>
      </c>
      <c r="E1424" s="2">
        <v>156.971</v>
      </c>
      <c r="F1424" s="2">
        <v>39041673</v>
      </c>
      <c r="G1424" s="2" t="s">
        <v>561</v>
      </c>
      <c r="H1424" s="2" t="s">
        <v>562</v>
      </c>
      <c r="I1424" s="2" t="s">
        <v>17</v>
      </c>
      <c r="J1424" s="4">
        <v>-3.6850000000000001</v>
      </c>
      <c r="K1424" s="2" t="s">
        <v>471</v>
      </c>
      <c r="L1424" s="2">
        <v>2024</v>
      </c>
      <c r="M1424" s="2" t="s">
        <v>205</v>
      </c>
      <c r="N1424" s="2" t="s">
        <v>23</v>
      </c>
      <c r="O1424">
        <f t="shared" si="44"/>
        <v>5.3569999999999993</v>
      </c>
      <c r="P1424">
        <f t="shared" si="45"/>
        <v>64.22799999999998</v>
      </c>
    </row>
    <row r="1425" spans="1:16" x14ac:dyDescent="0.35">
      <c r="A1425" s="9" t="s">
        <v>472</v>
      </c>
      <c r="B1425" s="2">
        <v>156.268</v>
      </c>
      <c r="C1425" s="2">
        <v>158.607</v>
      </c>
      <c r="D1425" s="2">
        <v>155.577</v>
      </c>
      <c r="E1425" s="2">
        <v>156.06399999999999</v>
      </c>
      <c r="F1425" s="2">
        <v>19401650</v>
      </c>
      <c r="G1425" s="2" t="s">
        <v>561</v>
      </c>
      <c r="H1425" s="2" t="s">
        <v>562</v>
      </c>
      <c r="I1425" s="2" t="s">
        <v>17</v>
      </c>
      <c r="J1425" s="4">
        <v>-0.57799999999999996</v>
      </c>
      <c r="K1425" s="2" t="s">
        <v>471</v>
      </c>
      <c r="L1425" s="2">
        <v>2024</v>
      </c>
      <c r="M1425" s="2" t="s">
        <v>205</v>
      </c>
      <c r="N1425" s="2" t="s">
        <v>23</v>
      </c>
      <c r="O1425">
        <f t="shared" si="44"/>
        <v>3.0300000000000011</v>
      </c>
      <c r="P1425">
        <f t="shared" si="45"/>
        <v>63.649999999999977</v>
      </c>
    </row>
    <row r="1426" spans="1:16" x14ac:dyDescent="0.35">
      <c r="A1426" s="9" t="s">
        <v>473</v>
      </c>
      <c r="B1426" s="2">
        <v>155.91399999999999</v>
      </c>
      <c r="C1426" s="2">
        <v>159.05699999999999</v>
      </c>
      <c r="D1426" s="2">
        <v>155.596</v>
      </c>
      <c r="E1426" s="2">
        <v>156.852</v>
      </c>
      <c r="F1426" s="2">
        <v>18734993</v>
      </c>
      <c r="G1426" s="2" t="s">
        <v>561</v>
      </c>
      <c r="H1426" s="2" t="s">
        <v>562</v>
      </c>
      <c r="I1426" s="2" t="s">
        <v>17</v>
      </c>
      <c r="J1426" s="3">
        <v>0.505</v>
      </c>
      <c r="K1426" s="2" t="s">
        <v>471</v>
      </c>
      <c r="L1426" s="2">
        <v>2024</v>
      </c>
      <c r="M1426" s="2" t="s">
        <v>205</v>
      </c>
      <c r="N1426" s="2" t="s">
        <v>21</v>
      </c>
      <c r="O1426">
        <f t="shared" si="44"/>
        <v>3.4609999999999843</v>
      </c>
      <c r="P1426">
        <f t="shared" si="45"/>
        <v>64.154999999999973</v>
      </c>
    </row>
    <row r="1427" spans="1:16" x14ac:dyDescent="0.35">
      <c r="A1427" s="9" t="s">
        <v>474</v>
      </c>
      <c r="B1427" s="2">
        <v>156.91200000000001</v>
      </c>
      <c r="C1427" s="2">
        <v>157.441</v>
      </c>
      <c r="D1427" s="2">
        <v>150.178</v>
      </c>
      <c r="E1427" s="2">
        <v>150.547</v>
      </c>
      <c r="F1427" s="2">
        <v>38005945</v>
      </c>
      <c r="G1427" s="2" t="s">
        <v>561</v>
      </c>
      <c r="H1427" s="2" t="s">
        <v>562</v>
      </c>
      <c r="I1427" s="2" t="s">
        <v>17</v>
      </c>
      <c r="J1427" s="4">
        <v>-4.0199999999999996</v>
      </c>
      <c r="K1427" s="2" t="s">
        <v>471</v>
      </c>
      <c r="L1427" s="2">
        <v>2024</v>
      </c>
      <c r="M1427" s="2" t="s">
        <v>205</v>
      </c>
      <c r="N1427" s="2" t="s">
        <v>23</v>
      </c>
      <c r="O1427">
        <f t="shared" si="44"/>
        <v>7.2630000000000052</v>
      </c>
      <c r="P1427">
        <f t="shared" si="45"/>
        <v>60.134999999999977</v>
      </c>
    </row>
    <row r="1428" spans="1:16" x14ac:dyDescent="0.35">
      <c r="A1428" s="9" t="s">
        <v>475</v>
      </c>
      <c r="B1428" s="2">
        <v>152.33500000000001</v>
      </c>
      <c r="C1428" s="2">
        <v>153.22399999999999</v>
      </c>
      <c r="D1428" s="2">
        <v>147.04599999999999</v>
      </c>
      <c r="E1428" s="2">
        <v>148.54</v>
      </c>
      <c r="F1428" s="2">
        <v>39305446</v>
      </c>
      <c r="G1428" s="2" t="s">
        <v>561</v>
      </c>
      <c r="H1428" s="2" t="s">
        <v>562</v>
      </c>
      <c r="I1428" s="2" t="s">
        <v>17</v>
      </c>
      <c r="J1428" s="4">
        <v>-1.333</v>
      </c>
      <c r="K1428" s="2" t="s">
        <v>471</v>
      </c>
      <c r="L1428" s="2">
        <v>2024</v>
      </c>
      <c r="M1428" s="2" t="s">
        <v>205</v>
      </c>
      <c r="N1428" s="2" t="s">
        <v>23</v>
      </c>
      <c r="O1428">
        <f t="shared" si="44"/>
        <v>6.1779999999999973</v>
      </c>
      <c r="P1428">
        <f t="shared" si="45"/>
        <v>58.801999999999978</v>
      </c>
    </row>
    <row r="1429" spans="1:16" x14ac:dyDescent="0.35">
      <c r="A1429" s="9" t="s">
        <v>476</v>
      </c>
      <c r="B1429" s="2">
        <v>150.27799999999999</v>
      </c>
      <c r="C1429" s="2">
        <v>151.09700000000001</v>
      </c>
      <c r="D1429" s="2">
        <v>148.16999999999999</v>
      </c>
      <c r="E1429" s="2">
        <v>148.49</v>
      </c>
      <c r="F1429" s="2">
        <v>31154429</v>
      </c>
      <c r="G1429" s="2" t="s">
        <v>561</v>
      </c>
      <c r="H1429" s="2" t="s">
        <v>562</v>
      </c>
      <c r="I1429" s="2" t="s">
        <v>17</v>
      </c>
      <c r="J1429" s="4">
        <v>-3.4000000000000002E-2</v>
      </c>
      <c r="K1429" s="2" t="s">
        <v>471</v>
      </c>
      <c r="L1429" s="2">
        <v>2024</v>
      </c>
      <c r="M1429" s="2" t="s">
        <v>205</v>
      </c>
      <c r="N1429" s="2" t="s">
        <v>23</v>
      </c>
      <c r="O1429">
        <f t="shared" si="44"/>
        <v>2.9270000000000209</v>
      </c>
      <c r="P1429">
        <f t="shared" si="45"/>
        <v>58.767999999999979</v>
      </c>
    </row>
    <row r="1430" spans="1:16" x14ac:dyDescent="0.35">
      <c r="A1430" s="9" t="s">
        <v>477</v>
      </c>
      <c r="B1430" s="2">
        <v>149.74799999999999</v>
      </c>
      <c r="C1430" s="2">
        <v>151.327</v>
      </c>
      <c r="D1430" s="2">
        <v>147.351</v>
      </c>
      <c r="E1430" s="2">
        <v>150.98699999999999</v>
      </c>
      <c r="F1430" s="2">
        <v>29641625</v>
      </c>
      <c r="G1430" s="2" t="s">
        <v>561</v>
      </c>
      <c r="H1430" s="2" t="s">
        <v>562</v>
      </c>
      <c r="I1430" s="2" t="s">
        <v>17</v>
      </c>
      <c r="J1430" s="3">
        <v>1.6819999999999999</v>
      </c>
      <c r="K1430" s="2" t="s">
        <v>471</v>
      </c>
      <c r="L1430" s="2">
        <v>2024</v>
      </c>
      <c r="M1430" s="2" t="s">
        <v>205</v>
      </c>
      <c r="N1430" s="2" t="s">
        <v>21</v>
      </c>
      <c r="O1430">
        <f t="shared" si="44"/>
        <v>3.9759999999999991</v>
      </c>
      <c r="P1430">
        <f t="shared" si="45"/>
        <v>60.449999999999982</v>
      </c>
    </row>
    <row r="1431" spans="1:16" x14ac:dyDescent="0.35">
      <c r="A1431" s="9" t="s">
        <v>478</v>
      </c>
      <c r="B1431" s="2">
        <v>153.624</v>
      </c>
      <c r="C1431" s="2">
        <v>154.643</v>
      </c>
      <c r="D1431" s="2">
        <v>152.47499999999999</v>
      </c>
      <c r="E1431" s="2">
        <v>154.51300000000001</v>
      </c>
      <c r="F1431" s="2">
        <v>29729080</v>
      </c>
      <c r="G1431" s="2" t="s">
        <v>561</v>
      </c>
      <c r="H1431" s="2" t="s">
        <v>562</v>
      </c>
      <c r="I1431" s="2" t="s">
        <v>17</v>
      </c>
      <c r="J1431" s="3">
        <v>2.335</v>
      </c>
      <c r="K1431" s="2" t="s">
        <v>471</v>
      </c>
      <c r="L1431" s="2">
        <v>2024</v>
      </c>
      <c r="M1431" s="2" t="s">
        <v>205</v>
      </c>
      <c r="N1431" s="2" t="s">
        <v>21</v>
      </c>
      <c r="O1431">
        <f t="shared" si="44"/>
        <v>2.1680000000000064</v>
      </c>
      <c r="P1431">
        <f t="shared" si="45"/>
        <v>62.784999999999982</v>
      </c>
    </row>
    <row r="1432" spans="1:16" x14ac:dyDescent="0.35">
      <c r="A1432" s="9" t="s">
        <v>479</v>
      </c>
      <c r="B1432" s="2">
        <v>155.25200000000001</v>
      </c>
      <c r="C1432" s="2">
        <v>158.19900000000001</v>
      </c>
      <c r="D1432" s="2">
        <v>155.03200000000001</v>
      </c>
      <c r="E1432" s="2">
        <v>157.28</v>
      </c>
      <c r="F1432" s="2">
        <v>29625065</v>
      </c>
      <c r="G1432" s="2" t="s">
        <v>561</v>
      </c>
      <c r="H1432" s="2" t="s">
        <v>562</v>
      </c>
      <c r="I1432" s="2" t="s">
        <v>17</v>
      </c>
      <c r="J1432" s="3">
        <v>1.7909999999999999</v>
      </c>
      <c r="K1432" s="2" t="s">
        <v>471</v>
      </c>
      <c r="L1432" s="2">
        <v>2024</v>
      </c>
      <c r="M1432" s="2" t="s">
        <v>205</v>
      </c>
      <c r="N1432" s="2" t="s">
        <v>21</v>
      </c>
      <c r="O1432">
        <f t="shared" si="44"/>
        <v>3.1670000000000016</v>
      </c>
      <c r="P1432">
        <f t="shared" si="45"/>
        <v>64.575999999999979</v>
      </c>
    </row>
    <row r="1433" spans="1:16" x14ac:dyDescent="0.35">
      <c r="A1433" s="9" t="s">
        <v>480</v>
      </c>
      <c r="B1433" s="2">
        <v>157.13</v>
      </c>
      <c r="C1433" s="2">
        <v>158.06899999999999</v>
      </c>
      <c r="D1433" s="2">
        <v>156.42099999999999</v>
      </c>
      <c r="E1433" s="2">
        <v>157.87899999999999</v>
      </c>
      <c r="F1433" s="2">
        <v>18400839</v>
      </c>
      <c r="G1433" s="2" t="s">
        <v>561</v>
      </c>
      <c r="H1433" s="2" t="s">
        <v>562</v>
      </c>
      <c r="I1433" s="2" t="s">
        <v>17</v>
      </c>
      <c r="J1433" s="3">
        <v>0.38100000000000001</v>
      </c>
      <c r="K1433" s="2" t="s">
        <v>471</v>
      </c>
      <c r="L1433" s="2">
        <v>2024</v>
      </c>
      <c r="M1433" s="2" t="s">
        <v>205</v>
      </c>
      <c r="N1433" s="2" t="s">
        <v>21</v>
      </c>
      <c r="O1433">
        <f t="shared" si="44"/>
        <v>1.6479999999999961</v>
      </c>
      <c r="P1433">
        <f t="shared" si="45"/>
        <v>64.956999999999979</v>
      </c>
    </row>
    <row r="1434" spans="1:16" x14ac:dyDescent="0.35">
      <c r="A1434" s="9" t="s">
        <v>481</v>
      </c>
      <c r="B1434" s="2">
        <v>158.83799999999999</v>
      </c>
      <c r="C1434" s="2">
        <v>160.36600000000001</v>
      </c>
      <c r="D1434" s="2">
        <v>158.19399999999999</v>
      </c>
      <c r="E1434" s="2">
        <v>159.13800000000001</v>
      </c>
      <c r="F1434" s="2">
        <v>20739353</v>
      </c>
      <c r="G1434" s="2" t="s">
        <v>561</v>
      </c>
      <c r="H1434" s="2" t="s">
        <v>562</v>
      </c>
      <c r="I1434" s="2" t="s">
        <v>17</v>
      </c>
      <c r="J1434" s="3">
        <v>0.79700000000000004</v>
      </c>
      <c r="K1434" s="2" t="s">
        <v>471</v>
      </c>
      <c r="L1434" s="2">
        <v>2024</v>
      </c>
      <c r="M1434" s="2" t="s">
        <v>205</v>
      </c>
      <c r="N1434" s="2" t="s">
        <v>21</v>
      </c>
      <c r="O1434">
        <f t="shared" si="44"/>
        <v>2.1720000000000255</v>
      </c>
      <c r="P1434">
        <f t="shared" si="45"/>
        <v>65.753999999999976</v>
      </c>
    </row>
    <row r="1435" spans="1:16" x14ac:dyDescent="0.35">
      <c r="A1435" s="9" t="s">
        <v>482</v>
      </c>
      <c r="B1435" s="2">
        <v>159.67699999999999</v>
      </c>
      <c r="C1435" s="2">
        <v>160.316</v>
      </c>
      <c r="D1435" s="2">
        <v>158.41300000000001</v>
      </c>
      <c r="E1435" s="2">
        <v>159.62700000000001</v>
      </c>
      <c r="F1435" s="2">
        <v>23704450</v>
      </c>
      <c r="G1435" s="2" t="s">
        <v>561</v>
      </c>
      <c r="H1435" s="2" t="s">
        <v>562</v>
      </c>
      <c r="I1435" s="2" t="s">
        <v>17</v>
      </c>
      <c r="J1435" s="3">
        <v>0.307</v>
      </c>
      <c r="K1435" s="2" t="s">
        <v>471</v>
      </c>
      <c r="L1435" s="2">
        <v>2024</v>
      </c>
      <c r="M1435" s="2" t="s">
        <v>205</v>
      </c>
      <c r="N1435" s="2" t="s">
        <v>21</v>
      </c>
      <c r="O1435">
        <f t="shared" si="44"/>
        <v>1.9029999999999916</v>
      </c>
      <c r="P1435">
        <f t="shared" si="45"/>
        <v>66.060999999999979</v>
      </c>
    </row>
    <row r="1436" spans="1:16" x14ac:dyDescent="0.35">
      <c r="A1436" s="9" t="s">
        <v>483</v>
      </c>
      <c r="B1436" s="2">
        <v>163.523</v>
      </c>
      <c r="C1436" s="2">
        <v>163.60300000000001</v>
      </c>
      <c r="D1436" s="2">
        <v>161.155</v>
      </c>
      <c r="E1436" s="2">
        <v>161.95400000000001</v>
      </c>
      <c r="F1436" s="2">
        <v>26618204</v>
      </c>
      <c r="G1436" s="2" t="s">
        <v>561</v>
      </c>
      <c r="H1436" s="2" t="s">
        <v>562</v>
      </c>
      <c r="I1436" s="2" t="s">
        <v>17</v>
      </c>
      <c r="J1436" s="3">
        <v>1.458</v>
      </c>
      <c r="K1436" s="2" t="s">
        <v>471</v>
      </c>
      <c r="L1436" s="2">
        <v>2024</v>
      </c>
      <c r="M1436" s="2" t="s">
        <v>205</v>
      </c>
      <c r="N1436" s="2" t="s">
        <v>21</v>
      </c>
      <c r="O1436">
        <f t="shared" si="44"/>
        <v>2.4480000000000075</v>
      </c>
      <c r="P1436">
        <f t="shared" si="45"/>
        <v>67.518999999999977</v>
      </c>
    </row>
    <row r="1437" spans="1:16" x14ac:dyDescent="0.35">
      <c r="A1437" s="9" t="s">
        <v>484</v>
      </c>
      <c r="B1437" s="2">
        <v>163.31299999999999</v>
      </c>
      <c r="C1437" s="2">
        <v>163.54300000000001</v>
      </c>
      <c r="D1437" s="2">
        <v>161.874</v>
      </c>
      <c r="E1437" s="2">
        <v>163.40299999999999</v>
      </c>
      <c r="F1437" s="2">
        <v>40943308</v>
      </c>
      <c r="G1437" s="2" t="s">
        <v>561</v>
      </c>
      <c r="H1437" s="2" t="s">
        <v>562</v>
      </c>
      <c r="I1437" s="2" t="s">
        <v>17</v>
      </c>
      <c r="J1437" s="3">
        <v>0.89500000000000002</v>
      </c>
      <c r="K1437" s="2" t="s">
        <v>471</v>
      </c>
      <c r="L1437" s="2">
        <v>2024</v>
      </c>
      <c r="M1437" s="2" t="s">
        <v>205</v>
      </c>
      <c r="N1437" s="2" t="s">
        <v>21</v>
      </c>
      <c r="O1437">
        <f t="shared" si="44"/>
        <v>1.6690000000000111</v>
      </c>
      <c r="P1437">
        <f t="shared" si="45"/>
        <v>68.413999999999973</v>
      </c>
    </row>
    <row r="1438" spans="1:16" x14ac:dyDescent="0.35">
      <c r="A1438" s="9" t="s">
        <v>485</v>
      </c>
      <c r="B1438" s="2">
        <v>164.16200000000001</v>
      </c>
      <c r="C1438" s="2">
        <v>165.30099999999999</v>
      </c>
      <c r="D1438" s="2">
        <v>161.48500000000001</v>
      </c>
      <c r="E1438" s="2">
        <v>161.66499999999999</v>
      </c>
      <c r="F1438" s="2">
        <v>24178530</v>
      </c>
      <c r="G1438" s="2" t="s">
        <v>561</v>
      </c>
      <c r="H1438" s="2" t="s">
        <v>562</v>
      </c>
      <c r="I1438" s="2" t="s">
        <v>17</v>
      </c>
      <c r="J1438" s="4">
        <v>-1.0640000000000001</v>
      </c>
      <c r="K1438" s="2" t="s">
        <v>471</v>
      </c>
      <c r="L1438" s="2">
        <v>2024</v>
      </c>
      <c r="M1438" s="2" t="s">
        <v>205</v>
      </c>
      <c r="N1438" s="2" t="s">
        <v>23</v>
      </c>
      <c r="O1438">
        <f t="shared" si="44"/>
        <v>3.8159999999999741</v>
      </c>
      <c r="P1438">
        <f t="shared" si="45"/>
        <v>67.349999999999966</v>
      </c>
    </row>
    <row r="1439" spans="1:16" x14ac:dyDescent="0.35">
      <c r="A1439" s="9" t="s">
        <v>486</v>
      </c>
      <c r="B1439" s="2">
        <v>162.84299999999999</v>
      </c>
      <c r="C1439" s="2">
        <v>163.029</v>
      </c>
      <c r="D1439" s="2">
        <v>160.506</v>
      </c>
      <c r="E1439" s="2">
        <v>162.10400000000001</v>
      </c>
      <c r="F1439" s="2">
        <v>23358887</v>
      </c>
      <c r="G1439" s="2" t="s">
        <v>561</v>
      </c>
      <c r="H1439" s="2" t="s">
        <v>562</v>
      </c>
      <c r="I1439" s="2" t="s">
        <v>17</v>
      </c>
      <c r="J1439" s="3">
        <v>0.27200000000000002</v>
      </c>
      <c r="K1439" s="2" t="s">
        <v>471</v>
      </c>
      <c r="L1439" s="2">
        <v>2024</v>
      </c>
      <c r="M1439" s="2" t="s">
        <v>205</v>
      </c>
      <c r="N1439" s="2" t="s">
        <v>21</v>
      </c>
      <c r="O1439">
        <f t="shared" si="44"/>
        <v>2.5229999999999961</v>
      </c>
      <c r="P1439">
        <f t="shared" si="45"/>
        <v>67.621999999999971</v>
      </c>
    </row>
    <row r="1440" spans="1:16" x14ac:dyDescent="0.35">
      <c r="A1440" s="9" t="s">
        <v>487</v>
      </c>
      <c r="B1440" s="2">
        <v>161.285</v>
      </c>
      <c r="C1440" s="2">
        <v>162.624</v>
      </c>
      <c r="D1440" s="2">
        <v>161.11500000000001</v>
      </c>
      <c r="E1440" s="2">
        <v>161.30500000000001</v>
      </c>
      <c r="F1440" s="2">
        <v>18890824</v>
      </c>
      <c r="G1440" s="2" t="s">
        <v>561</v>
      </c>
      <c r="H1440" s="2" t="s">
        <v>562</v>
      </c>
      <c r="I1440" s="2" t="s">
        <v>17</v>
      </c>
      <c r="J1440" s="4">
        <v>-0.49299999999999999</v>
      </c>
      <c r="K1440" s="2" t="s">
        <v>471</v>
      </c>
      <c r="L1440" s="2">
        <v>2024</v>
      </c>
      <c r="M1440" s="2" t="s">
        <v>205</v>
      </c>
      <c r="N1440" s="2" t="s">
        <v>23</v>
      </c>
      <c r="O1440">
        <f t="shared" si="44"/>
        <v>1.5089999999999861</v>
      </c>
      <c r="P1440">
        <f t="shared" si="45"/>
        <v>67.128999999999976</v>
      </c>
    </row>
    <row r="1441" spans="1:16" x14ac:dyDescent="0.35">
      <c r="A1441" s="9" t="s">
        <v>488</v>
      </c>
      <c r="B1441" s="2">
        <v>163.453</v>
      </c>
      <c r="C1441" s="2">
        <v>163.892</v>
      </c>
      <c r="D1441" s="2">
        <v>162.09399999999999</v>
      </c>
      <c r="E1441" s="2">
        <v>162.54400000000001</v>
      </c>
      <c r="F1441" s="2">
        <v>20342623</v>
      </c>
      <c r="G1441" s="2" t="s">
        <v>561</v>
      </c>
      <c r="H1441" s="2" t="s">
        <v>562</v>
      </c>
      <c r="I1441" s="2" t="s">
        <v>17</v>
      </c>
      <c r="J1441" s="3">
        <v>0.76800000000000002</v>
      </c>
      <c r="K1441" s="2" t="s">
        <v>471</v>
      </c>
      <c r="L1441" s="2">
        <v>2024</v>
      </c>
      <c r="M1441" s="2" t="s">
        <v>205</v>
      </c>
      <c r="N1441" s="2" t="s">
        <v>21</v>
      </c>
      <c r="O1441">
        <f t="shared" si="44"/>
        <v>1.7980000000000018</v>
      </c>
      <c r="P1441">
        <f t="shared" si="45"/>
        <v>67.896999999999977</v>
      </c>
    </row>
    <row r="1442" spans="1:16" x14ac:dyDescent="0.35">
      <c r="A1442" s="9" t="s">
        <v>489</v>
      </c>
      <c r="B1442" s="2">
        <v>162.624</v>
      </c>
      <c r="C1442" s="2">
        <v>165.51</v>
      </c>
      <c r="D1442" s="2">
        <v>162.44</v>
      </c>
      <c r="E1442" s="2">
        <v>163.762</v>
      </c>
      <c r="F1442" s="2">
        <v>21125490</v>
      </c>
      <c r="G1442" s="2" t="s">
        <v>561</v>
      </c>
      <c r="H1442" s="2" t="s">
        <v>562</v>
      </c>
      <c r="I1442" s="2" t="s">
        <v>17</v>
      </c>
      <c r="J1442" s="3">
        <v>0.749</v>
      </c>
      <c r="K1442" s="2" t="s">
        <v>471</v>
      </c>
      <c r="L1442" s="2">
        <v>2024</v>
      </c>
      <c r="M1442" s="2" t="s">
        <v>205</v>
      </c>
      <c r="N1442" s="2" t="s">
        <v>21</v>
      </c>
      <c r="O1442">
        <f t="shared" si="44"/>
        <v>3.0699999999999932</v>
      </c>
      <c r="P1442">
        <f t="shared" si="45"/>
        <v>68.645999999999972</v>
      </c>
    </row>
    <row r="1443" spans="1:16" x14ac:dyDescent="0.35">
      <c r="A1443" s="9" t="s">
        <v>490</v>
      </c>
      <c r="B1443" s="2">
        <v>163.13300000000001</v>
      </c>
      <c r="C1443" s="2">
        <v>165.96</v>
      </c>
      <c r="D1443" s="2">
        <v>163.07300000000001</v>
      </c>
      <c r="E1443" s="2">
        <v>165.66</v>
      </c>
      <c r="F1443" s="2">
        <v>20504775</v>
      </c>
      <c r="G1443" s="2" t="s">
        <v>561</v>
      </c>
      <c r="H1443" s="2" t="s">
        <v>562</v>
      </c>
      <c r="I1443" s="2" t="s">
        <v>17</v>
      </c>
      <c r="J1443" s="3">
        <v>1.159</v>
      </c>
      <c r="K1443" s="2" t="s">
        <v>471</v>
      </c>
      <c r="L1443" s="2">
        <v>2024</v>
      </c>
      <c r="M1443" s="2" t="s">
        <v>205</v>
      </c>
      <c r="N1443" s="2" t="s">
        <v>21</v>
      </c>
      <c r="O1443">
        <f t="shared" si="44"/>
        <v>2.8870000000000005</v>
      </c>
      <c r="P1443">
        <f t="shared" si="45"/>
        <v>69.804999999999978</v>
      </c>
    </row>
    <row r="1444" spans="1:16" x14ac:dyDescent="0.35">
      <c r="A1444" s="9" t="s">
        <v>491</v>
      </c>
      <c r="B1444" s="2">
        <v>167.49299999999999</v>
      </c>
      <c r="C1444" s="2">
        <v>168.96600000000001</v>
      </c>
      <c r="D1444" s="2">
        <v>164.392</v>
      </c>
      <c r="E1444" s="2">
        <v>166.79900000000001</v>
      </c>
      <c r="F1444" s="2">
        <v>28370600</v>
      </c>
      <c r="G1444" s="2" t="s">
        <v>561</v>
      </c>
      <c r="H1444" s="2" t="s">
        <v>562</v>
      </c>
      <c r="I1444" s="2" t="s">
        <v>17</v>
      </c>
      <c r="J1444" s="3">
        <v>0.68799999999999994</v>
      </c>
      <c r="K1444" s="2" t="s">
        <v>492</v>
      </c>
      <c r="L1444" s="2">
        <v>2024</v>
      </c>
      <c r="M1444" s="2" t="s">
        <v>227</v>
      </c>
      <c r="N1444" s="2" t="s">
        <v>21</v>
      </c>
      <c r="O1444">
        <f t="shared" si="44"/>
        <v>4.5740000000000123</v>
      </c>
      <c r="P1444">
        <f t="shared" si="45"/>
        <v>70.492999999999981</v>
      </c>
    </row>
    <row r="1445" spans="1:16" x14ac:dyDescent="0.35">
      <c r="A1445" s="9" t="s">
        <v>493</v>
      </c>
      <c r="B1445" s="2">
        <v>166.22900000000001</v>
      </c>
      <c r="C1445" s="2">
        <v>167.328</v>
      </c>
      <c r="D1445" s="2">
        <v>164.541</v>
      </c>
      <c r="E1445" s="2">
        <v>165.67</v>
      </c>
      <c r="F1445" s="2">
        <v>17780533</v>
      </c>
      <c r="G1445" s="2" t="s">
        <v>561</v>
      </c>
      <c r="H1445" s="2" t="s">
        <v>562</v>
      </c>
      <c r="I1445" s="2" t="s">
        <v>17</v>
      </c>
      <c r="J1445" s="4">
        <v>-0.67700000000000005</v>
      </c>
      <c r="K1445" s="2" t="s">
        <v>492</v>
      </c>
      <c r="L1445" s="2">
        <v>2024</v>
      </c>
      <c r="M1445" s="2" t="s">
        <v>227</v>
      </c>
      <c r="N1445" s="2" t="s">
        <v>23</v>
      </c>
      <c r="O1445">
        <f t="shared" si="44"/>
        <v>2.7870000000000061</v>
      </c>
      <c r="P1445">
        <f t="shared" si="45"/>
        <v>69.815999999999974</v>
      </c>
    </row>
    <row r="1446" spans="1:16" x14ac:dyDescent="0.35">
      <c r="A1446" s="9" t="s">
        <v>494</v>
      </c>
      <c r="B1446" s="2">
        <v>164.22200000000001</v>
      </c>
      <c r="C1446" s="2">
        <v>166.44900000000001</v>
      </c>
      <c r="D1446" s="2">
        <v>163.73500000000001</v>
      </c>
      <c r="E1446" s="2">
        <v>165.67</v>
      </c>
      <c r="F1446" s="2">
        <v>15090375</v>
      </c>
      <c r="G1446" s="2" t="s">
        <v>561</v>
      </c>
      <c r="H1446" s="2" t="s">
        <v>562</v>
      </c>
      <c r="I1446" s="2" t="s">
        <v>17</v>
      </c>
      <c r="J1446" s="2">
        <v>0</v>
      </c>
      <c r="K1446" s="2" t="s">
        <v>492</v>
      </c>
      <c r="L1446" s="2">
        <v>2024</v>
      </c>
      <c r="M1446" s="2" t="s">
        <v>227</v>
      </c>
      <c r="N1446" s="2" t="s">
        <v>122</v>
      </c>
      <c r="O1446">
        <f t="shared" si="44"/>
        <v>2.7139999999999986</v>
      </c>
      <c r="P1446">
        <f t="shared" si="45"/>
        <v>69.815999999999974</v>
      </c>
    </row>
    <row r="1447" spans="1:16" x14ac:dyDescent="0.35">
      <c r="A1447" s="9" t="s">
        <v>495</v>
      </c>
      <c r="B1447" s="2">
        <v>167.86799999999999</v>
      </c>
      <c r="C1447" s="2">
        <v>168.03700000000001</v>
      </c>
      <c r="D1447" s="2">
        <v>165.291</v>
      </c>
      <c r="E1447" s="2">
        <v>166.869</v>
      </c>
      <c r="F1447" s="2">
        <v>19115606</v>
      </c>
      <c r="G1447" s="2" t="s">
        <v>561</v>
      </c>
      <c r="H1447" s="2" t="s">
        <v>562</v>
      </c>
      <c r="I1447" s="2" t="s">
        <v>17</v>
      </c>
      <c r="J1447" s="3">
        <v>0.72399999999999998</v>
      </c>
      <c r="K1447" s="2" t="s">
        <v>492</v>
      </c>
      <c r="L1447" s="2">
        <v>2024</v>
      </c>
      <c r="M1447" s="2" t="s">
        <v>227</v>
      </c>
      <c r="N1447" s="2" t="s">
        <v>21</v>
      </c>
      <c r="O1447">
        <f t="shared" si="44"/>
        <v>2.7460000000000093</v>
      </c>
      <c r="P1447">
        <f t="shared" si="45"/>
        <v>70.539999999999978</v>
      </c>
    </row>
    <row r="1448" spans="1:16" x14ac:dyDescent="0.35">
      <c r="A1448" s="9" t="s">
        <v>496</v>
      </c>
      <c r="B1448" s="2">
        <v>167.52799999999999</v>
      </c>
      <c r="C1448" s="2">
        <v>168.28700000000001</v>
      </c>
      <c r="D1448" s="2">
        <v>162.56399999999999</v>
      </c>
      <c r="E1448" s="2">
        <v>162.79300000000001</v>
      </c>
      <c r="F1448" s="2">
        <v>22488884</v>
      </c>
      <c r="G1448" s="2" t="s">
        <v>561</v>
      </c>
      <c r="H1448" s="2" t="s">
        <v>562</v>
      </c>
      <c r="I1448" s="2" t="s">
        <v>17</v>
      </c>
      <c r="J1448" s="4">
        <v>-2.4430000000000001</v>
      </c>
      <c r="K1448" s="2" t="s">
        <v>492</v>
      </c>
      <c r="L1448" s="2">
        <v>2024</v>
      </c>
      <c r="M1448" s="2" t="s">
        <v>227</v>
      </c>
      <c r="N1448" s="2" t="s">
        <v>23</v>
      </c>
      <c r="O1448">
        <f t="shared" si="44"/>
        <v>5.7230000000000132</v>
      </c>
      <c r="P1448">
        <f t="shared" si="45"/>
        <v>68.09699999999998</v>
      </c>
    </row>
    <row r="1449" spans="1:16" x14ac:dyDescent="0.35">
      <c r="A1449" s="9" t="s">
        <v>497</v>
      </c>
      <c r="B1449" s="2">
        <v>163.75200000000001</v>
      </c>
      <c r="C1449" s="2">
        <v>164.536</v>
      </c>
      <c r="D1449" s="2">
        <v>162.684</v>
      </c>
      <c r="E1449" s="2">
        <v>164.19200000000001</v>
      </c>
      <c r="F1449" s="2">
        <v>23099175</v>
      </c>
      <c r="G1449" s="2" t="s">
        <v>561</v>
      </c>
      <c r="H1449" s="2" t="s">
        <v>562</v>
      </c>
      <c r="I1449" s="2" t="s">
        <v>17</v>
      </c>
      <c r="J1449" s="3">
        <v>0.85899999999999999</v>
      </c>
      <c r="K1449" s="2" t="s">
        <v>492</v>
      </c>
      <c r="L1449" s="2">
        <v>2024</v>
      </c>
      <c r="M1449" s="2" t="s">
        <v>227</v>
      </c>
      <c r="N1449" s="2" t="s">
        <v>21</v>
      </c>
      <c r="O1449">
        <f t="shared" si="44"/>
        <v>1.8520000000000039</v>
      </c>
      <c r="P1449">
        <f t="shared" si="45"/>
        <v>68.955999999999975</v>
      </c>
    </row>
    <row r="1450" spans="1:16" x14ac:dyDescent="0.35">
      <c r="A1450" s="9" t="s">
        <v>498</v>
      </c>
      <c r="B1450" s="2">
        <v>163.26300000000001</v>
      </c>
      <c r="C1450" s="2">
        <v>164.65100000000001</v>
      </c>
      <c r="D1450" s="2">
        <v>159.55699999999999</v>
      </c>
      <c r="E1450" s="2">
        <v>161.67500000000001</v>
      </c>
      <c r="F1450" s="2">
        <v>31217510</v>
      </c>
      <c r="G1450" s="2" t="s">
        <v>561</v>
      </c>
      <c r="H1450" s="2" t="s">
        <v>562</v>
      </c>
      <c r="I1450" s="2" t="s">
        <v>17</v>
      </c>
      <c r="J1450" s="4">
        <v>-1.5329999999999999</v>
      </c>
      <c r="K1450" s="2" t="s">
        <v>492</v>
      </c>
      <c r="L1450" s="2">
        <v>2024</v>
      </c>
      <c r="M1450" s="2" t="s">
        <v>227</v>
      </c>
      <c r="N1450" s="2" t="s">
        <v>23</v>
      </c>
      <c r="O1450">
        <f t="shared" si="44"/>
        <v>5.0940000000000225</v>
      </c>
      <c r="P1450">
        <f t="shared" si="45"/>
        <v>67.422999999999973</v>
      </c>
    </row>
    <row r="1451" spans="1:16" x14ac:dyDescent="0.35">
      <c r="A1451" s="9" t="s">
        <v>499</v>
      </c>
      <c r="B1451" s="2">
        <v>160.68600000000001</v>
      </c>
      <c r="C1451" s="2">
        <v>162.88300000000001</v>
      </c>
      <c r="D1451" s="2">
        <v>160.21100000000001</v>
      </c>
      <c r="E1451" s="2">
        <v>161.89400000000001</v>
      </c>
      <c r="F1451" s="2">
        <v>14160278</v>
      </c>
      <c r="G1451" s="2" t="s">
        <v>561</v>
      </c>
      <c r="H1451" s="2" t="s">
        <v>562</v>
      </c>
      <c r="I1451" s="2" t="s">
        <v>17</v>
      </c>
      <c r="J1451" s="3">
        <v>0.13500000000000001</v>
      </c>
      <c r="K1451" s="2" t="s">
        <v>492</v>
      </c>
      <c r="L1451" s="2">
        <v>2024</v>
      </c>
      <c r="M1451" s="2" t="s">
        <v>227</v>
      </c>
      <c r="N1451" s="2" t="s">
        <v>21</v>
      </c>
      <c r="O1451">
        <f t="shared" si="44"/>
        <v>2.671999999999997</v>
      </c>
      <c r="P1451">
        <f t="shared" si="45"/>
        <v>67.557999999999979</v>
      </c>
    </row>
    <row r="1452" spans="1:16" x14ac:dyDescent="0.35">
      <c r="A1452" s="9" t="s">
        <v>500</v>
      </c>
      <c r="B1452" s="2">
        <v>161.94399999999999</v>
      </c>
      <c r="C1452" s="2">
        <v>163.71199999999999</v>
      </c>
      <c r="D1452" s="2">
        <v>161.05000000000001</v>
      </c>
      <c r="E1452" s="2">
        <v>163.053</v>
      </c>
      <c r="F1452" s="2">
        <v>15361836</v>
      </c>
      <c r="G1452" s="2" t="s">
        <v>561</v>
      </c>
      <c r="H1452" s="2" t="s">
        <v>562</v>
      </c>
      <c r="I1452" s="2" t="s">
        <v>17</v>
      </c>
      <c r="J1452" s="3">
        <v>0.71599999999999997</v>
      </c>
      <c r="K1452" s="2" t="s">
        <v>492</v>
      </c>
      <c r="L1452" s="2">
        <v>2024</v>
      </c>
      <c r="M1452" s="2" t="s">
        <v>227</v>
      </c>
      <c r="N1452" s="2" t="s">
        <v>21</v>
      </c>
      <c r="O1452">
        <f t="shared" si="44"/>
        <v>2.6619999999999777</v>
      </c>
      <c r="P1452">
        <f t="shared" si="45"/>
        <v>68.273999999999972</v>
      </c>
    </row>
    <row r="1453" spans="1:16" x14ac:dyDescent="0.35">
      <c r="A1453" s="9" t="s">
        <v>501</v>
      </c>
      <c r="B1453" s="2">
        <v>163.453</v>
      </c>
      <c r="C1453" s="2">
        <v>166.036</v>
      </c>
      <c r="D1453" s="2">
        <v>163.21299999999999</v>
      </c>
      <c r="E1453" s="2">
        <v>164.77099999999999</v>
      </c>
      <c r="F1453" s="2">
        <v>19037934</v>
      </c>
      <c r="G1453" s="2" t="s">
        <v>561</v>
      </c>
      <c r="H1453" s="2" t="s">
        <v>562</v>
      </c>
      <c r="I1453" s="2" t="s">
        <v>17</v>
      </c>
      <c r="J1453" s="3">
        <v>1.054</v>
      </c>
      <c r="K1453" s="2" t="s">
        <v>492</v>
      </c>
      <c r="L1453" s="2">
        <v>2024</v>
      </c>
      <c r="M1453" s="2" t="s">
        <v>227</v>
      </c>
      <c r="N1453" s="2" t="s">
        <v>21</v>
      </c>
      <c r="O1453">
        <f t="shared" si="44"/>
        <v>2.8230000000000075</v>
      </c>
      <c r="P1453">
        <f t="shared" si="45"/>
        <v>69.327999999999975</v>
      </c>
    </row>
    <row r="1454" spans="1:16" x14ac:dyDescent="0.35">
      <c r="A1454" s="9" t="s">
        <v>502</v>
      </c>
      <c r="B1454" s="2">
        <v>165.595</v>
      </c>
      <c r="C1454" s="2">
        <v>167.488</v>
      </c>
      <c r="D1454" s="2">
        <v>164.43700000000001</v>
      </c>
      <c r="E1454" s="2">
        <v>165.27099999999999</v>
      </c>
      <c r="F1454" s="2">
        <v>20270399</v>
      </c>
      <c r="G1454" s="2" t="s">
        <v>561</v>
      </c>
      <c r="H1454" s="2" t="s">
        <v>562</v>
      </c>
      <c r="I1454" s="2" t="s">
        <v>17</v>
      </c>
      <c r="J1454" s="3">
        <v>0.30299999999999999</v>
      </c>
      <c r="K1454" s="2" t="s">
        <v>492</v>
      </c>
      <c r="L1454" s="2">
        <v>2024</v>
      </c>
      <c r="M1454" s="2" t="s">
        <v>227</v>
      </c>
      <c r="N1454" s="2" t="s">
        <v>21</v>
      </c>
      <c r="O1454">
        <f t="shared" si="44"/>
        <v>3.0509999999999877</v>
      </c>
      <c r="P1454">
        <f t="shared" si="45"/>
        <v>69.630999999999972</v>
      </c>
    </row>
    <row r="1455" spans="1:16" x14ac:dyDescent="0.35">
      <c r="A1455" s="9" t="s">
        <v>503</v>
      </c>
      <c r="B1455" s="2">
        <v>164.34200000000001</v>
      </c>
      <c r="C1455" s="2">
        <v>165.61</v>
      </c>
      <c r="D1455" s="2">
        <v>163.553</v>
      </c>
      <c r="E1455" s="2">
        <v>164.971</v>
      </c>
      <c r="F1455" s="2">
        <v>16424832</v>
      </c>
      <c r="G1455" s="2" t="s">
        <v>561</v>
      </c>
      <c r="H1455" s="2" t="s">
        <v>562</v>
      </c>
      <c r="I1455" s="2" t="s">
        <v>17</v>
      </c>
      <c r="J1455" s="4">
        <v>-0.182</v>
      </c>
      <c r="K1455" s="2" t="s">
        <v>492</v>
      </c>
      <c r="L1455" s="2">
        <v>2024</v>
      </c>
      <c r="M1455" s="2" t="s">
        <v>227</v>
      </c>
      <c r="N1455" s="2" t="s">
        <v>23</v>
      </c>
      <c r="O1455">
        <f t="shared" si="44"/>
        <v>2.0570000000000164</v>
      </c>
      <c r="P1455">
        <f t="shared" si="45"/>
        <v>69.44899999999997</v>
      </c>
    </row>
    <row r="1456" spans="1:16" x14ac:dyDescent="0.35">
      <c r="A1456" s="9" t="s">
        <v>504</v>
      </c>
      <c r="B1456" s="2">
        <v>165.54</v>
      </c>
      <c r="C1456" s="2">
        <v>166.18</v>
      </c>
      <c r="D1456" s="2">
        <v>162.57400000000001</v>
      </c>
      <c r="E1456" s="2">
        <v>162.74299999999999</v>
      </c>
      <c r="F1456" s="2">
        <v>21477982</v>
      </c>
      <c r="G1456" s="2" t="s">
        <v>561</v>
      </c>
      <c r="H1456" s="2" t="s">
        <v>562</v>
      </c>
      <c r="I1456" s="2" t="s">
        <v>17</v>
      </c>
      <c r="J1456" s="4">
        <v>-1.351</v>
      </c>
      <c r="K1456" s="2" t="s">
        <v>492</v>
      </c>
      <c r="L1456" s="2">
        <v>2024</v>
      </c>
      <c r="M1456" s="2" t="s">
        <v>227</v>
      </c>
      <c r="N1456" s="2" t="s">
        <v>23</v>
      </c>
      <c r="O1456">
        <f t="shared" si="44"/>
        <v>3.6059999999999945</v>
      </c>
      <c r="P1456">
        <f t="shared" si="45"/>
        <v>68.097999999999971</v>
      </c>
    </row>
    <row r="1457" spans="1:16" x14ac:dyDescent="0.35">
      <c r="A1457" s="9" t="s">
        <v>505</v>
      </c>
      <c r="B1457" s="2">
        <v>163.00299999999999</v>
      </c>
      <c r="C1457" s="2">
        <v>164.52099999999999</v>
      </c>
      <c r="D1457" s="2">
        <v>162.893</v>
      </c>
      <c r="E1457" s="2">
        <v>163.233</v>
      </c>
      <c r="F1457" s="2">
        <v>19780304</v>
      </c>
      <c r="G1457" s="2" t="s">
        <v>561</v>
      </c>
      <c r="H1457" s="2" t="s">
        <v>562</v>
      </c>
      <c r="I1457" s="2" t="s">
        <v>17</v>
      </c>
      <c r="J1457" s="3">
        <v>0.30099999999999999</v>
      </c>
      <c r="K1457" s="2" t="s">
        <v>492</v>
      </c>
      <c r="L1457" s="2">
        <v>2024</v>
      </c>
      <c r="M1457" s="2" t="s">
        <v>227</v>
      </c>
      <c r="N1457" s="2" t="s">
        <v>21</v>
      </c>
      <c r="O1457">
        <f t="shared" si="44"/>
        <v>1.6279999999999859</v>
      </c>
      <c r="P1457">
        <f t="shared" si="45"/>
        <v>68.398999999999972</v>
      </c>
    </row>
    <row r="1458" spans="1:16" x14ac:dyDescent="0.35">
      <c r="A1458" s="9" t="s">
        <v>506</v>
      </c>
      <c r="B1458" s="2">
        <v>162.76300000000001</v>
      </c>
      <c r="C1458" s="2">
        <v>164.31200000000001</v>
      </c>
      <c r="D1458" s="2">
        <v>162.434</v>
      </c>
      <c r="E1458" s="2">
        <v>163.88200000000001</v>
      </c>
      <c r="F1458" s="2">
        <v>20970461</v>
      </c>
      <c r="G1458" s="2" t="s">
        <v>561</v>
      </c>
      <c r="H1458" s="2" t="s">
        <v>562</v>
      </c>
      <c r="I1458" s="2" t="s">
        <v>17</v>
      </c>
      <c r="J1458" s="3">
        <v>0.39800000000000002</v>
      </c>
      <c r="K1458" s="2" t="s">
        <v>492</v>
      </c>
      <c r="L1458" s="2">
        <v>2024</v>
      </c>
      <c r="M1458" s="2" t="s">
        <v>227</v>
      </c>
      <c r="N1458" s="2" t="s">
        <v>21</v>
      </c>
      <c r="O1458">
        <f t="shared" si="44"/>
        <v>1.8780000000000143</v>
      </c>
      <c r="P1458">
        <f t="shared" si="45"/>
        <v>68.796999999999969</v>
      </c>
    </row>
    <row r="1459" spans="1:16" x14ac:dyDescent="0.35">
      <c r="A1459" s="9" t="s">
        <v>507</v>
      </c>
      <c r="B1459" s="2">
        <v>162.79300000000001</v>
      </c>
      <c r="C1459" s="2">
        <v>165.58</v>
      </c>
      <c r="D1459" s="2">
        <v>162.79300000000001</v>
      </c>
      <c r="E1459" s="2">
        <v>164.95099999999999</v>
      </c>
      <c r="F1459" s="2">
        <v>16587109</v>
      </c>
      <c r="G1459" s="2" t="s">
        <v>561</v>
      </c>
      <c r="H1459" s="2" t="s">
        <v>562</v>
      </c>
      <c r="I1459" s="2" t="s">
        <v>17</v>
      </c>
      <c r="J1459" s="3">
        <v>0.65200000000000002</v>
      </c>
      <c r="K1459" s="2" t="s">
        <v>492</v>
      </c>
      <c r="L1459" s="2">
        <v>2024</v>
      </c>
      <c r="M1459" s="2" t="s">
        <v>227</v>
      </c>
      <c r="N1459" s="2" t="s">
        <v>21</v>
      </c>
      <c r="O1459">
        <f t="shared" si="44"/>
        <v>2.7870000000000061</v>
      </c>
      <c r="P1459">
        <f t="shared" si="45"/>
        <v>69.44899999999997</v>
      </c>
    </row>
    <row r="1460" spans="1:16" x14ac:dyDescent="0.35">
      <c r="A1460" s="9" t="s">
        <v>508</v>
      </c>
      <c r="B1460" s="2">
        <v>164.571</v>
      </c>
      <c r="C1460" s="2">
        <v>165.63</v>
      </c>
      <c r="D1460" s="2">
        <v>161.74</v>
      </c>
      <c r="E1460" s="2">
        <v>162.59399999999999</v>
      </c>
      <c r="F1460" s="2">
        <v>18301468</v>
      </c>
      <c r="G1460" s="2" t="s">
        <v>561</v>
      </c>
      <c r="H1460" s="2" t="s">
        <v>562</v>
      </c>
      <c r="I1460" s="2" t="s">
        <v>17</v>
      </c>
      <c r="J1460" s="4">
        <v>-1.429</v>
      </c>
      <c r="K1460" s="2" t="s">
        <v>492</v>
      </c>
      <c r="L1460" s="2">
        <v>2024</v>
      </c>
      <c r="M1460" s="2" t="s">
        <v>227</v>
      </c>
      <c r="N1460" s="2" t="s">
        <v>23</v>
      </c>
      <c r="O1460">
        <f t="shared" si="44"/>
        <v>3.8899999999999864</v>
      </c>
      <c r="P1460">
        <f t="shared" si="45"/>
        <v>68.019999999999968</v>
      </c>
    </row>
    <row r="1461" spans="1:16" x14ac:dyDescent="0.35">
      <c r="A1461" s="9" t="s">
        <v>509</v>
      </c>
      <c r="B1461" s="2">
        <v>162.64400000000001</v>
      </c>
      <c r="C1461" s="2">
        <v>163.143</v>
      </c>
      <c r="D1461" s="2">
        <v>160.82599999999999</v>
      </c>
      <c r="E1461" s="2">
        <v>162.53399999999999</v>
      </c>
      <c r="F1461" s="2">
        <v>22438213</v>
      </c>
      <c r="G1461" s="2" t="s">
        <v>561</v>
      </c>
      <c r="H1461" s="2" t="s">
        <v>562</v>
      </c>
      <c r="I1461" s="2" t="s">
        <v>17</v>
      </c>
      <c r="J1461" s="4">
        <v>-3.6999999999999998E-2</v>
      </c>
      <c r="K1461" s="2" t="s">
        <v>492</v>
      </c>
      <c r="L1461" s="2">
        <v>2024</v>
      </c>
      <c r="M1461" s="2" t="s">
        <v>227</v>
      </c>
      <c r="N1461" s="2" t="s">
        <v>23</v>
      </c>
      <c r="O1461">
        <f t="shared" si="44"/>
        <v>2.3170000000000073</v>
      </c>
      <c r="P1461">
        <f t="shared" si="45"/>
        <v>67.982999999999961</v>
      </c>
    </row>
    <row r="1462" spans="1:16" x14ac:dyDescent="0.35">
      <c r="A1462" s="9" t="s">
        <v>510</v>
      </c>
      <c r="B1462" s="2">
        <v>163.483</v>
      </c>
      <c r="C1462" s="2">
        <v>165.4</v>
      </c>
      <c r="D1462" s="2">
        <v>163.233</v>
      </c>
      <c r="E1462" s="2">
        <v>165.08099999999999</v>
      </c>
      <c r="F1462" s="2">
        <v>19851609</v>
      </c>
      <c r="G1462" s="2" t="s">
        <v>561</v>
      </c>
      <c r="H1462" s="2" t="s">
        <v>562</v>
      </c>
      <c r="I1462" s="2" t="s">
        <v>17</v>
      </c>
      <c r="J1462" s="3">
        <v>1.5669999999999999</v>
      </c>
      <c r="K1462" s="2" t="s">
        <v>492</v>
      </c>
      <c r="L1462" s="2">
        <v>2024</v>
      </c>
      <c r="M1462" s="2" t="s">
        <v>227</v>
      </c>
      <c r="N1462" s="2" t="s">
        <v>21</v>
      </c>
      <c r="O1462">
        <f t="shared" si="44"/>
        <v>2.1670000000000016</v>
      </c>
      <c r="P1462">
        <f t="shared" si="45"/>
        <v>69.549999999999955</v>
      </c>
    </row>
    <row r="1463" spans="1:16" x14ac:dyDescent="0.35">
      <c r="A1463" s="9" t="s">
        <v>511</v>
      </c>
      <c r="B1463" s="2">
        <v>168.55699999999999</v>
      </c>
      <c r="C1463" s="2">
        <v>168.55699999999999</v>
      </c>
      <c r="D1463" s="2">
        <v>163.762</v>
      </c>
      <c r="E1463" s="2">
        <v>166.529</v>
      </c>
      <c r="F1463" s="2">
        <v>32175474</v>
      </c>
      <c r="G1463" s="2" t="s">
        <v>561</v>
      </c>
      <c r="H1463" s="2" t="s">
        <v>562</v>
      </c>
      <c r="I1463" s="2" t="s">
        <v>17</v>
      </c>
      <c r="J1463" s="3">
        <v>0.877</v>
      </c>
      <c r="K1463" s="2" t="s">
        <v>492</v>
      </c>
      <c r="L1463" s="2">
        <v>2024</v>
      </c>
      <c r="M1463" s="2" t="s">
        <v>227</v>
      </c>
      <c r="N1463" s="2" t="s">
        <v>21</v>
      </c>
      <c r="O1463">
        <f t="shared" si="44"/>
        <v>4.7949999999999875</v>
      </c>
      <c r="P1463">
        <f t="shared" si="45"/>
        <v>70.42699999999995</v>
      </c>
    </row>
    <row r="1464" spans="1:16" x14ac:dyDescent="0.35">
      <c r="A1464" s="9" t="s">
        <v>512</v>
      </c>
      <c r="B1464" s="2">
        <v>167.53800000000001</v>
      </c>
      <c r="C1464" s="2">
        <v>170.185</v>
      </c>
      <c r="D1464" s="2">
        <v>166.898</v>
      </c>
      <c r="E1464" s="2">
        <v>169.48599999999999</v>
      </c>
      <c r="F1464" s="2">
        <v>42217353</v>
      </c>
      <c r="G1464" s="2" t="s">
        <v>561</v>
      </c>
      <c r="H1464" s="2" t="s">
        <v>562</v>
      </c>
      <c r="I1464" s="2" t="s">
        <v>17</v>
      </c>
      <c r="J1464" s="3">
        <v>1.776</v>
      </c>
      <c r="K1464" s="2" t="s">
        <v>492</v>
      </c>
      <c r="L1464" s="2">
        <v>2024</v>
      </c>
      <c r="M1464" s="2" t="s">
        <v>227</v>
      </c>
      <c r="N1464" s="2" t="s">
        <v>21</v>
      </c>
      <c r="O1464">
        <f t="shared" si="44"/>
        <v>3.2870000000000061</v>
      </c>
      <c r="P1464">
        <f t="shared" si="45"/>
        <v>72.202999999999946</v>
      </c>
    </row>
    <row r="1465" spans="1:16" x14ac:dyDescent="0.35">
      <c r="A1465" s="9" t="s">
        <v>513</v>
      </c>
      <c r="B1465" s="2">
        <v>180.47300000000001</v>
      </c>
      <c r="C1465" s="2">
        <v>181.81200000000001</v>
      </c>
      <c r="D1465" s="2">
        <v>173.86099999999999</v>
      </c>
      <c r="E1465" s="2">
        <v>174.26</v>
      </c>
      <c r="F1465" s="2">
        <v>68969740</v>
      </c>
      <c r="G1465" s="2" t="s">
        <v>561</v>
      </c>
      <c r="H1465" s="2" t="s">
        <v>562</v>
      </c>
      <c r="I1465" s="2" t="s">
        <v>17</v>
      </c>
      <c r="J1465" s="3">
        <v>2.8170000000000002</v>
      </c>
      <c r="K1465" s="2" t="s">
        <v>492</v>
      </c>
      <c r="L1465" s="2">
        <v>2024</v>
      </c>
      <c r="M1465" s="2" t="s">
        <v>227</v>
      </c>
      <c r="N1465" s="2" t="s">
        <v>21</v>
      </c>
      <c r="O1465">
        <f t="shared" si="44"/>
        <v>7.9510000000000218</v>
      </c>
      <c r="P1465">
        <f t="shared" si="45"/>
        <v>75.019999999999953</v>
      </c>
    </row>
    <row r="1466" spans="1:16" x14ac:dyDescent="0.35">
      <c r="A1466" s="9" t="s">
        <v>514</v>
      </c>
      <c r="B1466" s="2">
        <v>172.93199999999999</v>
      </c>
      <c r="C1466" s="2">
        <v>176.61799999999999</v>
      </c>
      <c r="D1466" s="2">
        <v>170.804</v>
      </c>
      <c r="E1466" s="2">
        <v>170.91399999999999</v>
      </c>
      <c r="F1466" s="2">
        <v>44820289</v>
      </c>
      <c r="G1466" s="2" t="s">
        <v>561</v>
      </c>
      <c r="H1466" s="2" t="s">
        <v>562</v>
      </c>
      <c r="I1466" s="2" t="s">
        <v>17</v>
      </c>
      <c r="J1466" s="4">
        <v>-1.92</v>
      </c>
      <c r="K1466" s="2" t="s">
        <v>492</v>
      </c>
      <c r="L1466" s="2">
        <v>2024</v>
      </c>
      <c r="M1466" s="2" t="s">
        <v>227</v>
      </c>
      <c r="N1466" s="2" t="s">
        <v>23</v>
      </c>
      <c r="O1466">
        <f t="shared" si="44"/>
        <v>5.813999999999993</v>
      </c>
      <c r="P1466">
        <f t="shared" si="45"/>
        <v>73.099999999999952</v>
      </c>
    </row>
    <row r="1467" spans="1:16" x14ac:dyDescent="0.35">
      <c r="A1467" s="9" t="s">
        <v>515</v>
      </c>
      <c r="B1467" s="2">
        <v>169.875</v>
      </c>
      <c r="C1467" s="2">
        <v>172.12299999999999</v>
      </c>
      <c r="D1467" s="2">
        <v>168.68700000000001</v>
      </c>
      <c r="E1467" s="2">
        <v>171.09399999999999</v>
      </c>
      <c r="F1467" s="2">
        <v>31832917</v>
      </c>
      <c r="G1467" s="2" t="s">
        <v>561</v>
      </c>
      <c r="H1467" s="2" t="s">
        <v>562</v>
      </c>
      <c r="I1467" s="2" t="s">
        <v>17</v>
      </c>
      <c r="J1467" s="3">
        <v>0.105</v>
      </c>
      <c r="K1467" s="2" t="s">
        <v>516</v>
      </c>
      <c r="L1467" s="2">
        <v>2024</v>
      </c>
      <c r="M1467" s="2" t="s">
        <v>251</v>
      </c>
      <c r="N1467" s="2" t="s">
        <v>21</v>
      </c>
      <c r="O1467">
        <f t="shared" si="44"/>
        <v>3.4359999999999786</v>
      </c>
      <c r="P1467">
        <f t="shared" si="45"/>
        <v>73.204999999999956</v>
      </c>
    </row>
    <row r="1468" spans="1:16" x14ac:dyDescent="0.35">
      <c r="A1468" s="9" t="s">
        <v>517</v>
      </c>
      <c r="B1468" s="2">
        <v>169.73500000000001</v>
      </c>
      <c r="C1468" s="2">
        <v>170.535</v>
      </c>
      <c r="D1468" s="2">
        <v>167.81899999999999</v>
      </c>
      <c r="E1468" s="2">
        <v>169.04599999999999</v>
      </c>
      <c r="F1468" s="2">
        <v>21517376</v>
      </c>
      <c r="G1468" s="2" t="s">
        <v>561</v>
      </c>
      <c r="H1468" s="2" t="s">
        <v>562</v>
      </c>
      <c r="I1468" s="2" t="s">
        <v>17</v>
      </c>
      <c r="J1468" s="4">
        <v>-1.1970000000000001</v>
      </c>
      <c r="K1468" s="2" t="s">
        <v>516</v>
      </c>
      <c r="L1468" s="2">
        <v>2024</v>
      </c>
      <c r="M1468" s="2" t="s">
        <v>251</v>
      </c>
      <c r="N1468" s="2" t="s">
        <v>23</v>
      </c>
      <c r="O1468">
        <f t="shared" si="44"/>
        <v>2.7160000000000082</v>
      </c>
      <c r="P1468">
        <f t="shared" si="45"/>
        <v>72.007999999999953</v>
      </c>
    </row>
    <row r="1469" spans="1:16" x14ac:dyDescent="0.35">
      <c r="A1469" s="9" t="s">
        <v>518</v>
      </c>
      <c r="B1469" s="2">
        <v>169.23599999999999</v>
      </c>
      <c r="C1469" s="2">
        <v>170.33500000000001</v>
      </c>
      <c r="D1469" s="2">
        <v>168.64699999999999</v>
      </c>
      <c r="E1469" s="2">
        <v>169.54599999999999</v>
      </c>
      <c r="F1469" s="2">
        <v>18262956</v>
      </c>
      <c r="G1469" s="2" t="s">
        <v>561</v>
      </c>
      <c r="H1469" s="2" t="s">
        <v>562</v>
      </c>
      <c r="I1469" s="2" t="s">
        <v>17</v>
      </c>
      <c r="J1469" s="3">
        <v>0.29599999999999999</v>
      </c>
      <c r="K1469" s="2" t="s">
        <v>516</v>
      </c>
      <c r="L1469" s="2">
        <v>2024</v>
      </c>
      <c r="M1469" s="2" t="s">
        <v>251</v>
      </c>
      <c r="N1469" s="2" t="s">
        <v>21</v>
      </c>
      <c r="O1469">
        <f t="shared" si="44"/>
        <v>1.6880000000000166</v>
      </c>
      <c r="P1469">
        <f t="shared" si="45"/>
        <v>72.303999999999959</v>
      </c>
    </row>
    <row r="1470" spans="1:16" x14ac:dyDescent="0.35">
      <c r="A1470" s="9" t="s">
        <v>519</v>
      </c>
      <c r="B1470" s="2">
        <v>173.601</v>
      </c>
      <c r="C1470" s="2">
        <v>176.73699999999999</v>
      </c>
      <c r="D1470" s="2">
        <v>173.30099999999999</v>
      </c>
      <c r="E1470" s="2">
        <v>176.30799999999999</v>
      </c>
      <c r="F1470" s="2">
        <v>33734155</v>
      </c>
      <c r="G1470" s="2" t="s">
        <v>561</v>
      </c>
      <c r="H1470" s="2" t="s">
        <v>562</v>
      </c>
      <c r="I1470" s="2" t="s">
        <v>17</v>
      </c>
      <c r="J1470" s="3">
        <v>3.988</v>
      </c>
      <c r="K1470" s="2" t="s">
        <v>516</v>
      </c>
      <c r="L1470" s="2">
        <v>2024</v>
      </c>
      <c r="M1470" s="2" t="s">
        <v>251</v>
      </c>
      <c r="N1470" s="2" t="s">
        <v>21</v>
      </c>
      <c r="O1470">
        <f t="shared" si="44"/>
        <v>3.436000000000007</v>
      </c>
      <c r="P1470">
        <f t="shared" si="45"/>
        <v>76.291999999999959</v>
      </c>
    </row>
    <row r="1471" spans="1:16" x14ac:dyDescent="0.35">
      <c r="A1471" s="9" t="s">
        <v>520</v>
      </c>
      <c r="B1471" s="2">
        <v>177.20699999999999</v>
      </c>
      <c r="C1471" s="2">
        <v>180.87299999999999</v>
      </c>
      <c r="D1471" s="2">
        <v>176.98699999999999</v>
      </c>
      <c r="E1471" s="2">
        <v>180.54300000000001</v>
      </c>
      <c r="F1471" s="2">
        <v>25381995</v>
      </c>
      <c r="G1471" s="2" t="s">
        <v>561</v>
      </c>
      <c r="H1471" s="2" t="s">
        <v>562</v>
      </c>
      <c r="I1471" s="2" t="s">
        <v>17</v>
      </c>
      <c r="J1471" s="3">
        <v>2.4020000000000001</v>
      </c>
      <c r="K1471" s="2" t="s">
        <v>516</v>
      </c>
      <c r="L1471" s="2">
        <v>2024</v>
      </c>
      <c r="M1471" s="2" t="s">
        <v>251</v>
      </c>
      <c r="N1471" s="2" t="s">
        <v>21</v>
      </c>
      <c r="O1471">
        <f t="shared" si="44"/>
        <v>3.8859999999999957</v>
      </c>
      <c r="P1471">
        <f t="shared" si="45"/>
        <v>78.69399999999996</v>
      </c>
    </row>
    <row r="1472" spans="1:16" x14ac:dyDescent="0.35">
      <c r="A1472" s="9" t="s">
        <v>521</v>
      </c>
      <c r="B1472" s="2">
        <v>180.43799999999999</v>
      </c>
      <c r="C1472" s="2">
        <v>180.69300000000001</v>
      </c>
      <c r="D1472" s="2">
        <v>177.876</v>
      </c>
      <c r="E1472" s="2">
        <v>178.14599999999999</v>
      </c>
      <c r="F1472" s="2">
        <v>22031402</v>
      </c>
      <c r="G1472" s="2" t="s">
        <v>561</v>
      </c>
      <c r="H1472" s="2" t="s">
        <v>562</v>
      </c>
      <c r="I1472" s="2" t="s">
        <v>17</v>
      </c>
      <c r="J1472" s="4">
        <v>-1.3280000000000001</v>
      </c>
      <c r="K1472" s="2" t="s">
        <v>516</v>
      </c>
      <c r="L1472" s="2">
        <v>2024</v>
      </c>
      <c r="M1472" s="2" t="s">
        <v>251</v>
      </c>
      <c r="N1472" s="2" t="s">
        <v>23</v>
      </c>
      <c r="O1472">
        <f t="shared" si="44"/>
        <v>2.8170000000000073</v>
      </c>
      <c r="P1472">
        <f t="shared" si="45"/>
        <v>77.365999999999957</v>
      </c>
    </row>
    <row r="1473" spans="1:16" x14ac:dyDescent="0.35">
      <c r="A1473" s="9" t="s">
        <v>522</v>
      </c>
      <c r="B1473" s="2">
        <v>178.376</v>
      </c>
      <c r="C1473" s="2">
        <v>180.33799999999999</v>
      </c>
      <c r="D1473" s="2">
        <v>178.26599999999999</v>
      </c>
      <c r="E1473" s="2">
        <v>180.14400000000001</v>
      </c>
      <c r="F1473" s="2">
        <v>17470353</v>
      </c>
      <c r="G1473" s="2" t="s">
        <v>561</v>
      </c>
      <c r="H1473" s="2" t="s">
        <v>562</v>
      </c>
      <c r="I1473" s="2" t="s">
        <v>17</v>
      </c>
      <c r="J1473" s="3">
        <v>1.1220000000000001</v>
      </c>
      <c r="K1473" s="2" t="s">
        <v>516</v>
      </c>
      <c r="L1473" s="2">
        <v>2024</v>
      </c>
      <c r="M1473" s="2" t="s">
        <v>251</v>
      </c>
      <c r="N1473" s="2" t="s">
        <v>21</v>
      </c>
      <c r="O1473">
        <f t="shared" si="44"/>
        <v>2.0720000000000027</v>
      </c>
      <c r="P1473">
        <f t="shared" si="45"/>
        <v>78.487999999999957</v>
      </c>
    </row>
    <row r="1474" spans="1:16" x14ac:dyDescent="0.35">
      <c r="A1474" s="9" t="s">
        <v>523</v>
      </c>
      <c r="B1474" s="2">
        <v>179.614</v>
      </c>
      <c r="C1474" s="2">
        <v>182.28100000000001</v>
      </c>
      <c r="D1474" s="2">
        <v>179.185</v>
      </c>
      <c r="E1474" s="2">
        <v>181.41200000000001</v>
      </c>
      <c r="F1474" s="2">
        <v>25163711</v>
      </c>
      <c r="G1474" s="2" t="s">
        <v>561</v>
      </c>
      <c r="H1474" s="2" t="s">
        <v>562</v>
      </c>
      <c r="I1474" s="2" t="s">
        <v>17</v>
      </c>
      <c r="J1474" s="3">
        <v>0.70399999999999996</v>
      </c>
      <c r="K1474" s="2" t="s">
        <v>516</v>
      </c>
      <c r="L1474" s="2">
        <v>2024</v>
      </c>
      <c r="M1474" s="2" t="s">
        <v>251</v>
      </c>
      <c r="N1474" s="2" t="s">
        <v>21</v>
      </c>
      <c r="O1474">
        <f t="shared" si="44"/>
        <v>3.0960000000000036</v>
      </c>
      <c r="P1474">
        <f t="shared" si="45"/>
        <v>79.19199999999995</v>
      </c>
    </row>
    <row r="1475" spans="1:16" x14ac:dyDescent="0.35">
      <c r="A1475" s="9" t="s">
        <v>524</v>
      </c>
      <c r="B1475" s="2">
        <v>180.25299999999999</v>
      </c>
      <c r="C1475" s="2">
        <v>180.75299999999999</v>
      </c>
      <c r="D1475" s="2">
        <v>178.33600000000001</v>
      </c>
      <c r="E1475" s="2">
        <v>178.67500000000001</v>
      </c>
      <c r="F1475" s="2">
        <v>23210573</v>
      </c>
      <c r="G1475" s="2" t="s">
        <v>561</v>
      </c>
      <c r="H1475" s="2" t="s">
        <v>562</v>
      </c>
      <c r="I1475" s="2" t="s">
        <v>17</v>
      </c>
      <c r="J1475" s="4">
        <v>-1.5089999999999999</v>
      </c>
      <c r="K1475" s="2" t="s">
        <v>516</v>
      </c>
      <c r="L1475" s="2">
        <v>2024</v>
      </c>
      <c r="M1475" s="2" t="s">
        <v>251</v>
      </c>
      <c r="N1475" s="2" t="s">
        <v>23</v>
      </c>
      <c r="O1475">
        <f t="shared" ref="O1475:O1538" si="46">C1475-D1475</f>
        <v>2.4169999999999732</v>
      </c>
      <c r="P1475">
        <f t="shared" si="45"/>
        <v>77.68299999999995</v>
      </c>
    </row>
    <row r="1476" spans="1:16" x14ac:dyDescent="0.35">
      <c r="A1476" s="9" t="s">
        <v>525</v>
      </c>
      <c r="B1476" s="2">
        <v>178.07599999999999</v>
      </c>
      <c r="C1476" s="2">
        <v>178.61500000000001</v>
      </c>
      <c r="D1476" s="2">
        <v>174.12200000000001</v>
      </c>
      <c r="E1476" s="2">
        <v>175.37899999999999</v>
      </c>
      <c r="F1476" s="2">
        <v>31042993</v>
      </c>
      <c r="G1476" s="2" t="s">
        <v>561</v>
      </c>
      <c r="H1476" s="2" t="s">
        <v>562</v>
      </c>
      <c r="I1476" s="2" t="s">
        <v>17</v>
      </c>
      <c r="J1476" s="4">
        <v>-1.845</v>
      </c>
      <c r="K1476" s="2" t="s">
        <v>516</v>
      </c>
      <c r="L1476" s="2">
        <v>2024</v>
      </c>
      <c r="M1476" s="2" t="s">
        <v>251</v>
      </c>
      <c r="N1476" s="2" t="s">
        <v>23</v>
      </c>
      <c r="O1476">
        <f t="shared" si="46"/>
        <v>4.492999999999995</v>
      </c>
      <c r="P1476">
        <f t="shared" ref="P1476:P1539" si="47">IF(G1476=G1475, P1475+J1476, J1476)</f>
        <v>75.837999999999951</v>
      </c>
    </row>
    <row r="1477" spans="1:16" x14ac:dyDescent="0.35">
      <c r="A1477" s="9" t="s">
        <v>526</v>
      </c>
      <c r="B1477" s="2">
        <v>173.53100000000001</v>
      </c>
      <c r="C1477" s="2">
        <v>173.941</v>
      </c>
      <c r="D1477" s="2">
        <v>171.024</v>
      </c>
      <c r="E1477" s="2">
        <v>172.29300000000001</v>
      </c>
      <c r="F1477" s="2">
        <v>32541901</v>
      </c>
      <c r="G1477" s="2" t="s">
        <v>561</v>
      </c>
      <c r="H1477" s="2" t="s">
        <v>562</v>
      </c>
      <c r="I1477" s="2" t="s">
        <v>17</v>
      </c>
      <c r="J1477" s="4">
        <v>-1.76</v>
      </c>
      <c r="K1477" s="2" t="s">
        <v>516</v>
      </c>
      <c r="L1477" s="2">
        <v>2024</v>
      </c>
      <c r="M1477" s="2" t="s">
        <v>251</v>
      </c>
      <c r="N1477" s="2" t="s">
        <v>23</v>
      </c>
      <c r="O1477">
        <f t="shared" si="46"/>
        <v>2.9170000000000016</v>
      </c>
      <c r="P1477">
        <f t="shared" si="47"/>
        <v>74.077999999999946</v>
      </c>
    </row>
    <row r="1478" spans="1:16" x14ac:dyDescent="0.35">
      <c r="A1478" s="9" t="s">
        <v>527</v>
      </c>
      <c r="B1478" s="2">
        <v>173.221</v>
      </c>
      <c r="C1478" s="2">
        <v>175.23699999999999</v>
      </c>
      <c r="D1478" s="2">
        <v>172.702</v>
      </c>
      <c r="E1478" s="2">
        <v>175.09899999999999</v>
      </c>
      <c r="F1478" s="2">
        <v>20229771</v>
      </c>
      <c r="G1478" s="2" t="s">
        <v>561</v>
      </c>
      <c r="H1478" s="2" t="s">
        <v>562</v>
      </c>
      <c r="I1478" s="2" t="s">
        <v>17</v>
      </c>
      <c r="J1478" s="3">
        <v>1.629</v>
      </c>
      <c r="K1478" s="2" t="s">
        <v>516</v>
      </c>
      <c r="L1478" s="2">
        <v>2024</v>
      </c>
      <c r="M1478" s="2" t="s">
        <v>251</v>
      </c>
      <c r="N1478" s="2" t="s">
        <v>21</v>
      </c>
      <c r="O1478">
        <f t="shared" si="46"/>
        <v>2.5349999999999966</v>
      </c>
      <c r="P1478">
        <f t="shared" si="47"/>
        <v>75.706999999999951</v>
      </c>
    </row>
    <row r="1479" spans="1:16" x14ac:dyDescent="0.35">
      <c r="A1479" s="9" t="s">
        <v>528</v>
      </c>
      <c r="B1479" s="2">
        <v>173.52099999999999</v>
      </c>
      <c r="C1479" s="2">
        <v>178.66499999999999</v>
      </c>
      <c r="D1479" s="2">
        <v>173.36099999999999</v>
      </c>
      <c r="E1479" s="2">
        <v>177.916</v>
      </c>
      <c r="F1479" s="2">
        <v>23461782</v>
      </c>
      <c r="G1479" s="2" t="s">
        <v>561</v>
      </c>
      <c r="H1479" s="2" t="s">
        <v>562</v>
      </c>
      <c r="I1479" s="2" t="s">
        <v>17</v>
      </c>
      <c r="J1479" s="3">
        <v>1.609</v>
      </c>
      <c r="K1479" s="2" t="s">
        <v>516</v>
      </c>
      <c r="L1479" s="2">
        <v>2024</v>
      </c>
      <c r="M1479" s="2" t="s">
        <v>251</v>
      </c>
      <c r="N1479" s="2" t="s">
        <v>21</v>
      </c>
      <c r="O1479">
        <f t="shared" si="46"/>
        <v>5.304000000000002</v>
      </c>
      <c r="P1479">
        <f t="shared" si="47"/>
        <v>77.315999999999946</v>
      </c>
    </row>
    <row r="1480" spans="1:16" x14ac:dyDescent="0.35">
      <c r="A1480" s="9" t="s">
        <v>529</v>
      </c>
      <c r="B1480" s="2">
        <v>177.137</v>
      </c>
      <c r="C1480" s="2">
        <v>177.47200000000001</v>
      </c>
      <c r="D1480" s="2">
        <v>173.58099999999999</v>
      </c>
      <c r="E1480" s="2">
        <v>175.779</v>
      </c>
      <c r="F1480" s="2">
        <v>19018882</v>
      </c>
      <c r="G1480" s="2" t="s">
        <v>561</v>
      </c>
      <c r="H1480" s="2" t="s">
        <v>562</v>
      </c>
      <c r="I1480" s="2" t="s">
        <v>17</v>
      </c>
      <c r="J1480" s="4">
        <v>-1.2010000000000001</v>
      </c>
      <c r="K1480" s="2" t="s">
        <v>516</v>
      </c>
      <c r="L1480" s="2">
        <v>2024</v>
      </c>
      <c r="M1480" s="2" t="s">
        <v>251</v>
      </c>
      <c r="N1480" s="2" t="s">
        <v>23</v>
      </c>
      <c r="O1480">
        <f t="shared" si="46"/>
        <v>3.8910000000000196</v>
      </c>
      <c r="P1480">
        <f t="shared" si="47"/>
        <v>76.114999999999952</v>
      </c>
    </row>
    <row r="1481" spans="1:16" x14ac:dyDescent="0.35">
      <c r="A1481" s="9" t="s">
        <v>530</v>
      </c>
      <c r="B1481" s="2">
        <v>173.70099999999999</v>
      </c>
      <c r="C1481" s="2">
        <v>173.93100000000001</v>
      </c>
      <c r="D1481" s="2">
        <v>163.51300000000001</v>
      </c>
      <c r="E1481" s="2">
        <v>167.43799999999999</v>
      </c>
      <c r="F1481" s="2">
        <v>59802838</v>
      </c>
      <c r="G1481" s="2" t="s">
        <v>561</v>
      </c>
      <c r="H1481" s="2" t="s">
        <v>562</v>
      </c>
      <c r="I1481" s="2" t="s">
        <v>17</v>
      </c>
      <c r="J1481" s="4">
        <v>-4.7450000000000001</v>
      </c>
      <c r="K1481" s="2" t="s">
        <v>516</v>
      </c>
      <c r="L1481" s="2">
        <v>2024</v>
      </c>
      <c r="M1481" s="2" t="s">
        <v>251</v>
      </c>
      <c r="N1481" s="2" t="s">
        <v>23</v>
      </c>
      <c r="O1481">
        <f t="shared" si="46"/>
        <v>10.418000000000006</v>
      </c>
      <c r="P1481">
        <f t="shared" si="47"/>
        <v>71.369999999999948</v>
      </c>
    </row>
    <row r="1482" spans="1:16" x14ac:dyDescent="0.35">
      <c r="A1482" s="9" t="s">
        <v>531</v>
      </c>
      <c r="B1482" s="2">
        <v>165.66</v>
      </c>
      <c r="C1482" s="2">
        <v>166.26900000000001</v>
      </c>
      <c r="D1482" s="2">
        <v>163.71199999999999</v>
      </c>
      <c r="E1482" s="2">
        <v>164.571</v>
      </c>
      <c r="F1482" s="2">
        <v>38648830</v>
      </c>
      <c r="G1482" s="2" t="s">
        <v>561</v>
      </c>
      <c r="H1482" s="2" t="s">
        <v>562</v>
      </c>
      <c r="I1482" s="2" t="s">
        <v>17</v>
      </c>
      <c r="J1482" s="4">
        <v>-1.712</v>
      </c>
      <c r="K1482" s="2" t="s">
        <v>516</v>
      </c>
      <c r="L1482" s="2">
        <v>2024</v>
      </c>
      <c r="M1482" s="2" t="s">
        <v>251</v>
      </c>
      <c r="N1482" s="2" t="s">
        <v>23</v>
      </c>
      <c r="O1482">
        <f t="shared" si="46"/>
        <v>2.5570000000000164</v>
      </c>
      <c r="P1482">
        <f t="shared" si="47"/>
        <v>69.657999999999944</v>
      </c>
    </row>
    <row r="1483" spans="1:16" x14ac:dyDescent="0.35">
      <c r="A1483" s="9" t="s">
        <v>532</v>
      </c>
      <c r="B1483" s="2">
        <v>165.9</v>
      </c>
      <c r="C1483" s="2">
        <v>168.43700000000001</v>
      </c>
      <c r="D1483" s="2">
        <v>165.41800000000001</v>
      </c>
      <c r="E1483" s="2">
        <v>167.458</v>
      </c>
      <c r="F1483" s="2">
        <v>33173238</v>
      </c>
      <c r="G1483" s="2" t="s">
        <v>561</v>
      </c>
      <c r="H1483" s="2" t="s">
        <v>562</v>
      </c>
      <c r="I1483" s="2" t="s">
        <v>17</v>
      </c>
      <c r="J1483" s="3">
        <v>1.754</v>
      </c>
      <c r="K1483" s="2" t="s">
        <v>516</v>
      </c>
      <c r="L1483" s="2">
        <v>2024</v>
      </c>
      <c r="M1483" s="2" t="s">
        <v>251</v>
      </c>
      <c r="N1483" s="2" t="s">
        <v>21</v>
      </c>
      <c r="O1483">
        <f t="shared" si="46"/>
        <v>3.0190000000000055</v>
      </c>
      <c r="P1483">
        <f t="shared" si="47"/>
        <v>71.411999999999949</v>
      </c>
    </row>
    <row r="1484" spans="1:16" x14ac:dyDescent="0.35">
      <c r="A1484" s="9" t="s">
        <v>533</v>
      </c>
      <c r="B1484" s="2">
        <v>167.43799999999999</v>
      </c>
      <c r="C1484" s="2">
        <v>169.626</v>
      </c>
      <c r="D1484" s="2">
        <v>167.38800000000001</v>
      </c>
      <c r="E1484" s="2">
        <v>168.92599999999999</v>
      </c>
      <c r="F1484" s="2">
        <v>20510199</v>
      </c>
      <c r="G1484" s="2" t="s">
        <v>561</v>
      </c>
      <c r="H1484" s="2" t="s">
        <v>562</v>
      </c>
      <c r="I1484" s="2" t="s">
        <v>17</v>
      </c>
      <c r="J1484" s="3">
        <v>0.877</v>
      </c>
      <c r="K1484" s="2" t="s">
        <v>516</v>
      </c>
      <c r="L1484" s="2">
        <v>2024</v>
      </c>
      <c r="M1484" s="2" t="s">
        <v>251</v>
      </c>
      <c r="N1484" s="2" t="s">
        <v>21</v>
      </c>
      <c r="O1484">
        <f t="shared" si="46"/>
        <v>2.2379999999999995</v>
      </c>
      <c r="P1484">
        <f t="shared" si="47"/>
        <v>72.288999999999945</v>
      </c>
    </row>
    <row r="1485" spans="1:16" x14ac:dyDescent="0.35">
      <c r="A1485" s="9" t="s">
        <v>534</v>
      </c>
      <c r="B1485" s="2">
        <v>168.80699999999999</v>
      </c>
      <c r="C1485" s="2">
        <v>169.28899999999999</v>
      </c>
      <c r="D1485" s="2">
        <v>167.828</v>
      </c>
      <c r="E1485" s="2">
        <v>169.036</v>
      </c>
      <c r="F1485" s="2">
        <v>19288591</v>
      </c>
      <c r="G1485" s="2" t="s">
        <v>561</v>
      </c>
      <c r="H1485" s="2" t="s">
        <v>562</v>
      </c>
      <c r="I1485" s="2" t="s">
        <v>17</v>
      </c>
      <c r="J1485" s="3">
        <v>6.5000000000000002E-2</v>
      </c>
      <c r="K1485" s="2" t="s">
        <v>516</v>
      </c>
      <c r="L1485" s="2">
        <v>2024</v>
      </c>
      <c r="M1485" s="2" t="s">
        <v>251</v>
      </c>
      <c r="N1485" s="2" t="s">
        <v>21</v>
      </c>
      <c r="O1485">
        <f t="shared" si="46"/>
        <v>1.4609999999999843</v>
      </c>
      <c r="P1485">
        <f t="shared" si="47"/>
        <v>72.353999999999942</v>
      </c>
    </row>
    <row r="1486" spans="1:16" x14ac:dyDescent="0.35">
      <c r="A1486" s="9" t="s">
        <v>535</v>
      </c>
      <c r="B1486" s="2">
        <v>168.30699999999999</v>
      </c>
      <c r="C1486" s="2">
        <v>169.23599999999999</v>
      </c>
      <c r="D1486" s="2">
        <v>166.96899999999999</v>
      </c>
      <c r="E1486" s="2">
        <v>168.75700000000001</v>
      </c>
      <c r="F1486" s="2">
        <v>14273583</v>
      </c>
      <c r="G1486" s="2" t="s">
        <v>561</v>
      </c>
      <c r="H1486" s="2" t="s">
        <v>562</v>
      </c>
      <c r="I1486" s="2" t="s">
        <v>17</v>
      </c>
      <c r="J1486" s="4">
        <v>-0.16500000000000001</v>
      </c>
      <c r="K1486" s="2" t="s">
        <v>516</v>
      </c>
      <c r="L1486" s="2">
        <v>2024</v>
      </c>
      <c r="M1486" s="2" t="s">
        <v>251</v>
      </c>
      <c r="N1486" s="2" t="s">
        <v>23</v>
      </c>
      <c r="O1486">
        <f t="shared" si="46"/>
        <v>2.2669999999999959</v>
      </c>
      <c r="P1486">
        <f t="shared" si="47"/>
        <v>72.188999999999936</v>
      </c>
    </row>
    <row r="1487" spans="1:16" x14ac:dyDescent="0.35">
      <c r="A1487" s="9" t="s">
        <v>536</v>
      </c>
      <c r="B1487" s="2">
        <v>168.572</v>
      </c>
      <c r="C1487" s="2">
        <v>171.87799999999999</v>
      </c>
      <c r="D1487" s="2">
        <v>168.37700000000001</v>
      </c>
      <c r="E1487" s="2">
        <v>171.29400000000001</v>
      </c>
      <c r="F1487" s="2">
        <v>23816347</v>
      </c>
      <c r="G1487" s="2" t="s">
        <v>561</v>
      </c>
      <c r="H1487" s="2" t="s">
        <v>562</v>
      </c>
      <c r="I1487" s="2" t="s">
        <v>17</v>
      </c>
      <c r="J1487" s="3">
        <v>1.5029999999999999</v>
      </c>
      <c r="K1487" s="2" t="s">
        <v>537</v>
      </c>
      <c r="L1487" s="2">
        <v>2024</v>
      </c>
      <c r="M1487" s="2" t="s">
        <v>274</v>
      </c>
      <c r="N1487" s="2" t="s">
        <v>21</v>
      </c>
      <c r="O1487">
        <f t="shared" si="46"/>
        <v>3.5009999999999764</v>
      </c>
      <c r="P1487">
        <f t="shared" si="47"/>
        <v>73.691999999999936</v>
      </c>
    </row>
    <row r="1488" spans="1:16" x14ac:dyDescent="0.35">
      <c r="A1488" s="9" t="s">
        <v>538</v>
      </c>
      <c r="B1488" s="2">
        <v>171.29400000000001</v>
      </c>
      <c r="C1488" s="2">
        <v>172.482</v>
      </c>
      <c r="D1488" s="2">
        <v>170.654</v>
      </c>
      <c r="E1488" s="2">
        <v>171.14400000000001</v>
      </c>
      <c r="F1488" s="2">
        <v>22274203</v>
      </c>
      <c r="G1488" s="2" t="s">
        <v>561</v>
      </c>
      <c r="H1488" s="2" t="s">
        <v>562</v>
      </c>
      <c r="I1488" s="2" t="s">
        <v>17</v>
      </c>
      <c r="J1488" s="4">
        <v>-8.7999999999999995E-2</v>
      </c>
      <c r="K1488" s="2" t="s">
        <v>537</v>
      </c>
      <c r="L1488" s="2">
        <v>2024</v>
      </c>
      <c r="M1488" s="2" t="s">
        <v>274</v>
      </c>
      <c r="N1488" s="2" t="s">
        <v>23</v>
      </c>
      <c r="O1488">
        <f t="shared" si="46"/>
        <v>1.828000000000003</v>
      </c>
      <c r="P1488">
        <f t="shared" si="47"/>
        <v>73.603999999999942</v>
      </c>
    </row>
    <row r="1489" spans="1:16" x14ac:dyDescent="0.35">
      <c r="A1489" s="9" t="s">
        <v>539</v>
      </c>
      <c r="B1489" s="2">
        <v>170.94900000000001</v>
      </c>
      <c r="C1489" s="2">
        <v>174.71</v>
      </c>
      <c r="D1489" s="2">
        <v>170.864</v>
      </c>
      <c r="E1489" s="2">
        <v>174.17</v>
      </c>
      <c r="F1489" s="2">
        <v>31651370</v>
      </c>
      <c r="G1489" s="2" t="s">
        <v>561</v>
      </c>
      <c r="H1489" s="2" t="s">
        <v>562</v>
      </c>
      <c r="I1489" s="2" t="s">
        <v>17</v>
      </c>
      <c r="J1489" s="3">
        <v>1.768</v>
      </c>
      <c r="K1489" s="2" t="s">
        <v>537</v>
      </c>
      <c r="L1489" s="2">
        <v>2024</v>
      </c>
      <c r="M1489" s="2" t="s">
        <v>274</v>
      </c>
      <c r="N1489" s="2" t="s">
        <v>21</v>
      </c>
      <c r="O1489">
        <f t="shared" si="46"/>
        <v>3.8460000000000036</v>
      </c>
      <c r="P1489">
        <f t="shared" si="47"/>
        <v>75.371999999999943</v>
      </c>
    </row>
    <row r="1490" spans="1:16" x14ac:dyDescent="0.35">
      <c r="A1490" s="9" t="s">
        <v>540</v>
      </c>
      <c r="B1490" s="2">
        <v>175.15899999999999</v>
      </c>
      <c r="C1490" s="2">
        <v>175.858</v>
      </c>
      <c r="D1490" s="2">
        <v>172.13300000000001</v>
      </c>
      <c r="E1490" s="2">
        <v>172.44200000000001</v>
      </c>
      <c r="F1490" s="2">
        <v>21380718</v>
      </c>
      <c r="G1490" s="2" t="s">
        <v>561</v>
      </c>
      <c r="H1490" s="2" t="s">
        <v>562</v>
      </c>
      <c r="I1490" s="2" t="s">
        <v>17</v>
      </c>
      <c r="J1490" s="4">
        <v>-0.99199999999999999</v>
      </c>
      <c r="K1490" s="2" t="s">
        <v>537</v>
      </c>
      <c r="L1490" s="2">
        <v>2024</v>
      </c>
      <c r="M1490" s="2" t="s">
        <v>274</v>
      </c>
      <c r="N1490" s="2" t="s">
        <v>23</v>
      </c>
      <c r="O1490">
        <f t="shared" si="46"/>
        <v>3.7249999999999943</v>
      </c>
      <c r="P1490">
        <f t="shared" si="47"/>
        <v>74.379999999999939</v>
      </c>
    </row>
    <row r="1491" spans="1:16" x14ac:dyDescent="0.35">
      <c r="A1491" s="9" t="s">
        <v>541</v>
      </c>
      <c r="B1491" s="2">
        <v>171.833</v>
      </c>
      <c r="C1491" s="2">
        <v>174.88</v>
      </c>
      <c r="D1491" s="2">
        <v>171.66300000000001</v>
      </c>
      <c r="E1491" s="2">
        <v>174.51</v>
      </c>
      <c r="F1491" s="2">
        <v>21486990</v>
      </c>
      <c r="G1491" s="2" t="s">
        <v>561</v>
      </c>
      <c r="H1491" s="2" t="s">
        <v>562</v>
      </c>
      <c r="I1491" s="2" t="s">
        <v>17</v>
      </c>
      <c r="J1491" s="3">
        <v>1.1990000000000001</v>
      </c>
      <c r="K1491" s="2" t="s">
        <v>537</v>
      </c>
      <c r="L1491" s="2">
        <v>2024</v>
      </c>
      <c r="M1491" s="2" t="s">
        <v>274</v>
      </c>
      <c r="N1491" s="2" t="s">
        <v>21</v>
      </c>
      <c r="O1491">
        <f t="shared" si="46"/>
        <v>3.2169999999999845</v>
      </c>
      <c r="P1491">
        <f t="shared" si="47"/>
        <v>75.578999999999937</v>
      </c>
    </row>
    <row r="1492" spans="1:16" x14ac:dyDescent="0.35">
      <c r="A1492" s="9" t="s">
        <v>542</v>
      </c>
      <c r="B1492" s="2">
        <v>173.96</v>
      </c>
      <c r="C1492" s="2">
        <v>176.26</v>
      </c>
      <c r="D1492" s="2">
        <v>173.65</v>
      </c>
      <c r="E1492" s="2">
        <v>175.37</v>
      </c>
      <c r="F1492" s="2">
        <v>25389631</v>
      </c>
      <c r="G1492" s="2" t="s">
        <v>561</v>
      </c>
      <c r="H1492" s="2" t="s">
        <v>562</v>
      </c>
      <c r="I1492" s="2" t="s">
        <v>17</v>
      </c>
      <c r="J1492" s="3">
        <v>0.49299999999999999</v>
      </c>
      <c r="K1492" s="2" t="s">
        <v>537</v>
      </c>
      <c r="L1492" s="2">
        <v>2024</v>
      </c>
      <c r="M1492" s="2" t="s">
        <v>274</v>
      </c>
      <c r="N1492" s="2" t="s">
        <v>21</v>
      </c>
      <c r="O1492">
        <f t="shared" si="46"/>
        <v>2.6099999999999852</v>
      </c>
      <c r="P1492">
        <f t="shared" si="47"/>
        <v>76.071999999999932</v>
      </c>
    </row>
    <row r="1493" spans="1:16" x14ac:dyDescent="0.35">
      <c r="A1493" s="9" t="s">
        <v>543</v>
      </c>
      <c r="B1493" s="2">
        <v>182.845</v>
      </c>
      <c r="C1493" s="2">
        <v>186.36</v>
      </c>
      <c r="D1493" s="2">
        <v>181.05</v>
      </c>
      <c r="E1493" s="2">
        <v>185.17</v>
      </c>
      <c r="F1493" s="2">
        <v>54813022</v>
      </c>
      <c r="G1493" s="2" t="s">
        <v>561</v>
      </c>
      <c r="H1493" s="2" t="s">
        <v>562</v>
      </c>
      <c r="I1493" s="2" t="s">
        <v>17</v>
      </c>
      <c r="J1493" s="3">
        <v>5.5880000000000001</v>
      </c>
      <c r="K1493" s="2" t="s">
        <v>537</v>
      </c>
      <c r="L1493" s="2">
        <v>2024</v>
      </c>
      <c r="M1493" s="2" t="s">
        <v>274</v>
      </c>
      <c r="N1493" s="2" t="s">
        <v>21</v>
      </c>
      <c r="O1493">
        <f t="shared" si="46"/>
        <v>5.3100000000000023</v>
      </c>
      <c r="P1493">
        <f t="shared" si="47"/>
        <v>81.659999999999926</v>
      </c>
    </row>
    <row r="1494" spans="1:16" x14ac:dyDescent="0.35">
      <c r="A1494" s="9" t="s">
        <v>544</v>
      </c>
      <c r="B1494" s="2">
        <v>185.31</v>
      </c>
      <c r="C1494" s="2">
        <v>195.61</v>
      </c>
      <c r="D1494" s="2">
        <v>184.85</v>
      </c>
      <c r="E1494" s="2">
        <v>195.4</v>
      </c>
      <c r="F1494" s="2">
        <v>67894071</v>
      </c>
      <c r="G1494" s="2" t="s">
        <v>561</v>
      </c>
      <c r="H1494" s="2" t="s">
        <v>562</v>
      </c>
      <c r="I1494" s="2" t="s">
        <v>17</v>
      </c>
      <c r="J1494" s="3">
        <v>5.5250000000000004</v>
      </c>
      <c r="K1494" s="2" t="s">
        <v>537</v>
      </c>
      <c r="L1494" s="2">
        <v>2024</v>
      </c>
      <c r="M1494" s="2" t="s">
        <v>274</v>
      </c>
      <c r="N1494" s="2" t="s">
        <v>21</v>
      </c>
      <c r="O1494">
        <f t="shared" si="46"/>
        <v>10.760000000000019</v>
      </c>
      <c r="P1494">
        <f t="shared" si="47"/>
        <v>87.184999999999931</v>
      </c>
    </row>
    <row r="1495" spans="1:16" x14ac:dyDescent="0.35">
      <c r="A1495" s="9" t="s">
        <v>545</v>
      </c>
      <c r="B1495" s="2">
        <v>195</v>
      </c>
      <c r="C1495" s="2">
        <v>195.18</v>
      </c>
      <c r="D1495" s="2">
        <v>191.71</v>
      </c>
      <c r="E1495" s="2">
        <v>191.96</v>
      </c>
      <c r="F1495" s="2">
        <v>34817486</v>
      </c>
      <c r="G1495" s="2" t="s">
        <v>561</v>
      </c>
      <c r="H1495" s="2" t="s">
        <v>562</v>
      </c>
      <c r="I1495" s="2" t="s">
        <v>17</v>
      </c>
      <c r="J1495" s="4">
        <v>-1.76</v>
      </c>
      <c r="K1495" s="2" t="s">
        <v>537</v>
      </c>
      <c r="L1495" s="2">
        <v>2024</v>
      </c>
      <c r="M1495" s="2" t="s">
        <v>274</v>
      </c>
      <c r="N1495" s="2" t="s">
        <v>23</v>
      </c>
      <c r="O1495">
        <f t="shared" si="46"/>
        <v>3.4699999999999989</v>
      </c>
      <c r="P1495">
        <f t="shared" si="47"/>
        <v>85.424999999999926</v>
      </c>
    </row>
    <row r="1496" spans="1:16" x14ac:dyDescent="0.35">
      <c r="A1496" s="9" t="s">
        <v>546</v>
      </c>
      <c r="B1496" s="2">
        <v>191.01</v>
      </c>
      <c r="C1496" s="2">
        <v>192.73</v>
      </c>
      <c r="D1496" s="2">
        <v>189.64</v>
      </c>
      <c r="E1496" s="2">
        <v>189.82</v>
      </c>
      <c r="F1496" s="2">
        <v>25143495</v>
      </c>
      <c r="G1496" s="2" t="s">
        <v>561</v>
      </c>
      <c r="H1496" s="2" t="s">
        <v>562</v>
      </c>
      <c r="I1496" s="2" t="s">
        <v>17</v>
      </c>
      <c r="J1496" s="4">
        <v>-1.115</v>
      </c>
      <c r="K1496" s="2" t="s">
        <v>537</v>
      </c>
      <c r="L1496" s="2">
        <v>2024</v>
      </c>
      <c r="M1496" s="2" t="s">
        <v>274</v>
      </c>
      <c r="N1496" s="2" t="s">
        <v>23</v>
      </c>
      <c r="O1496">
        <f t="shared" si="46"/>
        <v>3.0900000000000034</v>
      </c>
      <c r="P1496">
        <f t="shared" si="47"/>
        <v>84.309999999999931</v>
      </c>
    </row>
    <row r="1497" spans="1:16" x14ac:dyDescent="0.35">
      <c r="A1497" s="9" t="s">
        <v>547</v>
      </c>
      <c r="B1497" s="2">
        <v>192.87</v>
      </c>
      <c r="C1497" s="2">
        <v>199</v>
      </c>
      <c r="D1497" s="2">
        <v>192.62</v>
      </c>
      <c r="E1497" s="2">
        <v>196.66</v>
      </c>
      <c r="F1497" s="2">
        <v>44934901</v>
      </c>
      <c r="G1497" s="2" t="s">
        <v>561</v>
      </c>
      <c r="H1497" s="2" t="s">
        <v>562</v>
      </c>
      <c r="I1497" s="2" t="s">
        <v>17</v>
      </c>
      <c r="J1497" s="3">
        <v>3.6030000000000002</v>
      </c>
      <c r="K1497" s="2" t="s">
        <v>537</v>
      </c>
      <c r="L1497" s="2">
        <v>2024</v>
      </c>
      <c r="M1497" s="2" t="s">
        <v>274</v>
      </c>
      <c r="N1497" s="2" t="s">
        <v>21</v>
      </c>
      <c r="O1497">
        <f t="shared" si="46"/>
        <v>6.3799999999999955</v>
      </c>
      <c r="P1497">
        <f t="shared" si="47"/>
        <v>87.912999999999926</v>
      </c>
    </row>
    <row r="1498" spans="1:16" x14ac:dyDescent="0.35">
      <c r="A1498" s="9" t="s">
        <v>548</v>
      </c>
      <c r="B1498" s="2">
        <v>197.25</v>
      </c>
      <c r="C1498" s="2">
        <v>201.42</v>
      </c>
      <c r="D1498" s="2">
        <v>194.98</v>
      </c>
      <c r="E1498" s="2">
        <v>195.42</v>
      </c>
      <c r="F1498" s="2">
        <v>43504025</v>
      </c>
      <c r="G1498" s="2" t="s">
        <v>561</v>
      </c>
      <c r="H1498" s="2" t="s">
        <v>562</v>
      </c>
      <c r="I1498" s="2" t="s">
        <v>17</v>
      </c>
      <c r="J1498" s="4">
        <v>-0.63100000000000001</v>
      </c>
      <c r="K1498" s="2" t="s">
        <v>537</v>
      </c>
      <c r="L1498" s="2">
        <v>2024</v>
      </c>
      <c r="M1498" s="2" t="s">
        <v>274</v>
      </c>
      <c r="N1498" s="2" t="s">
        <v>23</v>
      </c>
      <c r="O1498">
        <f t="shared" si="46"/>
        <v>6.4399999999999977</v>
      </c>
      <c r="P1498">
        <f t="shared" si="47"/>
        <v>87.281999999999925</v>
      </c>
    </row>
    <row r="1499" spans="1:16" x14ac:dyDescent="0.35">
      <c r="A1499" s="9" t="s">
        <v>549</v>
      </c>
      <c r="B1499" s="2">
        <v>195.22</v>
      </c>
      <c r="C1499" s="2">
        <v>197</v>
      </c>
      <c r="D1499" s="2">
        <v>187.74</v>
      </c>
      <c r="E1499" s="2">
        <v>188.4</v>
      </c>
      <c r="F1499" s="2">
        <v>34166074</v>
      </c>
      <c r="G1499" s="2" t="s">
        <v>561</v>
      </c>
      <c r="H1499" s="2" t="s">
        <v>562</v>
      </c>
      <c r="I1499" s="2" t="s">
        <v>17</v>
      </c>
      <c r="J1499" s="4">
        <v>-3.5920000000000001</v>
      </c>
      <c r="K1499" s="2" t="s">
        <v>537</v>
      </c>
      <c r="L1499" s="2">
        <v>2024</v>
      </c>
      <c r="M1499" s="2" t="s">
        <v>274</v>
      </c>
      <c r="N1499" s="2" t="s">
        <v>23</v>
      </c>
      <c r="O1499">
        <f t="shared" si="46"/>
        <v>9.2599999999999909</v>
      </c>
      <c r="P1499">
        <f t="shared" si="47"/>
        <v>83.689999999999927</v>
      </c>
    </row>
    <row r="1500" spans="1:16" x14ac:dyDescent="0.35">
      <c r="A1500" s="9" t="s">
        <v>550</v>
      </c>
      <c r="B1500" s="2">
        <v>191.625</v>
      </c>
      <c r="C1500" s="2">
        <v>193.03</v>
      </c>
      <c r="D1500" s="2">
        <v>188.38</v>
      </c>
      <c r="E1500" s="2">
        <v>188.51</v>
      </c>
      <c r="F1500" s="2">
        <v>32265241</v>
      </c>
      <c r="G1500" s="2" t="s">
        <v>561</v>
      </c>
      <c r="H1500" s="2" t="s">
        <v>562</v>
      </c>
      <c r="I1500" s="2" t="s">
        <v>17</v>
      </c>
      <c r="J1500" s="3">
        <v>5.8000000000000003E-2</v>
      </c>
      <c r="K1500" s="2" t="s">
        <v>537</v>
      </c>
      <c r="L1500" s="2">
        <v>2024</v>
      </c>
      <c r="M1500" s="2" t="s">
        <v>274</v>
      </c>
      <c r="N1500" s="2" t="s">
        <v>21</v>
      </c>
      <c r="O1500">
        <f t="shared" si="46"/>
        <v>4.6500000000000057</v>
      </c>
      <c r="P1500">
        <f t="shared" si="47"/>
        <v>83.747999999999934</v>
      </c>
    </row>
    <row r="1501" spans="1:16" x14ac:dyDescent="0.35">
      <c r="A1501" s="9" t="s">
        <v>551</v>
      </c>
      <c r="B1501" s="2">
        <v>185.78</v>
      </c>
      <c r="C1501" s="2">
        <v>192.89</v>
      </c>
      <c r="D1501" s="2">
        <v>185.22</v>
      </c>
      <c r="E1501" s="2">
        <v>191.41</v>
      </c>
      <c r="F1501" s="2">
        <v>63462934</v>
      </c>
      <c r="G1501" s="2" t="s">
        <v>561</v>
      </c>
      <c r="H1501" s="2" t="s">
        <v>562</v>
      </c>
      <c r="I1501" s="2" t="s">
        <v>17</v>
      </c>
      <c r="J1501" s="3">
        <v>1.538</v>
      </c>
      <c r="K1501" s="2" t="s">
        <v>537</v>
      </c>
      <c r="L1501" s="2">
        <v>2024</v>
      </c>
      <c r="M1501" s="2" t="s">
        <v>274</v>
      </c>
      <c r="N1501" s="2" t="s">
        <v>21</v>
      </c>
      <c r="O1501">
        <f t="shared" si="46"/>
        <v>7.6699999999999875</v>
      </c>
      <c r="P1501">
        <f t="shared" si="47"/>
        <v>85.28599999999993</v>
      </c>
    </row>
    <row r="1502" spans="1:16" x14ac:dyDescent="0.35">
      <c r="A1502" s="9" t="s">
        <v>552</v>
      </c>
      <c r="B1502" s="2">
        <v>192.62</v>
      </c>
      <c r="C1502" s="2">
        <v>195.1</v>
      </c>
      <c r="D1502" s="2">
        <v>190.15</v>
      </c>
      <c r="E1502" s="2">
        <v>194.63</v>
      </c>
      <c r="F1502" s="2">
        <v>25675014</v>
      </c>
      <c r="G1502" s="2" t="s">
        <v>561</v>
      </c>
      <c r="H1502" s="2" t="s">
        <v>562</v>
      </c>
      <c r="I1502" s="2" t="s">
        <v>17</v>
      </c>
      <c r="J1502" s="3">
        <v>1.6819999999999999</v>
      </c>
      <c r="K1502" s="2" t="s">
        <v>537</v>
      </c>
      <c r="L1502" s="2">
        <v>2024</v>
      </c>
      <c r="M1502" s="2" t="s">
        <v>274</v>
      </c>
      <c r="N1502" s="2" t="s">
        <v>21</v>
      </c>
      <c r="O1502">
        <f t="shared" si="46"/>
        <v>4.9499999999999886</v>
      </c>
      <c r="P1502">
        <f t="shared" si="47"/>
        <v>86.967999999999932</v>
      </c>
    </row>
    <row r="1503" spans="1:16" x14ac:dyDescent="0.35">
      <c r="A1503" s="9" t="s">
        <v>553</v>
      </c>
      <c r="B1503" s="2">
        <v>194.84</v>
      </c>
      <c r="C1503" s="2">
        <v>196.11</v>
      </c>
      <c r="D1503" s="2">
        <v>193.78</v>
      </c>
      <c r="E1503" s="2">
        <v>196.11</v>
      </c>
      <c r="F1503" s="2">
        <v>10403259</v>
      </c>
      <c r="G1503" s="2" t="s">
        <v>561</v>
      </c>
      <c r="H1503" s="2" t="s">
        <v>562</v>
      </c>
      <c r="I1503" s="2" t="s">
        <v>17</v>
      </c>
      <c r="J1503" s="3">
        <v>0.76</v>
      </c>
      <c r="K1503" s="2" t="s">
        <v>537</v>
      </c>
      <c r="L1503" s="2">
        <v>2024</v>
      </c>
      <c r="M1503" s="2" t="s">
        <v>274</v>
      </c>
      <c r="N1503" s="2" t="s">
        <v>21</v>
      </c>
      <c r="O1503">
        <f t="shared" si="46"/>
        <v>2.3300000000000125</v>
      </c>
      <c r="P1503">
        <f t="shared" si="47"/>
        <v>87.727999999999938</v>
      </c>
    </row>
    <row r="1504" spans="1:16" x14ac:dyDescent="0.35">
      <c r="A1504" s="9" t="s">
        <v>554</v>
      </c>
      <c r="B1504" s="2">
        <v>195.15</v>
      </c>
      <c r="C1504" s="2">
        <v>196.74799999999999</v>
      </c>
      <c r="D1504" s="2">
        <v>194.375</v>
      </c>
      <c r="E1504" s="2">
        <v>195.6</v>
      </c>
      <c r="F1504" s="2">
        <v>12057210</v>
      </c>
      <c r="G1504" s="2" t="s">
        <v>561</v>
      </c>
      <c r="H1504" s="2" t="s">
        <v>562</v>
      </c>
      <c r="I1504" s="2" t="s">
        <v>17</v>
      </c>
      <c r="J1504" s="4">
        <v>-0.26</v>
      </c>
      <c r="K1504" s="2" t="s">
        <v>537</v>
      </c>
      <c r="L1504" s="2">
        <v>2024</v>
      </c>
      <c r="M1504" s="2" t="s">
        <v>274</v>
      </c>
      <c r="N1504" s="2" t="s">
        <v>23</v>
      </c>
      <c r="O1504">
        <f t="shared" si="46"/>
        <v>2.3729999999999905</v>
      </c>
      <c r="P1504">
        <f t="shared" si="47"/>
        <v>87.467999999999932</v>
      </c>
    </row>
    <row r="1505" spans="1:16" x14ac:dyDescent="0.35">
      <c r="A1505" s="9" t="s">
        <v>555</v>
      </c>
      <c r="B1505" s="2">
        <v>194.95</v>
      </c>
      <c r="C1505" s="2">
        <v>195.32</v>
      </c>
      <c r="D1505" s="2">
        <v>190.65</v>
      </c>
      <c r="E1505" s="2">
        <v>192.76</v>
      </c>
      <c r="F1505" s="2">
        <v>18891362</v>
      </c>
      <c r="G1505" s="2" t="s">
        <v>561</v>
      </c>
      <c r="H1505" s="2" t="s">
        <v>562</v>
      </c>
      <c r="I1505" s="2" t="s">
        <v>17</v>
      </c>
      <c r="J1505" s="4">
        <v>-1.452</v>
      </c>
      <c r="K1505" s="2" t="s">
        <v>537</v>
      </c>
      <c r="L1505" s="2">
        <v>2024</v>
      </c>
      <c r="M1505" s="2" t="s">
        <v>274</v>
      </c>
      <c r="N1505" s="2" t="s">
        <v>23</v>
      </c>
      <c r="O1505">
        <f t="shared" si="46"/>
        <v>4.6699999999999875</v>
      </c>
      <c r="P1505">
        <f t="shared" si="47"/>
        <v>86.015999999999934</v>
      </c>
    </row>
    <row r="1506" spans="1:16" x14ac:dyDescent="0.35">
      <c r="A1506" s="9" t="s">
        <v>556</v>
      </c>
      <c r="B1506" s="2">
        <v>189.8</v>
      </c>
      <c r="C1506" s="2">
        <v>192.55</v>
      </c>
      <c r="D1506" s="2">
        <v>189.12</v>
      </c>
      <c r="E1506" s="2">
        <v>191.24</v>
      </c>
      <c r="F1506" s="2">
        <v>14264659</v>
      </c>
      <c r="G1506" s="2" t="s">
        <v>561</v>
      </c>
      <c r="H1506" s="2" t="s">
        <v>562</v>
      </c>
      <c r="I1506" s="2" t="s">
        <v>17</v>
      </c>
      <c r="J1506" s="4">
        <v>-0.78900000000000003</v>
      </c>
      <c r="K1506" s="2" t="s">
        <v>537</v>
      </c>
      <c r="L1506" s="2">
        <v>2024</v>
      </c>
      <c r="M1506" s="2" t="s">
        <v>274</v>
      </c>
      <c r="N1506" s="2" t="s">
        <v>23</v>
      </c>
      <c r="O1506">
        <f t="shared" si="46"/>
        <v>3.4300000000000068</v>
      </c>
      <c r="P1506">
        <f t="shared" si="47"/>
        <v>85.226999999999933</v>
      </c>
    </row>
    <row r="1507" spans="1:16" x14ac:dyDescent="0.35">
      <c r="A1507" s="9" t="s">
        <v>557</v>
      </c>
      <c r="B1507" s="2">
        <v>191.07499999999999</v>
      </c>
      <c r="C1507" s="2">
        <v>191.96</v>
      </c>
      <c r="D1507" s="2">
        <v>188.51</v>
      </c>
      <c r="E1507" s="2">
        <v>189.3</v>
      </c>
      <c r="F1507" s="2">
        <v>17466919</v>
      </c>
      <c r="G1507" s="2" t="s">
        <v>561</v>
      </c>
      <c r="H1507" s="2" t="s">
        <v>562</v>
      </c>
      <c r="I1507" s="2" t="s">
        <v>17</v>
      </c>
      <c r="J1507" s="4">
        <v>-1.014</v>
      </c>
      <c r="K1507" s="2" t="s">
        <v>537</v>
      </c>
      <c r="L1507" s="2">
        <v>2024</v>
      </c>
      <c r="M1507" s="2" t="s">
        <v>274</v>
      </c>
      <c r="N1507" s="2" t="s">
        <v>23</v>
      </c>
      <c r="O1507">
        <f t="shared" si="46"/>
        <v>3.4500000000000171</v>
      </c>
      <c r="P1507">
        <f t="shared" si="47"/>
        <v>84.212999999999937</v>
      </c>
    </row>
    <row r="1508" spans="1:16" x14ac:dyDescent="0.35">
      <c r="A1508" s="9" t="s">
        <v>14</v>
      </c>
      <c r="B1508" s="2">
        <v>176.16</v>
      </c>
      <c r="C1508" s="2">
        <v>178.38</v>
      </c>
      <c r="D1508" s="2">
        <v>176.01</v>
      </c>
      <c r="E1508" s="2">
        <v>178.19</v>
      </c>
      <c r="F1508" s="2">
        <v>6344864</v>
      </c>
      <c r="G1508" s="2" t="s">
        <v>563</v>
      </c>
      <c r="H1508" s="2" t="s">
        <v>564</v>
      </c>
      <c r="I1508" s="2" t="s">
        <v>565</v>
      </c>
      <c r="J1508" s="2"/>
      <c r="K1508" s="2" t="s">
        <v>18</v>
      </c>
      <c r="L1508" s="2">
        <v>2023</v>
      </c>
      <c r="M1508" s="2" t="s">
        <v>19</v>
      </c>
      <c r="N1508" s="2"/>
      <c r="O1508">
        <f t="shared" si="46"/>
        <v>2.3700000000000045</v>
      </c>
      <c r="P1508">
        <f t="shared" si="47"/>
        <v>0</v>
      </c>
    </row>
    <row r="1509" spans="1:16" x14ac:dyDescent="0.35">
      <c r="A1509" s="9" t="s">
        <v>20</v>
      </c>
      <c r="B1509" s="2">
        <v>178.89</v>
      </c>
      <c r="C1509" s="2">
        <v>180.19</v>
      </c>
      <c r="D1509" s="2">
        <v>178.48</v>
      </c>
      <c r="E1509" s="2">
        <v>180.13</v>
      </c>
      <c r="F1509" s="2">
        <v>9788784</v>
      </c>
      <c r="G1509" s="2" t="s">
        <v>563</v>
      </c>
      <c r="H1509" s="2" t="s">
        <v>564</v>
      </c>
      <c r="I1509" s="2" t="s">
        <v>565</v>
      </c>
      <c r="J1509" s="3">
        <v>1.089</v>
      </c>
      <c r="K1509" s="2" t="s">
        <v>18</v>
      </c>
      <c r="L1509" s="2">
        <v>2023</v>
      </c>
      <c r="M1509" s="2" t="s">
        <v>19</v>
      </c>
      <c r="N1509" s="2" t="s">
        <v>21</v>
      </c>
      <c r="O1509">
        <f t="shared" si="46"/>
        <v>1.710000000000008</v>
      </c>
      <c r="P1509">
        <f t="shared" si="47"/>
        <v>1.089</v>
      </c>
    </row>
    <row r="1510" spans="1:16" x14ac:dyDescent="0.35">
      <c r="A1510" s="9" t="s">
        <v>22</v>
      </c>
      <c r="B1510" s="2">
        <v>179.02</v>
      </c>
      <c r="C1510" s="2">
        <v>179.99</v>
      </c>
      <c r="D1510" s="2">
        <v>178.41</v>
      </c>
      <c r="E1510" s="2">
        <v>178.8</v>
      </c>
      <c r="F1510" s="2">
        <v>6255308</v>
      </c>
      <c r="G1510" s="2" t="s">
        <v>563</v>
      </c>
      <c r="H1510" s="2" t="s">
        <v>564</v>
      </c>
      <c r="I1510" s="2" t="s">
        <v>565</v>
      </c>
      <c r="J1510" s="4">
        <v>-0.73799999999999999</v>
      </c>
      <c r="K1510" s="2" t="s">
        <v>18</v>
      </c>
      <c r="L1510" s="2">
        <v>2023</v>
      </c>
      <c r="M1510" s="2" t="s">
        <v>19</v>
      </c>
      <c r="N1510" s="2" t="s">
        <v>23</v>
      </c>
      <c r="O1510">
        <f t="shared" si="46"/>
        <v>1.5800000000000125</v>
      </c>
      <c r="P1510">
        <f t="shared" si="47"/>
        <v>0.35099999999999998</v>
      </c>
    </row>
    <row r="1511" spans="1:16" x14ac:dyDescent="0.35">
      <c r="A1511" s="9" t="s">
        <v>24</v>
      </c>
      <c r="B1511" s="2">
        <v>180.13</v>
      </c>
      <c r="C1511" s="2">
        <v>180.93</v>
      </c>
      <c r="D1511" s="2">
        <v>179.39</v>
      </c>
      <c r="E1511" s="2">
        <v>180.25</v>
      </c>
      <c r="F1511" s="2">
        <v>5705960</v>
      </c>
      <c r="G1511" s="2" t="s">
        <v>563</v>
      </c>
      <c r="H1511" s="2" t="s">
        <v>564</v>
      </c>
      <c r="I1511" s="2" t="s">
        <v>565</v>
      </c>
      <c r="J1511" s="3">
        <v>0.81100000000000005</v>
      </c>
      <c r="K1511" s="2" t="s">
        <v>18</v>
      </c>
      <c r="L1511" s="2">
        <v>2023</v>
      </c>
      <c r="M1511" s="2" t="s">
        <v>19</v>
      </c>
      <c r="N1511" s="2" t="s">
        <v>21</v>
      </c>
      <c r="O1511">
        <f t="shared" si="46"/>
        <v>1.5400000000000205</v>
      </c>
      <c r="P1511">
        <f t="shared" si="47"/>
        <v>1.1619999999999999</v>
      </c>
    </row>
    <row r="1512" spans="1:16" x14ac:dyDescent="0.35">
      <c r="A1512" s="9" t="s">
        <v>25</v>
      </c>
      <c r="B1512" s="2">
        <v>179.3</v>
      </c>
      <c r="C1512" s="2">
        <v>179.76</v>
      </c>
      <c r="D1512" s="2">
        <v>175.17500000000001</v>
      </c>
      <c r="E1512" s="2">
        <v>175.58</v>
      </c>
      <c r="F1512" s="2">
        <v>7925277</v>
      </c>
      <c r="G1512" s="2" t="s">
        <v>563</v>
      </c>
      <c r="H1512" s="2" t="s">
        <v>564</v>
      </c>
      <c r="I1512" s="2" t="s">
        <v>565</v>
      </c>
      <c r="J1512" s="4">
        <v>-2.5910000000000002</v>
      </c>
      <c r="K1512" s="2" t="s">
        <v>18</v>
      </c>
      <c r="L1512" s="2">
        <v>2023</v>
      </c>
      <c r="M1512" s="2" t="s">
        <v>19</v>
      </c>
      <c r="N1512" s="2" t="s">
        <v>23</v>
      </c>
      <c r="O1512">
        <f t="shared" si="46"/>
        <v>4.5849999999999795</v>
      </c>
      <c r="P1512">
        <f t="shared" si="47"/>
        <v>-1.4290000000000003</v>
      </c>
    </row>
    <row r="1513" spans="1:16" x14ac:dyDescent="0.35">
      <c r="A1513" s="9" t="s">
        <v>26</v>
      </c>
      <c r="B1513" s="2">
        <v>175.7</v>
      </c>
      <c r="C1513" s="2">
        <v>176.14</v>
      </c>
      <c r="D1513" s="2">
        <v>174.32</v>
      </c>
      <c r="E1513" s="2">
        <v>175.16</v>
      </c>
      <c r="F1513" s="2">
        <v>5047467</v>
      </c>
      <c r="G1513" s="2" t="s">
        <v>563</v>
      </c>
      <c r="H1513" s="2" t="s">
        <v>564</v>
      </c>
      <c r="I1513" s="2" t="s">
        <v>565</v>
      </c>
      <c r="J1513" s="4">
        <v>-0.23899999999999999</v>
      </c>
      <c r="K1513" s="2" t="s">
        <v>18</v>
      </c>
      <c r="L1513" s="2">
        <v>2023</v>
      </c>
      <c r="M1513" s="2" t="s">
        <v>19</v>
      </c>
      <c r="N1513" s="2" t="s">
        <v>23</v>
      </c>
      <c r="O1513">
        <f t="shared" si="46"/>
        <v>1.8199999999999932</v>
      </c>
      <c r="P1513">
        <f t="shared" si="47"/>
        <v>-1.6680000000000001</v>
      </c>
    </row>
    <row r="1514" spans="1:16" x14ac:dyDescent="0.35">
      <c r="A1514" s="9" t="s">
        <v>27</v>
      </c>
      <c r="B1514" s="2">
        <v>175.57</v>
      </c>
      <c r="C1514" s="2">
        <v>175.72</v>
      </c>
      <c r="D1514" s="2">
        <v>172.11</v>
      </c>
      <c r="E1514" s="2">
        <v>174.88</v>
      </c>
      <c r="F1514" s="2">
        <v>6494755</v>
      </c>
      <c r="G1514" s="2" t="s">
        <v>563</v>
      </c>
      <c r="H1514" s="2" t="s">
        <v>564</v>
      </c>
      <c r="I1514" s="2" t="s">
        <v>565</v>
      </c>
      <c r="J1514" s="4">
        <v>-0.16</v>
      </c>
      <c r="K1514" s="2" t="s">
        <v>18</v>
      </c>
      <c r="L1514" s="2">
        <v>2023</v>
      </c>
      <c r="M1514" s="2" t="s">
        <v>19</v>
      </c>
      <c r="N1514" s="2" t="s">
        <v>23</v>
      </c>
      <c r="O1514">
        <f t="shared" si="46"/>
        <v>3.6099999999999852</v>
      </c>
      <c r="P1514">
        <f t="shared" si="47"/>
        <v>-1.8280000000000001</v>
      </c>
    </row>
    <row r="1515" spans="1:16" x14ac:dyDescent="0.35">
      <c r="A1515" s="9" t="s">
        <v>28</v>
      </c>
      <c r="B1515" s="2">
        <v>174.26</v>
      </c>
      <c r="C1515" s="2">
        <v>174.70599999999999</v>
      </c>
      <c r="D1515" s="2">
        <v>172.8</v>
      </c>
      <c r="E1515" s="2">
        <v>174</v>
      </c>
      <c r="F1515" s="2">
        <v>4269394</v>
      </c>
      <c r="G1515" s="2" t="s">
        <v>563</v>
      </c>
      <c r="H1515" s="2" t="s">
        <v>564</v>
      </c>
      <c r="I1515" s="2" t="s">
        <v>565</v>
      </c>
      <c r="J1515" s="4">
        <v>-0.503</v>
      </c>
      <c r="K1515" s="2" t="s">
        <v>18</v>
      </c>
      <c r="L1515" s="2">
        <v>2023</v>
      </c>
      <c r="M1515" s="2" t="s">
        <v>19</v>
      </c>
      <c r="N1515" s="2" t="s">
        <v>23</v>
      </c>
      <c r="O1515">
        <f t="shared" si="46"/>
        <v>1.9059999999999775</v>
      </c>
      <c r="P1515">
        <f t="shared" si="47"/>
        <v>-2.331</v>
      </c>
    </row>
    <row r="1516" spans="1:16" x14ac:dyDescent="0.35">
      <c r="A1516" s="9" t="s">
        <v>29</v>
      </c>
      <c r="B1516" s="2">
        <v>173.19</v>
      </c>
      <c r="C1516" s="2">
        <v>174.01</v>
      </c>
      <c r="D1516" s="2">
        <v>172.38</v>
      </c>
      <c r="E1516" s="2">
        <v>173.43</v>
      </c>
      <c r="F1516" s="2">
        <v>6088155</v>
      </c>
      <c r="G1516" s="2" t="s">
        <v>563</v>
      </c>
      <c r="H1516" s="2" t="s">
        <v>564</v>
      </c>
      <c r="I1516" s="2" t="s">
        <v>565</v>
      </c>
      <c r="J1516" s="4">
        <v>-0.32800000000000001</v>
      </c>
      <c r="K1516" s="2" t="s">
        <v>18</v>
      </c>
      <c r="L1516" s="2">
        <v>2023</v>
      </c>
      <c r="M1516" s="2" t="s">
        <v>19</v>
      </c>
      <c r="N1516" s="2" t="s">
        <v>23</v>
      </c>
      <c r="O1516">
        <f t="shared" si="46"/>
        <v>1.6299999999999955</v>
      </c>
      <c r="P1516">
        <f t="shared" si="47"/>
        <v>-2.6589999999999998</v>
      </c>
    </row>
    <row r="1517" spans="1:16" x14ac:dyDescent="0.35">
      <c r="A1517" s="9" t="s">
        <v>30</v>
      </c>
      <c r="B1517" s="2">
        <v>174</v>
      </c>
      <c r="C1517" s="2">
        <v>174.58</v>
      </c>
      <c r="D1517" s="2">
        <v>172.09</v>
      </c>
      <c r="E1517" s="2">
        <v>172.36</v>
      </c>
      <c r="F1517" s="2">
        <v>6053302</v>
      </c>
      <c r="G1517" s="2" t="s">
        <v>563</v>
      </c>
      <c r="H1517" s="2" t="s">
        <v>564</v>
      </c>
      <c r="I1517" s="2" t="s">
        <v>565</v>
      </c>
      <c r="J1517" s="4">
        <v>-0.61699999999999999</v>
      </c>
      <c r="K1517" s="2" t="s">
        <v>18</v>
      </c>
      <c r="L1517" s="2">
        <v>2023</v>
      </c>
      <c r="M1517" s="2" t="s">
        <v>19</v>
      </c>
      <c r="N1517" s="2" t="s">
        <v>23</v>
      </c>
      <c r="O1517">
        <f t="shared" si="46"/>
        <v>2.4900000000000091</v>
      </c>
      <c r="P1517">
        <f t="shared" si="47"/>
        <v>-3.2759999999999998</v>
      </c>
    </row>
    <row r="1518" spans="1:16" x14ac:dyDescent="0.35">
      <c r="A1518" s="9" t="s">
        <v>31</v>
      </c>
      <c r="B1518" s="2">
        <v>171.65</v>
      </c>
      <c r="C1518" s="2">
        <v>172</v>
      </c>
      <c r="D1518" s="2">
        <v>169.71</v>
      </c>
      <c r="E1518" s="2">
        <v>169.76</v>
      </c>
      <c r="F1518" s="2">
        <v>7047759</v>
      </c>
      <c r="G1518" s="2" t="s">
        <v>563</v>
      </c>
      <c r="H1518" s="2" t="s">
        <v>564</v>
      </c>
      <c r="I1518" s="2" t="s">
        <v>565</v>
      </c>
      <c r="J1518" s="4">
        <v>-1.508</v>
      </c>
      <c r="K1518" s="2" t="s">
        <v>18</v>
      </c>
      <c r="L1518" s="2">
        <v>2023</v>
      </c>
      <c r="M1518" s="2" t="s">
        <v>19</v>
      </c>
      <c r="N1518" s="2" t="s">
        <v>23</v>
      </c>
      <c r="O1518">
        <f t="shared" si="46"/>
        <v>2.289999999999992</v>
      </c>
      <c r="P1518">
        <f t="shared" si="47"/>
        <v>-4.7839999999999998</v>
      </c>
    </row>
    <row r="1519" spans="1:16" x14ac:dyDescent="0.35">
      <c r="A1519" s="9" t="s">
        <v>32</v>
      </c>
      <c r="B1519" s="2">
        <v>169.03</v>
      </c>
      <c r="C1519" s="2">
        <v>171.28</v>
      </c>
      <c r="D1519" s="2">
        <v>168.71</v>
      </c>
      <c r="E1519" s="2">
        <v>169.53</v>
      </c>
      <c r="F1519" s="2">
        <v>6939514</v>
      </c>
      <c r="G1519" s="2" t="s">
        <v>563</v>
      </c>
      <c r="H1519" s="2" t="s">
        <v>564</v>
      </c>
      <c r="I1519" s="2" t="s">
        <v>565</v>
      </c>
      <c r="J1519" s="4">
        <v>-0.13500000000000001</v>
      </c>
      <c r="K1519" s="2" t="s">
        <v>18</v>
      </c>
      <c r="L1519" s="2">
        <v>2023</v>
      </c>
      <c r="M1519" s="2" t="s">
        <v>19</v>
      </c>
      <c r="N1519" s="2" t="s">
        <v>23</v>
      </c>
      <c r="O1519">
        <f t="shared" si="46"/>
        <v>2.5699999999999932</v>
      </c>
      <c r="P1519">
        <f t="shared" si="47"/>
        <v>-4.9189999999999996</v>
      </c>
    </row>
    <row r="1520" spans="1:16" x14ac:dyDescent="0.35">
      <c r="A1520" s="9" t="s">
        <v>33</v>
      </c>
      <c r="B1520" s="2">
        <v>170.1</v>
      </c>
      <c r="C1520" s="2">
        <v>170.11</v>
      </c>
      <c r="D1520" s="2">
        <v>167.48</v>
      </c>
      <c r="E1520" s="2">
        <v>168.74</v>
      </c>
      <c r="F1520" s="2">
        <v>8620553</v>
      </c>
      <c r="G1520" s="2" t="s">
        <v>563</v>
      </c>
      <c r="H1520" s="2" t="s">
        <v>564</v>
      </c>
      <c r="I1520" s="2" t="s">
        <v>565</v>
      </c>
      <c r="J1520" s="4">
        <v>-0.46600000000000003</v>
      </c>
      <c r="K1520" s="2" t="s">
        <v>18</v>
      </c>
      <c r="L1520" s="2">
        <v>2023</v>
      </c>
      <c r="M1520" s="2" t="s">
        <v>19</v>
      </c>
      <c r="N1520" s="2" t="s">
        <v>23</v>
      </c>
      <c r="O1520">
        <f t="shared" si="46"/>
        <v>2.6300000000000239</v>
      </c>
      <c r="P1520">
        <f t="shared" si="47"/>
        <v>-5.3849999999999998</v>
      </c>
    </row>
    <row r="1521" spans="1:16" x14ac:dyDescent="0.35">
      <c r="A1521" s="9" t="s">
        <v>34</v>
      </c>
      <c r="B1521" s="2">
        <v>169.1</v>
      </c>
      <c r="C1521" s="2">
        <v>169.63</v>
      </c>
      <c r="D1521" s="2">
        <v>167.947</v>
      </c>
      <c r="E1521" s="2">
        <v>168.31</v>
      </c>
      <c r="F1521" s="2">
        <v>8425412</v>
      </c>
      <c r="G1521" s="2" t="s">
        <v>563</v>
      </c>
      <c r="H1521" s="2" t="s">
        <v>564</v>
      </c>
      <c r="I1521" s="2" t="s">
        <v>565</v>
      </c>
      <c r="J1521" s="4">
        <v>-0.255</v>
      </c>
      <c r="K1521" s="2" t="s">
        <v>18</v>
      </c>
      <c r="L1521" s="2">
        <v>2023</v>
      </c>
      <c r="M1521" s="2" t="s">
        <v>19</v>
      </c>
      <c r="N1521" s="2" t="s">
        <v>23</v>
      </c>
      <c r="O1521">
        <f t="shared" si="46"/>
        <v>1.6829999999999927</v>
      </c>
      <c r="P1521">
        <f t="shared" si="47"/>
        <v>-5.64</v>
      </c>
    </row>
    <row r="1522" spans="1:16" x14ac:dyDescent="0.35">
      <c r="A1522" s="9" t="s">
        <v>35</v>
      </c>
      <c r="B1522" s="2">
        <v>175</v>
      </c>
      <c r="C1522" s="2">
        <v>175</v>
      </c>
      <c r="D1522" s="2">
        <v>166.01</v>
      </c>
      <c r="E1522" s="2">
        <v>168.31</v>
      </c>
      <c r="F1522" s="2">
        <v>10541842</v>
      </c>
      <c r="G1522" s="2" t="s">
        <v>563</v>
      </c>
      <c r="H1522" s="2" t="s">
        <v>564</v>
      </c>
      <c r="I1522" s="2" t="s">
        <v>565</v>
      </c>
      <c r="J1522" s="2">
        <v>0</v>
      </c>
      <c r="K1522" s="2" t="s">
        <v>18</v>
      </c>
      <c r="L1522" s="2">
        <v>2023</v>
      </c>
      <c r="M1522" s="2" t="s">
        <v>19</v>
      </c>
      <c r="N1522" s="2" t="s">
        <v>122</v>
      </c>
      <c r="O1522">
        <f t="shared" si="46"/>
        <v>8.9900000000000091</v>
      </c>
      <c r="P1522">
        <f t="shared" si="47"/>
        <v>-5.64</v>
      </c>
    </row>
    <row r="1523" spans="1:16" x14ac:dyDescent="0.35">
      <c r="A1523" s="9" t="s">
        <v>36</v>
      </c>
      <c r="B1523" s="2">
        <v>167.17</v>
      </c>
      <c r="C1523" s="2">
        <v>169.51</v>
      </c>
      <c r="D1523" s="2">
        <v>167.08</v>
      </c>
      <c r="E1523" s="2">
        <v>169.51</v>
      </c>
      <c r="F1523" s="2">
        <v>7099816</v>
      </c>
      <c r="G1523" s="2" t="s">
        <v>563</v>
      </c>
      <c r="H1523" s="2" t="s">
        <v>564</v>
      </c>
      <c r="I1523" s="2" t="s">
        <v>565</v>
      </c>
      <c r="J1523" s="3">
        <v>0.71299999999999997</v>
      </c>
      <c r="K1523" s="2" t="s">
        <v>18</v>
      </c>
      <c r="L1523" s="2">
        <v>2023</v>
      </c>
      <c r="M1523" s="2" t="s">
        <v>19</v>
      </c>
      <c r="N1523" s="2" t="s">
        <v>21</v>
      </c>
      <c r="O1523">
        <f t="shared" si="46"/>
        <v>2.4299999999999784</v>
      </c>
      <c r="P1523">
        <f t="shared" si="47"/>
        <v>-4.9269999999999996</v>
      </c>
    </row>
    <row r="1524" spans="1:16" x14ac:dyDescent="0.35">
      <c r="A1524" s="9" t="s">
        <v>37</v>
      </c>
      <c r="B1524" s="2">
        <v>169.55</v>
      </c>
      <c r="C1524" s="2">
        <v>169.91</v>
      </c>
      <c r="D1524" s="2">
        <v>168.65</v>
      </c>
      <c r="E1524" s="2">
        <v>168.89</v>
      </c>
      <c r="F1524" s="2">
        <v>6946106</v>
      </c>
      <c r="G1524" s="2" t="s">
        <v>563</v>
      </c>
      <c r="H1524" s="2" t="s">
        <v>564</v>
      </c>
      <c r="I1524" s="2" t="s">
        <v>565</v>
      </c>
      <c r="J1524" s="4">
        <v>-0.36599999999999999</v>
      </c>
      <c r="K1524" s="2" t="s">
        <v>18</v>
      </c>
      <c r="L1524" s="2">
        <v>2023</v>
      </c>
      <c r="M1524" s="2" t="s">
        <v>19</v>
      </c>
      <c r="N1524" s="2" t="s">
        <v>23</v>
      </c>
      <c r="O1524">
        <f t="shared" si="46"/>
        <v>1.2599999999999909</v>
      </c>
      <c r="P1524">
        <f t="shared" si="47"/>
        <v>-5.2929999999999993</v>
      </c>
    </row>
    <row r="1525" spans="1:16" x14ac:dyDescent="0.35">
      <c r="A1525" s="9" t="s">
        <v>38</v>
      </c>
      <c r="B1525" s="2">
        <v>168.54</v>
      </c>
      <c r="C1525" s="2">
        <v>168.86600000000001</v>
      </c>
      <c r="D1525" s="2">
        <v>167.77</v>
      </c>
      <c r="E1525" s="2">
        <v>168.23</v>
      </c>
      <c r="F1525" s="2">
        <v>6058104</v>
      </c>
      <c r="G1525" s="2" t="s">
        <v>563</v>
      </c>
      <c r="H1525" s="2" t="s">
        <v>564</v>
      </c>
      <c r="I1525" s="2" t="s">
        <v>565</v>
      </c>
      <c r="J1525" s="4">
        <v>-0.39100000000000001</v>
      </c>
      <c r="K1525" s="2" t="s">
        <v>18</v>
      </c>
      <c r="L1525" s="2">
        <v>2023</v>
      </c>
      <c r="M1525" s="2" t="s">
        <v>19</v>
      </c>
      <c r="N1525" s="2" t="s">
        <v>23</v>
      </c>
      <c r="O1525">
        <f t="shared" si="46"/>
        <v>1.0960000000000036</v>
      </c>
      <c r="P1525">
        <f t="shared" si="47"/>
        <v>-5.6839999999999993</v>
      </c>
    </row>
    <row r="1526" spans="1:16" x14ac:dyDescent="0.35">
      <c r="A1526" s="9" t="s">
        <v>39</v>
      </c>
      <c r="B1526" s="2">
        <v>167.93</v>
      </c>
      <c r="C1526" s="2">
        <v>168.54</v>
      </c>
      <c r="D1526" s="2">
        <v>161.08000000000001</v>
      </c>
      <c r="E1526" s="2">
        <v>162</v>
      </c>
      <c r="F1526" s="2">
        <v>23259077</v>
      </c>
      <c r="G1526" s="2" t="s">
        <v>563</v>
      </c>
      <c r="H1526" s="2" t="s">
        <v>564</v>
      </c>
      <c r="I1526" s="2" t="s">
        <v>565</v>
      </c>
      <c r="J1526" s="4">
        <v>-3.7029999999999998</v>
      </c>
      <c r="K1526" s="2" t="s">
        <v>18</v>
      </c>
      <c r="L1526" s="2">
        <v>2023</v>
      </c>
      <c r="M1526" s="2" t="s">
        <v>19</v>
      </c>
      <c r="N1526" s="2" t="s">
        <v>23</v>
      </c>
      <c r="O1526">
        <f t="shared" si="46"/>
        <v>7.4599999999999795</v>
      </c>
      <c r="P1526">
        <f t="shared" si="47"/>
        <v>-9.3869999999999987</v>
      </c>
    </row>
    <row r="1527" spans="1:16" x14ac:dyDescent="0.35">
      <c r="A1527" s="9" t="s">
        <v>40</v>
      </c>
      <c r="B1527" s="2">
        <v>161.69999999999999</v>
      </c>
      <c r="C1527" s="2">
        <v>163.43</v>
      </c>
      <c r="D1527" s="2">
        <v>161.05000000000001</v>
      </c>
      <c r="E1527" s="2">
        <v>163.41999999999999</v>
      </c>
      <c r="F1527" s="2">
        <v>11612526</v>
      </c>
      <c r="G1527" s="2" t="s">
        <v>563</v>
      </c>
      <c r="H1527" s="2" t="s">
        <v>564</v>
      </c>
      <c r="I1527" s="2" t="s">
        <v>565</v>
      </c>
      <c r="J1527" s="3">
        <v>0.877</v>
      </c>
      <c r="K1527" s="2" t="s">
        <v>18</v>
      </c>
      <c r="L1527" s="2">
        <v>2023</v>
      </c>
      <c r="M1527" s="2" t="s">
        <v>19</v>
      </c>
      <c r="N1527" s="2" t="s">
        <v>21</v>
      </c>
      <c r="O1527">
        <f t="shared" si="46"/>
        <v>2.3799999999999955</v>
      </c>
      <c r="P1527">
        <f t="shared" si="47"/>
        <v>-8.509999999999998</v>
      </c>
    </row>
    <row r="1528" spans="1:16" x14ac:dyDescent="0.35">
      <c r="A1528" s="9" t="s">
        <v>41</v>
      </c>
      <c r="B1528" s="2">
        <v>162.99</v>
      </c>
      <c r="C1528" s="2">
        <v>165.98</v>
      </c>
      <c r="D1528" s="2">
        <v>162.4</v>
      </c>
      <c r="E1528" s="2">
        <v>164.92</v>
      </c>
      <c r="F1528" s="2">
        <v>9865296</v>
      </c>
      <c r="G1528" s="2" t="s">
        <v>563</v>
      </c>
      <c r="H1528" s="2" t="s">
        <v>564</v>
      </c>
      <c r="I1528" s="2" t="s">
        <v>565</v>
      </c>
      <c r="J1528" s="3">
        <v>0.91800000000000004</v>
      </c>
      <c r="K1528" s="2" t="s">
        <v>42</v>
      </c>
      <c r="L1528" s="2">
        <v>2023</v>
      </c>
      <c r="M1528" s="2" t="s">
        <v>43</v>
      </c>
      <c r="N1528" s="2" t="s">
        <v>21</v>
      </c>
      <c r="O1528">
        <f t="shared" si="46"/>
        <v>3.5799999999999841</v>
      </c>
      <c r="P1528">
        <f t="shared" si="47"/>
        <v>-7.5919999999999979</v>
      </c>
    </row>
    <row r="1529" spans="1:16" x14ac:dyDescent="0.35">
      <c r="A1529" s="9" t="s">
        <v>44</v>
      </c>
      <c r="B1529" s="2">
        <v>163</v>
      </c>
      <c r="C1529" s="2">
        <v>166.22</v>
      </c>
      <c r="D1529" s="2">
        <v>162.822</v>
      </c>
      <c r="E1529" s="2">
        <v>165.54</v>
      </c>
      <c r="F1529" s="2">
        <v>10098965</v>
      </c>
      <c r="G1529" s="2" t="s">
        <v>563</v>
      </c>
      <c r="H1529" s="2" t="s">
        <v>564</v>
      </c>
      <c r="I1529" s="2" t="s">
        <v>565</v>
      </c>
      <c r="J1529" s="3">
        <v>0.376</v>
      </c>
      <c r="K1529" s="2" t="s">
        <v>42</v>
      </c>
      <c r="L1529" s="2">
        <v>2023</v>
      </c>
      <c r="M1529" s="2" t="s">
        <v>43</v>
      </c>
      <c r="N1529" s="2" t="s">
        <v>21</v>
      </c>
      <c r="O1529">
        <f t="shared" si="46"/>
        <v>3.3979999999999961</v>
      </c>
      <c r="P1529">
        <f t="shared" si="47"/>
        <v>-7.2159999999999975</v>
      </c>
    </row>
    <row r="1530" spans="1:16" x14ac:dyDescent="0.35">
      <c r="A1530" s="9" t="s">
        <v>45</v>
      </c>
      <c r="B1530" s="2">
        <v>166.03</v>
      </c>
      <c r="C1530" s="2">
        <v>166.34</v>
      </c>
      <c r="D1530" s="2">
        <v>163.89</v>
      </c>
      <c r="E1530" s="2">
        <v>164.61</v>
      </c>
      <c r="F1530" s="2">
        <v>6868540</v>
      </c>
      <c r="G1530" s="2" t="s">
        <v>563</v>
      </c>
      <c r="H1530" s="2" t="s">
        <v>564</v>
      </c>
      <c r="I1530" s="2" t="s">
        <v>565</v>
      </c>
      <c r="J1530" s="4">
        <v>-0.56200000000000006</v>
      </c>
      <c r="K1530" s="2" t="s">
        <v>42</v>
      </c>
      <c r="L1530" s="2">
        <v>2023</v>
      </c>
      <c r="M1530" s="2" t="s">
        <v>43</v>
      </c>
      <c r="N1530" s="2" t="s">
        <v>23</v>
      </c>
      <c r="O1530">
        <f t="shared" si="46"/>
        <v>2.4500000000000171</v>
      </c>
      <c r="P1530">
        <f t="shared" si="47"/>
        <v>-7.7779999999999978</v>
      </c>
    </row>
    <row r="1531" spans="1:16" x14ac:dyDescent="0.35">
      <c r="A1531" s="9" t="s">
        <v>46</v>
      </c>
      <c r="B1531" s="2">
        <v>164.55</v>
      </c>
      <c r="C1531" s="2">
        <v>164.852</v>
      </c>
      <c r="D1531" s="2">
        <v>163.1</v>
      </c>
      <c r="E1531" s="2">
        <v>163.36000000000001</v>
      </c>
      <c r="F1531" s="2">
        <v>7020989</v>
      </c>
      <c r="G1531" s="2" t="s">
        <v>563</v>
      </c>
      <c r="H1531" s="2" t="s">
        <v>564</v>
      </c>
      <c r="I1531" s="2" t="s">
        <v>565</v>
      </c>
      <c r="J1531" s="4">
        <v>-0.75900000000000001</v>
      </c>
      <c r="K1531" s="2" t="s">
        <v>42</v>
      </c>
      <c r="L1531" s="2">
        <v>2023</v>
      </c>
      <c r="M1531" s="2" t="s">
        <v>43</v>
      </c>
      <c r="N1531" s="2" t="s">
        <v>23</v>
      </c>
      <c r="O1531">
        <f t="shared" si="46"/>
        <v>1.7520000000000095</v>
      </c>
      <c r="P1531">
        <f t="shared" si="47"/>
        <v>-8.5369999999999973</v>
      </c>
    </row>
    <row r="1532" spans="1:16" x14ac:dyDescent="0.35">
      <c r="A1532" s="9" t="s">
        <v>47</v>
      </c>
      <c r="B1532" s="2">
        <v>161.6</v>
      </c>
      <c r="C1532" s="2">
        <v>163.88</v>
      </c>
      <c r="D1532" s="2">
        <v>161.41999999999999</v>
      </c>
      <c r="E1532" s="2">
        <v>163.4</v>
      </c>
      <c r="F1532" s="2">
        <v>7310756</v>
      </c>
      <c r="G1532" s="2" t="s">
        <v>563</v>
      </c>
      <c r="H1532" s="2" t="s">
        <v>564</v>
      </c>
      <c r="I1532" s="2" t="s">
        <v>565</v>
      </c>
      <c r="J1532" s="3">
        <v>2.4E-2</v>
      </c>
      <c r="K1532" s="2" t="s">
        <v>42</v>
      </c>
      <c r="L1532" s="2">
        <v>2023</v>
      </c>
      <c r="M1532" s="2" t="s">
        <v>43</v>
      </c>
      <c r="N1532" s="2" t="s">
        <v>21</v>
      </c>
      <c r="O1532">
        <f t="shared" si="46"/>
        <v>2.460000000000008</v>
      </c>
      <c r="P1532">
        <f t="shared" si="47"/>
        <v>-8.5129999999999981</v>
      </c>
    </row>
    <row r="1533" spans="1:16" x14ac:dyDescent="0.35">
      <c r="A1533" s="9" t="s">
        <v>48</v>
      </c>
      <c r="B1533" s="2">
        <v>163.30000000000001</v>
      </c>
      <c r="C1533" s="2">
        <v>164.56</v>
      </c>
      <c r="D1533" s="2">
        <v>162.899</v>
      </c>
      <c r="E1533" s="2">
        <v>163.61000000000001</v>
      </c>
      <c r="F1533" s="2">
        <v>6054697</v>
      </c>
      <c r="G1533" s="2" t="s">
        <v>563</v>
      </c>
      <c r="H1533" s="2" t="s">
        <v>564</v>
      </c>
      <c r="I1533" s="2" t="s">
        <v>565</v>
      </c>
      <c r="J1533" s="3">
        <v>0.129</v>
      </c>
      <c r="K1533" s="2" t="s">
        <v>42</v>
      </c>
      <c r="L1533" s="2">
        <v>2023</v>
      </c>
      <c r="M1533" s="2" t="s">
        <v>43</v>
      </c>
      <c r="N1533" s="2" t="s">
        <v>21</v>
      </c>
      <c r="O1533">
        <f t="shared" si="46"/>
        <v>1.6610000000000014</v>
      </c>
      <c r="P1533">
        <f t="shared" si="47"/>
        <v>-8.3839999999999986</v>
      </c>
    </row>
    <row r="1534" spans="1:16" x14ac:dyDescent="0.35">
      <c r="A1534" s="9" t="s">
        <v>49</v>
      </c>
      <c r="B1534" s="2">
        <v>163.63</v>
      </c>
      <c r="C1534" s="2">
        <v>164.79499999999999</v>
      </c>
      <c r="D1534" s="2">
        <v>161.07</v>
      </c>
      <c r="E1534" s="2">
        <v>161.4</v>
      </c>
      <c r="F1534" s="2">
        <v>7949544</v>
      </c>
      <c r="G1534" s="2" t="s">
        <v>563</v>
      </c>
      <c r="H1534" s="2" t="s">
        <v>564</v>
      </c>
      <c r="I1534" s="2" t="s">
        <v>565</v>
      </c>
      <c r="J1534" s="4">
        <v>-1.351</v>
      </c>
      <c r="K1534" s="2" t="s">
        <v>42</v>
      </c>
      <c r="L1534" s="2">
        <v>2023</v>
      </c>
      <c r="M1534" s="2" t="s">
        <v>43</v>
      </c>
      <c r="N1534" s="2" t="s">
        <v>23</v>
      </c>
      <c r="O1534">
        <f t="shared" si="46"/>
        <v>3.7249999999999943</v>
      </c>
      <c r="P1534">
        <f t="shared" si="47"/>
        <v>-9.7349999999999994</v>
      </c>
    </row>
    <row r="1535" spans="1:16" x14ac:dyDescent="0.35">
      <c r="A1535" s="9" t="s">
        <v>50</v>
      </c>
      <c r="B1535" s="2">
        <v>161.77000000000001</v>
      </c>
      <c r="C1535" s="2">
        <v>162.79</v>
      </c>
      <c r="D1535" s="2">
        <v>161.35</v>
      </c>
      <c r="E1535" s="2">
        <v>162.15</v>
      </c>
      <c r="F1535" s="2">
        <v>7028039</v>
      </c>
      <c r="G1535" s="2" t="s">
        <v>563</v>
      </c>
      <c r="H1535" s="2" t="s">
        <v>564</v>
      </c>
      <c r="I1535" s="2" t="s">
        <v>565</v>
      </c>
      <c r="J1535" s="3">
        <v>0.46500000000000002</v>
      </c>
      <c r="K1535" s="2" t="s">
        <v>42</v>
      </c>
      <c r="L1535" s="2">
        <v>2023</v>
      </c>
      <c r="M1535" s="2" t="s">
        <v>43</v>
      </c>
      <c r="N1535" s="2" t="s">
        <v>21</v>
      </c>
      <c r="O1535">
        <f t="shared" si="46"/>
        <v>1.4399999999999977</v>
      </c>
      <c r="P1535">
        <f t="shared" si="47"/>
        <v>-9.27</v>
      </c>
    </row>
    <row r="1536" spans="1:16" x14ac:dyDescent="0.35">
      <c r="A1536" s="9" t="s">
        <v>51</v>
      </c>
      <c r="B1536" s="2">
        <v>161.33000000000001</v>
      </c>
      <c r="C1536" s="2">
        <v>162.82</v>
      </c>
      <c r="D1536" s="2">
        <v>161.15</v>
      </c>
      <c r="E1536" s="2">
        <v>162.75</v>
      </c>
      <c r="F1536" s="2">
        <v>6414709</v>
      </c>
      <c r="G1536" s="2" t="s">
        <v>563</v>
      </c>
      <c r="H1536" s="2" t="s">
        <v>564</v>
      </c>
      <c r="I1536" s="2" t="s">
        <v>565</v>
      </c>
      <c r="J1536" s="3">
        <v>0.37</v>
      </c>
      <c r="K1536" s="2" t="s">
        <v>42</v>
      </c>
      <c r="L1536" s="2">
        <v>2023</v>
      </c>
      <c r="M1536" s="2" t="s">
        <v>43</v>
      </c>
      <c r="N1536" s="2" t="s">
        <v>21</v>
      </c>
      <c r="O1536">
        <f t="shared" si="46"/>
        <v>1.6699999999999875</v>
      </c>
      <c r="P1536">
        <f t="shared" si="47"/>
        <v>-8.9</v>
      </c>
    </row>
    <row r="1537" spans="1:16" x14ac:dyDescent="0.35">
      <c r="A1537" s="9" t="s">
        <v>52</v>
      </c>
      <c r="B1537" s="2">
        <v>162.74</v>
      </c>
      <c r="C1537" s="2">
        <v>162.97</v>
      </c>
      <c r="D1537" s="2">
        <v>161.76</v>
      </c>
      <c r="E1537" s="2">
        <v>162.04</v>
      </c>
      <c r="F1537" s="2">
        <v>6316011</v>
      </c>
      <c r="G1537" s="2" t="s">
        <v>563</v>
      </c>
      <c r="H1537" s="2" t="s">
        <v>564</v>
      </c>
      <c r="I1537" s="2" t="s">
        <v>565</v>
      </c>
      <c r="J1537" s="4">
        <v>-0.436</v>
      </c>
      <c r="K1537" s="2" t="s">
        <v>42</v>
      </c>
      <c r="L1537" s="2">
        <v>2023</v>
      </c>
      <c r="M1537" s="2" t="s">
        <v>43</v>
      </c>
      <c r="N1537" s="2" t="s">
        <v>23</v>
      </c>
      <c r="O1537">
        <f t="shared" si="46"/>
        <v>1.210000000000008</v>
      </c>
      <c r="P1537">
        <f t="shared" si="47"/>
        <v>-9.3360000000000003</v>
      </c>
    </row>
    <row r="1538" spans="1:16" x14ac:dyDescent="0.35">
      <c r="A1538" s="9" t="s">
        <v>53</v>
      </c>
      <c r="B1538" s="2">
        <v>161.94999999999999</v>
      </c>
      <c r="C1538" s="2">
        <v>161.97999999999999</v>
      </c>
      <c r="D1538" s="2">
        <v>159.29</v>
      </c>
      <c r="E1538" s="2">
        <v>159.37</v>
      </c>
      <c r="F1538" s="2">
        <v>12633301</v>
      </c>
      <c r="G1538" s="2" t="s">
        <v>563</v>
      </c>
      <c r="H1538" s="2" t="s">
        <v>564</v>
      </c>
      <c r="I1538" s="2" t="s">
        <v>565</v>
      </c>
      <c r="J1538" s="4">
        <v>-1.6479999999999999</v>
      </c>
      <c r="K1538" s="2" t="s">
        <v>42</v>
      </c>
      <c r="L1538" s="2">
        <v>2023</v>
      </c>
      <c r="M1538" s="2" t="s">
        <v>43</v>
      </c>
      <c r="N1538" s="2" t="s">
        <v>23</v>
      </c>
      <c r="O1538">
        <f t="shared" si="46"/>
        <v>2.6899999999999977</v>
      </c>
      <c r="P1538">
        <f t="shared" si="47"/>
        <v>-10.984</v>
      </c>
    </row>
    <row r="1539" spans="1:16" x14ac:dyDescent="0.35">
      <c r="A1539" s="9" t="s">
        <v>54</v>
      </c>
      <c r="B1539" s="2">
        <v>159.07499999999999</v>
      </c>
      <c r="C1539" s="2">
        <v>159.65</v>
      </c>
      <c r="D1539" s="2">
        <v>157.91999999999999</v>
      </c>
      <c r="E1539" s="2">
        <v>158.24</v>
      </c>
      <c r="F1539" s="2">
        <v>11176958</v>
      </c>
      <c r="G1539" s="2" t="s">
        <v>563</v>
      </c>
      <c r="H1539" s="2" t="s">
        <v>564</v>
      </c>
      <c r="I1539" s="2" t="s">
        <v>565</v>
      </c>
      <c r="J1539" s="4">
        <v>-0.70899999999999996</v>
      </c>
      <c r="K1539" s="2" t="s">
        <v>42</v>
      </c>
      <c r="L1539" s="2">
        <v>2023</v>
      </c>
      <c r="M1539" s="2" t="s">
        <v>43</v>
      </c>
      <c r="N1539" s="2" t="s">
        <v>23</v>
      </c>
      <c r="O1539">
        <f t="shared" ref="O1539:O1602" si="48">C1539-D1539</f>
        <v>1.7300000000000182</v>
      </c>
      <c r="P1539">
        <f t="shared" si="47"/>
        <v>-11.693</v>
      </c>
    </row>
    <row r="1540" spans="1:16" x14ac:dyDescent="0.35">
      <c r="A1540" s="9" t="s">
        <v>55</v>
      </c>
      <c r="B1540" s="2">
        <v>157.02000000000001</v>
      </c>
      <c r="C1540" s="2">
        <v>161.11000000000001</v>
      </c>
      <c r="D1540" s="2">
        <v>156.62</v>
      </c>
      <c r="E1540" s="2">
        <v>160.38999999999999</v>
      </c>
      <c r="F1540" s="2">
        <v>12401926</v>
      </c>
      <c r="G1540" s="2" t="s">
        <v>563</v>
      </c>
      <c r="H1540" s="2" t="s">
        <v>564</v>
      </c>
      <c r="I1540" s="2" t="s">
        <v>565</v>
      </c>
      <c r="J1540" s="3">
        <v>1.359</v>
      </c>
      <c r="K1540" s="2" t="s">
        <v>42</v>
      </c>
      <c r="L1540" s="2">
        <v>2023</v>
      </c>
      <c r="M1540" s="2" t="s">
        <v>43</v>
      </c>
      <c r="N1540" s="2" t="s">
        <v>21</v>
      </c>
      <c r="O1540">
        <f t="shared" si="48"/>
        <v>4.4900000000000091</v>
      </c>
      <c r="P1540">
        <f t="shared" ref="P1540:P1603" si="49">IF(G1540=G1539, P1539+J1540, J1540)</f>
        <v>-10.334</v>
      </c>
    </row>
    <row r="1541" spans="1:16" x14ac:dyDescent="0.35">
      <c r="A1541" s="9" t="s">
        <v>56</v>
      </c>
      <c r="B1541" s="2">
        <v>159.65</v>
      </c>
      <c r="C1541" s="2">
        <v>160.35</v>
      </c>
      <c r="D1541" s="2">
        <v>157.88999999999999</v>
      </c>
      <c r="E1541" s="2">
        <v>158</v>
      </c>
      <c r="F1541" s="2">
        <v>9423860</v>
      </c>
      <c r="G1541" s="2" t="s">
        <v>563</v>
      </c>
      <c r="H1541" s="2" t="s">
        <v>564</v>
      </c>
      <c r="I1541" s="2" t="s">
        <v>565</v>
      </c>
      <c r="J1541" s="4">
        <v>-1.49</v>
      </c>
      <c r="K1541" s="2" t="s">
        <v>42</v>
      </c>
      <c r="L1541" s="2">
        <v>2023</v>
      </c>
      <c r="M1541" s="2" t="s">
        <v>43</v>
      </c>
      <c r="N1541" s="2" t="s">
        <v>23</v>
      </c>
      <c r="O1541">
        <f t="shared" si="48"/>
        <v>2.460000000000008</v>
      </c>
      <c r="P1541">
        <f t="shared" si="49"/>
        <v>-11.824</v>
      </c>
    </row>
    <row r="1542" spans="1:16" x14ac:dyDescent="0.35">
      <c r="A1542" s="9" t="s">
        <v>57</v>
      </c>
      <c r="B1542" s="2">
        <v>158.5</v>
      </c>
      <c r="C1542" s="2">
        <v>158.85</v>
      </c>
      <c r="D1542" s="2">
        <v>157.37</v>
      </c>
      <c r="E1542" s="2">
        <v>157.78</v>
      </c>
      <c r="F1542" s="2">
        <v>9820240</v>
      </c>
      <c r="G1542" s="2" t="s">
        <v>563</v>
      </c>
      <c r="H1542" s="2" t="s">
        <v>564</v>
      </c>
      <c r="I1542" s="2" t="s">
        <v>565</v>
      </c>
      <c r="J1542" s="4">
        <v>-0.13900000000000001</v>
      </c>
      <c r="K1542" s="2" t="s">
        <v>42</v>
      </c>
      <c r="L1542" s="2">
        <v>2023</v>
      </c>
      <c r="M1542" s="2" t="s">
        <v>43</v>
      </c>
      <c r="N1542" s="2" t="s">
        <v>23</v>
      </c>
      <c r="O1542">
        <f t="shared" si="48"/>
        <v>1.4799999999999898</v>
      </c>
      <c r="P1542">
        <f t="shared" si="49"/>
        <v>-11.962999999999999</v>
      </c>
    </row>
    <row r="1543" spans="1:16" x14ac:dyDescent="0.35">
      <c r="A1543" s="9" t="s">
        <v>58</v>
      </c>
      <c r="B1543" s="2">
        <v>157.71</v>
      </c>
      <c r="C1543" s="2">
        <v>158.58500000000001</v>
      </c>
      <c r="D1543" s="2">
        <v>156.66999999999999</v>
      </c>
      <c r="E1543" s="2">
        <v>157.72999999999999</v>
      </c>
      <c r="F1543" s="2">
        <v>9385092</v>
      </c>
      <c r="G1543" s="2" t="s">
        <v>563</v>
      </c>
      <c r="H1543" s="2" t="s">
        <v>564</v>
      </c>
      <c r="I1543" s="2" t="s">
        <v>565</v>
      </c>
      <c r="J1543" s="4">
        <v>-3.2000000000000001E-2</v>
      </c>
      <c r="K1543" s="2" t="s">
        <v>42</v>
      </c>
      <c r="L1543" s="2">
        <v>2023</v>
      </c>
      <c r="M1543" s="2" t="s">
        <v>43</v>
      </c>
      <c r="N1543" s="2" t="s">
        <v>23</v>
      </c>
      <c r="O1543">
        <f t="shared" si="48"/>
        <v>1.9150000000000205</v>
      </c>
      <c r="P1543">
        <f t="shared" si="49"/>
        <v>-11.994999999999999</v>
      </c>
    </row>
    <row r="1544" spans="1:16" x14ac:dyDescent="0.35">
      <c r="A1544" s="9" t="s">
        <v>59</v>
      </c>
      <c r="B1544" s="2">
        <v>156.65</v>
      </c>
      <c r="C1544" s="2">
        <v>156.85</v>
      </c>
      <c r="D1544" s="2">
        <v>155.21</v>
      </c>
      <c r="E1544" s="2">
        <v>155.97</v>
      </c>
      <c r="F1544" s="2">
        <v>8689726</v>
      </c>
      <c r="G1544" s="2" t="s">
        <v>563</v>
      </c>
      <c r="H1544" s="2" t="s">
        <v>564</v>
      </c>
      <c r="I1544" s="2" t="s">
        <v>565</v>
      </c>
      <c r="J1544" s="4">
        <v>-1.1160000000000001</v>
      </c>
      <c r="K1544" s="2" t="s">
        <v>42</v>
      </c>
      <c r="L1544" s="2">
        <v>2023</v>
      </c>
      <c r="M1544" s="2" t="s">
        <v>43</v>
      </c>
      <c r="N1544" s="2" t="s">
        <v>23</v>
      </c>
      <c r="O1544">
        <f t="shared" si="48"/>
        <v>1.6399999999999864</v>
      </c>
      <c r="P1544">
        <f t="shared" si="49"/>
        <v>-13.110999999999999</v>
      </c>
    </row>
    <row r="1545" spans="1:16" x14ac:dyDescent="0.35">
      <c r="A1545" s="9" t="s">
        <v>60</v>
      </c>
      <c r="B1545" s="2">
        <v>156.44999999999999</v>
      </c>
      <c r="C1545" s="2">
        <v>156.9</v>
      </c>
      <c r="D1545" s="2">
        <v>155.08000000000001</v>
      </c>
      <c r="E1545" s="2">
        <v>155.63</v>
      </c>
      <c r="F1545" s="2">
        <v>7267122</v>
      </c>
      <c r="G1545" s="2" t="s">
        <v>563</v>
      </c>
      <c r="H1545" s="2" t="s">
        <v>564</v>
      </c>
      <c r="I1545" s="2" t="s">
        <v>565</v>
      </c>
      <c r="J1545" s="4">
        <v>-0.218</v>
      </c>
      <c r="K1545" s="2" t="s">
        <v>42</v>
      </c>
      <c r="L1545" s="2">
        <v>2023</v>
      </c>
      <c r="M1545" s="2" t="s">
        <v>43</v>
      </c>
      <c r="N1545" s="2" t="s">
        <v>23</v>
      </c>
      <c r="O1545">
        <f t="shared" si="48"/>
        <v>1.8199999999999932</v>
      </c>
      <c r="P1545">
        <f t="shared" si="49"/>
        <v>-13.328999999999999</v>
      </c>
    </row>
    <row r="1546" spans="1:16" x14ac:dyDescent="0.35">
      <c r="A1546" s="9" t="s">
        <v>61</v>
      </c>
      <c r="B1546" s="2">
        <v>154.97999999999999</v>
      </c>
      <c r="C1546" s="2">
        <v>155.27000000000001</v>
      </c>
      <c r="D1546" s="2">
        <v>153.04</v>
      </c>
      <c r="E1546" s="2">
        <v>153.26</v>
      </c>
      <c r="F1546" s="2">
        <v>9062342</v>
      </c>
      <c r="G1546" s="2" t="s">
        <v>563</v>
      </c>
      <c r="H1546" s="2" t="s">
        <v>564</v>
      </c>
      <c r="I1546" s="2" t="s">
        <v>565</v>
      </c>
      <c r="J1546" s="4">
        <v>-1.5229999999999999</v>
      </c>
      <c r="K1546" s="2" t="s">
        <v>42</v>
      </c>
      <c r="L1546" s="2">
        <v>2023</v>
      </c>
      <c r="M1546" s="2" t="s">
        <v>43</v>
      </c>
      <c r="N1546" s="2" t="s">
        <v>23</v>
      </c>
      <c r="O1546">
        <f t="shared" si="48"/>
        <v>2.2300000000000182</v>
      </c>
      <c r="P1546">
        <f t="shared" si="49"/>
        <v>-14.851999999999999</v>
      </c>
    </row>
    <row r="1547" spans="1:16" x14ac:dyDescent="0.35">
      <c r="A1547" s="9" t="s">
        <v>62</v>
      </c>
      <c r="B1547" s="2">
        <v>153.01</v>
      </c>
      <c r="C1547" s="2">
        <v>153.24</v>
      </c>
      <c r="D1547" s="2">
        <v>151.91</v>
      </c>
      <c r="E1547" s="2">
        <v>152.57</v>
      </c>
      <c r="F1547" s="2">
        <v>6766972</v>
      </c>
      <c r="G1547" s="2" t="s">
        <v>563</v>
      </c>
      <c r="H1547" s="2" t="s">
        <v>564</v>
      </c>
      <c r="I1547" s="2" t="s">
        <v>565</v>
      </c>
      <c r="J1547" s="4">
        <v>-0.45</v>
      </c>
      <c r="K1547" s="2" t="s">
        <v>63</v>
      </c>
      <c r="L1547" s="2">
        <v>2023</v>
      </c>
      <c r="M1547" s="2" t="s">
        <v>64</v>
      </c>
      <c r="N1547" s="2" t="s">
        <v>23</v>
      </c>
      <c r="O1547">
        <f t="shared" si="48"/>
        <v>1.3300000000000125</v>
      </c>
      <c r="P1547">
        <f t="shared" si="49"/>
        <v>-15.301999999999998</v>
      </c>
    </row>
    <row r="1548" spans="1:16" x14ac:dyDescent="0.35">
      <c r="A1548" s="9" t="s">
        <v>65</v>
      </c>
      <c r="B1548" s="2">
        <v>151.75</v>
      </c>
      <c r="C1548" s="2">
        <v>152.76</v>
      </c>
      <c r="D1548" s="2">
        <v>151.23099999999999</v>
      </c>
      <c r="E1548" s="2">
        <v>152.44999999999999</v>
      </c>
      <c r="F1548" s="2">
        <v>8765070</v>
      </c>
      <c r="G1548" s="2" t="s">
        <v>563</v>
      </c>
      <c r="H1548" s="2" t="s">
        <v>564</v>
      </c>
      <c r="I1548" s="2" t="s">
        <v>565</v>
      </c>
      <c r="J1548" s="4">
        <v>-7.9000000000000001E-2</v>
      </c>
      <c r="K1548" s="2" t="s">
        <v>63</v>
      </c>
      <c r="L1548" s="2">
        <v>2023</v>
      </c>
      <c r="M1548" s="2" t="s">
        <v>64</v>
      </c>
      <c r="N1548" s="2" t="s">
        <v>23</v>
      </c>
      <c r="O1548">
        <f t="shared" si="48"/>
        <v>1.5289999999999964</v>
      </c>
      <c r="P1548">
        <f t="shared" si="49"/>
        <v>-15.380999999999998</v>
      </c>
    </row>
    <row r="1549" spans="1:16" x14ac:dyDescent="0.35">
      <c r="A1549" s="9" t="s">
        <v>66</v>
      </c>
      <c r="B1549" s="2">
        <v>153.37</v>
      </c>
      <c r="C1549" s="2">
        <v>154.12</v>
      </c>
      <c r="D1549" s="2">
        <v>152.84</v>
      </c>
      <c r="E1549" s="2">
        <v>154.02000000000001</v>
      </c>
      <c r="F1549" s="2">
        <v>5747158</v>
      </c>
      <c r="G1549" s="2" t="s">
        <v>563</v>
      </c>
      <c r="H1549" s="2" t="s">
        <v>564</v>
      </c>
      <c r="I1549" s="2" t="s">
        <v>565</v>
      </c>
      <c r="J1549" s="3">
        <v>1.03</v>
      </c>
      <c r="K1549" s="2" t="s">
        <v>63</v>
      </c>
      <c r="L1549" s="2">
        <v>2023</v>
      </c>
      <c r="M1549" s="2" t="s">
        <v>64</v>
      </c>
      <c r="N1549" s="2" t="s">
        <v>21</v>
      </c>
      <c r="O1549">
        <f t="shared" si="48"/>
        <v>1.2800000000000011</v>
      </c>
      <c r="P1549">
        <f t="shared" si="49"/>
        <v>-14.350999999999999</v>
      </c>
    </row>
    <row r="1550" spans="1:16" x14ac:dyDescent="0.35">
      <c r="A1550" s="9" t="s">
        <v>67</v>
      </c>
      <c r="B1550" s="2">
        <v>154.66</v>
      </c>
      <c r="C1550" s="2">
        <v>155.72999999999999</v>
      </c>
      <c r="D1550" s="2">
        <v>154.565</v>
      </c>
      <c r="E1550" s="2">
        <v>155.56</v>
      </c>
      <c r="F1550" s="2">
        <v>8148207</v>
      </c>
      <c r="G1550" s="2" t="s">
        <v>563</v>
      </c>
      <c r="H1550" s="2" t="s">
        <v>564</v>
      </c>
      <c r="I1550" s="2" t="s">
        <v>565</v>
      </c>
      <c r="J1550" s="3">
        <v>1</v>
      </c>
      <c r="K1550" s="2" t="s">
        <v>63</v>
      </c>
      <c r="L1550" s="2">
        <v>2023</v>
      </c>
      <c r="M1550" s="2" t="s">
        <v>64</v>
      </c>
      <c r="N1550" s="2" t="s">
        <v>21</v>
      </c>
      <c r="O1550">
        <f t="shared" si="48"/>
        <v>1.164999999999992</v>
      </c>
      <c r="P1550">
        <f t="shared" si="49"/>
        <v>-13.350999999999999</v>
      </c>
    </row>
    <row r="1551" spans="1:16" x14ac:dyDescent="0.35">
      <c r="A1551" s="9" t="s">
        <v>68</v>
      </c>
      <c r="B1551" s="2">
        <v>156.09</v>
      </c>
      <c r="C1551" s="2">
        <v>156.25</v>
      </c>
      <c r="D1551" s="2">
        <v>153.35</v>
      </c>
      <c r="E1551" s="2">
        <v>154.09</v>
      </c>
      <c r="F1551" s="2">
        <v>7457731</v>
      </c>
      <c r="G1551" s="2" t="s">
        <v>563</v>
      </c>
      <c r="H1551" s="2" t="s">
        <v>564</v>
      </c>
      <c r="I1551" s="2" t="s">
        <v>565</v>
      </c>
      <c r="J1551" s="4">
        <v>-0.94499999999999995</v>
      </c>
      <c r="K1551" s="2" t="s">
        <v>63</v>
      </c>
      <c r="L1551" s="2">
        <v>2023</v>
      </c>
      <c r="M1551" s="2" t="s">
        <v>64</v>
      </c>
      <c r="N1551" s="2" t="s">
        <v>23</v>
      </c>
      <c r="O1551">
        <f t="shared" si="48"/>
        <v>2.9000000000000057</v>
      </c>
      <c r="P1551">
        <f t="shared" si="49"/>
        <v>-14.295999999999999</v>
      </c>
    </row>
    <row r="1552" spans="1:16" x14ac:dyDescent="0.35">
      <c r="A1552" s="9" t="s">
        <v>69</v>
      </c>
      <c r="B1552" s="2">
        <v>153.97999999999999</v>
      </c>
      <c r="C1552" s="2">
        <v>154.196</v>
      </c>
      <c r="D1552" s="2">
        <v>152.47999999999999</v>
      </c>
      <c r="E1552" s="2">
        <v>152.96</v>
      </c>
      <c r="F1552" s="2">
        <v>6230522</v>
      </c>
      <c r="G1552" s="2" t="s">
        <v>563</v>
      </c>
      <c r="H1552" s="2" t="s">
        <v>564</v>
      </c>
      <c r="I1552" s="2" t="s">
        <v>565</v>
      </c>
      <c r="J1552" s="4">
        <v>-0.73299999999999998</v>
      </c>
      <c r="K1552" s="2" t="s">
        <v>63</v>
      </c>
      <c r="L1552" s="2">
        <v>2023</v>
      </c>
      <c r="M1552" s="2" t="s">
        <v>64</v>
      </c>
      <c r="N1552" s="2" t="s">
        <v>23</v>
      </c>
      <c r="O1552">
        <f t="shared" si="48"/>
        <v>1.7160000000000082</v>
      </c>
      <c r="P1552">
        <f t="shared" si="49"/>
        <v>-15.029</v>
      </c>
    </row>
    <row r="1553" spans="1:16" x14ac:dyDescent="0.35">
      <c r="A1553" s="9" t="s">
        <v>70</v>
      </c>
      <c r="B1553" s="2">
        <v>153.46</v>
      </c>
      <c r="C1553" s="2">
        <v>153.6</v>
      </c>
      <c r="D1553" s="2">
        <v>150.71</v>
      </c>
      <c r="E1553" s="2">
        <v>151.24</v>
      </c>
      <c r="F1553" s="2">
        <v>7439367</v>
      </c>
      <c r="G1553" s="2" t="s">
        <v>563</v>
      </c>
      <c r="H1553" s="2" t="s">
        <v>564</v>
      </c>
      <c r="I1553" s="2" t="s">
        <v>565</v>
      </c>
      <c r="J1553" s="4">
        <v>-1.1240000000000001</v>
      </c>
      <c r="K1553" s="2" t="s">
        <v>63</v>
      </c>
      <c r="L1553" s="2">
        <v>2023</v>
      </c>
      <c r="M1553" s="2" t="s">
        <v>64</v>
      </c>
      <c r="N1553" s="2" t="s">
        <v>23</v>
      </c>
      <c r="O1553">
        <f t="shared" si="48"/>
        <v>2.8899999999999864</v>
      </c>
      <c r="P1553">
        <f t="shared" si="49"/>
        <v>-16.152999999999999</v>
      </c>
    </row>
    <row r="1554" spans="1:16" x14ac:dyDescent="0.35">
      <c r="A1554" s="9" t="s">
        <v>71</v>
      </c>
      <c r="B1554" s="2">
        <v>151.86000000000001</v>
      </c>
      <c r="C1554" s="2">
        <v>153.49</v>
      </c>
      <c r="D1554" s="2">
        <v>151.1</v>
      </c>
      <c r="E1554" s="2">
        <v>151.61000000000001</v>
      </c>
      <c r="F1554" s="2">
        <v>8504316</v>
      </c>
      <c r="G1554" s="2" t="s">
        <v>563</v>
      </c>
      <c r="H1554" s="2" t="s">
        <v>564</v>
      </c>
      <c r="I1554" s="2" t="s">
        <v>565</v>
      </c>
      <c r="J1554" s="3">
        <v>0.245</v>
      </c>
      <c r="K1554" s="2" t="s">
        <v>63</v>
      </c>
      <c r="L1554" s="2">
        <v>2023</v>
      </c>
      <c r="M1554" s="2" t="s">
        <v>64</v>
      </c>
      <c r="N1554" s="2" t="s">
        <v>21</v>
      </c>
      <c r="O1554">
        <f t="shared" si="48"/>
        <v>2.3900000000000148</v>
      </c>
      <c r="P1554">
        <f t="shared" si="49"/>
        <v>-15.907999999999999</v>
      </c>
    </row>
    <row r="1555" spans="1:16" x14ac:dyDescent="0.35">
      <c r="A1555" s="9" t="s">
        <v>72</v>
      </c>
      <c r="B1555" s="2">
        <v>152.09</v>
      </c>
      <c r="C1555" s="2">
        <v>155.91</v>
      </c>
      <c r="D1555" s="2">
        <v>151.57</v>
      </c>
      <c r="E1555" s="2">
        <v>153.06</v>
      </c>
      <c r="F1555" s="2">
        <v>10799575</v>
      </c>
      <c r="G1555" s="2" t="s">
        <v>563</v>
      </c>
      <c r="H1555" s="2" t="s">
        <v>564</v>
      </c>
      <c r="I1555" s="2" t="s">
        <v>565</v>
      </c>
      <c r="J1555" s="3">
        <v>0.95599999999999996</v>
      </c>
      <c r="K1555" s="2" t="s">
        <v>63</v>
      </c>
      <c r="L1555" s="2">
        <v>2023</v>
      </c>
      <c r="M1555" s="2" t="s">
        <v>64</v>
      </c>
      <c r="N1555" s="2" t="s">
        <v>21</v>
      </c>
      <c r="O1555">
        <f t="shared" si="48"/>
        <v>4.3400000000000034</v>
      </c>
      <c r="P1555">
        <f t="shared" si="49"/>
        <v>-14.952</v>
      </c>
    </row>
    <row r="1556" spans="1:16" x14ac:dyDescent="0.35">
      <c r="A1556" s="9" t="s">
        <v>73</v>
      </c>
      <c r="B1556" s="2">
        <v>153.28</v>
      </c>
      <c r="C1556" s="2">
        <v>154.03</v>
      </c>
      <c r="D1556" s="2">
        <v>151.9</v>
      </c>
      <c r="E1556" s="2">
        <v>153.91999999999999</v>
      </c>
      <c r="F1556" s="2">
        <v>8421189</v>
      </c>
      <c r="G1556" s="2" t="s">
        <v>563</v>
      </c>
      <c r="H1556" s="2" t="s">
        <v>564</v>
      </c>
      <c r="I1556" s="2" t="s">
        <v>565</v>
      </c>
      <c r="J1556" s="3">
        <v>0.56200000000000006</v>
      </c>
      <c r="K1556" s="2" t="s">
        <v>63</v>
      </c>
      <c r="L1556" s="2">
        <v>2023</v>
      </c>
      <c r="M1556" s="2" t="s">
        <v>64</v>
      </c>
      <c r="N1556" s="2" t="s">
        <v>21</v>
      </c>
      <c r="O1556">
        <f t="shared" si="48"/>
        <v>2.1299999999999955</v>
      </c>
      <c r="P1556">
        <f t="shared" si="49"/>
        <v>-14.39</v>
      </c>
    </row>
    <row r="1557" spans="1:16" x14ac:dyDescent="0.35">
      <c r="A1557" s="9" t="s">
        <v>74</v>
      </c>
      <c r="B1557" s="2">
        <v>152.84</v>
      </c>
      <c r="C1557" s="2">
        <v>154.88999999999999</v>
      </c>
      <c r="D1557" s="2">
        <v>152.52600000000001</v>
      </c>
      <c r="E1557" s="2">
        <v>154.35</v>
      </c>
      <c r="F1557" s="2">
        <v>7757686</v>
      </c>
      <c r="G1557" s="2" t="s">
        <v>563</v>
      </c>
      <c r="H1557" s="2" t="s">
        <v>564</v>
      </c>
      <c r="I1557" s="2" t="s">
        <v>565</v>
      </c>
      <c r="J1557" s="3">
        <v>0.27900000000000003</v>
      </c>
      <c r="K1557" s="2" t="s">
        <v>63</v>
      </c>
      <c r="L1557" s="2">
        <v>2023</v>
      </c>
      <c r="M1557" s="2" t="s">
        <v>64</v>
      </c>
      <c r="N1557" s="2" t="s">
        <v>21</v>
      </c>
      <c r="O1557">
        <f t="shared" si="48"/>
        <v>2.3639999999999759</v>
      </c>
      <c r="P1557">
        <f t="shared" si="49"/>
        <v>-14.111000000000001</v>
      </c>
    </row>
    <row r="1558" spans="1:16" x14ac:dyDescent="0.35">
      <c r="A1558" s="9" t="s">
        <v>75</v>
      </c>
      <c r="B1558" s="2">
        <v>153.44999999999999</v>
      </c>
      <c r="C1558" s="2">
        <v>154.36500000000001</v>
      </c>
      <c r="D1558" s="2">
        <v>152.60499999999999</v>
      </c>
      <c r="E1558" s="2">
        <v>154.03</v>
      </c>
      <c r="F1558" s="2">
        <v>7606079</v>
      </c>
      <c r="G1558" s="2" t="s">
        <v>563</v>
      </c>
      <c r="H1558" s="2" t="s">
        <v>564</v>
      </c>
      <c r="I1558" s="2" t="s">
        <v>565</v>
      </c>
      <c r="J1558" s="4">
        <v>-0.20699999999999999</v>
      </c>
      <c r="K1558" s="2" t="s">
        <v>63</v>
      </c>
      <c r="L1558" s="2">
        <v>2023</v>
      </c>
      <c r="M1558" s="2" t="s">
        <v>64</v>
      </c>
      <c r="N1558" s="2" t="s">
        <v>23</v>
      </c>
      <c r="O1558">
        <f t="shared" si="48"/>
        <v>1.7600000000000193</v>
      </c>
      <c r="P1558">
        <f t="shared" si="49"/>
        <v>-14.318000000000001</v>
      </c>
    </row>
    <row r="1559" spans="1:16" x14ac:dyDescent="0.35">
      <c r="A1559" s="9" t="s">
        <v>76</v>
      </c>
      <c r="B1559" s="2">
        <v>154.47999999999999</v>
      </c>
      <c r="C1559" s="2">
        <v>154.94999999999999</v>
      </c>
      <c r="D1559" s="2">
        <v>152.30000000000001</v>
      </c>
      <c r="E1559" s="2">
        <v>152.38</v>
      </c>
      <c r="F1559" s="2">
        <v>20540668</v>
      </c>
      <c r="G1559" s="2" t="s">
        <v>563</v>
      </c>
      <c r="H1559" s="2" t="s">
        <v>564</v>
      </c>
      <c r="I1559" s="2" t="s">
        <v>565</v>
      </c>
      <c r="J1559" s="4">
        <v>-1.071</v>
      </c>
      <c r="K1559" s="2" t="s">
        <v>63</v>
      </c>
      <c r="L1559" s="2">
        <v>2023</v>
      </c>
      <c r="M1559" s="2" t="s">
        <v>64</v>
      </c>
      <c r="N1559" s="2" t="s">
        <v>23</v>
      </c>
      <c r="O1559">
        <f t="shared" si="48"/>
        <v>2.6499999999999773</v>
      </c>
      <c r="P1559">
        <f t="shared" si="49"/>
        <v>-15.389000000000001</v>
      </c>
    </row>
    <row r="1560" spans="1:16" x14ac:dyDescent="0.35">
      <c r="A1560" s="9" t="s">
        <v>77</v>
      </c>
      <c r="B1560" s="2">
        <v>152.47</v>
      </c>
      <c r="C1560" s="2">
        <v>154.07499999999999</v>
      </c>
      <c r="D1560" s="2">
        <v>152.38</v>
      </c>
      <c r="E1560" s="2">
        <v>153.88999999999999</v>
      </c>
      <c r="F1560" s="2">
        <v>7128958</v>
      </c>
      <c r="G1560" s="2" t="s">
        <v>563</v>
      </c>
      <c r="H1560" s="2" t="s">
        <v>564</v>
      </c>
      <c r="I1560" s="2" t="s">
        <v>565</v>
      </c>
      <c r="J1560" s="3">
        <v>0.99099999999999999</v>
      </c>
      <c r="K1560" s="2" t="s">
        <v>63</v>
      </c>
      <c r="L1560" s="2">
        <v>2023</v>
      </c>
      <c r="M1560" s="2" t="s">
        <v>64</v>
      </c>
      <c r="N1560" s="2" t="s">
        <v>21</v>
      </c>
      <c r="O1560">
        <f t="shared" si="48"/>
        <v>1.6949999999999932</v>
      </c>
      <c r="P1560">
        <f t="shared" si="49"/>
        <v>-14.398000000000001</v>
      </c>
    </row>
    <row r="1561" spans="1:16" x14ac:dyDescent="0.35">
      <c r="A1561" s="9" t="s">
        <v>78</v>
      </c>
      <c r="B1561" s="2">
        <v>154</v>
      </c>
      <c r="C1561" s="2">
        <v>154.13</v>
      </c>
      <c r="D1561" s="2">
        <v>152.16999999999999</v>
      </c>
      <c r="E1561" s="2">
        <v>153.88999999999999</v>
      </c>
      <c r="F1561" s="2">
        <v>8376843</v>
      </c>
      <c r="G1561" s="2" t="s">
        <v>563</v>
      </c>
      <c r="H1561" s="2" t="s">
        <v>564</v>
      </c>
      <c r="I1561" s="2" t="s">
        <v>565</v>
      </c>
      <c r="J1561" s="2">
        <v>0</v>
      </c>
      <c r="K1561" s="2" t="s">
        <v>63</v>
      </c>
      <c r="L1561" s="2">
        <v>2023</v>
      </c>
      <c r="M1561" s="2" t="s">
        <v>64</v>
      </c>
      <c r="N1561" s="2" t="s">
        <v>122</v>
      </c>
      <c r="O1561">
        <f t="shared" si="48"/>
        <v>1.960000000000008</v>
      </c>
      <c r="P1561">
        <f t="shared" si="49"/>
        <v>-14.398000000000001</v>
      </c>
    </row>
    <row r="1562" spans="1:16" x14ac:dyDescent="0.35">
      <c r="A1562" s="9" t="s">
        <v>79</v>
      </c>
      <c r="B1562" s="2">
        <v>153.85</v>
      </c>
      <c r="C1562" s="2">
        <v>154.06</v>
      </c>
      <c r="D1562" s="2">
        <v>151.03</v>
      </c>
      <c r="E1562" s="2">
        <v>151.05000000000001</v>
      </c>
      <c r="F1562" s="2">
        <v>7943526</v>
      </c>
      <c r="G1562" s="2" t="s">
        <v>563</v>
      </c>
      <c r="H1562" s="2" t="s">
        <v>564</v>
      </c>
      <c r="I1562" s="2" t="s">
        <v>565</v>
      </c>
      <c r="J1562" s="4">
        <v>-1.845</v>
      </c>
      <c r="K1562" s="2" t="s">
        <v>63</v>
      </c>
      <c r="L1562" s="2">
        <v>2023</v>
      </c>
      <c r="M1562" s="2" t="s">
        <v>64</v>
      </c>
      <c r="N1562" s="2" t="s">
        <v>23</v>
      </c>
      <c r="O1562">
        <f t="shared" si="48"/>
        <v>3.0300000000000011</v>
      </c>
      <c r="P1562">
        <f t="shared" si="49"/>
        <v>-16.243000000000002</v>
      </c>
    </row>
    <row r="1563" spans="1:16" x14ac:dyDescent="0.35">
      <c r="A1563" s="9" t="s">
        <v>80</v>
      </c>
      <c r="B1563" s="2">
        <v>151.17500000000001</v>
      </c>
      <c r="C1563" s="2">
        <v>151.69</v>
      </c>
      <c r="D1563" s="2">
        <v>150.11000000000001</v>
      </c>
      <c r="E1563" s="2">
        <v>151.13</v>
      </c>
      <c r="F1563" s="2">
        <v>9051510</v>
      </c>
      <c r="G1563" s="2" t="s">
        <v>563</v>
      </c>
      <c r="H1563" s="2" t="s">
        <v>564</v>
      </c>
      <c r="I1563" s="2" t="s">
        <v>565</v>
      </c>
      <c r="J1563" s="3">
        <v>5.2999999999999999E-2</v>
      </c>
      <c r="K1563" s="2" t="s">
        <v>63</v>
      </c>
      <c r="L1563" s="2">
        <v>2023</v>
      </c>
      <c r="M1563" s="2" t="s">
        <v>64</v>
      </c>
      <c r="N1563" s="2" t="s">
        <v>21</v>
      </c>
      <c r="O1563">
        <f t="shared" si="48"/>
        <v>1.5799999999999841</v>
      </c>
      <c r="P1563">
        <f t="shared" si="49"/>
        <v>-16.190000000000001</v>
      </c>
    </row>
    <row r="1564" spans="1:16" x14ac:dyDescent="0.35">
      <c r="A1564" s="9" t="s">
        <v>81</v>
      </c>
      <c r="B1564" s="2">
        <v>151.47999999999999</v>
      </c>
      <c r="C1564" s="2">
        <v>152.76</v>
      </c>
      <c r="D1564" s="2">
        <v>150.83000000000001</v>
      </c>
      <c r="E1564" s="2">
        <v>152.65</v>
      </c>
      <c r="F1564" s="2">
        <v>5696845</v>
      </c>
      <c r="G1564" s="2" t="s">
        <v>563</v>
      </c>
      <c r="H1564" s="2" t="s">
        <v>564</v>
      </c>
      <c r="I1564" s="2" t="s">
        <v>565</v>
      </c>
      <c r="J1564" s="3">
        <v>1.006</v>
      </c>
      <c r="K1564" s="2" t="s">
        <v>63</v>
      </c>
      <c r="L1564" s="2">
        <v>2023</v>
      </c>
      <c r="M1564" s="2" t="s">
        <v>64</v>
      </c>
      <c r="N1564" s="2" t="s">
        <v>21</v>
      </c>
      <c r="O1564">
        <f t="shared" si="48"/>
        <v>1.9299999999999784</v>
      </c>
      <c r="P1564">
        <f t="shared" si="49"/>
        <v>-15.184000000000001</v>
      </c>
    </row>
    <row r="1565" spans="1:16" x14ac:dyDescent="0.35">
      <c r="A1565" s="9" t="s">
        <v>82</v>
      </c>
      <c r="B1565" s="2">
        <v>154.28</v>
      </c>
      <c r="C1565" s="2">
        <v>154.54</v>
      </c>
      <c r="D1565" s="2">
        <v>153.11000000000001</v>
      </c>
      <c r="E1565" s="2">
        <v>153.30000000000001</v>
      </c>
      <c r="F1565" s="2">
        <v>6772282</v>
      </c>
      <c r="G1565" s="2" t="s">
        <v>563</v>
      </c>
      <c r="H1565" s="2" t="s">
        <v>564</v>
      </c>
      <c r="I1565" s="2" t="s">
        <v>565</v>
      </c>
      <c r="J1565" s="3">
        <v>0.42599999999999999</v>
      </c>
      <c r="K1565" s="2" t="s">
        <v>63</v>
      </c>
      <c r="L1565" s="2">
        <v>2023</v>
      </c>
      <c r="M1565" s="2" t="s">
        <v>64</v>
      </c>
      <c r="N1565" s="2" t="s">
        <v>21</v>
      </c>
      <c r="O1565">
        <f t="shared" si="48"/>
        <v>1.4299999999999784</v>
      </c>
      <c r="P1565">
        <f t="shared" si="49"/>
        <v>-14.758000000000001</v>
      </c>
    </row>
    <row r="1566" spans="1:16" x14ac:dyDescent="0.35">
      <c r="A1566" s="9" t="s">
        <v>83</v>
      </c>
      <c r="B1566" s="2">
        <v>152.38999999999999</v>
      </c>
      <c r="C1566" s="2">
        <v>153.44999999999999</v>
      </c>
      <c r="D1566" s="2">
        <v>151.72499999999999</v>
      </c>
      <c r="E1566" s="2">
        <v>151.82</v>
      </c>
      <c r="F1566" s="2">
        <v>6115293</v>
      </c>
      <c r="G1566" s="2" t="s">
        <v>563</v>
      </c>
      <c r="H1566" s="2" t="s">
        <v>564</v>
      </c>
      <c r="I1566" s="2" t="s">
        <v>565</v>
      </c>
      <c r="J1566" s="4">
        <v>-0.96499999999999997</v>
      </c>
      <c r="K1566" s="2" t="s">
        <v>63</v>
      </c>
      <c r="L1566" s="2">
        <v>2023</v>
      </c>
      <c r="M1566" s="2" t="s">
        <v>64</v>
      </c>
      <c r="N1566" s="2" t="s">
        <v>23</v>
      </c>
      <c r="O1566">
        <f t="shared" si="48"/>
        <v>1.7249999999999943</v>
      </c>
      <c r="P1566">
        <f t="shared" si="49"/>
        <v>-15.723000000000001</v>
      </c>
    </row>
    <row r="1567" spans="1:16" x14ac:dyDescent="0.35">
      <c r="A1567" s="9" t="s">
        <v>84</v>
      </c>
      <c r="B1567" s="2">
        <v>152.24</v>
      </c>
      <c r="C1567" s="2">
        <v>153.38</v>
      </c>
      <c r="D1567" s="2">
        <v>152.07</v>
      </c>
      <c r="E1567" s="2">
        <v>153.31</v>
      </c>
      <c r="F1567" s="2">
        <v>6012030</v>
      </c>
      <c r="G1567" s="2" t="s">
        <v>563</v>
      </c>
      <c r="H1567" s="2" t="s">
        <v>564</v>
      </c>
      <c r="I1567" s="2" t="s">
        <v>565</v>
      </c>
      <c r="J1567" s="3">
        <v>0.98099999999999998</v>
      </c>
      <c r="K1567" s="2" t="s">
        <v>63</v>
      </c>
      <c r="L1567" s="2">
        <v>2023</v>
      </c>
      <c r="M1567" s="2" t="s">
        <v>64</v>
      </c>
      <c r="N1567" s="2" t="s">
        <v>21</v>
      </c>
      <c r="O1567">
        <f t="shared" si="48"/>
        <v>1.3100000000000023</v>
      </c>
      <c r="P1567">
        <f t="shared" si="49"/>
        <v>-14.742000000000001</v>
      </c>
    </row>
    <row r="1568" spans="1:16" x14ac:dyDescent="0.35">
      <c r="A1568" s="9" t="s">
        <v>85</v>
      </c>
      <c r="B1568" s="2">
        <v>153.58000000000001</v>
      </c>
      <c r="C1568" s="2">
        <v>153.80000000000001</v>
      </c>
      <c r="D1568" s="2">
        <v>152.81</v>
      </c>
      <c r="E1568" s="2">
        <v>153.43</v>
      </c>
      <c r="F1568" s="2">
        <v>4555905</v>
      </c>
      <c r="G1568" s="2" t="s">
        <v>563</v>
      </c>
      <c r="H1568" s="2" t="s">
        <v>564</v>
      </c>
      <c r="I1568" s="2" t="s">
        <v>565</v>
      </c>
      <c r="J1568" s="3">
        <v>7.8E-2</v>
      </c>
      <c r="K1568" s="2" t="s">
        <v>63</v>
      </c>
      <c r="L1568" s="2">
        <v>2023</v>
      </c>
      <c r="M1568" s="2" t="s">
        <v>64</v>
      </c>
      <c r="N1568" s="2" t="s">
        <v>21</v>
      </c>
      <c r="O1568">
        <f t="shared" si="48"/>
        <v>0.99000000000000909</v>
      </c>
      <c r="P1568">
        <f t="shared" si="49"/>
        <v>-14.664000000000001</v>
      </c>
    </row>
    <row r="1569" spans="1:16" x14ac:dyDescent="0.35">
      <c r="A1569" s="9" t="s">
        <v>86</v>
      </c>
      <c r="B1569" s="2">
        <v>153.79</v>
      </c>
      <c r="C1569" s="2">
        <v>155.19</v>
      </c>
      <c r="D1569" s="2">
        <v>153.24</v>
      </c>
      <c r="E1569" s="2">
        <v>155</v>
      </c>
      <c r="F1569" s="2">
        <v>9890047</v>
      </c>
      <c r="G1569" s="2" t="s">
        <v>563</v>
      </c>
      <c r="H1569" s="2" t="s">
        <v>564</v>
      </c>
      <c r="I1569" s="2" t="s">
        <v>565</v>
      </c>
      <c r="J1569" s="3">
        <v>1.0229999999999999</v>
      </c>
      <c r="K1569" s="2" t="s">
        <v>63</v>
      </c>
      <c r="L1569" s="2">
        <v>2023</v>
      </c>
      <c r="M1569" s="2" t="s">
        <v>64</v>
      </c>
      <c r="N1569" s="2" t="s">
        <v>21</v>
      </c>
      <c r="O1569">
        <f t="shared" si="48"/>
        <v>1.9499999999999886</v>
      </c>
      <c r="P1569">
        <f t="shared" si="49"/>
        <v>-13.641000000000002</v>
      </c>
    </row>
    <row r="1570" spans="1:16" x14ac:dyDescent="0.35">
      <c r="A1570" s="9" t="s">
        <v>87</v>
      </c>
      <c r="B1570" s="2">
        <v>154.94999999999999</v>
      </c>
      <c r="C1570" s="2">
        <v>157.01</v>
      </c>
      <c r="D1570" s="2">
        <v>153.94</v>
      </c>
      <c r="E1570" s="2">
        <v>156.85</v>
      </c>
      <c r="F1570" s="2">
        <v>6841888</v>
      </c>
      <c r="G1570" s="2" t="s">
        <v>563</v>
      </c>
      <c r="H1570" s="2" t="s">
        <v>564</v>
      </c>
      <c r="I1570" s="2" t="s">
        <v>565</v>
      </c>
      <c r="J1570" s="3">
        <v>1.194</v>
      </c>
      <c r="K1570" s="2" t="s">
        <v>88</v>
      </c>
      <c r="L1570" s="2">
        <v>2023</v>
      </c>
      <c r="M1570" s="2" t="s">
        <v>89</v>
      </c>
      <c r="N1570" s="2" t="s">
        <v>21</v>
      </c>
      <c r="O1570">
        <f t="shared" si="48"/>
        <v>3.0699999999999932</v>
      </c>
      <c r="P1570">
        <f t="shared" si="49"/>
        <v>-12.447000000000003</v>
      </c>
    </row>
    <row r="1571" spans="1:16" x14ac:dyDescent="0.35">
      <c r="A1571" s="9" t="s">
        <v>90</v>
      </c>
      <c r="B1571" s="2">
        <v>156.97</v>
      </c>
      <c r="C1571" s="2">
        <v>158.97</v>
      </c>
      <c r="D1571" s="2">
        <v>156.59</v>
      </c>
      <c r="E1571" s="2">
        <v>158.49</v>
      </c>
      <c r="F1571" s="2">
        <v>8314527</v>
      </c>
      <c r="G1571" s="2" t="s">
        <v>563</v>
      </c>
      <c r="H1571" s="2" t="s">
        <v>564</v>
      </c>
      <c r="I1571" s="2" t="s">
        <v>565</v>
      </c>
      <c r="J1571" s="3">
        <v>1.046</v>
      </c>
      <c r="K1571" s="2" t="s">
        <v>88</v>
      </c>
      <c r="L1571" s="2">
        <v>2023</v>
      </c>
      <c r="M1571" s="2" t="s">
        <v>89</v>
      </c>
      <c r="N1571" s="2" t="s">
        <v>21</v>
      </c>
      <c r="O1571">
        <f t="shared" si="48"/>
        <v>2.3799999999999955</v>
      </c>
      <c r="P1571">
        <f t="shared" si="49"/>
        <v>-11.401000000000003</v>
      </c>
    </row>
    <row r="1572" spans="1:16" x14ac:dyDescent="0.35">
      <c r="A1572" s="9" t="s">
        <v>91</v>
      </c>
      <c r="B1572" s="2">
        <v>164.37</v>
      </c>
      <c r="C1572" s="2">
        <v>165.66</v>
      </c>
      <c r="D1572" s="2">
        <v>162.76</v>
      </c>
      <c r="E1572" s="2">
        <v>165.61</v>
      </c>
      <c r="F1572" s="2">
        <v>16704181</v>
      </c>
      <c r="G1572" s="2" t="s">
        <v>563</v>
      </c>
      <c r="H1572" s="2" t="s">
        <v>564</v>
      </c>
      <c r="I1572" s="2" t="s">
        <v>565</v>
      </c>
      <c r="J1572" s="3">
        <v>4.492</v>
      </c>
      <c r="K1572" s="2" t="s">
        <v>88</v>
      </c>
      <c r="L1572" s="2">
        <v>2023</v>
      </c>
      <c r="M1572" s="2" t="s">
        <v>89</v>
      </c>
      <c r="N1572" s="2" t="s">
        <v>21</v>
      </c>
      <c r="O1572">
        <f t="shared" si="48"/>
        <v>2.9000000000000057</v>
      </c>
      <c r="P1572">
        <f t="shared" si="49"/>
        <v>-6.9090000000000034</v>
      </c>
    </row>
    <row r="1573" spans="1:16" x14ac:dyDescent="0.35">
      <c r="A1573" s="9" t="s">
        <v>92</v>
      </c>
      <c r="B1573" s="2">
        <v>165.99</v>
      </c>
      <c r="C1573" s="2">
        <v>167.23</v>
      </c>
      <c r="D1573" s="2">
        <v>164.8</v>
      </c>
      <c r="E1573" s="2">
        <v>165.15</v>
      </c>
      <c r="F1573" s="2">
        <v>9615407</v>
      </c>
      <c r="G1573" s="2" t="s">
        <v>563</v>
      </c>
      <c r="H1573" s="2" t="s">
        <v>564</v>
      </c>
      <c r="I1573" s="2" t="s">
        <v>565</v>
      </c>
      <c r="J1573" s="4">
        <v>-0.27800000000000002</v>
      </c>
      <c r="K1573" s="2" t="s">
        <v>88</v>
      </c>
      <c r="L1573" s="2">
        <v>2023</v>
      </c>
      <c r="M1573" s="2" t="s">
        <v>89</v>
      </c>
      <c r="N1573" s="2" t="s">
        <v>23</v>
      </c>
      <c r="O1573">
        <f t="shared" si="48"/>
        <v>2.4299999999999784</v>
      </c>
      <c r="P1573">
        <f t="shared" si="49"/>
        <v>-7.1870000000000029</v>
      </c>
    </row>
    <row r="1574" spans="1:16" x14ac:dyDescent="0.35">
      <c r="A1574" s="9" t="s">
        <v>93</v>
      </c>
      <c r="B1574" s="2">
        <v>164.63</v>
      </c>
      <c r="C1574" s="2">
        <v>164.84</v>
      </c>
      <c r="D1574" s="2">
        <v>163.63999999999999</v>
      </c>
      <c r="E1574" s="2">
        <v>164.32</v>
      </c>
      <c r="F1574" s="2">
        <v>5353951</v>
      </c>
      <c r="G1574" s="2" t="s">
        <v>563</v>
      </c>
      <c r="H1574" s="2" t="s">
        <v>564</v>
      </c>
      <c r="I1574" s="2" t="s">
        <v>565</v>
      </c>
      <c r="J1574" s="4">
        <v>-0.503</v>
      </c>
      <c r="K1574" s="2" t="s">
        <v>88</v>
      </c>
      <c r="L1574" s="2">
        <v>2023</v>
      </c>
      <c r="M1574" s="2" t="s">
        <v>89</v>
      </c>
      <c r="N1574" s="2" t="s">
        <v>23</v>
      </c>
      <c r="O1574">
        <f t="shared" si="48"/>
        <v>1.2000000000000171</v>
      </c>
      <c r="P1574">
        <f t="shared" si="49"/>
        <v>-7.6900000000000031</v>
      </c>
    </row>
    <row r="1575" spans="1:16" x14ac:dyDescent="0.35">
      <c r="A1575" s="9" t="s">
        <v>94</v>
      </c>
      <c r="B1575" s="2">
        <v>164.42</v>
      </c>
      <c r="C1575" s="2">
        <v>165.28</v>
      </c>
      <c r="D1575" s="2">
        <v>164.04</v>
      </c>
      <c r="E1575" s="2">
        <v>164.27</v>
      </c>
      <c r="F1575" s="2">
        <v>5903824</v>
      </c>
      <c r="G1575" s="2" t="s">
        <v>563</v>
      </c>
      <c r="H1575" s="2" t="s">
        <v>564</v>
      </c>
      <c r="I1575" s="2" t="s">
        <v>565</v>
      </c>
      <c r="J1575" s="4">
        <v>-0.03</v>
      </c>
      <c r="K1575" s="2" t="s">
        <v>88</v>
      </c>
      <c r="L1575" s="2">
        <v>2023</v>
      </c>
      <c r="M1575" s="2" t="s">
        <v>89</v>
      </c>
      <c r="N1575" s="2" t="s">
        <v>23</v>
      </c>
      <c r="O1575">
        <f t="shared" si="48"/>
        <v>1.2400000000000091</v>
      </c>
      <c r="P1575">
        <f t="shared" si="49"/>
        <v>-7.7200000000000033</v>
      </c>
    </row>
    <row r="1576" spans="1:16" x14ac:dyDescent="0.35">
      <c r="A1576" s="9" t="s">
        <v>95</v>
      </c>
      <c r="B1576" s="2">
        <v>163.94</v>
      </c>
      <c r="C1576" s="2">
        <v>164.84</v>
      </c>
      <c r="D1576" s="2">
        <v>163.1</v>
      </c>
      <c r="E1576" s="2">
        <v>163.92</v>
      </c>
      <c r="F1576" s="2">
        <v>5764240</v>
      </c>
      <c r="G1576" s="2" t="s">
        <v>563</v>
      </c>
      <c r="H1576" s="2" t="s">
        <v>564</v>
      </c>
      <c r="I1576" s="2" t="s">
        <v>565</v>
      </c>
      <c r="J1576" s="4">
        <v>-0.21299999999999999</v>
      </c>
      <c r="K1576" s="2" t="s">
        <v>88</v>
      </c>
      <c r="L1576" s="2">
        <v>2023</v>
      </c>
      <c r="M1576" s="2" t="s">
        <v>89</v>
      </c>
      <c r="N1576" s="2" t="s">
        <v>23</v>
      </c>
      <c r="O1576">
        <f t="shared" si="48"/>
        <v>1.7400000000000091</v>
      </c>
      <c r="P1576">
        <f t="shared" si="49"/>
        <v>-7.9330000000000034</v>
      </c>
    </row>
    <row r="1577" spans="1:16" x14ac:dyDescent="0.35">
      <c r="A1577" s="9" t="s">
        <v>96</v>
      </c>
      <c r="B1577" s="2">
        <v>164.18</v>
      </c>
      <c r="C1577" s="2">
        <v>166.33</v>
      </c>
      <c r="D1577" s="2">
        <v>163.80500000000001</v>
      </c>
      <c r="E1577" s="2">
        <v>166.11</v>
      </c>
      <c r="F1577" s="2">
        <v>5640617</v>
      </c>
      <c r="G1577" s="2" t="s">
        <v>563</v>
      </c>
      <c r="H1577" s="2" t="s">
        <v>564</v>
      </c>
      <c r="I1577" s="2" t="s">
        <v>565</v>
      </c>
      <c r="J1577" s="3">
        <v>1.3360000000000001</v>
      </c>
      <c r="K1577" s="2" t="s">
        <v>88</v>
      </c>
      <c r="L1577" s="2">
        <v>2023</v>
      </c>
      <c r="M1577" s="2" t="s">
        <v>89</v>
      </c>
      <c r="N1577" s="2" t="s">
        <v>21</v>
      </c>
      <c r="O1577">
        <f t="shared" si="48"/>
        <v>2.5250000000000057</v>
      </c>
      <c r="P1577">
        <f t="shared" si="49"/>
        <v>-6.5970000000000031</v>
      </c>
    </row>
    <row r="1578" spans="1:16" x14ac:dyDescent="0.35">
      <c r="A1578" s="9" t="s">
        <v>97</v>
      </c>
      <c r="B1578" s="2">
        <v>165.97</v>
      </c>
      <c r="C1578" s="2">
        <v>166.11500000000001</v>
      </c>
      <c r="D1578" s="2">
        <v>164.06</v>
      </c>
      <c r="E1578" s="2">
        <v>165.84</v>
      </c>
      <c r="F1578" s="2">
        <v>7225127</v>
      </c>
      <c r="G1578" s="2" t="s">
        <v>563</v>
      </c>
      <c r="H1578" s="2" t="s">
        <v>564</v>
      </c>
      <c r="I1578" s="2" t="s">
        <v>565</v>
      </c>
      <c r="J1578" s="4">
        <v>-0.16300000000000001</v>
      </c>
      <c r="K1578" s="2" t="s">
        <v>88</v>
      </c>
      <c r="L1578" s="2">
        <v>2023</v>
      </c>
      <c r="M1578" s="2" t="s">
        <v>89</v>
      </c>
      <c r="N1578" s="2" t="s">
        <v>23</v>
      </c>
      <c r="O1578">
        <f t="shared" si="48"/>
        <v>2.0550000000000068</v>
      </c>
      <c r="P1578">
        <f t="shared" si="49"/>
        <v>-6.7600000000000033</v>
      </c>
    </row>
    <row r="1579" spans="1:16" x14ac:dyDescent="0.35">
      <c r="A1579" s="9" t="s">
        <v>98</v>
      </c>
      <c r="B1579" s="2">
        <v>165.73500000000001</v>
      </c>
      <c r="C1579" s="2">
        <v>166.24</v>
      </c>
      <c r="D1579" s="2">
        <v>164.94</v>
      </c>
      <c r="E1579" s="2">
        <v>165.67</v>
      </c>
      <c r="F1579" s="2">
        <v>8046428</v>
      </c>
      <c r="G1579" s="2" t="s">
        <v>563</v>
      </c>
      <c r="H1579" s="2" t="s">
        <v>564</v>
      </c>
      <c r="I1579" s="2" t="s">
        <v>565</v>
      </c>
      <c r="J1579" s="4">
        <v>-0.10299999999999999</v>
      </c>
      <c r="K1579" s="2" t="s">
        <v>88</v>
      </c>
      <c r="L1579" s="2">
        <v>2023</v>
      </c>
      <c r="M1579" s="2" t="s">
        <v>89</v>
      </c>
      <c r="N1579" s="2" t="s">
        <v>23</v>
      </c>
      <c r="O1579">
        <f t="shared" si="48"/>
        <v>1.3000000000000114</v>
      </c>
      <c r="P1579">
        <f t="shared" si="49"/>
        <v>-6.8630000000000031</v>
      </c>
    </row>
    <row r="1580" spans="1:16" x14ac:dyDescent="0.35">
      <c r="A1580" s="9" t="s">
        <v>99</v>
      </c>
      <c r="B1580" s="2">
        <v>164.25</v>
      </c>
      <c r="C1580" s="2">
        <v>164.69</v>
      </c>
      <c r="D1580" s="2">
        <v>159.65</v>
      </c>
      <c r="E1580" s="2">
        <v>161.01</v>
      </c>
      <c r="F1580" s="2">
        <v>14571485</v>
      </c>
      <c r="G1580" s="2" t="s">
        <v>563</v>
      </c>
      <c r="H1580" s="2" t="s">
        <v>564</v>
      </c>
      <c r="I1580" s="2" t="s">
        <v>565</v>
      </c>
      <c r="J1580" s="4">
        <v>-2.8130000000000002</v>
      </c>
      <c r="K1580" s="2" t="s">
        <v>88</v>
      </c>
      <c r="L1580" s="2">
        <v>2023</v>
      </c>
      <c r="M1580" s="2" t="s">
        <v>89</v>
      </c>
      <c r="N1580" s="2" t="s">
        <v>23</v>
      </c>
      <c r="O1580">
        <f t="shared" si="48"/>
        <v>5.039999999999992</v>
      </c>
      <c r="P1580">
        <f t="shared" si="49"/>
        <v>-9.6760000000000037</v>
      </c>
    </row>
    <row r="1581" spans="1:16" x14ac:dyDescent="0.35">
      <c r="A1581" s="9" t="s">
        <v>100</v>
      </c>
      <c r="B1581" s="2">
        <v>161.99</v>
      </c>
      <c r="C1581" s="2">
        <v>162.68</v>
      </c>
      <c r="D1581" s="2">
        <v>161.16999999999999</v>
      </c>
      <c r="E1581" s="2">
        <v>162.53</v>
      </c>
      <c r="F1581" s="2">
        <v>6752006</v>
      </c>
      <c r="G1581" s="2" t="s">
        <v>563</v>
      </c>
      <c r="H1581" s="2" t="s">
        <v>564</v>
      </c>
      <c r="I1581" s="2" t="s">
        <v>565</v>
      </c>
      <c r="J1581" s="3">
        <v>0.94399999999999995</v>
      </c>
      <c r="K1581" s="2" t="s">
        <v>88</v>
      </c>
      <c r="L1581" s="2">
        <v>2023</v>
      </c>
      <c r="M1581" s="2" t="s">
        <v>89</v>
      </c>
      <c r="N1581" s="2" t="s">
        <v>21</v>
      </c>
      <c r="O1581">
        <f t="shared" si="48"/>
        <v>1.5100000000000193</v>
      </c>
      <c r="P1581">
        <f t="shared" si="49"/>
        <v>-8.7320000000000029</v>
      </c>
    </row>
    <row r="1582" spans="1:16" x14ac:dyDescent="0.35">
      <c r="A1582" s="9" t="s">
        <v>101</v>
      </c>
      <c r="B1582" s="2">
        <v>162.43</v>
      </c>
      <c r="C1582" s="2">
        <v>163.82</v>
      </c>
      <c r="D1582" s="2">
        <v>160.96</v>
      </c>
      <c r="E1582" s="2">
        <v>163.58000000000001</v>
      </c>
      <c r="F1582" s="2">
        <v>9498768</v>
      </c>
      <c r="G1582" s="2" t="s">
        <v>563</v>
      </c>
      <c r="H1582" s="2" t="s">
        <v>564</v>
      </c>
      <c r="I1582" s="2" t="s">
        <v>565</v>
      </c>
      <c r="J1582" s="3">
        <v>0.64600000000000002</v>
      </c>
      <c r="K1582" s="2" t="s">
        <v>88</v>
      </c>
      <c r="L1582" s="2">
        <v>2023</v>
      </c>
      <c r="M1582" s="2" t="s">
        <v>89</v>
      </c>
      <c r="N1582" s="2" t="s">
        <v>21</v>
      </c>
      <c r="O1582">
        <f t="shared" si="48"/>
        <v>2.8599999999999852</v>
      </c>
      <c r="P1582">
        <f t="shared" si="49"/>
        <v>-8.0860000000000021</v>
      </c>
    </row>
    <row r="1583" spans="1:16" x14ac:dyDescent="0.35">
      <c r="A1583" s="9" t="s">
        <v>102</v>
      </c>
      <c r="B1583" s="2">
        <v>164.44</v>
      </c>
      <c r="C1583" s="2">
        <v>164.97</v>
      </c>
      <c r="D1583" s="2">
        <v>161.97</v>
      </c>
      <c r="E1583" s="2">
        <v>162.69</v>
      </c>
      <c r="F1583" s="2">
        <v>7014214</v>
      </c>
      <c r="G1583" s="2" t="s">
        <v>563</v>
      </c>
      <c r="H1583" s="2" t="s">
        <v>564</v>
      </c>
      <c r="I1583" s="2" t="s">
        <v>565</v>
      </c>
      <c r="J1583" s="4">
        <v>-0.54400000000000004</v>
      </c>
      <c r="K1583" s="2" t="s">
        <v>88</v>
      </c>
      <c r="L1583" s="2">
        <v>2023</v>
      </c>
      <c r="M1583" s="2" t="s">
        <v>89</v>
      </c>
      <c r="N1583" s="2" t="s">
        <v>23</v>
      </c>
      <c r="O1583">
        <f t="shared" si="48"/>
        <v>3</v>
      </c>
      <c r="P1583">
        <f t="shared" si="49"/>
        <v>-8.6300000000000026</v>
      </c>
    </row>
    <row r="1584" spans="1:16" x14ac:dyDescent="0.35">
      <c r="A1584" s="9" t="s">
        <v>103</v>
      </c>
      <c r="B1584" s="2">
        <v>162.69</v>
      </c>
      <c r="C1584" s="2">
        <v>163.80500000000001</v>
      </c>
      <c r="D1584" s="2">
        <v>161.87</v>
      </c>
      <c r="E1584" s="2">
        <v>163.68</v>
      </c>
      <c r="F1584" s="2">
        <v>5278892</v>
      </c>
      <c r="G1584" s="2" t="s">
        <v>563</v>
      </c>
      <c r="H1584" s="2" t="s">
        <v>564</v>
      </c>
      <c r="I1584" s="2" t="s">
        <v>565</v>
      </c>
      <c r="J1584" s="3">
        <v>0.60899999999999999</v>
      </c>
      <c r="K1584" s="2" t="s">
        <v>88</v>
      </c>
      <c r="L1584" s="2">
        <v>2023</v>
      </c>
      <c r="M1584" s="2" t="s">
        <v>89</v>
      </c>
      <c r="N1584" s="2" t="s">
        <v>21</v>
      </c>
      <c r="O1584">
        <f t="shared" si="48"/>
        <v>1.9350000000000023</v>
      </c>
      <c r="P1584">
        <f t="shared" si="49"/>
        <v>-8.0210000000000026</v>
      </c>
    </row>
    <row r="1585" spans="1:16" x14ac:dyDescent="0.35">
      <c r="A1585" s="9" t="s">
        <v>104</v>
      </c>
      <c r="B1585" s="2">
        <v>164.31</v>
      </c>
      <c r="C1585" s="2">
        <v>165.35</v>
      </c>
      <c r="D1585" s="2">
        <v>164.155</v>
      </c>
      <c r="E1585" s="2">
        <v>165.18</v>
      </c>
      <c r="F1585" s="2">
        <v>6263103</v>
      </c>
      <c r="G1585" s="2" t="s">
        <v>563</v>
      </c>
      <c r="H1585" s="2" t="s">
        <v>564</v>
      </c>
      <c r="I1585" s="2" t="s">
        <v>565</v>
      </c>
      <c r="J1585" s="3">
        <v>0.91600000000000004</v>
      </c>
      <c r="K1585" s="2" t="s">
        <v>88</v>
      </c>
      <c r="L1585" s="2">
        <v>2023</v>
      </c>
      <c r="M1585" s="2" t="s">
        <v>89</v>
      </c>
      <c r="N1585" s="2" t="s">
        <v>21</v>
      </c>
      <c r="O1585">
        <f t="shared" si="48"/>
        <v>1.1949999999999932</v>
      </c>
      <c r="P1585">
        <f t="shared" si="49"/>
        <v>-7.1050000000000022</v>
      </c>
    </row>
    <row r="1586" spans="1:16" x14ac:dyDescent="0.35">
      <c r="A1586" s="9" t="s">
        <v>105</v>
      </c>
      <c r="B1586" s="2">
        <v>164.09</v>
      </c>
      <c r="C1586" s="2">
        <v>164.39</v>
      </c>
      <c r="D1586" s="2">
        <v>162.24</v>
      </c>
      <c r="E1586" s="2">
        <v>162.62</v>
      </c>
      <c r="F1586" s="2">
        <v>5518174</v>
      </c>
      <c r="G1586" s="2" t="s">
        <v>563</v>
      </c>
      <c r="H1586" s="2" t="s">
        <v>564</v>
      </c>
      <c r="I1586" s="2" t="s">
        <v>565</v>
      </c>
      <c r="J1586" s="4">
        <v>-1.55</v>
      </c>
      <c r="K1586" s="2" t="s">
        <v>88</v>
      </c>
      <c r="L1586" s="2">
        <v>2023</v>
      </c>
      <c r="M1586" s="2" t="s">
        <v>89</v>
      </c>
      <c r="N1586" s="2" t="s">
        <v>23</v>
      </c>
      <c r="O1586">
        <f t="shared" si="48"/>
        <v>2.1499999999999773</v>
      </c>
      <c r="P1586">
        <f t="shared" si="49"/>
        <v>-8.6550000000000029</v>
      </c>
    </row>
    <row r="1587" spans="1:16" x14ac:dyDescent="0.35">
      <c r="A1587" s="9" t="s">
        <v>106</v>
      </c>
      <c r="B1587" s="2">
        <v>162.9</v>
      </c>
      <c r="C1587" s="2">
        <v>163.40700000000001</v>
      </c>
      <c r="D1587" s="2">
        <v>162.13</v>
      </c>
      <c r="E1587" s="2">
        <v>163</v>
      </c>
      <c r="F1587" s="2">
        <v>5739700</v>
      </c>
      <c r="G1587" s="2" t="s">
        <v>563</v>
      </c>
      <c r="H1587" s="2" t="s">
        <v>564</v>
      </c>
      <c r="I1587" s="2" t="s">
        <v>565</v>
      </c>
      <c r="J1587" s="3">
        <v>0.23400000000000001</v>
      </c>
      <c r="K1587" s="2" t="s">
        <v>88</v>
      </c>
      <c r="L1587" s="2">
        <v>2023</v>
      </c>
      <c r="M1587" s="2" t="s">
        <v>89</v>
      </c>
      <c r="N1587" s="2" t="s">
        <v>21</v>
      </c>
      <c r="O1587">
        <f t="shared" si="48"/>
        <v>1.2770000000000152</v>
      </c>
      <c r="P1587">
        <f t="shared" si="49"/>
        <v>-8.4210000000000029</v>
      </c>
    </row>
    <row r="1588" spans="1:16" x14ac:dyDescent="0.35">
      <c r="A1588" s="9" t="s">
        <v>107</v>
      </c>
      <c r="B1588" s="2">
        <v>162.81</v>
      </c>
      <c r="C1588" s="2">
        <v>163.76</v>
      </c>
      <c r="D1588" s="2">
        <v>162.55699999999999</v>
      </c>
      <c r="E1588" s="2">
        <v>163.69999999999999</v>
      </c>
      <c r="F1588" s="2">
        <v>6024864</v>
      </c>
      <c r="G1588" s="2" t="s">
        <v>563</v>
      </c>
      <c r="H1588" s="2" t="s">
        <v>564</v>
      </c>
      <c r="I1588" s="2" t="s">
        <v>565</v>
      </c>
      <c r="J1588" s="3">
        <v>0.42899999999999999</v>
      </c>
      <c r="K1588" s="2" t="s">
        <v>88</v>
      </c>
      <c r="L1588" s="2">
        <v>2023</v>
      </c>
      <c r="M1588" s="2" t="s">
        <v>89</v>
      </c>
      <c r="N1588" s="2" t="s">
        <v>21</v>
      </c>
      <c r="O1588">
        <f t="shared" si="48"/>
        <v>1.203000000000003</v>
      </c>
      <c r="P1588">
        <f t="shared" si="49"/>
        <v>-7.9920000000000027</v>
      </c>
    </row>
    <row r="1589" spans="1:16" x14ac:dyDescent="0.35">
      <c r="A1589" s="9" t="s">
        <v>108</v>
      </c>
      <c r="B1589" s="2">
        <v>163.6</v>
      </c>
      <c r="C1589" s="2">
        <v>164.298</v>
      </c>
      <c r="D1589" s="2">
        <v>162.24</v>
      </c>
      <c r="E1589" s="2">
        <v>163.6</v>
      </c>
      <c r="F1589" s="2">
        <v>4893426</v>
      </c>
      <c r="G1589" s="2" t="s">
        <v>563</v>
      </c>
      <c r="H1589" s="2" t="s">
        <v>564</v>
      </c>
      <c r="I1589" s="2" t="s">
        <v>565</v>
      </c>
      <c r="J1589" s="4">
        <v>-6.0999999999999999E-2</v>
      </c>
      <c r="K1589" s="2" t="s">
        <v>109</v>
      </c>
      <c r="L1589" s="2">
        <v>2023</v>
      </c>
      <c r="M1589" s="2" t="s">
        <v>110</v>
      </c>
      <c r="N1589" s="2" t="s">
        <v>23</v>
      </c>
      <c r="O1589">
        <f t="shared" si="48"/>
        <v>2.0579999999999927</v>
      </c>
      <c r="P1589">
        <f t="shared" si="49"/>
        <v>-8.0530000000000026</v>
      </c>
    </row>
    <row r="1590" spans="1:16" x14ac:dyDescent="0.35">
      <c r="A1590" s="9" t="s">
        <v>111</v>
      </c>
      <c r="B1590" s="2">
        <v>164.34</v>
      </c>
      <c r="C1590" s="2">
        <v>165.48</v>
      </c>
      <c r="D1590" s="2">
        <v>163.55500000000001</v>
      </c>
      <c r="E1590" s="2">
        <v>165.03</v>
      </c>
      <c r="F1590" s="2">
        <v>7541724</v>
      </c>
      <c r="G1590" s="2" t="s">
        <v>563</v>
      </c>
      <c r="H1590" s="2" t="s">
        <v>564</v>
      </c>
      <c r="I1590" s="2" t="s">
        <v>565</v>
      </c>
      <c r="J1590" s="3">
        <v>0.874</v>
      </c>
      <c r="K1590" s="2" t="s">
        <v>109</v>
      </c>
      <c r="L1590" s="2">
        <v>2023</v>
      </c>
      <c r="M1590" s="2" t="s">
        <v>110</v>
      </c>
      <c r="N1590" s="2" t="s">
        <v>21</v>
      </c>
      <c r="O1590">
        <f t="shared" si="48"/>
        <v>1.9249999999999829</v>
      </c>
      <c r="P1590">
        <f t="shared" si="49"/>
        <v>-7.1790000000000029</v>
      </c>
    </row>
    <row r="1591" spans="1:16" x14ac:dyDescent="0.35">
      <c r="A1591" s="9" t="s">
        <v>112</v>
      </c>
      <c r="B1591" s="2">
        <v>165.55</v>
      </c>
      <c r="C1591" s="2">
        <v>166.18</v>
      </c>
      <c r="D1591" s="2">
        <v>162.51</v>
      </c>
      <c r="E1591" s="2">
        <v>162.87</v>
      </c>
      <c r="F1591" s="2">
        <v>5937170</v>
      </c>
      <c r="G1591" s="2" t="s">
        <v>563</v>
      </c>
      <c r="H1591" s="2" t="s">
        <v>564</v>
      </c>
      <c r="I1591" s="2" t="s">
        <v>565</v>
      </c>
      <c r="J1591" s="4">
        <v>-1.3089999999999999</v>
      </c>
      <c r="K1591" s="2" t="s">
        <v>109</v>
      </c>
      <c r="L1591" s="2">
        <v>2023</v>
      </c>
      <c r="M1591" s="2" t="s">
        <v>110</v>
      </c>
      <c r="N1591" s="2" t="s">
        <v>23</v>
      </c>
      <c r="O1591">
        <f t="shared" si="48"/>
        <v>3.6700000000000159</v>
      </c>
      <c r="P1591">
        <f t="shared" si="49"/>
        <v>-8.4880000000000031</v>
      </c>
    </row>
    <row r="1592" spans="1:16" x14ac:dyDescent="0.35">
      <c r="A1592" s="9" t="s">
        <v>113</v>
      </c>
      <c r="B1592" s="2">
        <v>162.68</v>
      </c>
      <c r="C1592" s="2">
        <v>162.9</v>
      </c>
      <c r="D1592" s="2">
        <v>161.25</v>
      </c>
      <c r="E1592" s="2">
        <v>162.13</v>
      </c>
      <c r="F1592" s="2">
        <v>5127992</v>
      </c>
      <c r="G1592" s="2" t="s">
        <v>563</v>
      </c>
      <c r="H1592" s="2" t="s">
        <v>564</v>
      </c>
      <c r="I1592" s="2" t="s">
        <v>565</v>
      </c>
      <c r="J1592" s="4">
        <v>-0.45400000000000001</v>
      </c>
      <c r="K1592" s="2" t="s">
        <v>109</v>
      </c>
      <c r="L1592" s="2">
        <v>2023</v>
      </c>
      <c r="M1592" s="2" t="s">
        <v>110</v>
      </c>
      <c r="N1592" s="2" t="s">
        <v>23</v>
      </c>
      <c r="O1592">
        <f t="shared" si="48"/>
        <v>1.6500000000000057</v>
      </c>
      <c r="P1592">
        <f t="shared" si="49"/>
        <v>-8.9420000000000037</v>
      </c>
    </row>
    <row r="1593" spans="1:16" x14ac:dyDescent="0.35">
      <c r="A1593" s="9" t="s">
        <v>114</v>
      </c>
      <c r="B1593" s="2">
        <v>162.84</v>
      </c>
      <c r="C1593" s="2">
        <v>163.13</v>
      </c>
      <c r="D1593" s="2">
        <v>161.69</v>
      </c>
      <c r="E1593" s="2">
        <v>162.68</v>
      </c>
      <c r="F1593" s="2">
        <v>5194461</v>
      </c>
      <c r="G1593" s="2" t="s">
        <v>563</v>
      </c>
      <c r="H1593" s="2" t="s">
        <v>564</v>
      </c>
      <c r="I1593" s="2" t="s">
        <v>565</v>
      </c>
      <c r="J1593" s="3">
        <v>0.33900000000000002</v>
      </c>
      <c r="K1593" s="2" t="s">
        <v>109</v>
      </c>
      <c r="L1593" s="2">
        <v>2023</v>
      </c>
      <c r="M1593" s="2" t="s">
        <v>110</v>
      </c>
      <c r="N1593" s="2" t="s">
        <v>21</v>
      </c>
      <c r="O1593">
        <f t="shared" si="48"/>
        <v>1.4399999999999977</v>
      </c>
      <c r="P1593">
        <f t="shared" si="49"/>
        <v>-8.6030000000000033</v>
      </c>
    </row>
    <row r="1594" spans="1:16" x14ac:dyDescent="0.35">
      <c r="A1594" s="9" t="s">
        <v>115</v>
      </c>
      <c r="B1594" s="2">
        <v>161.99</v>
      </c>
      <c r="C1594" s="2">
        <v>162.57</v>
      </c>
      <c r="D1594" s="2">
        <v>161.34</v>
      </c>
      <c r="E1594" s="2">
        <v>162.31</v>
      </c>
      <c r="F1594" s="2">
        <v>4994929</v>
      </c>
      <c r="G1594" s="2" t="s">
        <v>563</v>
      </c>
      <c r="H1594" s="2" t="s">
        <v>564</v>
      </c>
      <c r="I1594" s="2" t="s">
        <v>565</v>
      </c>
      <c r="J1594" s="4">
        <v>-0.22700000000000001</v>
      </c>
      <c r="K1594" s="2" t="s">
        <v>109</v>
      </c>
      <c r="L1594" s="2">
        <v>2023</v>
      </c>
      <c r="M1594" s="2" t="s">
        <v>110</v>
      </c>
      <c r="N1594" s="2" t="s">
        <v>23</v>
      </c>
      <c r="O1594">
        <f t="shared" si="48"/>
        <v>1.2299999999999898</v>
      </c>
      <c r="P1594">
        <f t="shared" si="49"/>
        <v>-8.8300000000000036</v>
      </c>
    </row>
    <row r="1595" spans="1:16" x14ac:dyDescent="0.35">
      <c r="A1595" s="9" t="s">
        <v>116</v>
      </c>
      <c r="B1595" s="2">
        <v>161.75</v>
      </c>
      <c r="C1595" s="2">
        <v>162.13</v>
      </c>
      <c r="D1595" s="2">
        <v>160.79</v>
      </c>
      <c r="E1595" s="2">
        <v>161.05000000000001</v>
      </c>
      <c r="F1595" s="2">
        <v>5520642</v>
      </c>
      <c r="G1595" s="2" t="s">
        <v>563</v>
      </c>
      <c r="H1595" s="2" t="s">
        <v>564</v>
      </c>
      <c r="I1595" s="2" t="s">
        <v>565</v>
      </c>
      <c r="J1595" s="4">
        <v>-0.77600000000000002</v>
      </c>
      <c r="K1595" s="2" t="s">
        <v>109</v>
      </c>
      <c r="L1595" s="2">
        <v>2023</v>
      </c>
      <c r="M1595" s="2" t="s">
        <v>110</v>
      </c>
      <c r="N1595" s="2" t="s">
        <v>23</v>
      </c>
      <c r="O1595">
        <f t="shared" si="48"/>
        <v>1.3400000000000034</v>
      </c>
      <c r="P1595">
        <f t="shared" si="49"/>
        <v>-9.6060000000000034</v>
      </c>
    </row>
    <row r="1596" spans="1:16" x14ac:dyDescent="0.35">
      <c r="A1596" s="9" t="s">
        <v>117</v>
      </c>
      <c r="B1596" s="2">
        <v>161.19999999999999</v>
      </c>
      <c r="C1596" s="2">
        <v>161.97</v>
      </c>
      <c r="D1596" s="2">
        <v>160.06</v>
      </c>
      <c r="E1596" s="2">
        <v>161.65</v>
      </c>
      <c r="F1596" s="2">
        <v>6756629</v>
      </c>
      <c r="G1596" s="2" t="s">
        <v>563</v>
      </c>
      <c r="H1596" s="2" t="s">
        <v>564</v>
      </c>
      <c r="I1596" s="2" t="s">
        <v>565</v>
      </c>
      <c r="J1596" s="3">
        <v>0.373</v>
      </c>
      <c r="K1596" s="2" t="s">
        <v>109</v>
      </c>
      <c r="L1596" s="2">
        <v>2023</v>
      </c>
      <c r="M1596" s="2" t="s">
        <v>110</v>
      </c>
      <c r="N1596" s="2" t="s">
        <v>21</v>
      </c>
      <c r="O1596">
        <f t="shared" si="48"/>
        <v>1.9099999999999966</v>
      </c>
      <c r="P1596">
        <f t="shared" si="49"/>
        <v>-9.2330000000000041</v>
      </c>
    </row>
    <row r="1597" spans="1:16" x14ac:dyDescent="0.35">
      <c r="A1597" s="9" t="s">
        <v>118</v>
      </c>
      <c r="B1597" s="2">
        <v>161.83000000000001</v>
      </c>
      <c r="C1597" s="2">
        <v>162.19</v>
      </c>
      <c r="D1597" s="2">
        <v>159.38999999999999</v>
      </c>
      <c r="E1597" s="2">
        <v>160.99</v>
      </c>
      <c r="F1597" s="2">
        <v>5867620</v>
      </c>
      <c r="G1597" s="2" t="s">
        <v>563</v>
      </c>
      <c r="H1597" s="2" t="s">
        <v>564</v>
      </c>
      <c r="I1597" s="2" t="s">
        <v>565</v>
      </c>
      <c r="J1597" s="4">
        <v>-0.40799999999999997</v>
      </c>
      <c r="K1597" s="2" t="s">
        <v>109</v>
      </c>
      <c r="L1597" s="2">
        <v>2023</v>
      </c>
      <c r="M1597" s="2" t="s">
        <v>110</v>
      </c>
      <c r="N1597" s="2" t="s">
        <v>23</v>
      </c>
      <c r="O1597">
        <f t="shared" si="48"/>
        <v>2.8000000000000114</v>
      </c>
      <c r="P1597">
        <f t="shared" si="49"/>
        <v>-9.6410000000000036</v>
      </c>
    </row>
    <row r="1598" spans="1:16" x14ac:dyDescent="0.35">
      <c r="A1598" s="9" t="s">
        <v>119</v>
      </c>
      <c r="B1598" s="2">
        <v>161.36000000000001</v>
      </c>
      <c r="C1598" s="2">
        <v>161.56</v>
      </c>
      <c r="D1598" s="2">
        <v>160.01</v>
      </c>
      <c r="E1598" s="2">
        <v>160.78</v>
      </c>
      <c r="F1598" s="2">
        <v>3904327</v>
      </c>
      <c r="G1598" s="2" t="s">
        <v>563</v>
      </c>
      <c r="H1598" s="2" t="s">
        <v>564</v>
      </c>
      <c r="I1598" s="2" t="s">
        <v>565</v>
      </c>
      <c r="J1598" s="4">
        <v>-0.13</v>
      </c>
      <c r="K1598" s="2" t="s">
        <v>109</v>
      </c>
      <c r="L1598" s="2">
        <v>2023</v>
      </c>
      <c r="M1598" s="2" t="s">
        <v>110</v>
      </c>
      <c r="N1598" s="2" t="s">
        <v>23</v>
      </c>
      <c r="O1598">
        <f t="shared" si="48"/>
        <v>1.5500000000000114</v>
      </c>
      <c r="P1598">
        <f t="shared" si="49"/>
        <v>-9.7710000000000043</v>
      </c>
    </row>
    <row r="1599" spans="1:16" x14ac:dyDescent="0.35">
      <c r="A1599" s="9" t="s">
        <v>120</v>
      </c>
      <c r="B1599" s="2">
        <v>160.80000000000001</v>
      </c>
      <c r="C1599" s="2">
        <v>161.03</v>
      </c>
      <c r="D1599" s="2">
        <v>158.94</v>
      </c>
      <c r="E1599" s="2">
        <v>159.55000000000001</v>
      </c>
      <c r="F1599" s="2">
        <v>5104486</v>
      </c>
      <c r="G1599" s="2" t="s">
        <v>563</v>
      </c>
      <c r="H1599" s="2" t="s">
        <v>564</v>
      </c>
      <c r="I1599" s="2" t="s">
        <v>565</v>
      </c>
      <c r="J1599" s="4">
        <v>-0.76500000000000001</v>
      </c>
      <c r="K1599" s="2" t="s">
        <v>109</v>
      </c>
      <c r="L1599" s="2">
        <v>2023</v>
      </c>
      <c r="M1599" s="2" t="s">
        <v>110</v>
      </c>
      <c r="N1599" s="2" t="s">
        <v>23</v>
      </c>
      <c r="O1599">
        <f t="shared" si="48"/>
        <v>2.0900000000000034</v>
      </c>
      <c r="P1599">
        <f t="shared" si="49"/>
        <v>-10.536000000000005</v>
      </c>
    </row>
    <row r="1600" spans="1:16" x14ac:dyDescent="0.35">
      <c r="A1600" s="9" t="s">
        <v>121</v>
      </c>
      <c r="B1600" s="2">
        <v>159.06</v>
      </c>
      <c r="C1600" s="2">
        <v>160.25</v>
      </c>
      <c r="D1600" s="2">
        <v>158.53</v>
      </c>
      <c r="E1600" s="2">
        <v>159.34</v>
      </c>
      <c r="F1600" s="2">
        <v>5599505</v>
      </c>
      <c r="G1600" s="2" t="s">
        <v>563</v>
      </c>
      <c r="H1600" s="2" t="s">
        <v>564</v>
      </c>
      <c r="I1600" s="2" t="s">
        <v>565</v>
      </c>
      <c r="J1600" s="4">
        <v>-0.13200000000000001</v>
      </c>
      <c r="K1600" s="2" t="s">
        <v>109</v>
      </c>
      <c r="L1600" s="2">
        <v>2023</v>
      </c>
      <c r="M1600" s="2" t="s">
        <v>110</v>
      </c>
      <c r="N1600" s="2" t="s">
        <v>23</v>
      </c>
      <c r="O1600">
        <f t="shared" si="48"/>
        <v>1.7199999999999989</v>
      </c>
      <c r="P1600">
        <f t="shared" si="49"/>
        <v>-10.668000000000005</v>
      </c>
    </row>
    <row r="1601" spans="1:16" x14ac:dyDescent="0.35">
      <c r="A1601" s="9" t="s">
        <v>123</v>
      </c>
      <c r="B1601" s="2">
        <v>159.79</v>
      </c>
      <c r="C1601" s="2">
        <v>160.05500000000001</v>
      </c>
      <c r="D1601" s="2">
        <v>157.77000000000001</v>
      </c>
      <c r="E1601" s="2">
        <v>158.99</v>
      </c>
      <c r="F1601" s="2">
        <v>6840687</v>
      </c>
      <c r="G1601" s="2" t="s">
        <v>563</v>
      </c>
      <c r="H1601" s="2" t="s">
        <v>564</v>
      </c>
      <c r="I1601" s="2" t="s">
        <v>565</v>
      </c>
      <c r="J1601" s="4">
        <v>-0.22</v>
      </c>
      <c r="K1601" s="2" t="s">
        <v>109</v>
      </c>
      <c r="L1601" s="2">
        <v>2023</v>
      </c>
      <c r="M1601" s="2" t="s">
        <v>110</v>
      </c>
      <c r="N1601" s="2" t="s">
        <v>23</v>
      </c>
      <c r="O1601">
        <f t="shared" si="48"/>
        <v>2.2849999999999966</v>
      </c>
      <c r="P1601">
        <f t="shared" si="49"/>
        <v>-10.888000000000005</v>
      </c>
    </row>
    <row r="1602" spans="1:16" x14ac:dyDescent="0.35">
      <c r="A1602" s="9" t="s">
        <v>124</v>
      </c>
      <c r="B1602" s="2">
        <v>158.66</v>
      </c>
      <c r="C1602" s="2">
        <v>158.93</v>
      </c>
      <c r="D1602" s="2">
        <v>157.56</v>
      </c>
      <c r="E1602" s="2">
        <v>158.47999999999999</v>
      </c>
      <c r="F1602" s="2">
        <v>5172966</v>
      </c>
      <c r="G1602" s="2" t="s">
        <v>563</v>
      </c>
      <c r="H1602" s="2" t="s">
        <v>564</v>
      </c>
      <c r="I1602" s="2" t="s">
        <v>565</v>
      </c>
      <c r="J1602" s="4">
        <v>-0.32100000000000001</v>
      </c>
      <c r="K1602" s="2" t="s">
        <v>109</v>
      </c>
      <c r="L1602" s="2">
        <v>2023</v>
      </c>
      <c r="M1602" s="2" t="s">
        <v>110</v>
      </c>
      <c r="N1602" s="2" t="s">
        <v>23</v>
      </c>
      <c r="O1602">
        <f t="shared" si="48"/>
        <v>1.3700000000000045</v>
      </c>
      <c r="P1602">
        <f t="shared" si="49"/>
        <v>-11.209000000000005</v>
      </c>
    </row>
    <row r="1603" spans="1:16" x14ac:dyDescent="0.35">
      <c r="A1603" s="9" t="s">
        <v>125</v>
      </c>
      <c r="B1603" s="2">
        <v>158.59</v>
      </c>
      <c r="C1603" s="2">
        <v>159.934</v>
      </c>
      <c r="D1603" s="2">
        <v>158.13999999999999</v>
      </c>
      <c r="E1603" s="2">
        <v>158.91</v>
      </c>
      <c r="F1603" s="2">
        <v>6527141</v>
      </c>
      <c r="G1603" s="2" t="s">
        <v>563</v>
      </c>
      <c r="H1603" s="2" t="s">
        <v>564</v>
      </c>
      <c r="I1603" s="2" t="s">
        <v>565</v>
      </c>
      <c r="J1603" s="3">
        <v>0.27100000000000002</v>
      </c>
      <c r="K1603" s="2" t="s">
        <v>109</v>
      </c>
      <c r="L1603" s="2">
        <v>2023</v>
      </c>
      <c r="M1603" s="2" t="s">
        <v>110</v>
      </c>
      <c r="N1603" s="2" t="s">
        <v>21</v>
      </c>
      <c r="O1603">
        <f t="shared" ref="O1603:O1666" si="50">C1603-D1603</f>
        <v>1.7940000000000111</v>
      </c>
      <c r="P1603">
        <f t="shared" si="49"/>
        <v>-10.938000000000004</v>
      </c>
    </row>
    <row r="1604" spans="1:16" x14ac:dyDescent="0.35">
      <c r="A1604" s="9" t="s">
        <v>126</v>
      </c>
      <c r="B1604" s="2">
        <v>158</v>
      </c>
      <c r="C1604" s="2">
        <v>159.13999999999999</v>
      </c>
      <c r="D1604" s="2">
        <v>156.78</v>
      </c>
      <c r="E1604" s="2">
        <v>156.87</v>
      </c>
      <c r="F1604" s="2">
        <v>5675927</v>
      </c>
      <c r="G1604" s="2" t="s">
        <v>563</v>
      </c>
      <c r="H1604" s="2" t="s">
        <v>564</v>
      </c>
      <c r="I1604" s="2" t="s">
        <v>565</v>
      </c>
      <c r="J1604" s="4">
        <v>-1.284</v>
      </c>
      <c r="K1604" s="2" t="s">
        <v>109</v>
      </c>
      <c r="L1604" s="2">
        <v>2023</v>
      </c>
      <c r="M1604" s="2" t="s">
        <v>110</v>
      </c>
      <c r="N1604" s="2" t="s">
        <v>23</v>
      </c>
      <c r="O1604">
        <f t="shared" si="50"/>
        <v>2.3599999999999852</v>
      </c>
      <c r="P1604">
        <f t="shared" ref="P1604:P1667" si="51">IF(G1604=G1603, P1603+J1604, J1604)</f>
        <v>-12.222000000000005</v>
      </c>
    </row>
    <row r="1605" spans="1:16" x14ac:dyDescent="0.35">
      <c r="A1605" s="9" t="s">
        <v>127</v>
      </c>
      <c r="B1605" s="2">
        <v>157.1</v>
      </c>
      <c r="C1605" s="2">
        <v>158.27000000000001</v>
      </c>
      <c r="D1605" s="2">
        <v>156.37</v>
      </c>
      <c r="E1605" s="2">
        <v>156.81</v>
      </c>
      <c r="F1605" s="2">
        <v>5793009</v>
      </c>
      <c r="G1605" s="2" t="s">
        <v>563</v>
      </c>
      <c r="H1605" s="2" t="s">
        <v>564</v>
      </c>
      <c r="I1605" s="2" t="s">
        <v>565</v>
      </c>
      <c r="J1605" s="4">
        <v>-3.7999999999999999E-2</v>
      </c>
      <c r="K1605" s="2" t="s">
        <v>109</v>
      </c>
      <c r="L1605" s="2">
        <v>2023</v>
      </c>
      <c r="M1605" s="2" t="s">
        <v>110</v>
      </c>
      <c r="N1605" s="2" t="s">
        <v>23</v>
      </c>
      <c r="O1605">
        <f t="shared" si="50"/>
        <v>1.9000000000000057</v>
      </c>
      <c r="P1605">
        <f t="shared" si="51"/>
        <v>-12.260000000000005</v>
      </c>
    </row>
    <row r="1606" spans="1:16" x14ac:dyDescent="0.35">
      <c r="A1606" s="9" t="s">
        <v>128</v>
      </c>
      <c r="B1606" s="2">
        <v>157.08000000000001</v>
      </c>
      <c r="C1606" s="2">
        <v>157.13999999999999</v>
      </c>
      <c r="D1606" s="2">
        <v>155.91999999999999</v>
      </c>
      <c r="E1606" s="2">
        <v>156.66</v>
      </c>
      <c r="F1606" s="2">
        <v>5015148</v>
      </c>
      <c r="G1606" s="2" t="s">
        <v>563</v>
      </c>
      <c r="H1606" s="2" t="s">
        <v>564</v>
      </c>
      <c r="I1606" s="2" t="s">
        <v>565</v>
      </c>
      <c r="J1606" s="4">
        <v>-9.6000000000000002E-2</v>
      </c>
      <c r="K1606" s="2" t="s">
        <v>109</v>
      </c>
      <c r="L1606" s="2">
        <v>2023</v>
      </c>
      <c r="M1606" s="2" t="s">
        <v>110</v>
      </c>
      <c r="N1606" s="2" t="s">
        <v>23</v>
      </c>
      <c r="O1606">
        <f t="shared" si="50"/>
        <v>1.2199999999999989</v>
      </c>
      <c r="P1606">
        <f t="shared" si="51"/>
        <v>-12.356000000000005</v>
      </c>
    </row>
    <row r="1607" spans="1:16" x14ac:dyDescent="0.35">
      <c r="A1607" s="9" t="s">
        <v>129</v>
      </c>
      <c r="B1607" s="2">
        <v>156.05000000000001</v>
      </c>
      <c r="C1607" s="2">
        <v>156.29</v>
      </c>
      <c r="D1607" s="2">
        <v>153.72</v>
      </c>
      <c r="E1607" s="2">
        <v>154.41</v>
      </c>
      <c r="F1607" s="2">
        <v>6886056</v>
      </c>
      <c r="G1607" s="2" t="s">
        <v>563</v>
      </c>
      <c r="H1607" s="2" t="s">
        <v>564</v>
      </c>
      <c r="I1607" s="2" t="s">
        <v>565</v>
      </c>
      <c r="J1607" s="4">
        <v>-1.4359999999999999</v>
      </c>
      <c r="K1607" s="2" t="s">
        <v>109</v>
      </c>
      <c r="L1607" s="2">
        <v>2023</v>
      </c>
      <c r="M1607" s="2" t="s">
        <v>110</v>
      </c>
      <c r="N1607" s="2" t="s">
        <v>23</v>
      </c>
      <c r="O1607">
        <f t="shared" si="50"/>
        <v>2.5699999999999932</v>
      </c>
      <c r="P1607">
        <f t="shared" si="51"/>
        <v>-13.792000000000005</v>
      </c>
    </row>
    <row r="1608" spans="1:16" x14ac:dyDescent="0.35">
      <c r="A1608" s="9" t="s">
        <v>130</v>
      </c>
      <c r="B1608" s="2">
        <v>154.69</v>
      </c>
      <c r="C1608" s="2">
        <v>155.27500000000001</v>
      </c>
      <c r="D1608" s="2">
        <v>154.19999999999999</v>
      </c>
      <c r="E1608" s="2">
        <v>154.35</v>
      </c>
      <c r="F1608" s="2">
        <v>6845396</v>
      </c>
      <c r="G1608" s="2" t="s">
        <v>563</v>
      </c>
      <c r="H1608" s="2" t="s">
        <v>564</v>
      </c>
      <c r="I1608" s="2" t="s">
        <v>565</v>
      </c>
      <c r="J1608" s="4">
        <v>-3.9E-2</v>
      </c>
      <c r="K1608" s="2" t="s">
        <v>109</v>
      </c>
      <c r="L1608" s="2">
        <v>2023</v>
      </c>
      <c r="M1608" s="2" t="s">
        <v>110</v>
      </c>
      <c r="N1608" s="2" t="s">
        <v>23</v>
      </c>
      <c r="O1608">
        <f t="shared" si="50"/>
        <v>1.0750000000000171</v>
      </c>
      <c r="P1608">
        <f t="shared" si="51"/>
        <v>-13.831000000000005</v>
      </c>
    </row>
    <row r="1609" spans="1:16" x14ac:dyDescent="0.35">
      <c r="A1609" s="9" t="s">
        <v>131</v>
      </c>
      <c r="B1609" s="2">
        <v>153.97</v>
      </c>
      <c r="C1609" s="2">
        <v>155.38</v>
      </c>
      <c r="D1609" s="2">
        <v>153.32</v>
      </c>
      <c r="E1609" s="2">
        <v>154.37</v>
      </c>
      <c r="F1609" s="2">
        <v>5593080</v>
      </c>
      <c r="G1609" s="2" t="s">
        <v>563</v>
      </c>
      <c r="H1609" s="2" t="s">
        <v>564</v>
      </c>
      <c r="I1609" s="2" t="s">
        <v>565</v>
      </c>
      <c r="J1609" s="3">
        <v>1.2999999999999999E-2</v>
      </c>
      <c r="K1609" s="2" t="s">
        <v>109</v>
      </c>
      <c r="L1609" s="2">
        <v>2023</v>
      </c>
      <c r="M1609" s="2" t="s">
        <v>110</v>
      </c>
      <c r="N1609" s="2" t="s">
        <v>21</v>
      </c>
      <c r="O1609">
        <f t="shared" si="50"/>
        <v>2.0600000000000023</v>
      </c>
      <c r="P1609">
        <f t="shared" si="51"/>
        <v>-13.818000000000005</v>
      </c>
    </row>
    <row r="1610" spans="1:16" x14ac:dyDescent="0.35">
      <c r="A1610" s="9" t="s">
        <v>132</v>
      </c>
      <c r="B1610" s="2">
        <v>154.69499999999999</v>
      </c>
      <c r="C1610" s="2">
        <v>155.69</v>
      </c>
      <c r="D1610" s="2">
        <v>153.85</v>
      </c>
      <c r="E1610" s="2">
        <v>155.06</v>
      </c>
      <c r="F1610" s="2">
        <v>11324588</v>
      </c>
      <c r="G1610" s="2" t="s">
        <v>563</v>
      </c>
      <c r="H1610" s="2" t="s">
        <v>564</v>
      </c>
      <c r="I1610" s="2" t="s">
        <v>565</v>
      </c>
      <c r="J1610" s="3">
        <v>0.44700000000000001</v>
      </c>
      <c r="K1610" s="2" t="s">
        <v>109</v>
      </c>
      <c r="L1610" s="2">
        <v>2023</v>
      </c>
      <c r="M1610" s="2" t="s">
        <v>110</v>
      </c>
      <c r="N1610" s="2" t="s">
        <v>21</v>
      </c>
      <c r="O1610">
        <f t="shared" si="50"/>
        <v>1.8400000000000034</v>
      </c>
      <c r="P1610">
        <f t="shared" si="51"/>
        <v>-13.371000000000006</v>
      </c>
    </row>
    <row r="1611" spans="1:16" x14ac:dyDescent="0.35">
      <c r="A1611" s="9" t="s">
        <v>133</v>
      </c>
      <c r="B1611" s="2">
        <v>154.54</v>
      </c>
      <c r="C1611" s="2">
        <v>155.04</v>
      </c>
      <c r="D1611" s="2">
        <v>153.15</v>
      </c>
      <c r="E1611" s="2">
        <v>154.54</v>
      </c>
      <c r="F1611" s="2">
        <v>7901348</v>
      </c>
      <c r="G1611" s="2" t="s">
        <v>563</v>
      </c>
      <c r="H1611" s="2" t="s">
        <v>564</v>
      </c>
      <c r="I1611" s="2" t="s">
        <v>565</v>
      </c>
      <c r="J1611" s="4">
        <v>-0.33500000000000002</v>
      </c>
      <c r="K1611" s="2" t="s">
        <v>134</v>
      </c>
      <c r="L1611" s="2">
        <v>2023</v>
      </c>
      <c r="M1611" s="2" t="s">
        <v>135</v>
      </c>
      <c r="N1611" s="2" t="s">
        <v>23</v>
      </c>
      <c r="O1611">
        <f t="shared" si="50"/>
        <v>1.8899999999999864</v>
      </c>
      <c r="P1611">
        <f t="shared" si="51"/>
        <v>-13.706000000000007</v>
      </c>
    </row>
    <row r="1612" spans="1:16" x14ac:dyDescent="0.35">
      <c r="A1612" s="9" t="s">
        <v>136</v>
      </c>
      <c r="B1612" s="2">
        <v>154.72</v>
      </c>
      <c r="C1612" s="2">
        <v>157.31</v>
      </c>
      <c r="D1612" s="2">
        <v>154.09</v>
      </c>
      <c r="E1612" s="2">
        <v>156.97</v>
      </c>
      <c r="F1612" s="2">
        <v>7659721</v>
      </c>
      <c r="G1612" s="2" t="s">
        <v>563</v>
      </c>
      <c r="H1612" s="2" t="s">
        <v>564</v>
      </c>
      <c r="I1612" s="2" t="s">
        <v>565</v>
      </c>
      <c r="J1612" s="3">
        <v>1.5720000000000001</v>
      </c>
      <c r="K1612" s="2" t="s">
        <v>134</v>
      </c>
      <c r="L1612" s="2">
        <v>2023</v>
      </c>
      <c r="M1612" s="2" t="s">
        <v>135</v>
      </c>
      <c r="N1612" s="2" t="s">
        <v>21</v>
      </c>
      <c r="O1612">
        <f t="shared" si="50"/>
        <v>3.2199999999999989</v>
      </c>
      <c r="P1612">
        <f t="shared" si="51"/>
        <v>-12.134000000000007</v>
      </c>
    </row>
    <row r="1613" spans="1:16" x14ac:dyDescent="0.35">
      <c r="A1613" s="9" t="s">
        <v>137</v>
      </c>
      <c r="B1613" s="2">
        <v>156.75</v>
      </c>
      <c r="C1613" s="2">
        <v>158.63999999999999</v>
      </c>
      <c r="D1613" s="2">
        <v>156.75</v>
      </c>
      <c r="E1613" s="2">
        <v>158.32</v>
      </c>
      <c r="F1613" s="2">
        <v>6430453</v>
      </c>
      <c r="G1613" s="2" t="s">
        <v>563</v>
      </c>
      <c r="H1613" s="2" t="s">
        <v>564</v>
      </c>
      <c r="I1613" s="2" t="s">
        <v>565</v>
      </c>
      <c r="J1613" s="3">
        <v>0.86</v>
      </c>
      <c r="K1613" s="2" t="s">
        <v>134</v>
      </c>
      <c r="L1613" s="2">
        <v>2023</v>
      </c>
      <c r="M1613" s="2" t="s">
        <v>135</v>
      </c>
      <c r="N1613" s="2" t="s">
        <v>21</v>
      </c>
      <c r="O1613">
        <f t="shared" si="50"/>
        <v>1.8899999999999864</v>
      </c>
      <c r="P1613">
        <f t="shared" si="51"/>
        <v>-11.274000000000008</v>
      </c>
    </row>
    <row r="1614" spans="1:16" x14ac:dyDescent="0.35">
      <c r="A1614" s="9" t="s">
        <v>138</v>
      </c>
      <c r="B1614" s="2">
        <v>159.58000000000001</v>
      </c>
      <c r="C1614" s="2">
        <v>159.61000000000001</v>
      </c>
      <c r="D1614" s="2">
        <v>157.4</v>
      </c>
      <c r="E1614" s="2">
        <v>158.18</v>
      </c>
      <c r="F1614" s="2">
        <v>5073642</v>
      </c>
      <c r="G1614" s="2" t="s">
        <v>563</v>
      </c>
      <c r="H1614" s="2" t="s">
        <v>564</v>
      </c>
      <c r="I1614" s="2" t="s">
        <v>565</v>
      </c>
      <c r="J1614" s="4">
        <v>-8.7999999999999995E-2</v>
      </c>
      <c r="K1614" s="2" t="s">
        <v>134</v>
      </c>
      <c r="L1614" s="2">
        <v>2023</v>
      </c>
      <c r="M1614" s="2" t="s">
        <v>135</v>
      </c>
      <c r="N1614" s="2" t="s">
        <v>23</v>
      </c>
      <c r="O1614">
        <f t="shared" si="50"/>
        <v>2.210000000000008</v>
      </c>
      <c r="P1614">
        <f t="shared" si="51"/>
        <v>-11.362000000000007</v>
      </c>
    </row>
    <row r="1615" spans="1:16" x14ac:dyDescent="0.35">
      <c r="A1615" s="9" t="s">
        <v>139</v>
      </c>
      <c r="B1615" s="2">
        <v>158.1</v>
      </c>
      <c r="C1615" s="2">
        <v>158.80000000000001</v>
      </c>
      <c r="D1615" s="2">
        <v>157.44</v>
      </c>
      <c r="E1615" s="2">
        <v>158.52000000000001</v>
      </c>
      <c r="F1615" s="2">
        <v>6504285</v>
      </c>
      <c r="G1615" s="2" t="s">
        <v>563</v>
      </c>
      <c r="H1615" s="2" t="s">
        <v>564</v>
      </c>
      <c r="I1615" s="2" t="s">
        <v>565</v>
      </c>
      <c r="J1615" s="3">
        <v>0.215</v>
      </c>
      <c r="K1615" s="2" t="s">
        <v>134</v>
      </c>
      <c r="L1615" s="2">
        <v>2023</v>
      </c>
      <c r="M1615" s="2" t="s">
        <v>135</v>
      </c>
      <c r="N1615" s="2" t="s">
        <v>21</v>
      </c>
      <c r="O1615">
        <f t="shared" si="50"/>
        <v>1.3600000000000136</v>
      </c>
      <c r="P1615">
        <f t="shared" si="51"/>
        <v>-11.147000000000007</v>
      </c>
    </row>
    <row r="1616" spans="1:16" x14ac:dyDescent="0.35">
      <c r="A1616" s="9" t="s">
        <v>140</v>
      </c>
      <c r="B1616" s="2">
        <v>158.5</v>
      </c>
      <c r="C1616" s="2">
        <v>160.41999999999999</v>
      </c>
      <c r="D1616" s="2">
        <v>157.82</v>
      </c>
      <c r="E1616" s="2">
        <v>160.26</v>
      </c>
      <c r="F1616" s="2">
        <v>5818952</v>
      </c>
      <c r="G1616" s="2" t="s">
        <v>563</v>
      </c>
      <c r="H1616" s="2" t="s">
        <v>564</v>
      </c>
      <c r="I1616" s="2" t="s">
        <v>565</v>
      </c>
      <c r="J1616" s="3">
        <v>1.0980000000000001</v>
      </c>
      <c r="K1616" s="2" t="s">
        <v>134</v>
      </c>
      <c r="L1616" s="2">
        <v>2023</v>
      </c>
      <c r="M1616" s="2" t="s">
        <v>135</v>
      </c>
      <c r="N1616" s="2" t="s">
        <v>21</v>
      </c>
      <c r="O1616">
        <f t="shared" si="50"/>
        <v>2.5999999999999943</v>
      </c>
      <c r="P1616">
        <f t="shared" si="51"/>
        <v>-10.049000000000007</v>
      </c>
    </row>
    <row r="1617" spans="1:16" x14ac:dyDescent="0.35">
      <c r="A1617" s="9" t="s">
        <v>141</v>
      </c>
      <c r="B1617" s="2">
        <v>160.41999999999999</v>
      </c>
      <c r="C1617" s="2">
        <v>160.72499999999999</v>
      </c>
      <c r="D1617" s="2">
        <v>159.465</v>
      </c>
      <c r="E1617" s="2">
        <v>160.01</v>
      </c>
      <c r="F1617" s="2">
        <v>6264779</v>
      </c>
      <c r="G1617" s="2" t="s">
        <v>563</v>
      </c>
      <c r="H1617" s="2" t="s">
        <v>564</v>
      </c>
      <c r="I1617" s="2" t="s">
        <v>565</v>
      </c>
      <c r="J1617" s="4">
        <v>-0.156</v>
      </c>
      <c r="K1617" s="2" t="s">
        <v>134</v>
      </c>
      <c r="L1617" s="2">
        <v>2023</v>
      </c>
      <c r="M1617" s="2" t="s">
        <v>135</v>
      </c>
      <c r="N1617" s="2" t="s">
        <v>23</v>
      </c>
      <c r="O1617">
        <f t="shared" si="50"/>
        <v>1.2599999999999909</v>
      </c>
      <c r="P1617">
        <f t="shared" si="51"/>
        <v>-10.205000000000007</v>
      </c>
    </row>
    <row r="1618" spans="1:16" x14ac:dyDescent="0.35">
      <c r="A1618" s="9" t="s">
        <v>142</v>
      </c>
      <c r="B1618" s="2">
        <v>160</v>
      </c>
      <c r="C1618" s="2">
        <v>160.25</v>
      </c>
      <c r="D1618" s="2">
        <v>158.72999999999999</v>
      </c>
      <c r="E1618" s="2">
        <v>159.9</v>
      </c>
      <c r="F1618" s="2">
        <v>6511261</v>
      </c>
      <c r="G1618" s="2" t="s">
        <v>563</v>
      </c>
      <c r="H1618" s="2" t="s">
        <v>564</v>
      </c>
      <c r="I1618" s="2" t="s">
        <v>565</v>
      </c>
      <c r="J1618" s="4">
        <v>-6.9000000000000006E-2</v>
      </c>
      <c r="K1618" s="2" t="s">
        <v>134</v>
      </c>
      <c r="L1618" s="2">
        <v>2023</v>
      </c>
      <c r="M1618" s="2" t="s">
        <v>135</v>
      </c>
      <c r="N1618" s="2" t="s">
        <v>23</v>
      </c>
      <c r="O1618">
        <f t="shared" si="50"/>
        <v>1.5200000000000102</v>
      </c>
      <c r="P1618">
        <f t="shared" si="51"/>
        <v>-10.274000000000008</v>
      </c>
    </row>
    <row r="1619" spans="1:16" x14ac:dyDescent="0.35">
      <c r="A1619" s="9" t="s">
        <v>143</v>
      </c>
      <c r="B1619" s="2">
        <v>159.72999999999999</v>
      </c>
      <c r="C1619" s="2">
        <v>160.84</v>
      </c>
      <c r="D1619" s="2">
        <v>159.15</v>
      </c>
      <c r="E1619" s="2">
        <v>160.74</v>
      </c>
      <c r="F1619" s="2">
        <v>6066788</v>
      </c>
      <c r="G1619" s="2" t="s">
        <v>563</v>
      </c>
      <c r="H1619" s="2" t="s">
        <v>564</v>
      </c>
      <c r="I1619" s="2" t="s">
        <v>565</v>
      </c>
      <c r="J1619" s="3">
        <v>0.52500000000000002</v>
      </c>
      <c r="K1619" s="2" t="s">
        <v>134</v>
      </c>
      <c r="L1619" s="2">
        <v>2023</v>
      </c>
      <c r="M1619" s="2" t="s">
        <v>135</v>
      </c>
      <c r="N1619" s="2" t="s">
        <v>21</v>
      </c>
      <c r="O1619">
        <f t="shared" si="50"/>
        <v>1.6899999999999977</v>
      </c>
      <c r="P1619">
        <f t="shared" si="51"/>
        <v>-9.7490000000000077</v>
      </c>
    </row>
    <row r="1620" spans="1:16" x14ac:dyDescent="0.35">
      <c r="A1620" s="9" t="s">
        <v>144</v>
      </c>
      <c r="B1620" s="2">
        <v>161.6</v>
      </c>
      <c r="C1620" s="2">
        <v>162.08000000000001</v>
      </c>
      <c r="D1620" s="2">
        <v>160.97999999999999</v>
      </c>
      <c r="E1620" s="2">
        <v>161.56</v>
      </c>
      <c r="F1620" s="2">
        <v>6699139</v>
      </c>
      <c r="G1620" s="2" t="s">
        <v>563</v>
      </c>
      <c r="H1620" s="2" t="s">
        <v>564</v>
      </c>
      <c r="I1620" s="2" t="s">
        <v>565</v>
      </c>
      <c r="J1620" s="3">
        <v>0.51</v>
      </c>
      <c r="K1620" s="2" t="s">
        <v>134</v>
      </c>
      <c r="L1620" s="2">
        <v>2023</v>
      </c>
      <c r="M1620" s="2" t="s">
        <v>135</v>
      </c>
      <c r="N1620" s="2" t="s">
        <v>21</v>
      </c>
      <c r="O1620">
        <f t="shared" si="50"/>
        <v>1.1000000000000227</v>
      </c>
      <c r="P1620">
        <f t="shared" si="51"/>
        <v>-9.2390000000000079</v>
      </c>
    </row>
    <row r="1621" spans="1:16" x14ac:dyDescent="0.35">
      <c r="A1621" s="9" t="s">
        <v>145</v>
      </c>
      <c r="B1621" s="2">
        <v>162.05000000000001</v>
      </c>
      <c r="C1621" s="2">
        <v>163.91</v>
      </c>
      <c r="D1621" s="2">
        <v>161.43</v>
      </c>
      <c r="E1621" s="2">
        <v>163.72999999999999</v>
      </c>
      <c r="F1621" s="2">
        <v>7138314</v>
      </c>
      <c r="G1621" s="2" t="s">
        <v>563</v>
      </c>
      <c r="H1621" s="2" t="s">
        <v>564</v>
      </c>
      <c r="I1621" s="2" t="s">
        <v>565</v>
      </c>
      <c r="J1621" s="3">
        <v>1.343</v>
      </c>
      <c r="K1621" s="2" t="s">
        <v>134</v>
      </c>
      <c r="L1621" s="2">
        <v>2023</v>
      </c>
      <c r="M1621" s="2" t="s">
        <v>135</v>
      </c>
      <c r="N1621" s="2" t="s">
        <v>21</v>
      </c>
      <c r="O1621">
        <f t="shared" si="50"/>
        <v>2.4799999999999898</v>
      </c>
      <c r="P1621">
        <f t="shared" si="51"/>
        <v>-7.8960000000000079</v>
      </c>
    </row>
    <row r="1622" spans="1:16" x14ac:dyDescent="0.35">
      <c r="A1622" s="9" t="s">
        <v>146</v>
      </c>
      <c r="B1622" s="2">
        <v>164.48</v>
      </c>
      <c r="C1622" s="2">
        <v>164.99</v>
      </c>
      <c r="D1622" s="2">
        <v>163.87</v>
      </c>
      <c r="E1622" s="2">
        <v>164.23</v>
      </c>
      <c r="F1622" s="2">
        <v>13426606</v>
      </c>
      <c r="G1622" s="2" t="s">
        <v>563</v>
      </c>
      <c r="H1622" s="2" t="s">
        <v>564</v>
      </c>
      <c r="I1622" s="2" t="s">
        <v>565</v>
      </c>
      <c r="J1622" s="3">
        <v>0.30499999999999999</v>
      </c>
      <c r="K1622" s="2" t="s">
        <v>134</v>
      </c>
      <c r="L1622" s="2">
        <v>2023</v>
      </c>
      <c r="M1622" s="2" t="s">
        <v>135</v>
      </c>
      <c r="N1622" s="2" t="s">
        <v>21</v>
      </c>
      <c r="O1622">
        <f t="shared" si="50"/>
        <v>1.1200000000000045</v>
      </c>
      <c r="P1622">
        <f t="shared" si="51"/>
        <v>-7.5910000000000082</v>
      </c>
    </row>
    <row r="1623" spans="1:16" x14ac:dyDescent="0.35">
      <c r="A1623" s="9" t="s">
        <v>147</v>
      </c>
      <c r="B1623" s="2">
        <v>164.26</v>
      </c>
      <c r="C1623" s="2">
        <v>165.31</v>
      </c>
      <c r="D1623" s="2">
        <v>163.81</v>
      </c>
      <c r="E1623" s="2">
        <v>164.13</v>
      </c>
      <c r="F1623" s="2">
        <v>7996117</v>
      </c>
      <c r="G1623" s="2" t="s">
        <v>563</v>
      </c>
      <c r="H1623" s="2" t="s">
        <v>564</v>
      </c>
      <c r="I1623" s="2" t="s">
        <v>565</v>
      </c>
      <c r="J1623" s="4">
        <v>-6.0999999999999999E-2</v>
      </c>
      <c r="K1623" s="2" t="s">
        <v>134</v>
      </c>
      <c r="L1623" s="2">
        <v>2023</v>
      </c>
      <c r="M1623" s="2" t="s">
        <v>135</v>
      </c>
      <c r="N1623" s="2" t="s">
        <v>23</v>
      </c>
      <c r="O1623">
        <f t="shared" si="50"/>
        <v>1.5</v>
      </c>
      <c r="P1623">
        <f t="shared" si="51"/>
        <v>-7.6520000000000081</v>
      </c>
    </row>
    <row r="1624" spans="1:16" x14ac:dyDescent="0.35">
      <c r="A1624" s="9" t="s">
        <v>148</v>
      </c>
      <c r="B1624" s="2">
        <v>163.58000000000001</v>
      </c>
      <c r="C1624" s="2">
        <v>164.92</v>
      </c>
      <c r="D1624" s="2">
        <v>162.69</v>
      </c>
      <c r="E1624" s="2">
        <v>163.88</v>
      </c>
      <c r="F1624" s="2">
        <v>7177549</v>
      </c>
      <c r="G1624" s="2" t="s">
        <v>563</v>
      </c>
      <c r="H1624" s="2" t="s">
        <v>564</v>
      </c>
      <c r="I1624" s="2" t="s">
        <v>565</v>
      </c>
      <c r="J1624" s="4">
        <v>-0.152</v>
      </c>
      <c r="K1624" s="2" t="s">
        <v>134</v>
      </c>
      <c r="L1624" s="2">
        <v>2023</v>
      </c>
      <c r="M1624" s="2" t="s">
        <v>135</v>
      </c>
      <c r="N1624" s="2" t="s">
        <v>23</v>
      </c>
      <c r="O1624">
        <f t="shared" si="50"/>
        <v>2.2299999999999898</v>
      </c>
      <c r="P1624">
        <f t="shared" si="51"/>
        <v>-7.8040000000000083</v>
      </c>
    </row>
    <row r="1625" spans="1:16" x14ac:dyDescent="0.35">
      <c r="A1625" s="9" t="s">
        <v>149</v>
      </c>
      <c r="B1625" s="2">
        <v>163.9</v>
      </c>
      <c r="C1625" s="2">
        <v>165.72</v>
      </c>
      <c r="D1625" s="2">
        <v>163.79</v>
      </c>
      <c r="E1625" s="2">
        <v>165.62</v>
      </c>
      <c r="F1625" s="2">
        <v>5486186</v>
      </c>
      <c r="G1625" s="2" t="s">
        <v>563</v>
      </c>
      <c r="H1625" s="2" t="s">
        <v>564</v>
      </c>
      <c r="I1625" s="2" t="s">
        <v>565</v>
      </c>
      <c r="J1625" s="3">
        <v>1.0620000000000001</v>
      </c>
      <c r="K1625" s="2" t="s">
        <v>134</v>
      </c>
      <c r="L1625" s="2">
        <v>2023</v>
      </c>
      <c r="M1625" s="2" t="s">
        <v>135</v>
      </c>
      <c r="N1625" s="2" t="s">
        <v>21</v>
      </c>
      <c r="O1625">
        <f t="shared" si="50"/>
        <v>1.9300000000000068</v>
      </c>
      <c r="P1625">
        <f t="shared" si="51"/>
        <v>-6.742000000000008</v>
      </c>
    </row>
    <row r="1626" spans="1:16" x14ac:dyDescent="0.35">
      <c r="A1626" s="9" t="s">
        <v>150</v>
      </c>
      <c r="B1626" s="2">
        <v>166.11</v>
      </c>
      <c r="C1626" s="2">
        <v>166.27</v>
      </c>
      <c r="D1626" s="2">
        <v>165.03</v>
      </c>
      <c r="E1626" s="2">
        <v>165.48</v>
      </c>
      <c r="F1626" s="2">
        <v>9450724</v>
      </c>
      <c r="G1626" s="2" t="s">
        <v>563</v>
      </c>
      <c r="H1626" s="2" t="s">
        <v>564</v>
      </c>
      <c r="I1626" s="2" t="s">
        <v>565</v>
      </c>
      <c r="J1626" s="4">
        <v>-8.5000000000000006E-2</v>
      </c>
      <c r="K1626" s="2" t="s">
        <v>134</v>
      </c>
      <c r="L1626" s="2">
        <v>2023</v>
      </c>
      <c r="M1626" s="2" t="s">
        <v>135</v>
      </c>
      <c r="N1626" s="2" t="s">
        <v>23</v>
      </c>
      <c r="O1626">
        <f t="shared" si="50"/>
        <v>1.2400000000000091</v>
      </c>
      <c r="P1626">
        <f t="shared" si="51"/>
        <v>-6.827000000000008</v>
      </c>
    </row>
    <row r="1627" spans="1:16" x14ac:dyDescent="0.35">
      <c r="A1627" s="9" t="s">
        <v>151</v>
      </c>
      <c r="B1627" s="2">
        <v>164.98</v>
      </c>
      <c r="C1627" s="2">
        <v>164.98</v>
      </c>
      <c r="D1627" s="2">
        <v>161.33000000000001</v>
      </c>
      <c r="E1627" s="2">
        <v>163.63</v>
      </c>
      <c r="F1627" s="2">
        <v>6978804</v>
      </c>
      <c r="G1627" s="2" t="s">
        <v>563</v>
      </c>
      <c r="H1627" s="2" t="s">
        <v>564</v>
      </c>
      <c r="I1627" s="2" t="s">
        <v>565</v>
      </c>
      <c r="J1627" s="4">
        <v>-1.1180000000000001</v>
      </c>
      <c r="K1627" s="2" t="s">
        <v>134</v>
      </c>
      <c r="L1627" s="2">
        <v>2023</v>
      </c>
      <c r="M1627" s="2" t="s">
        <v>135</v>
      </c>
      <c r="N1627" s="2" t="s">
        <v>23</v>
      </c>
      <c r="O1627">
        <f t="shared" si="50"/>
        <v>3.6499999999999773</v>
      </c>
      <c r="P1627">
        <f t="shared" si="51"/>
        <v>-7.9450000000000083</v>
      </c>
    </row>
    <row r="1628" spans="1:16" x14ac:dyDescent="0.35">
      <c r="A1628" s="9" t="s">
        <v>152</v>
      </c>
      <c r="B1628" s="2">
        <v>163.68</v>
      </c>
      <c r="C1628" s="2">
        <v>163.88</v>
      </c>
      <c r="D1628" s="2">
        <v>162.44</v>
      </c>
      <c r="E1628" s="2">
        <v>163.29</v>
      </c>
      <c r="F1628" s="2">
        <v>4927711</v>
      </c>
      <c r="G1628" s="2" t="s">
        <v>563</v>
      </c>
      <c r="H1628" s="2" t="s">
        <v>564</v>
      </c>
      <c r="I1628" s="2" t="s">
        <v>565</v>
      </c>
      <c r="J1628" s="4">
        <v>-0.20799999999999999</v>
      </c>
      <c r="K1628" s="2" t="s">
        <v>134</v>
      </c>
      <c r="L1628" s="2">
        <v>2023</v>
      </c>
      <c r="M1628" s="2" t="s">
        <v>135</v>
      </c>
      <c r="N1628" s="2" t="s">
        <v>23</v>
      </c>
      <c r="O1628">
        <f t="shared" si="50"/>
        <v>1.4399999999999977</v>
      </c>
      <c r="P1628">
        <f t="shared" si="51"/>
        <v>-8.1530000000000076</v>
      </c>
    </row>
    <row r="1629" spans="1:16" x14ac:dyDescent="0.35">
      <c r="A1629" s="9" t="s">
        <v>153</v>
      </c>
      <c r="B1629" s="2">
        <v>163.19999999999999</v>
      </c>
      <c r="C1629" s="2">
        <v>163.19999999999999</v>
      </c>
      <c r="D1629" s="2">
        <v>161.91</v>
      </c>
      <c r="E1629" s="2">
        <v>162.96</v>
      </c>
      <c r="F1629" s="2">
        <v>6780435</v>
      </c>
      <c r="G1629" s="2" t="s">
        <v>563</v>
      </c>
      <c r="H1629" s="2" t="s">
        <v>564</v>
      </c>
      <c r="I1629" s="2" t="s">
        <v>565</v>
      </c>
      <c r="J1629" s="4">
        <v>-0.20200000000000001</v>
      </c>
      <c r="K1629" s="2" t="s">
        <v>134</v>
      </c>
      <c r="L1629" s="2">
        <v>2023</v>
      </c>
      <c r="M1629" s="2" t="s">
        <v>135</v>
      </c>
      <c r="N1629" s="2" t="s">
        <v>23</v>
      </c>
      <c r="O1629">
        <f t="shared" si="50"/>
        <v>1.289999999999992</v>
      </c>
      <c r="P1629">
        <f t="shared" si="51"/>
        <v>-8.3550000000000075</v>
      </c>
    </row>
    <row r="1630" spans="1:16" x14ac:dyDescent="0.35">
      <c r="A1630" s="9" t="s">
        <v>154</v>
      </c>
      <c r="B1630" s="2">
        <v>162.63999999999999</v>
      </c>
      <c r="C1630" s="2">
        <v>164.32</v>
      </c>
      <c r="D1630" s="2">
        <v>162.22999999999999</v>
      </c>
      <c r="E1630" s="2">
        <v>164.1</v>
      </c>
      <c r="F1630" s="2">
        <v>4547514</v>
      </c>
      <c r="G1630" s="2" t="s">
        <v>563</v>
      </c>
      <c r="H1630" s="2" t="s">
        <v>564</v>
      </c>
      <c r="I1630" s="2" t="s">
        <v>565</v>
      </c>
      <c r="J1630" s="3">
        <v>0.7</v>
      </c>
      <c r="K1630" s="2" t="s">
        <v>134</v>
      </c>
      <c r="L1630" s="2">
        <v>2023</v>
      </c>
      <c r="M1630" s="2" t="s">
        <v>135</v>
      </c>
      <c r="N1630" s="2" t="s">
        <v>21</v>
      </c>
      <c r="O1630">
        <f t="shared" si="50"/>
        <v>2.0900000000000034</v>
      </c>
      <c r="P1630">
        <f t="shared" si="51"/>
        <v>-7.6550000000000074</v>
      </c>
    </row>
    <row r="1631" spans="1:16" x14ac:dyDescent="0.35">
      <c r="A1631" s="9" t="s">
        <v>155</v>
      </c>
      <c r="B1631" s="2">
        <v>164.86</v>
      </c>
      <c r="C1631" s="2">
        <v>165.94</v>
      </c>
      <c r="D1631" s="2">
        <v>164.35</v>
      </c>
      <c r="E1631" s="2">
        <v>165.52</v>
      </c>
      <c r="F1631" s="2">
        <v>7580141</v>
      </c>
      <c r="G1631" s="2" t="s">
        <v>563</v>
      </c>
      <c r="H1631" s="2" t="s">
        <v>564</v>
      </c>
      <c r="I1631" s="2" t="s">
        <v>565</v>
      </c>
      <c r="J1631" s="3">
        <v>0.86499999999999999</v>
      </c>
      <c r="K1631" s="2" t="s">
        <v>134</v>
      </c>
      <c r="L1631" s="2">
        <v>2023</v>
      </c>
      <c r="M1631" s="2" t="s">
        <v>135</v>
      </c>
      <c r="N1631" s="2" t="s">
        <v>21</v>
      </c>
      <c r="O1631">
        <f t="shared" si="50"/>
        <v>1.5900000000000034</v>
      </c>
      <c r="P1631">
        <f t="shared" si="51"/>
        <v>-6.7900000000000071</v>
      </c>
    </row>
    <row r="1632" spans="1:16" x14ac:dyDescent="0.35">
      <c r="A1632" s="9" t="s">
        <v>156</v>
      </c>
      <c r="B1632" s="2">
        <v>164.34</v>
      </c>
      <c r="C1632" s="2">
        <v>164.39</v>
      </c>
      <c r="D1632" s="2">
        <v>162.96</v>
      </c>
      <c r="E1632" s="2">
        <v>163.35</v>
      </c>
      <c r="F1632" s="2">
        <v>4033713</v>
      </c>
      <c r="G1632" s="2" t="s">
        <v>563</v>
      </c>
      <c r="H1632" s="2" t="s">
        <v>564</v>
      </c>
      <c r="I1632" s="2" t="s">
        <v>565</v>
      </c>
      <c r="J1632" s="4">
        <v>-1.3109999999999999</v>
      </c>
      <c r="K1632" s="2" t="s">
        <v>157</v>
      </c>
      <c r="L1632" s="2">
        <v>2023</v>
      </c>
      <c r="M1632" s="2" t="s">
        <v>158</v>
      </c>
      <c r="N1632" s="2" t="s">
        <v>23</v>
      </c>
      <c r="O1632">
        <f t="shared" si="50"/>
        <v>1.4299999999999784</v>
      </c>
      <c r="P1632">
        <f t="shared" si="51"/>
        <v>-8.1010000000000062</v>
      </c>
    </row>
    <row r="1633" spans="1:16" x14ac:dyDescent="0.35">
      <c r="A1633" s="9" t="s">
        <v>159</v>
      </c>
      <c r="B1633" s="2">
        <v>162.99</v>
      </c>
      <c r="C1633" s="2">
        <v>163.92</v>
      </c>
      <c r="D1633" s="2">
        <v>162.72999999999999</v>
      </c>
      <c r="E1633" s="2">
        <v>162.81</v>
      </c>
      <c r="F1633" s="2">
        <v>7225523</v>
      </c>
      <c r="G1633" s="2" t="s">
        <v>563</v>
      </c>
      <c r="H1633" s="2" t="s">
        <v>564</v>
      </c>
      <c r="I1633" s="2" t="s">
        <v>565</v>
      </c>
      <c r="J1633" s="4">
        <v>-0.33100000000000002</v>
      </c>
      <c r="K1633" s="2" t="s">
        <v>157</v>
      </c>
      <c r="L1633" s="2">
        <v>2023</v>
      </c>
      <c r="M1633" s="2" t="s">
        <v>158</v>
      </c>
      <c r="N1633" s="2" t="s">
        <v>23</v>
      </c>
      <c r="O1633">
        <f t="shared" si="50"/>
        <v>1.1899999999999977</v>
      </c>
      <c r="P1633">
        <f t="shared" si="51"/>
        <v>-8.4320000000000057</v>
      </c>
    </row>
    <row r="1634" spans="1:16" x14ac:dyDescent="0.35">
      <c r="A1634" s="9" t="s">
        <v>160</v>
      </c>
      <c r="B1634" s="2">
        <v>162.25</v>
      </c>
      <c r="C1634" s="2">
        <v>162.37</v>
      </c>
      <c r="D1634" s="2">
        <v>161</v>
      </c>
      <c r="E1634" s="2">
        <v>161.6</v>
      </c>
      <c r="F1634" s="2">
        <v>6333687</v>
      </c>
      <c r="G1634" s="2" t="s">
        <v>563</v>
      </c>
      <c r="H1634" s="2" t="s">
        <v>564</v>
      </c>
      <c r="I1634" s="2" t="s">
        <v>565</v>
      </c>
      <c r="J1634" s="4">
        <v>-0.74299999999999999</v>
      </c>
      <c r="K1634" s="2" t="s">
        <v>157</v>
      </c>
      <c r="L1634" s="2">
        <v>2023</v>
      </c>
      <c r="M1634" s="2" t="s">
        <v>158</v>
      </c>
      <c r="N1634" s="2" t="s">
        <v>23</v>
      </c>
      <c r="O1634">
        <f t="shared" si="50"/>
        <v>1.3700000000000045</v>
      </c>
      <c r="P1634">
        <f t="shared" si="51"/>
        <v>-9.175000000000006</v>
      </c>
    </row>
    <row r="1635" spans="1:16" x14ac:dyDescent="0.35">
      <c r="A1635" s="9" t="s">
        <v>161</v>
      </c>
      <c r="B1635" s="2">
        <v>160.47</v>
      </c>
      <c r="C1635" s="2">
        <v>161.04</v>
      </c>
      <c r="D1635" s="2">
        <v>159.19999999999999</v>
      </c>
      <c r="E1635" s="2">
        <v>159.25</v>
      </c>
      <c r="F1635" s="2">
        <v>7022226</v>
      </c>
      <c r="G1635" s="2" t="s">
        <v>563</v>
      </c>
      <c r="H1635" s="2" t="s">
        <v>564</v>
      </c>
      <c r="I1635" s="2" t="s">
        <v>565</v>
      </c>
      <c r="J1635" s="4">
        <v>-1.454</v>
      </c>
      <c r="K1635" s="2" t="s">
        <v>157</v>
      </c>
      <c r="L1635" s="2">
        <v>2023</v>
      </c>
      <c r="M1635" s="2" t="s">
        <v>158</v>
      </c>
      <c r="N1635" s="2" t="s">
        <v>23</v>
      </c>
      <c r="O1635">
        <f t="shared" si="50"/>
        <v>1.8400000000000034</v>
      </c>
      <c r="P1635">
        <f t="shared" si="51"/>
        <v>-10.629000000000007</v>
      </c>
    </row>
    <row r="1636" spans="1:16" x14ac:dyDescent="0.35">
      <c r="A1636" s="9" t="s">
        <v>162</v>
      </c>
      <c r="B1636" s="2">
        <v>159.43</v>
      </c>
      <c r="C1636" s="2">
        <v>160.30000000000001</v>
      </c>
      <c r="D1636" s="2">
        <v>159</v>
      </c>
      <c r="E1636" s="2">
        <v>159.51</v>
      </c>
      <c r="F1636" s="2">
        <v>5739364</v>
      </c>
      <c r="G1636" s="2" t="s">
        <v>563</v>
      </c>
      <c r="H1636" s="2" t="s">
        <v>564</v>
      </c>
      <c r="I1636" s="2" t="s">
        <v>565</v>
      </c>
      <c r="J1636" s="3">
        <v>0.16300000000000001</v>
      </c>
      <c r="K1636" s="2" t="s">
        <v>157</v>
      </c>
      <c r="L1636" s="2">
        <v>2023</v>
      </c>
      <c r="M1636" s="2" t="s">
        <v>158</v>
      </c>
      <c r="N1636" s="2" t="s">
        <v>21</v>
      </c>
      <c r="O1636">
        <f t="shared" si="50"/>
        <v>1.3000000000000114</v>
      </c>
      <c r="P1636">
        <f t="shared" si="51"/>
        <v>-10.466000000000006</v>
      </c>
    </row>
    <row r="1637" spans="1:16" x14ac:dyDescent="0.35">
      <c r="A1637" s="9" t="s">
        <v>163</v>
      </c>
      <c r="B1637" s="2">
        <v>159.13</v>
      </c>
      <c r="C1637" s="2">
        <v>160.30000000000001</v>
      </c>
      <c r="D1637" s="2">
        <v>157.6</v>
      </c>
      <c r="E1637" s="2">
        <v>158.63</v>
      </c>
      <c r="F1637" s="2">
        <v>6606956</v>
      </c>
      <c r="G1637" s="2" t="s">
        <v>563</v>
      </c>
      <c r="H1637" s="2" t="s">
        <v>564</v>
      </c>
      <c r="I1637" s="2" t="s">
        <v>565</v>
      </c>
      <c r="J1637" s="4">
        <v>-0.55200000000000005</v>
      </c>
      <c r="K1637" s="2" t="s">
        <v>157</v>
      </c>
      <c r="L1637" s="2">
        <v>2023</v>
      </c>
      <c r="M1637" s="2" t="s">
        <v>158</v>
      </c>
      <c r="N1637" s="2" t="s">
        <v>23</v>
      </c>
      <c r="O1637">
        <f t="shared" si="50"/>
        <v>2.7000000000000171</v>
      </c>
      <c r="P1637">
        <f t="shared" si="51"/>
        <v>-11.018000000000006</v>
      </c>
    </row>
    <row r="1638" spans="1:16" x14ac:dyDescent="0.35">
      <c r="A1638" s="9" t="s">
        <v>164</v>
      </c>
      <c r="B1638" s="2">
        <v>158.94</v>
      </c>
      <c r="C1638" s="2">
        <v>158.94</v>
      </c>
      <c r="D1638" s="2">
        <v>157.88</v>
      </c>
      <c r="E1638" s="2">
        <v>158.08000000000001</v>
      </c>
      <c r="F1638" s="2">
        <v>6940442</v>
      </c>
      <c r="G1638" s="2" t="s">
        <v>563</v>
      </c>
      <c r="H1638" s="2" t="s">
        <v>564</v>
      </c>
      <c r="I1638" s="2" t="s">
        <v>565</v>
      </c>
      <c r="J1638" s="4">
        <v>-0.34699999999999998</v>
      </c>
      <c r="K1638" s="2" t="s">
        <v>157</v>
      </c>
      <c r="L1638" s="2">
        <v>2023</v>
      </c>
      <c r="M1638" s="2" t="s">
        <v>158</v>
      </c>
      <c r="N1638" s="2" t="s">
        <v>23</v>
      </c>
      <c r="O1638">
        <f t="shared" si="50"/>
        <v>1.0600000000000023</v>
      </c>
      <c r="P1638">
        <f t="shared" si="51"/>
        <v>-11.365000000000006</v>
      </c>
    </row>
    <row r="1639" spans="1:16" x14ac:dyDescent="0.35">
      <c r="A1639" s="9" t="s">
        <v>165</v>
      </c>
      <c r="B1639" s="2">
        <v>158</v>
      </c>
      <c r="C1639" s="2">
        <v>159.13</v>
      </c>
      <c r="D1639" s="2">
        <v>157.41</v>
      </c>
      <c r="E1639" s="2">
        <v>158.81</v>
      </c>
      <c r="F1639" s="2">
        <v>6401743</v>
      </c>
      <c r="G1639" s="2" t="s">
        <v>563</v>
      </c>
      <c r="H1639" s="2" t="s">
        <v>564</v>
      </c>
      <c r="I1639" s="2" t="s">
        <v>565</v>
      </c>
      <c r="J1639" s="3">
        <v>0.46200000000000002</v>
      </c>
      <c r="K1639" s="2" t="s">
        <v>157</v>
      </c>
      <c r="L1639" s="2">
        <v>2023</v>
      </c>
      <c r="M1639" s="2" t="s">
        <v>158</v>
      </c>
      <c r="N1639" s="2" t="s">
        <v>21</v>
      </c>
      <c r="O1639">
        <f t="shared" si="50"/>
        <v>1.7199999999999989</v>
      </c>
      <c r="P1639">
        <f t="shared" si="51"/>
        <v>-10.903000000000006</v>
      </c>
    </row>
    <row r="1640" spans="1:16" x14ac:dyDescent="0.35">
      <c r="A1640" s="9" t="s">
        <v>166</v>
      </c>
      <c r="B1640" s="2">
        <v>159.18</v>
      </c>
      <c r="C1640" s="2">
        <v>160.22499999999999</v>
      </c>
      <c r="D1640" s="2">
        <v>158.97999999999999</v>
      </c>
      <c r="E1640" s="2">
        <v>159.87</v>
      </c>
      <c r="F1640" s="2">
        <v>5362237</v>
      </c>
      <c r="G1640" s="2" t="s">
        <v>563</v>
      </c>
      <c r="H1640" s="2" t="s">
        <v>564</v>
      </c>
      <c r="I1640" s="2" t="s">
        <v>565</v>
      </c>
      <c r="J1640" s="3">
        <v>0.66700000000000004</v>
      </c>
      <c r="K1640" s="2" t="s">
        <v>157</v>
      </c>
      <c r="L1640" s="2">
        <v>2023</v>
      </c>
      <c r="M1640" s="2" t="s">
        <v>158</v>
      </c>
      <c r="N1640" s="2" t="s">
        <v>21</v>
      </c>
      <c r="O1640">
        <f t="shared" si="50"/>
        <v>1.2450000000000045</v>
      </c>
      <c r="P1640">
        <f t="shared" si="51"/>
        <v>-10.236000000000006</v>
      </c>
    </row>
    <row r="1641" spans="1:16" x14ac:dyDescent="0.35">
      <c r="A1641" s="9" t="s">
        <v>167</v>
      </c>
      <c r="B1641" s="2">
        <v>159.75</v>
      </c>
      <c r="C1641" s="2">
        <v>159.87</v>
      </c>
      <c r="D1641" s="2">
        <v>158.15</v>
      </c>
      <c r="E1641" s="2">
        <v>159.07</v>
      </c>
      <c r="F1641" s="2">
        <v>5488030</v>
      </c>
      <c r="G1641" s="2" t="s">
        <v>563</v>
      </c>
      <c r="H1641" s="2" t="s">
        <v>564</v>
      </c>
      <c r="I1641" s="2" t="s">
        <v>565</v>
      </c>
      <c r="J1641" s="4">
        <v>-0.5</v>
      </c>
      <c r="K1641" s="2" t="s">
        <v>157</v>
      </c>
      <c r="L1641" s="2">
        <v>2023</v>
      </c>
      <c r="M1641" s="2" t="s">
        <v>158</v>
      </c>
      <c r="N1641" s="2" t="s">
        <v>23</v>
      </c>
      <c r="O1641">
        <f t="shared" si="50"/>
        <v>1.7199999999999989</v>
      </c>
      <c r="P1641">
        <f t="shared" si="51"/>
        <v>-10.736000000000006</v>
      </c>
    </row>
    <row r="1642" spans="1:16" x14ac:dyDescent="0.35">
      <c r="A1642" s="9" t="s">
        <v>168</v>
      </c>
      <c r="B1642" s="2">
        <v>159.07</v>
      </c>
      <c r="C1642" s="2">
        <v>160.88999999999999</v>
      </c>
      <c r="D1642" s="2">
        <v>158.19</v>
      </c>
      <c r="E1642" s="2">
        <v>159.06</v>
      </c>
      <c r="F1642" s="2">
        <v>6332509</v>
      </c>
      <c r="G1642" s="2" t="s">
        <v>563</v>
      </c>
      <c r="H1642" s="2" t="s">
        <v>564</v>
      </c>
      <c r="I1642" s="2" t="s">
        <v>565</v>
      </c>
      <c r="J1642" s="4">
        <v>-6.0000000000000001E-3</v>
      </c>
      <c r="K1642" s="2" t="s">
        <v>157</v>
      </c>
      <c r="L1642" s="2">
        <v>2023</v>
      </c>
      <c r="M1642" s="2" t="s">
        <v>158</v>
      </c>
      <c r="N1642" s="2" t="s">
        <v>23</v>
      </c>
      <c r="O1642">
        <f t="shared" si="50"/>
        <v>2.6999999999999886</v>
      </c>
      <c r="P1642">
        <f t="shared" si="51"/>
        <v>-10.742000000000006</v>
      </c>
    </row>
    <row r="1643" spans="1:16" x14ac:dyDescent="0.35">
      <c r="A1643" s="9" t="s">
        <v>169</v>
      </c>
      <c r="B1643" s="2">
        <v>157.91</v>
      </c>
      <c r="C1643" s="2">
        <v>160.41</v>
      </c>
      <c r="D1643" s="2">
        <v>157.33000000000001</v>
      </c>
      <c r="E1643" s="2">
        <v>158.74</v>
      </c>
      <c r="F1643" s="2">
        <v>7522557</v>
      </c>
      <c r="G1643" s="2" t="s">
        <v>563</v>
      </c>
      <c r="H1643" s="2" t="s">
        <v>564</v>
      </c>
      <c r="I1643" s="2" t="s">
        <v>565</v>
      </c>
      <c r="J1643" s="4">
        <v>-0.20100000000000001</v>
      </c>
      <c r="K1643" s="2" t="s">
        <v>157</v>
      </c>
      <c r="L1643" s="2">
        <v>2023</v>
      </c>
      <c r="M1643" s="2" t="s">
        <v>158</v>
      </c>
      <c r="N1643" s="2" t="s">
        <v>23</v>
      </c>
      <c r="O1643">
        <f t="shared" si="50"/>
        <v>3.0799999999999841</v>
      </c>
      <c r="P1643">
        <f t="shared" si="51"/>
        <v>-10.943000000000007</v>
      </c>
    </row>
    <row r="1644" spans="1:16" x14ac:dyDescent="0.35">
      <c r="A1644" s="9" t="s">
        <v>170</v>
      </c>
      <c r="B1644" s="2">
        <v>161.94</v>
      </c>
      <c r="C1644" s="2">
        <v>169.14</v>
      </c>
      <c r="D1644" s="2">
        <v>161.30000000000001</v>
      </c>
      <c r="E1644" s="2">
        <v>168.38</v>
      </c>
      <c r="F1644" s="2">
        <v>21892881</v>
      </c>
      <c r="G1644" s="2" t="s">
        <v>563</v>
      </c>
      <c r="H1644" s="2" t="s">
        <v>564</v>
      </c>
      <c r="I1644" s="2" t="s">
        <v>565</v>
      </c>
      <c r="J1644" s="3">
        <v>6.0730000000000004</v>
      </c>
      <c r="K1644" s="2" t="s">
        <v>157</v>
      </c>
      <c r="L1644" s="2">
        <v>2023</v>
      </c>
      <c r="M1644" s="2" t="s">
        <v>158</v>
      </c>
      <c r="N1644" s="2" t="s">
        <v>21</v>
      </c>
      <c r="O1644">
        <f t="shared" si="50"/>
        <v>7.839999999999975</v>
      </c>
      <c r="P1644">
        <f t="shared" si="51"/>
        <v>-4.8700000000000063</v>
      </c>
    </row>
    <row r="1645" spans="1:16" x14ac:dyDescent="0.35">
      <c r="A1645" s="9" t="s">
        <v>171</v>
      </c>
      <c r="B1645" s="2">
        <v>168.18</v>
      </c>
      <c r="C1645" s="2">
        <v>170.82</v>
      </c>
      <c r="D1645" s="2">
        <v>168.18</v>
      </c>
      <c r="E1645" s="2">
        <v>170.19</v>
      </c>
      <c r="F1645" s="2">
        <v>12079999</v>
      </c>
      <c r="G1645" s="2" t="s">
        <v>563</v>
      </c>
      <c r="H1645" s="2" t="s">
        <v>564</v>
      </c>
      <c r="I1645" s="2" t="s">
        <v>565</v>
      </c>
      <c r="J1645" s="3">
        <v>1.075</v>
      </c>
      <c r="K1645" s="2" t="s">
        <v>157</v>
      </c>
      <c r="L1645" s="2">
        <v>2023</v>
      </c>
      <c r="M1645" s="2" t="s">
        <v>158</v>
      </c>
      <c r="N1645" s="2" t="s">
        <v>21</v>
      </c>
      <c r="O1645">
        <f t="shared" si="50"/>
        <v>2.6399999999999864</v>
      </c>
      <c r="P1645">
        <f t="shared" si="51"/>
        <v>-3.7950000000000061</v>
      </c>
    </row>
    <row r="1646" spans="1:16" x14ac:dyDescent="0.35">
      <c r="A1646" s="9" t="s">
        <v>172</v>
      </c>
      <c r="B1646" s="2">
        <v>171.5</v>
      </c>
      <c r="C1646" s="2">
        <v>173.82</v>
      </c>
      <c r="D1646" s="2">
        <v>170.99</v>
      </c>
      <c r="E1646" s="2">
        <v>171.08</v>
      </c>
      <c r="F1646" s="2">
        <v>15155446</v>
      </c>
      <c r="G1646" s="2" t="s">
        <v>563</v>
      </c>
      <c r="H1646" s="2" t="s">
        <v>564</v>
      </c>
      <c r="I1646" s="2" t="s">
        <v>565</v>
      </c>
      <c r="J1646" s="3">
        <v>0.52300000000000002</v>
      </c>
      <c r="K1646" s="2" t="s">
        <v>157</v>
      </c>
      <c r="L1646" s="2">
        <v>2023</v>
      </c>
      <c r="M1646" s="2" t="s">
        <v>158</v>
      </c>
      <c r="N1646" s="2" t="s">
        <v>21</v>
      </c>
      <c r="O1646">
        <f t="shared" si="50"/>
        <v>2.8299999999999841</v>
      </c>
      <c r="P1646">
        <f t="shared" si="51"/>
        <v>-3.272000000000006</v>
      </c>
    </row>
    <row r="1647" spans="1:16" x14ac:dyDescent="0.35">
      <c r="A1647" s="9" t="s">
        <v>173</v>
      </c>
      <c r="B1647" s="2">
        <v>170.45</v>
      </c>
      <c r="C1647" s="2">
        <v>172.68</v>
      </c>
      <c r="D1647" s="2">
        <v>169.75</v>
      </c>
      <c r="E1647" s="2">
        <v>172.39</v>
      </c>
      <c r="F1647" s="2">
        <v>13790053</v>
      </c>
      <c r="G1647" s="2" t="s">
        <v>563</v>
      </c>
      <c r="H1647" s="2" t="s">
        <v>564</v>
      </c>
      <c r="I1647" s="2" t="s">
        <v>565</v>
      </c>
      <c r="J1647" s="3">
        <v>0.76600000000000001</v>
      </c>
      <c r="K1647" s="2" t="s">
        <v>157</v>
      </c>
      <c r="L1647" s="2">
        <v>2023</v>
      </c>
      <c r="M1647" s="2" t="s">
        <v>158</v>
      </c>
      <c r="N1647" s="2" t="s">
        <v>21</v>
      </c>
      <c r="O1647">
        <f t="shared" si="50"/>
        <v>2.9300000000000068</v>
      </c>
      <c r="P1647">
        <f t="shared" si="51"/>
        <v>-2.506000000000006</v>
      </c>
    </row>
    <row r="1648" spans="1:16" x14ac:dyDescent="0.35">
      <c r="A1648" s="9" t="s">
        <v>174</v>
      </c>
      <c r="B1648" s="2">
        <v>172</v>
      </c>
      <c r="C1648" s="2">
        <v>173.85</v>
      </c>
      <c r="D1648" s="2">
        <v>171.4</v>
      </c>
      <c r="E1648" s="2">
        <v>172.72</v>
      </c>
      <c r="F1648" s="2">
        <v>14288173</v>
      </c>
      <c r="G1648" s="2" t="s">
        <v>563</v>
      </c>
      <c r="H1648" s="2" t="s">
        <v>564</v>
      </c>
      <c r="I1648" s="2" t="s">
        <v>565</v>
      </c>
      <c r="J1648" s="3">
        <v>0.191</v>
      </c>
      <c r="K1648" s="2" t="s">
        <v>157</v>
      </c>
      <c r="L1648" s="2">
        <v>2023</v>
      </c>
      <c r="M1648" s="2" t="s">
        <v>158</v>
      </c>
      <c r="N1648" s="2" t="s">
        <v>21</v>
      </c>
      <c r="O1648">
        <f t="shared" si="50"/>
        <v>2.4499999999999886</v>
      </c>
      <c r="P1648">
        <f t="shared" si="51"/>
        <v>-2.3150000000000062</v>
      </c>
    </row>
    <row r="1649" spans="1:16" x14ac:dyDescent="0.35">
      <c r="A1649" s="9" t="s">
        <v>175</v>
      </c>
      <c r="B1649" s="2">
        <v>172.18</v>
      </c>
      <c r="C1649" s="2">
        <v>174.29</v>
      </c>
      <c r="D1649" s="2">
        <v>172.04</v>
      </c>
      <c r="E1649" s="2">
        <v>173.69</v>
      </c>
      <c r="F1649" s="2">
        <v>12446386</v>
      </c>
      <c r="G1649" s="2" t="s">
        <v>563</v>
      </c>
      <c r="H1649" s="2" t="s">
        <v>564</v>
      </c>
      <c r="I1649" s="2" t="s">
        <v>565</v>
      </c>
      <c r="J1649" s="3">
        <v>0.56200000000000006</v>
      </c>
      <c r="K1649" s="2" t="s">
        <v>157</v>
      </c>
      <c r="L1649" s="2">
        <v>2023</v>
      </c>
      <c r="M1649" s="2" t="s">
        <v>158</v>
      </c>
      <c r="N1649" s="2" t="s">
        <v>21</v>
      </c>
      <c r="O1649">
        <f t="shared" si="50"/>
        <v>2.25</v>
      </c>
      <c r="P1649">
        <f t="shared" si="51"/>
        <v>-1.7530000000000061</v>
      </c>
    </row>
    <row r="1650" spans="1:16" x14ac:dyDescent="0.35">
      <c r="A1650" s="9" t="s">
        <v>176</v>
      </c>
      <c r="B1650" s="2">
        <v>174</v>
      </c>
      <c r="C1650" s="2">
        <v>175.36</v>
      </c>
      <c r="D1650" s="2">
        <v>173.23</v>
      </c>
      <c r="E1650" s="2">
        <v>174.48</v>
      </c>
      <c r="F1650" s="2">
        <v>14138839</v>
      </c>
      <c r="G1650" s="2" t="s">
        <v>563</v>
      </c>
      <c r="H1650" s="2" t="s">
        <v>564</v>
      </c>
      <c r="I1650" s="2" t="s">
        <v>565</v>
      </c>
      <c r="J1650" s="3">
        <v>0.45500000000000002</v>
      </c>
      <c r="K1650" s="2" t="s">
        <v>157</v>
      </c>
      <c r="L1650" s="2">
        <v>2023</v>
      </c>
      <c r="M1650" s="2" t="s">
        <v>158</v>
      </c>
      <c r="N1650" s="2" t="s">
        <v>21</v>
      </c>
      <c r="O1650">
        <f t="shared" si="50"/>
        <v>2.1300000000000239</v>
      </c>
      <c r="P1650">
        <f t="shared" si="51"/>
        <v>-1.298000000000006</v>
      </c>
    </row>
    <row r="1651" spans="1:16" x14ac:dyDescent="0.35">
      <c r="A1651" s="9" t="s">
        <v>177</v>
      </c>
      <c r="B1651" s="2">
        <v>169.69</v>
      </c>
      <c r="C1651" s="2">
        <v>170.22</v>
      </c>
      <c r="D1651" s="2">
        <v>166.71</v>
      </c>
      <c r="E1651" s="2">
        <v>167.53</v>
      </c>
      <c r="F1651" s="2">
        <v>22632720</v>
      </c>
      <c r="G1651" s="2" t="s">
        <v>563</v>
      </c>
      <c r="H1651" s="2" t="s">
        <v>564</v>
      </c>
      <c r="I1651" s="2" t="s">
        <v>565</v>
      </c>
      <c r="J1651" s="4">
        <v>-3.9830000000000001</v>
      </c>
      <c r="K1651" s="2" t="s">
        <v>157</v>
      </c>
      <c r="L1651" s="2">
        <v>2023</v>
      </c>
      <c r="M1651" s="2" t="s">
        <v>158</v>
      </c>
      <c r="N1651" s="2" t="s">
        <v>23</v>
      </c>
      <c r="O1651">
        <f t="shared" si="50"/>
        <v>3.5099999999999909</v>
      </c>
      <c r="P1651">
        <f t="shared" si="51"/>
        <v>-5.2810000000000059</v>
      </c>
    </row>
    <row r="1652" spans="1:16" x14ac:dyDescent="0.35">
      <c r="A1652" s="9" t="s">
        <v>178</v>
      </c>
      <c r="B1652" s="2">
        <v>166.36500000000001</v>
      </c>
      <c r="C1652" s="2">
        <v>169.09</v>
      </c>
      <c r="D1652" s="2">
        <v>166.06</v>
      </c>
      <c r="E1652" s="2">
        <v>168.89</v>
      </c>
      <c r="F1652" s="2">
        <v>15811545</v>
      </c>
      <c r="G1652" s="2" t="s">
        <v>563</v>
      </c>
      <c r="H1652" s="2" t="s">
        <v>564</v>
      </c>
      <c r="I1652" s="2" t="s">
        <v>565</v>
      </c>
      <c r="J1652" s="3">
        <v>0.81200000000000006</v>
      </c>
      <c r="K1652" s="2" t="s">
        <v>179</v>
      </c>
      <c r="L1652" s="2">
        <v>2023</v>
      </c>
      <c r="M1652" s="2" t="s">
        <v>180</v>
      </c>
      <c r="N1652" s="2" t="s">
        <v>21</v>
      </c>
      <c r="O1652">
        <f t="shared" si="50"/>
        <v>3.0300000000000011</v>
      </c>
      <c r="P1652">
        <f t="shared" si="51"/>
        <v>-4.4690000000000056</v>
      </c>
    </row>
    <row r="1653" spans="1:16" x14ac:dyDescent="0.35">
      <c r="A1653" s="9" t="s">
        <v>181</v>
      </c>
      <c r="B1653" s="2">
        <v>168.85</v>
      </c>
      <c r="C1653" s="2">
        <v>171.24</v>
      </c>
      <c r="D1653" s="2">
        <v>168.85</v>
      </c>
      <c r="E1653" s="2">
        <v>169.91</v>
      </c>
      <c r="F1653" s="2">
        <v>14599264</v>
      </c>
      <c r="G1653" s="2" t="s">
        <v>563</v>
      </c>
      <c r="H1653" s="2" t="s">
        <v>564</v>
      </c>
      <c r="I1653" s="2" t="s">
        <v>565</v>
      </c>
      <c r="J1653" s="3">
        <v>0.60399999999999998</v>
      </c>
      <c r="K1653" s="2" t="s">
        <v>179</v>
      </c>
      <c r="L1653" s="2">
        <v>2023</v>
      </c>
      <c r="M1653" s="2" t="s">
        <v>180</v>
      </c>
      <c r="N1653" s="2" t="s">
        <v>21</v>
      </c>
      <c r="O1653">
        <f t="shared" si="50"/>
        <v>2.3900000000000148</v>
      </c>
      <c r="P1653">
        <f t="shared" si="51"/>
        <v>-3.8650000000000055</v>
      </c>
    </row>
    <row r="1654" spans="1:16" x14ac:dyDescent="0.35">
      <c r="A1654" s="9" t="s">
        <v>182</v>
      </c>
      <c r="B1654" s="2">
        <v>169.95</v>
      </c>
      <c r="C1654" s="2">
        <v>171.32</v>
      </c>
      <c r="D1654" s="2">
        <v>169.67</v>
      </c>
      <c r="E1654" s="2">
        <v>170.64</v>
      </c>
      <c r="F1654" s="2">
        <v>17425230</v>
      </c>
      <c r="G1654" s="2" t="s">
        <v>563</v>
      </c>
      <c r="H1654" s="2" t="s">
        <v>564</v>
      </c>
      <c r="I1654" s="2" t="s">
        <v>565</v>
      </c>
      <c r="J1654" s="3">
        <v>0.43</v>
      </c>
      <c r="K1654" s="2" t="s">
        <v>179</v>
      </c>
      <c r="L1654" s="2">
        <v>2023</v>
      </c>
      <c r="M1654" s="2" t="s">
        <v>180</v>
      </c>
      <c r="N1654" s="2" t="s">
        <v>21</v>
      </c>
      <c r="O1654">
        <f t="shared" si="50"/>
        <v>1.6500000000000057</v>
      </c>
      <c r="P1654">
        <f t="shared" si="51"/>
        <v>-3.4350000000000054</v>
      </c>
    </row>
    <row r="1655" spans="1:16" x14ac:dyDescent="0.35">
      <c r="A1655" s="9" t="s">
        <v>183</v>
      </c>
      <c r="B1655" s="2">
        <v>170.34</v>
      </c>
      <c r="C1655" s="2">
        <v>172.68</v>
      </c>
      <c r="D1655" s="2">
        <v>167.89</v>
      </c>
      <c r="E1655" s="2">
        <v>169.04</v>
      </c>
      <c r="F1655" s="2">
        <v>23415053</v>
      </c>
      <c r="G1655" s="2" t="s">
        <v>563</v>
      </c>
      <c r="H1655" s="2" t="s">
        <v>564</v>
      </c>
      <c r="I1655" s="2" t="s">
        <v>565</v>
      </c>
      <c r="J1655" s="4">
        <v>-0.93799999999999994</v>
      </c>
      <c r="K1655" s="2" t="s">
        <v>179</v>
      </c>
      <c r="L1655" s="2">
        <v>2023</v>
      </c>
      <c r="M1655" s="2" t="s">
        <v>180</v>
      </c>
      <c r="N1655" s="2" t="s">
        <v>23</v>
      </c>
      <c r="O1655">
        <f t="shared" si="50"/>
        <v>4.7900000000000205</v>
      </c>
      <c r="P1655">
        <f t="shared" si="51"/>
        <v>-4.3730000000000055</v>
      </c>
    </row>
    <row r="1656" spans="1:16" x14ac:dyDescent="0.35">
      <c r="A1656" s="9" t="s">
        <v>184</v>
      </c>
      <c r="B1656" s="2">
        <v>169.49</v>
      </c>
      <c r="C1656" s="2">
        <v>173.34</v>
      </c>
      <c r="D1656" s="2">
        <v>169.36</v>
      </c>
      <c r="E1656" s="2">
        <v>173.1</v>
      </c>
      <c r="F1656" s="2">
        <v>17736444</v>
      </c>
      <c r="G1656" s="2" t="s">
        <v>563</v>
      </c>
      <c r="H1656" s="2" t="s">
        <v>564</v>
      </c>
      <c r="I1656" s="2" t="s">
        <v>565</v>
      </c>
      <c r="J1656" s="3">
        <v>2.4020000000000001</v>
      </c>
      <c r="K1656" s="2" t="s">
        <v>179</v>
      </c>
      <c r="L1656" s="2">
        <v>2023</v>
      </c>
      <c r="M1656" s="2" t="s">
        <v>180</v>
      </c>
      <c r="N1656" s="2" t="s">
        <v>21</v>
      </c>
      <c r="O1656">
        <f t="shared" si="50"/>
        <v>3.9799999999999898</v>
      </c>
      <c r="P1656">
        <f t="shared" si="51"/>
        <v>-1.9710000000000054</v>
      </c>
    </row>
    <row r="1657" spans="1:16" x14ac:dyDescent="0.35">
      <c r="A1657" s="9" t="s">
        <v>185</v>
      </c>
      <c r="B1657" s="2">
        <v>172.99</v>
      </c>
      <c r="C1657" s="2">
        <v>173.55</v>
      </c>
      <c r="D1657" s="2">
        <v>171.39</v>
      </c>
      <c r="E1657" s="2">
        <v>173.18</v>
      </c>
      <c r="F1657" s="2">
        <v>27378701</v>
      </c>
      <c r="G1657" s="2" t="s">
        <v>563</v>
      </c>
      <c r="H1657" s="2" t="s">
        <v>564</v>
      </c>
      <c r="I1657" s="2" t="s">
        <v>565</v>
      </c>
      <c r="J1657" s="3">
        <v>4.5999999999999999E-2</v>
      </c>
      <c r="K1657" s="2" t="s">
        <v>179</v>
      </c>
      <c r="L1657" s="2">
        <v>2023</v>
      </c>
      <c r="M1657" s="2" t="s">
        <v>180</v>
      </c>
      <c r="N1657" s="2" t="s">
        <v>21</v>
      </c>
      <c r="O1657">
        <f t="shared" si="50"/>
        <v>2.160000000000025</v>
      </c>
      <c r="P1657">
        <f t="shared" si="51"/>
        <v>-1.9250000000000054</v>
      </c>
    </row>
    <row r="1658" spans="1:16" x14ac:dyDescent="0.35">
      <c r="A1658" s="9" t="s">
        <v>186</v>
      </c>
      <c r="B1658" s="2">
        <v>173</v>
      </c>
      <c r="C1658" s="2">
        <v>174.25</v>
      </c>
      <c r="D1658" s="2">
        <v>172.05</v>
      </c>
      <c r="E1658" s="2">
        <v>173.07</v>
      </c>
      <c r="F1658" s="2">
        <v>42974372</v>
      </c>
      <c r="G1658" s="2" t="s">
        <v>563</v>
      </c>
      <c r="H1658" s="2" t="s">
        <v>564</v>
      </c>
      <c r="I1658" s="2" t="s">
        <v>565</v>
      </c>
      <c r="J1658" s="4">
        <v>-6.4000000000000001E-2</v>
      </c>
      <c r="K1658" s="2" t="s">
        <v>179</v>
      </c>
      <c r="L1658" s="2">
        <v>2023</v>
      </c>
      <c r="M1658" s="2" t="s">
        <v>180</v>
      </c>
      <c r="N1658" s="2" t="s">
        <v>23</v>
      </c>
      <c r="O1658">
        <f t="shared" si="50"/>
        <v>2.1999999999999886</v>
      </c>
      <c r="P1658">
        <f t="shared" si="51"/>
        <v>-1.9890000000000054</v>
      </c>
    </row>
    <row r="1659" spans="1:16" x14ac:dyDescent="0.35">
      <c r="A1659" s="9" t="s">
        <v>187</v>
      </c>
      <c r="B1659" s="2">
        <v>174</v>
      </c>
      <c r="C1659" s="2">
        <v>175.97</v>
      </c>
      <c r="D1659" s="2">
        <v>171.64</v>
      </c>
      <c r="E1659" s="2">
        <v>172.17</v>
      </c>
      <c r="F1659" s="2">
        <v>48213840</v>
      </c>
      <c r="G1659" s="2" t="s">
        <v>563</v>
      </c>
      <c r="H1659" s="2" t="s">
        <v>564</v>
      </c>
      <c r="I1659" s="2" t="s">
        <v>565</v>
      </c>
      <c r="J1659" s="4">
        <v>-0.52</v>
      </c>
      <c r="K1659" s="2" t="s">
        <v>179</v>
      </c>
      <c r="L1659" s="2">
        <v>2023</v>
      </c>
      <c r="M1659" s="2" t="s">
        <v>180</v>
      </c>
      <c r="N1659" s="2" t="s">
        <v>23</v>
      </c>
      <c r="O1659">
        <f t="shared" si="50"/>
        <v>4.3300000000000125</v>
      </c>
      <c r="P1659">
        <f t="shared" si="51"/>
        <v>-2.5090000000000057</v>
      </c>
    </row>
    <row r="1660" spans="1:16" x14ac:dyDescent="0.35">
      <c r="A1660" s="9" t="s">
        <v>188</v>
      </c>
      <c r="B1660" s="2">
        <v>172.48</v>
      </c>
      <c r="C1660" s="2">
        <v>173.95</v>
      </c>
      <c r="D1660" s="2">
        <v>171.62</v>
      </c>
      <c r="E1660" s="2">
        <v>173.85</v>
      </c>
      <c r="F1660" s="2">
        <v>45905612</v>
      </c>
      <c r="G1660" s="2" t="s">
        <v>563</v>
      </c>
      <c r="H1660" s="2" t="s">
        <v>564</v>
      </c>
      <c r="I1660" s="2" t="s">
        <v>565</v>
      </c>
      <c r="J1660" s="3">
        <v>0.97599999999999998</v>
      </c>
      <c r="K1660" s="2" t="s">
        <v>179</v>
      </c>
      <c r="L1660" s="2">
        <v>2023</v>
      </c>
      <c r="M1660" s="2" t="s">
        <v>180</v>
      </c>
      <c r="N1660" s="2" t="s">
        <v>21</v>
      </c>
      <c r="O1660">
        <f t="shared" si="50"/>
        <v>2.3299999999999841</v>
      </c>
      <c r="P1660">
        <f t="shared" si="51"/>
        <v>-1.5330000000000057</v>
      </c>
    </row>
    <row r="1661" spans="1:16" x14ac:dyDescent="0.35">
      <c r="A1661" s="9" t="s">
        <v>189</v>
      </c>
      <c r="B1661" s="2">
        <v>173.52</v>
      </c>
      <c r="C1661" s="2">
        <v>175.6</v>
      </c>
      <c r="D1661" s="2">
        <v>171.75</v>
      </c>
      <c r="E1661" s="2">
        <v>173.44</v>
      </c>
      <c r="F1661" s="2">
        <v>64036947</v>
      </c>
      <c r="G1661" s="2" t="s">
        <v>563</v>
      </c>
      <c r="H1661" s="2" t="s">
        <v>564</v>
      </c>
      <c r="I1661" s="2" t="s">
        <v>565</v>
      </c>
      <c r="J1661" s="4">
        <v>-0.23599999999999999</v>
      </c>
      <c r="K1661" s="2" t="s">
        <v>179</v>
      </c>
      <c r="L1661" s="2">
        <v>2023</v>
      </c>
      <c r="M1661" s="2" t="s">
        <v>180</v>
      </c>
      <c r="N1661" s="2" t="s">
        <v>23</v>
      </c>
      <c r="O1661">
        <f t="shared" si="50"/>
        <v>3.8499999999999943</v>
      </c>
      <c r="P1661">
        <f t="shared" si="51"/>
        <v>-1.7690000000000057</v>
      </c>
    </row>
    <row r="1662" spans="1:16" x14ac:dyDescent="0.35">
      <c r="A1662" s="9" t="s">
        <v>190</v>
      </c>
      <c r="B1662" s="2">
        <v>172.8</v>
      </c>
      <c r="C1662" s="2">
        <v>174.56</v>
      </c>
      <c r="D1662" s="2">
        <v>172.14</v>
      </c>
      <c r="E1662" s="2">
        <v>172.94</v>
      </c>
      <c r="F1662" s="2">
        <v>88924923</v>
      </c>
      <c r="G1662" s="2" t="s">
        <v>563</v>
      </c>
      <c r="H1662" s="2" t="s">
        <v>564</v>
      </c>
      <c r="I1662" s="2" t="s">
        <v>565</v>
      </c>
      <c r="J1662" s="4">
        <v>-0.28799999999999998</v>
      </c>
      <c r="K1662" s="2" t="s">
        <v>179</v>
      </c>
      <c r="L1662" s="2">
        <v>2023</v>
      </c>
      <c r="M1662" s="2" t="s">
        <v>180</v>
      </c>
      <c r="N1662" s="2" t="s">
        <v>23</v>
      </c>
      <c r="O1662">
        <f t="shared" si="50"/>
        <v>2.4200000000000159</v>
      </c>
      <c r="P1662">
        <f t="shared" si="51"/>
        <v>-2.0570000000000057</v>
      </c>
    </row>
    <row r="1663" spans="1:16" x14ac:dyDescent="0.35">
      <c r="A1663" s="9" t="s">
        <v>191</v>
      </c>
      <c r="B1663" s="2">
        <v>172.53</v>
      </c>
      <c r="C1663" s="2">
        <v>174.73</v>
      </c>
      <c r="D1663" s="2">
        <v>172.13</v>
      </c>
      <c r="E1663" s="2">
        <v>172.39</v>
      </c>
      <c r="F1663" s="2">
        <v>85594288</v>
      </c>
      <c r="G1663" s="2" t="s">
        <v>563</v>
      </c>
      <c r="H1663" s="2" t="s">
        <v>564</v>
      </c>
      <c r="I1663" s="2" t="s">
        <v>565</v>
      </c>
      <c r="J1663" s="4">
        <v>-0.318</v>
      </c>
      <c r="K1663" s="2" t="s">
        <v>179</v>
      </c>
      <c r="L1663" s="2">
        <v>2023</v>
      </c>
      <c r="M1663" s="2" t="s">
        <v>180</v>
      </c>
      <c r="N1663" s="2" t="s">
        <v>23</v>
      </c>
      <c r="O1663">
        <f t="shared" si="50"/>
        <v>2.5999999999999943</v>
      </c>
      <c r="P1663">
        <f t="shared" si="51"/>
        <v>-2.3750000000000058</v>
      </c>
    </row>
    <row r="1664" spans="1:16" x14ac:dyDescent="0.35">
      <c r="A1664" s="9" t="s">
        <v>192</v>
      </c>
      <c r="B1664" s="2">
        <v>172.86</v>
      </c>
      <c r="C1664" s="2">
        <v>175.39</v>
      </c>
      <c r="D1664" s="2">
        <v>172.76</v>
      </c>
      <c r="E1664" s="2">
        <v>174.01</v>
      </c>
      <c r="F1664" s="2">
        <v>70904183</v>
      </c>
      <c r="G1664" s="2" t="s">
        <v>563</v>
      </c>
      <c r="H1664" s="2" t="s">
        <v>564</v>
      </c>
      <c r="I1664" s="2" t="s">
        <v>565</v>
      </c>
      <c r="J1664" s="3">
        <v>0.94</v>
      </c>
      <c r="K1664" s="2" t="s">
        <v>179</v>
      </c>
      <c r="L1664" s="2">
        <v>2023</v>
      </c>
      <c r="M1664" s="2" t="s">
        <v>180</v>
      </c>
      <c r="N1664" s="2" t="s">
        <v>21</v>
      </c>
      <c r="O1664">
        <f t="shared" si="50"/>
        <v>2.6299999999999955</v>
      </c>
      <c r="P1664">
        <f t="shared" si="51"/>
        <v>-1.4350000000000058</v>
      </c>
    </row>
    <row r="1665" spans="1:16" x14ac:dyDescent="0.35">
      <c r="A1665" s="9" t="s">
        <v>193</v>
      </c>
      <c r="B1665" s="2">
        <v>173.17</v>
      </c>
      <c r="C1665" s="2">
        <v>173.99</v>
      </c>
      <c r="D1665" s="2">
        <v>171.31</v>
      </c>
      <c r="E1665" s="2">
        <v>172.49</v>
      </c>
      <c r="F1665" s="2">
        <v>49631742</v>
      </c>
      <c r="G1665" s="2" t="s">
        <v>563</v>
      </c>
      <c r="H1665" s="2" t="s">
        <v>564</v>
      </c>
      <c r="I1665" s="2" t="s">
        <v>565</v>
      </c>
      <c r="J1665" s="4">
        <v>-0.874</v>
      </c>
      <c r="K1665" s="2" t="s">
        <v>179</v>
      </c>
      <c r="L1665" s="2">
        <v>2023</v>
      </c>
      <c r="M1665" s="2" t="s">
        <v>180</v>
      </c>
      <c r="N1665" s="2" t="s">
        <v>23</v>
      </c>
      <c r="O1665">
        <f t="shared" si="50"/>
        <v>2.6800000000000068</v>
      </c>
      <c r="P1665">
        <f t="shared" si="51"/>
        <v>-2.3090000000000059</v>
      </c>
    </row>
    <row r="1666" spans="1:16" x14ac:dyDescent="0.35">
      <c r="A1666" s="9" t="s">
        <v>194</v>
      </c>
      <c r="B1666" s="2">
        <v>169.69</v>
      </c>
      <c r="C1666" s="2">
        <v>169.85</v>
      </c>
      <c r="D1666" s="2">
        <v>165.96</v>
      </c>
      <c r="E1666" s="2">
        <v>167.35</v>
      </c>
      <c r="F1666" s="2">
        <v>151319484</v>
      </c>
      <c r="G1666" s="2" t="s">
        <v>563</v>
      </c>
      <c r="H1666" s="2" t="s">
        <v>564</v>
      </c>
      <c r="I1666" s="2" t="s">
        <v>565</v>
      </c>
      <c r="J1666" s="4">
        <v>-2.98</v>
      </c>
      <c r="K1666" s="2" t="s">
        <v>179</v>
      </c>
      <c r="L1666" s="2">
        <v>2023</v>
      </c>
      <c r="M1666" s="2" t="s">
        <v>180</v>
      </c>
      <c r="N1666" s="2" t="s">
        <v>23</v>
      </c>
      <c r="O1666">
        <f t="shared" si="50"/>
        <v>3.8899999999999864</v>
      </c>
      <c r="P1666">
        <f t="shared" si="51"/>
        <v>-5.2890000000000059</v>
      </c>
    </row>
    <row r="1667" spans="1:16" x14ac:dyDescent="0.35">
      <c r="A1667" s="9" t="s">
        <v>195</v>
      </c>
      <c r="B1667" s="2">
        <v>166.86</v>
      </c>
      <c r="C1667" s="2">
        <v>167.84</v>
      </c>
      <c r="D1667" s="2">
        <v>165.41</v>
      </c>
      <c r="E1667" s="2">
        <v>166.02</v>
      </c>
      <c r="F1667" s="2">
        <v>56835372</v>
      </c>
      <c r="G1667" s="2" t="s">
        <v>563</v>
      </c>
      <c r="H1667" s="2" t="s">
        <v>564</v>
      </c>
      <c r="I1667" s="2" t="s">
        <v>565</v>
      </c>
      <c r="J1667" s="4">
        <v>-0.79500000000000004</v>
      </c>
      <c r="K1667" s="2" t="s">
        <v>179</v>
      </c>
      <c r="L1667" s="2">
        <v>2023</v>
      </c>
      <c r="M1667" s="2" t="s">
        <v>180</v>
      </c>
      <c r="N1667" s="2" t="s">
        <v>23</v>
      </c>
      <c r="O1667">
        <f t="shared" ref="O1667:O1730" si="52">C1667-D1667</f>
        <v>2.4300000000000068</v>
      </c>
      <c r="P1667">
        <f t="shared" si="51"/>
        <v>-6.0840000000000058</v>
      </c>
    </row>
    <row r="1668" spans="1:16" x14ac:dyDescent="0.35">
      <c r="A1668" s="9" t="s">
        <v>196</v>
      </c>
      <c r="B1668" s="2">
        <v>165.9</v>
      </c>
      <c r="C1668" s="2">
        <v>166.5</v>
      </c>
      <c r="D1668" s="2">
        <v>163.47</v>
      </c>
      <c r="E1668" s="2">
        <v>164.53</v>
      </c>
      <c r="F1668" s="2">
        <v>119011431</v>
      </c>
      <c r="G1668" s="2" t="s">
        <v>563</v>
      </c>
      <c r="H1668" s="2" t="s">
        <v>564</v>
      </c>
      <c r="I1668" s="2" t="s">
        <v>565</v>
      </c>
      <c r="J1668" s="4">
        <v>-0.89700000000000002</v>
      </c>
      <c r="K1668" s="2" t="s">
        <v>179</v>
      </c>
      <c r="L1668" s="2">
        <v>2023</v>
      </c>
      <c r="M1668" s="2" t="s">
        <v>180</v>
      </c>
      <c r="N1668" s="2" t="s">
        <v>23</v>
      </c>
      <c r="O1668">
        <f t="shared" si="52"/>
        <v>3.0300000000000011</v>
      </c>
      <c r="P1668">
        <f t="shared" ref="P1668:P1731" si="53">IF(G1668=G1667, P1667+J1668, J1668)</f>
        <v>-6.9810000000000061</v>
      </c>
    </row>
    <row r="1669" spans="1:16" x14ac:dyDescent="0.35">
      <c r="A1669" s="9" t="s">
        <v>197</v>
      </c>
      <c r="B1669" s="2">
        <v>164.03</v>
      </c>
      <c r="C1669" s="2">
        <v>166.67</v>
      </c>
      <c r="D1669" s="2">
        <v>163.86</v>
      </c>
      <c r="E1669" s="2">
        <v>165.09</v>
      </c>
      <c r="F1669" s="2">
        <v>70755064</v>
      </c>
      <c r="G1669" s="2" t="s">
        <v>563</v>
      </c>
      <c r="H1669" s="2" t="s">
        <v>564</v>
      </c>
      <c r="I1669" s="2" t="s">
        <v>565</v>
      </c>
      <c r="J1669" s="3">
        <v>0.34</v>
      </c>
      <c r="K1669" s="2" t="s">
        <v>179</v>
      </c>
      <c r="L1669" s="2">
        <v>2023</v>
      </c>
      <c r="M1669" s="2" t="s">
        <v>180</v>
      </c>
      <c r="N1669" s="2" t="s">
        <v>21</v>
      </c>
      <c r="O1669">
        <f t="shared" si="52"/>
        <v>2.8099999999999739</v>
      </c>
      <c r="P1669">
        <f t="shared" si="53"/>
        <v>-6.6410000000000062</v>
      </c>
    </row>
    <row r="1670" spans="1:16" x14ac:dyDescent="0.35">
      <c r="A1670" s="9" t="s">
        <v>198</v>
      </c>
      <c r="B1670" s="2">
        <v>164.3</v>
      </c>
      <c r="C1670" s="2">
        <v>167.78</v>
      </c>
      <c r="D1670" s="2">
        <v>164.06</v>
      </c>
      <c r="E1670" s="2">
        <v>166.25</v>
      </c>
      <c r="F1670" s="2">
        <v>18185517</v>
      </c>
      <c r="G1670" s="2" t="s">
        <v>563</v>
      </c>
      <c r="H1670" s="2" t="s">
        <v>564</v>
      </c>
      <c r="I1670" s="2" t="s">
        <v>565</v>
      </c>
      <c r="J1670" s="3">
        <v>0.70299999999999996</v>
      </c>
      <c r="K1670" s="2" t="s">
        <v>179</v>
      </c>
      <c r="L1670" s="2">
        <v>2023</v>
      </c>
      <c r="M1670" s="2" t="s">
        <v>180</v>
      </c>
      <c r="N1670" s="2" t="s">
        <v>21</v>
      </c>
      <c r="O1670">
        <f t="shared" si="52"/>
        <v>3.7199999999999989</v>
      </c>
      <c r="P1670">
        <f t="shared" si="53"/>
        <v>-5.9380000000000059</v>
      </c>
    </row>
    <row r="1671" spans="1:16" x14ac:dyDescent="0.35">
      <c r="A1671" s="9" t="s">
        <v>199</v>
      </c>
      <c r="B1671" s="2">
        <v>165</v>
      </c>
      <c r="C1671" s="2">
        <v>166.21</v>
      </c>
      <c r="D1671" s="2">
        <v>163.16499999999999</v>
      </c>
      <c r="E1671" s="2">
        <v>164.29</v>
      </c>
      <c r="F1671" s="2">
        <v>18457993</v>
      </c>
      <c r="G1671" s="2" t="s">
        <v>563</v>
      </c>
      <c r="H1671" s="2" t="s">
        <v>564</v>
      </c>
      <c r="I1671" s="2" t="s">
        <v>565</v>
      </c>
      <c r="J1671" s="4">
        <v>-1.179</v>
      </c>
      <c r="K1671" s="2" t="s">
        <v>179</v>
      </c>
      <c r="L1671" s="2">
        <v>2023</v>
      </c>
      <c r="M1671" s="2" t="s">
        <v>180</v>
      </c>
      <c r="N1671" s="2" t="s">
        <v>23</v>
      </c>
      <c r="O1671">
        <f t="shared" si="52"/>
        <v>3.0450000000000159</v>
      </c>
      <c r="P1671">
        <f t="shared" si="53"/>
        <v>-7.1170000000000062</v>
      </c>
    </row>
    <row r="1672" spans="1:16" x14ac:dyDescent="0.35">
      <c r="A1672" s="9" t="s">
        <v>200</v>
      </c>
      <c r="B1672" s="2">
        <v>164.87</v>
      </c>
      <c r="C1672" s="2">
        <v>165.68</v>
      </c>
      <c r="D1672" s="2">
        <v>162.77000000000001</v>
      </c>
      <c r="E1672" s="2">
        <v>164.31</v>
      </c>
      <c r="F1672" s="2">
        <v>12208612</v>
      </c>
      <c r="G1672" s="2" t="s">
        <v>563</v>
      </c>
      <c r="H1672" s="2" t="s">
        <v>564</v>
      </c>
      <c r="I1672" s="2" t="s">
        <v>565</v>
      </c>
      <c r="J1672" s="3">
        <v>1.2E-2</v>
      </c>
      <c r="K1672" s="2" t="s">
        <v>179</v>
      </c>
      <c r="L1672" s="2">
        <v>2023</v>
      </c>
      <c r="M1672" s="2" t="s">
        <v>180</v>
      </c>
      <c r="N1672" s="2" t="s">
        <v>21</v>
      </c>
      <c r="O1672">
        <f t="shared" si="52"/>
        <v>2.9099999999999966</v>
      </c>
      <c r="P1672">
        <f t="shared" si="53"/>
        <v>-7.1050000000000066</v>
      </c>
    </row>
    <row r="1673" spans="1:16" x14ac:dyDescent="0.35">
      <c r="A1673" s="9" t="s">
        <v>201</v>
      </c>
      <c r="B1673" s="2">
        <v>165.11</v>
      </c>
      <c r="C1673" s="2">
        <v>165.83</v>
      </c>
      <c r="D1673" s="2">
        <v>163.68</v>
      </c>
      <c r="E1673" s="2">
        <v>163.72999999999999</v>
      </c>
      <c r="F1673" s="2">
        <v>9939097</v>
      </c>
      <c r="G1673" s="2" t="s">
        <v>563</v>
      </c>
      <c r="H1673" s="2" t="s">
        <v>564</v>
      </c>
      <c r="I1673" s="2" t="s">
        <v>565</v>
      </c>
      <c r="J1673" s="4">
        <v>-0.35299999999999998</v>
      </c>
      <c r="K1673" s="2" t="s">
        <v>179</v>
      </c>
      <c r="L1673" s="2">
        <v>2023</v>
      </c>
      <c r="M1673" s="2" t="s">
        <v>180</v>
      </c>
      <c r="N1673" s="2" t="s">
        <v>23</v>
      </c>
      <c r="O1673">
        <f t="shared" si="52"/>
        <v>2.1500000000000057</v>
      </c>
      <c r="P1673">
        <f t="shared" si="53"/>
        <v>-7.4580000000000064</v>
      </c>
    </row>
    <row r="1674" spans="1:16" x14ac:dyDescent="0.35">
      <c r="A1674" s="9" t="s">
        <v>202</v>
      </c>
      <c r="B1674" s="2">
        <v>163.37</v>
      </c>
      <c r="C1674" s="2">
        <v>163.57</v>
      </c>
      <c r="D1674" s="2">
        <v>161.279</v>
      </c>
      <c r="E1674" s="2">
        <v>161.68</v>
      </c>
      <c r="F1674" s="2">
        <v>15332999</v>
      </c>
      <c r="G1674" s="2" t="s">
        <v>563</v>
      </c>
      <c r="H1674" s="2" t="s">
        <v>564</v>
      </c>
      <c r="I1674" s="2" t="s">
        <v>565</v>
      </c>
      <c r="J1674" s="4">
        <v>-1.252</v>
      </c>
      <c r="K1674" s="2" t="s">
        <v>179</v>
      </c>
      <c r="L1674" s="2">
        <v>2023</v>
      </c>
      <c r="M1674" s="2" t="s">
        <v>180</v>
      </c>
      <c r="N1674" s="2" t="s">
        <v>23</v>
      </c>
      <c r="O1674">
        <f t="shared" si="52"/>
        <v>2.2909999999999968</v>
      </c>
      <c r="P1674">
        <f t="shared" si="53"/>
        <v>-8.7100000000000062</v>
      </c>
    </row>
    <row r="1675" spans="1:16" x14ac:dyDescent="0.35">
      <c r="A1675" s="9" t="s">
        <v>203</v>
      </c>
      <c r="B1675" s="2">
        <v>161.41999999999999</v>
      </c>
      <c r="C1675" s="2">
        <v>162.47999999999999</v>
      </c>
      <c r="D1675" s="2">
        <v>160.01499999999999</v>
      </c>
      <c r="E1675" s="2">
        <v>160.47999999999999</v>
      </c>
      <c r="F1675" s="2">
        <v>8610052</v>
      </c>
      <c r="G1675" s="2" t="s">
        <v>563</v>
      </c>
      <c r="H1675" s="2" t="s">
        <v>564</v>
      </c>
      <c r="I1675" s="2" t="s">
        <v>565</v>
      </c>
      <c r="J1675" s="4">
        <v>-0.74199999999999999</v>
      </c>
      <c r="K1675" s="2" t="s">
        <v>204</v>
      </c>
      <c r="L1675" s="2">
        <v>2023</v>
      </c>
      <c r="M1675" s="2" t="s">
        <v>205</v>
      </c>
      <c r="N1675" s="2" t="s">
        <v>23</v>
      </c>
      <c r="O1675">
        <f t="shared" si="52"/>
        <v>2.4650000000000034</v>
      </c>
      <c r="P1675">
        <f t="shared" si="53"/>
        <v>-9.4520000000000053</v>
      </c>
    </row>
    <row r="1676" spans="1:16" x14ac:dyDescent="0.35">
      <c r="A1676" s="9" t="s">
        <v>206</v>
      </c>
      <c r="B1676" s="2">
        <v>160.56</v>
      </c>
      <c r="C1676" s="2">
        <v>161.97</v>
      </c>
      <c r="D1676" s="2">
        <v>160.28</v>
      </c>
      <c r="E1676" s="2">
        <v>160.68</v>
      </c>
      <c r="F1676" s="2">
        <v>9019777</v>
      </c>
      <c r="G1676" s="2" t="s">
        <v>563</v>
      </c>
      <c r="H1676" s="2" t="s">
        <v>564</v>
      </c>
      <c r="I1676" s="2" t="s">
        <v>565</v>
      </c>
      <c r="J1676" s="3">
        <v>0.125</v>
      </c>
      <c r="K1676" s="2" t="s">
        <v>204</v>
      </c>
      <c r="L1676" s="2">
        <v>2023</v>
      </c>
      <c r="M1676" s="2" t="s">
        <v>205</v>
      </c>
      <c r="N1676" s="2" t="s">
        <v>21</v>
      </c>
      <c r="O1676">
        <f t="shared" si="52"/>
        <v>1.6899999999999977</v>
      </c>
      <c r="P1676">
        <f t="shared" si="53"/>
        <v>-9.3270000000000053</v>
      </c>
    </row>
    <row r="1677" spans="1:16" x14ac:dyDescent="0.35">
      <c r="A1677" s="9" t="s">
        <v>207</v>
      </c>
      <c r="B1677" s="2">
        <v>159.84</v>
      </c>
      <c r="C1677" s="2">
        <v>160</v>
      </c>
      <c r="D1677" s="2">
        <v>157.35</v>
      </c>
      <c r="E1677" s="2">
        <v>158.01</v>
      </c>
      <c r="F1677" s="2">
        <v>9753833</v>
      </c>
      <c r="G1677" s="2" t="s">
        <v>563</v>
      </c>
      <c r="H1677" s="2" t="s">
        <v>564</v>
      </c>
      <c r="I1677" s="2" t="s">
        <v>565</v>
      </c>
      <c r="J1677" s="4">
        <v>-1.6619999999999999</v>
      </c>
      <c r="K1677" s="2" t="s">
        <v>204</v>
      </c>
      <c r="L1677" s="2">
        <v>2023</v>
      </c>
      <c r="M1677" s="2" t="s">
        <v>205</v>
      </c>
      <c r="N1677" s="2" t="s">
        <v>23</v>
      </c>
      <c r="O1677">
        <f t="shared" si="52"/>
        <v>2.6500000000000057</v>
      </c>
      <c r="P1677">
        <f t="shared" si="53"/>
        <v>-10.989000000000004</v>
      </c>
    </row>
    <row r="1678" spans="1:16" x14ac:dyDescent="0.35">
      <c r="A1678" s="9" t="s">
        <v>208</v>
      </c>
      <c r="B1678" s="2">
        <v>159.13999999999999</v>
      </c>
      <c r="C1678" s="2">
        <v>161.06</v>
      </c>
      <c r="D1678" s="2">
        <v>158.97999999999999</v>
      </c>
      <c r="E1678" s="2">
        <v>160.03</v>
      </c>
      <c r="F1678" s="2">
        <v>9931811</v>
      </c>
      <c r="G1678" s="2" t="s">
        <v>563</v>
      </c>
      <c r="H1678" s="2" t="s">
        <v>564</v>
      </c>
      <c r="I1678" s="2" t="s">
        <v>565</v>
      </c>
      <c r="J1678" s="3">
        <v>1.278</v>
      </c>
      <c r="K1678" s="2" t="s">
        <v>204</v>
      </c>
      <c r="L1678" s="2">
        <v>2023</v>
      </c>
      <c r="M1678" s="2" t="s">
        <v>205</v>
      </c>
      <c r="N1678" s="2" t="s">
        <v>21</v>
      </c>
      <c r="O1678">
        <f t="shared" si="52"/>
        <v>2.0800000000000125</v>
      </c>
      <c r="P1678">
        <f t="shared" si="53"/>
        <v>-9.7110000000000039</v>
      </c>
    </row>
    <row r="1679" spans="1:16" x14ac:dyDescent="0.35">
      <c r="A1679" s="9" t="s">
        <v>209</v>
      </c>
      <c r="B1679" s="2">
        <v>159.59</v>
      </c>
      <c r="C1679" s="2">
        <v>160.68</v>
      </c>
      <c r="D1679" s="2">
        <v>159.19</v>
      </c>
      <c r="E1679" s="2">
        <v>160.56</v>
      </c>
      <c r="F1679" s="2">
        <v>6958201</v>
      </c>
      <c r="G1679" s="2" t="s">
        <v>563</v>
      </c>
      <c r="H1679" s="2" t="s">
        <v>564</v>
      </c>
      <c r="I1679" s="2" t="s">
        <v>565</v>
      </c>
      <c r="J1679" s="3">
        <v>0.33100000000000002</v>
      </c>
      <c r="K1679" s="2" t="s">
        <v>204</v>
      </c>
      <c r="L1679" s="2">
        <v>2023</v>
      </c>
      <c r="M1679" s="2" t="s">
        <v>205</v>
      </c>
      <c r="N1679" s="2" t="s">
        <v>21</v>
      </c>
      <c r="O1679">
        <f t="shared" si="52"/>
        <v>1.4900000000000091</v>
      </c>
      <c r="P1679">
        <f t="shared" si="53"/>
        <v>-9.3800000000000043</v>
      </c>
    </row>
    <row r="1680" spans="1:16" x14ac:dyDescent="0.35">
      <c r="A1680" s="9" t="s">
        <v>210</v>
      </c>
      <c r="B1680" s="2">
        <v>161.06</v>
      </c>
      <c r="C1680" s="2">
        <v>162.69</v>
      </c>
      <c r="D1680" s="2">
        <v>160.44999999999999</v>
      </c>
      <c r="E1680" s="2">
        <v>162.66</v>
      </c>
      <c r="F1680" s="2">
        <v>6309295</v>
      </c>
      <c r="G1680" s="2" t="s">
        <v>563</v>
      </c>
      <c r="H1680" s="2" t="s">
        <v>564</v>
      </c>
      <c r="I1680" s="2" t="s">
        <v>565</v>
      </c>
      <c r="J1680" s="3">
        <v>1.3080000000000001</v>
      </c>
      <c r="K1680" s="2" t="s">
        <v>204</v>
      </c>
      <c r="L1680" s="2">
        <v>2023</v>
      </c>
      <c r="M1680" s="2" t="s">
        <v>205</v>
      </c>
      <c r="N1680" s="2" t="s">
        <v>21</v>
      </c>
      <c r="O1680">
        <f t="shared" si="52"/>
        <v>2.2400000000000091</v>
      </c>
      <c r="P1680">
        <f t="shared" si="53"/>
        <v>-8.0720000000000045</v>
      </c>
    </row>
    <row r="1681" spans="1:16" x14ac:dyDescent="0.35">
      <c r="A1681" s="9" t="s">
        <v>211</v>
      </c>
      <c r="B1681" s="2">
        <v>162.22</v>
      </c>
      <c r="C1681" s="2">
        <v>163.92500000000001</v>
      </c>
      <c r="D1681" s="2">
        <v>161.53</v>
      </c>
      <c r="E1681" s="2">
        <v>163.58000000000001</v>
      </c>
      <c r="F1681" s="2">
        <v>6045756</v>
      </c>
      <c r="G1681" s="2" t="s">
        <v>563</v>
      </c>
      <c r="H1681" s="2" t="s">
        <v>564</v>
      </c>
      <c r="I1681" s="2" t="s">
        <v>565</v>
      </c>
      <c r="J1681" s="3">
        <v>0.56599999999999995</v>
      </c>
      <c r="K1681" s="2" t="s">
        <v>204</v>
      </c>
      <c r="L1681" s="2">
        <v>2023</v>
      </c>
      <c r="M1681" s="2" t="s">
        <v>205</v>
      </c>
      <c r="N1681" s="2" t="s">
        <v>21</v>
      </c>
      <c r="O1681">
        <f t="shared" si="52"/>
        <v>2.3950000000000102</v>
      </c>
      <c r="P1681">
        <f t="shared" si="53"/>
        <v>-7.5060000000000047</v>
      </c>
    </row>
    <row r="1682" spans="1:16" x14ac:dyDescent="0.35">
      <c r="A1682" s="9" t="s">
        <v>212</v>
      </c>
      <c r="B1682" s="2">
        <v>163.76</v>
      </c>
      <c r="C1682" s="2">
        <v>164.95</v>
      </c>
      <c r="D1682" s="2">
        <v>163</v>
      </c>
      <c r="E1682" s="2">
        <v>163.99</v>
      </c>
      <c r="F1682" s="2">
        <v>7397520</v>
      </c>
      <c r="G1682" s="2" t="s">
        <v>563</v>
      </c>
      <c r="H1682" s="2" t="s">
        <v>564</v>
      </c>
      <c r="I1682" s="2" t="s">
        <v>565</v>
      </c>
      <c r="J1682" s="3">
        <v>0.251</v>
      </c>
      <c r="K1682" s="2" t="s">
        <v>204</v>
      </c>
      <c r="L1682" s="2">
        <v>2023</v>
      </c>
      <c r="M1682" s="2" t="s">
        <v>205</v>
      </c>
      <c r="N1682" s="2" t="s">
        <v>21</v>
      </c>
      <c r="O1682">
        <f t="shared" si="52"/>
        <v>1.9499999999999886</v>
      </c>
      <c r="P1682">
        <f t="shared" si="53"/>
        <v>-7.2550000000000043</v>
      </c>
    </row>
    <row r="1683" spans="1:16" x14ac:dyDescent="0.35">
      <c r="A1683" s="9" t="s">
        <v>213</v>
      </c>
      <c r="B1683" s="2">
        <v>164.68</v>
      </c>
      <c r="C1683" s="2">
        <v>165.27</v>
      </c>
      <c r="D1683" s="2">
        <v>163.44</v>
      </c>
      <c r="E1683" s="2">
        <v>163.74</v>
      </c>
      <c r="F1683" s="2">
        <v>7758552</v>
      </c>
      <c r="G1683" s="2" t="s">
        <v>563</v>
      </c>
      <c r="H1683" s="2" t="s">
        <v>564</v>
      </c>
      <c r="I1683" s="2" t="s">
        <v>565</v>
      </c>
      <c r="J1683" s="4">
        <v>-0.152</v>
      </c>
      <c r="K1683" s="2" t="s">
        <v>204</v>
      </c>
      <c r="L1683" s="2">
        <v>2023</v>
      </c>
      <c r="M1683" s="2" t="s">
        <v>205</v>
      </c>
      <c r="N1683" s="2" t="s">
        <v>23</v>
      </c>
      <c r="O1683">
        <f t="shared" si="52"/>
        <v>1.8300000000000125</v>
      </c>
      <c r="P1683">
        <f t="shared" si="53"/>
        <v>-7.4070000000000045</v>
      </c>
    </row>
    <row r="1684" spans="1:16" x14ac:dyDescent="0.35">
      <c r="A1684" s="9" t="s">
        <v>214</v>
      </c>
      <c r="B1684" s="2">
        <v>163.98</v>
      </c>
      <c r="C1684" s="2">
        <v>164.82</v>
      </c>
      <c r="D1684" s="2">
        <v>161.21</v>
      </c>
      <c r="E1684" s="2">
        <v>161.44999999999999</v>
      </c>
      <c r="F1684" s="2">
        <v>13392074</v>
      </c>
      <c r="G1684" s="2" t="s">
        <v>563</v>
      </c>
      <c r="H1684" s="2" t="s">
        <v>564</v>
      </c>
      <c r="I1684" s="2" t="s">
        <v>565</v>
      </c>
      <c r="J1684" s="4">
        <v>-1.399</v>
      </c>
      <c r="K1684" s="2" t="s">
        <v>204</v>
      </c>
      <c r="L1684" s="2">
        <v>2023</v>
      </c>
      <c r="M1684" s="2" t="s">
        <v>205</v>
      </c>
      <c r="N1684" s="2" t="s">
        <v>23</v>
      </c>
      <c r="O1684">
        <f t="shared" si="52"/>
        <v>3.6099999999999852</v>
      </c>
      <c r="P1684">
        <f t="shared" si="53"/>
        <v>-8.8060000000000045</v>
      </c>
    </row>
    <row r="1685" spans="1:16" x14ac:dyDescent="0.35">
      <c r="A1685" s="9" t="s">
        <v>215</v>
      </c>
      <c r="B1685" s="2">
        <v>162.12</v>
      </c>
      <c r="C1685" s="2">
        <v>163.14500000000001</v>
      </c>
      <c r="D1685" s="2">
        <v>160.75</v>
      </c>
      <c r="E1685" s="2">
        <v>162.47</v>
      </c>
      <c r="F1685" s="2">
        <v>5789146</v>
      </c>
      <c r="G1685" s="2" t="s">
        <v>563</v>
      </c>
      <c r="H1685" s="2" t="s">
        <v>564</v>
      </c>
      <c r="I1685" s="2" t="s">
        <v>565</v>
      </c>
      <c r="J1685" s="3">
        <v>0.63200000000000001</v>
      </c>
      <c r="K1685" s="2" t="s">
        <v>204</v>
      </c>
      <c r="L1685" s="2">
        <v>2023</v>
      </c>
      <c r="M1685" s="2" t="s">
        <v>205</v>
      </c>
      <c r="N1685" s="2" t="s">
        <v>21</v>
      </c>
      <c r="O1685">
        <f t="shared" si="52"/>
        <v>2.3950000000000102</v>
      </c>
      <c r="P1685">
        <f t="shared" si="53"/>
        <v>-8.1740000000000048</v>
      </c>
    </row>
    <row r="1686" spans="1:16" x14ac:dyDescent="0.35">
      <c r="A1686" s="9" t="s">
        <v>216</v>
      </c>
      <c r="B1686" s="2">
        <v>162.25</v>
      </c>
      <c r="C1686" s="2">
        <v>162.85</v>
      </c>
      <c r="D1686" s="2">
        <v>161.38</v>
      </c>
      <c r="E1686" s="2">
        <v>162.19999999999999</v>
      </c>
      <c r="F1686" s="2">
        <v>5550851</v>
      </c>
      <c r="G1686" s="2" t="s">
        <v>563</v>
      </c>
      <c r="H1686" s="2" t="s">
        <v>564</v>
      </c>
      <c r="I1686" s="2" t="s">
        <v>565</v>
      </c>
      <c r="J1686" s="4">
        <v>-0.16600000000000001</v>
      </c>
      <c r="K1686" s="2" t="s">
        <v>204</v>
      </c>
      <c r="L1686" s="2">
        <v>2023</v>
      </c>
      <c r="M1686" s="2" t="s">
        <v>205</v>
      </c>
      <c r="N1686" s="2" t="s">
        <v>23</v>
      </c>
      <c r="O1686">
        <f t="shared" si="52"/>
        <v>1.4699999999999989</v>
      </c>
      <c r="P1686">
        <f t="shared" si="53"/>
        <v>-8.3400000000000052</v>
      </c>
    </row>
    <row r="1687" spans="1:16" x14ac:dyDescent="0.35">
      <c r="A1687" s="9" t="s">
        <v>217</v>
      </c>
      <c r="B1687" s="2">
        <v>162.19</v>
      </c>
      <c r="C1687" s="2">
        <v>163.535</v>
      </c>
      <c r="D1687" s="2">
        <v>161.66</v>
      </c>
      <c r="E1687" s="2">
        <v>162.91</v>
      </c>
      <c r="F1687" s="2">
        <v>3837595</v>
      </c>
      <c r="G1687" s="2" t="s">
        <v>563</v>
      </c>
      <c r="H1687" s="2" t="s">
        <v>564</v>
      </c>
      <c r="I1687" s="2" t="s">
        <v>565</v>
      </c>
      <c r="J1687" s="3">
        <v>0.438</v>
      </c>
      <c r="K1687" s="2" t="s">
        <v>204</v>
      </c>
      <c r="L1687" s="2">
        <v>2023</v>
      </c>
      <c r="M1687" s="2" t="s">
        <v>205</v>
      </c>
      <c r="N1687" s="2" t="s">
        <v>21</v>
      </c>
      <c r="O1687">
        <f t="shared" si="52"/>
        <v>1.875</v>
      </c>
      <c r="P1687">
        <f t="shared" si="53"/>
        <v>-7.9020000000000055</v>
      </c>
    </row>
    <row r="1688" spans="1:16" x14ac:dyDescent="0.35">
      <c r="A1688" s="9" t="s">
        <v>218</v>
      </c>
      <c r="B1688" s="2">
        <v>162.57</v>
      </c>
      <c r="C1688" s="2">
        <v>163.5</v>
      </c>
      <c r="D1688" s="2">
        <v>161.59</v>
      </c>
      <c r="E1688" s="2">
        <v>161.66</v>
      </c>
      <c r="F1688" s="2">
        <v>4526772</v>
      </c>
      <c r="G1688" s="2" t="s">
        <v>563</v>
      </c>
      <c r="H1688" s="2" t="s">
        <v>564</v>
      </c>
      <c r="I1688" s="2" t="s">
        <v>565</v>
      </c>
      <c r="J1688" s="4">
        <v>-0.76700000000000002</v>
      </c>
      <c r="K1688" s="2" t="s">
        <v>204</v>
      </c>
      <c r="L1688" s="2">
        <v>2023</v>
      </c>
      <c r="M1688" s="2" t="s">
        <v>205</v>
      </c>
      <c r="N1688" s="2" t="s">
        <v>23</v>
      </c>
      <c r="O1688">
        <f t="shared" si="52"/>
        <v>1.9099999999999966</v>
      </c>
      <c r="P1688">
        <f t="shared" si="53"/>
        <v>-8.6690000000000058</v>
      </c>
    </row>
    <row r="1689" spans="1:16" x14ac:dyDescent="0.35">
      <c r="A1689" s="9" t="s">
        <v>219</v>
      </c>
      <c r="B1689" s="2">
        <v>161.30000000000001</v>
      </c>
      <c r="C1689" s="2">
        <v>161.4</v>
      </c>
      <c r="D1689" s="2">
        <v>160.25</v>
      </c>
      <c r="E1689" s="2">
        <v>160.5</v>
      </c>
      <c r="F1689" s="2">
        <v>4977354</v>
      </c>
      <c r="G1689" s="2" t="s">
        <v>563</v>
      </c>
      <c r="H1689" s="2" t="s">
        <v>564</v>
      </c>
      <c r="I1689" s="2" t="s">
        <v>565</v>
      </c>
      <c r="J1689" s="4">
        <v>-0.71799999999999997</v>
      </c>
      <c r="K1689" s="2" t="s">
        <v>204</v>
      </c>
      <c r="L1689" s="2">
        <v>2023</v>
      </c>
      <c r="M1689" s="2" t="s">
        <v>205</v>
      </c>
      <c r="N1689" s="2" t="s">
        <v>23</v>
      </c>
      <c r="O1689">
        <f t="shared" si="52"/>
        <v>1.1500000000000057</v>
      </c>
      <c r="P1689">
        <f t="shared" si="53"/>
        <v>-9.3870000000000058</v>
      </c>
    </row>
    <row r="1690" spans="1:16" x14ac:dyDescent="0.35">
      <c r="A1690" s="9" t="s">
        <v>220</v>
      </c>
      <c r="B1690" s="2">
        <v>160.07</v>
      </c>
      <c r="C1690" s="2">
        <v>160.36000000000001</v>
      </c>
      <c r="D1690" s="2">
        <v>158.72999999999999</v>
      </c>
      <c r="E1690" s="2">
        <v>160.26</v>
      </c>
      <c r="F1690" s="2">
        <v>6722584</v>
      </c>
      <c r="G1690" s="2" t="s">
        <v>563</v>
      </c>
      <c r="H1690" s="2" t="s">
        <v>564</v>
      </c>
      <c r="I1690" s="2" t="s">
        <v>565</v>
      </c>
      <c r="J1690" s="4">
        <v>-0.15</v>
      </c>
      <c r="K1690" s="2" t="s">
        <v>204</v>
      </c>
      <c r="L1690" s="2">
        <v>2023</v>
      </c>
      <c r="M1690" s="2" t="s">
        <v>205</v>
      </c>
      <c r="N1690" s="2" t="s">
        <v>23</v>
      </c>
      <c r="O1690">
        <f t="shared" si="52"/>
        <v>1.6300000000000239</v>
      </c>
      <c r="P1690">
        <f t="shared" si="53"/>
        <v>-9.5370000000000061</v>
      </c>
    </row>
    <row r="1691" spans="1:16" x14ac:dyDescent="0.35">
      <c r="A1691" s="9" t="s">
        <v>221</v>
      </c>
      <c r="B1691" s="2">
        <v>159.81</v>
      </c>
      <c r="C1691" s="2">
        <v>160.08000000000001</v>
      </c>
      <c r="D1691" s="2">
        <v>158.86000000000001</v>
      </c>
      <c r="E1691" s="2">
        <v>159.02000000000001</v>
      </c>
      <c r="F1691" s="2">
        <v>4904860</v>
      </c>
      <c r="G1691" s="2" t="s">
        <v>563</v>
      </c>
      <c r="H1691" s="2" t="s">
        <v>564</v>
      </c>
      <c r="I1691" s="2" t="s">
        <v>565</v>
      </c>
      <c r="J1691" s="4">
        <v>-0.77400000000000002</v>
      </c>
      <c r="K1691" s="2" t="s">
        <v>204</v>
      </c>
      <c r="L1691" s="2">
        <v>2023</v>
      </c>
      <c r="M1691" s="2" t="s">
        <v>205</v>
      </c>
      <c r="N1691" s="2" t="s">
        <v>23</v>
      </c>
      <c r="O1691">
        <f t="shared" si="52"/>
        <v>1.2199999999999989</v>
      </c>
      <c r="P1691">
        <f t="shared" si="53"/>
        <v>-10.311000000000007</v>
      </c>
    </row>
    <row r="1692" spans="1:16" x14ac:dyDescent="0.35">
      <c r="A1692" s="9" t="s">
        <v>222</v>
      </c>
      <c r="B1692" s="2">
        <v>158.58000000000001</v>
      </c>
      <c r="C1692" s="2">
        <v>158.76</v>
      </c>
      <c r="D1692" s="2">
        <v>155.255</v>
      </c>
      <c r="E1692" s="2">
        <v>157.11000000000001</v>
      </c>
      <c r="F1692" s="2">
        <v>10210686</v>
      </c>
      <c r="G1692" s="2" t="s">
        <v>563</v>
      </c>
      <c r="H1692" s="2" t="s">
        <v>564</v>
      </c>
      <c r="I1692" s="2" t="s">
        <v>565</v>
      </c>
      <c r="J1692" s="4">
        <v>-1.2010000000000001</v>
      </c>
      <c r="K1692" s="2" t="s">
        <v>204</v>
      </c>
      <c r="L1692" s="2">
        <v>2023</v>
      </c>
      <c r="M1692" s="2" t="s">
        <v>205</v>
      </c>
      <c r="N1692" s="2" t="s">
        <v>23</v>
      </c>
      <c r="O1692">
        <f t="shared" si="52"/>
        <v>3.5049999999999955</v>
      </c>
      <c r="P1692">
        <f t="shared" si="53"/>
        <v>-11.512000000000008</v>
      </c>
    </row>
    <row r="1693" spans="1:16" x14ac:dyDescent="0.35">
      <c r="A1693" s="9" t="s">
        <v>223</v>
      </c>
      <c r="B1693" s="2">
        <v>157.5</v>
      </c>
      <c r="C1693" s="2">
        <v>157.96</v>
      </c>
      <c r="D1693" s="2">
        <v>156.22</v>
      </c>
      <c r="E1693" s="2">
        <v>156.88</v>
      </c>
      <c r="F1693" s="2">
        <v>7861879</v>
      </c>
      <c r="G1693" s="2" t="s">
        <v>563</v>
      </c>
      <c r="H1693" s="2" t="s">
        <v>564</v>
      </c>
      <c r="I1693" s="2" t="s">
        <v>565</v>
      </c>
      <c r="J1693" s="4">
        <v>-0.14599999999999999</v>
      </c>
      <c r="K1693" s="2" t="s">
        <v>204</v>
      </c>
      <c r="L1693" s="2">
        <v>2023</v>
      </c>
      <c r="M1693" s="2" t="s">
        <v>205</v>
      </c>
      <c r="N1693" s="2" t="s">
        <v>23</v>
      </c>
      <c r="O1693">
        <f t="shared" si="52"/>
        <v>1.7400000000000091</v>
      </c>
      <c r="P1693">
        <f t="shared" si="53"/>
        <v>-11.658000000000008</v>
      </c>
    </row>
    <row r="1694" spans="1:16" x14ac:dyDescent="0.35">
      <c r="A1694" s="9" t="s">
        <v>224</v>
      </c>
      <c r="B1694" s="2">
        <v>157.37</v>
      </c>
      <c r="C1694" s="2">
        <v>157.6</v>
      </c>
      <c r="D1694" s="2">
        <v>155.35</v>
      </c>
      <c r="E1694" s="2">
        <v>155.75</v>
      </c>
      <c r="F1694" s="2">
        <v>7680711</v>
      </c>
      <c r="G1694" s="2" t="s">
        <v>563</v>
      </c>
      <c r="H1694" s="2" t="s">
        <v>564</v>
      </c>
      <c r="I1694" s="2" t="s">
        <v>565</v>
      </c>
      <c r="J1694" s="4">
        <v>-0.72</v>
      </c>
      <c r="K1694" s="2" t="s">
        <v>204</v>
      </c>
      <c r="L1694" s="2">
        <v>2023</v>
      </c>
      <c r="M1694" s="2" t="s">
        <v>205</v>
      </c>
      <c r="N1694" s="2" t="s">
        <v>23</v>
      </c>
      <c r="O1694">
        <f t="shared" si="52"/>
        <v>2.25</v>
      </c>
      <c r="P1694">
        <f t="shared" si="53"/>
        <v>-12.378000000000009</v>
      </c>
    </row>
    <row r="1695" spans="1:16" x14ac:dyDescent="0.35">
      <c r="A1695" s="9" t="s">
        <v>225</v>
      </c>
      <c r="B1695" s="2">
        <v>155.41999999999999</v>
      </c>
      <c r="C1695" s="2">
        <v>155.41999999999999</v>
      </c>
      <c r="D1695" s="2">
        <v>153.32</v>
      </c>
      <c r="E1695" s="2">
        <v>155.15</v>
      </c>
      <c r="F1695" s="2">
        <v>7259935</v>
      </c>
      <c r="G1695" s="2" t="s">
        <v>563</v>
      </c>
      <c r="H1695" s="2" t="s">
        <v>564</v>
      </c>
      <c r="I1695" s="2" t="s">
        <v>565</v>
      </c>
      <c r="J1695" s="4">
        <v>-0.38500000000000001</v>
      </c>
      <c r="K1695" s="2" t="s">
        <v>226</v>
      </c>
      <c r="L1695" s="2">
        <v>2023</v>
      </c>
      <c r="M1695" s="2" t="s">
        <v>227</v>
      </c>
      <c r="N1695" s="2" t="s">
        <v>23</v>
      </c>
      <c r="O1695">
        <f t="shared" si="52"/>
        <v>2.0999999999999943</v>
      </c>
      <c r="P1695">
        <f t="shared" si="53"/>
        <v>-12.763000000000009</v>
      </c>
    </row>
    <row r="1696" spans="1:16" x14ac:dyDescent="0.35">
      <c r="A1696" s="9" t="s">
        <v>228</v>
      </c>
      <c r="B1696" s="2">
        <v>154.68</v>
      </c>
      <c r="C1696" s="2">
        <v>155.495</v>
      </c>
      <c r="D1696" s="2">
        <v>153.88999999999999</v>
      </c>
      <c r="E1696" s="2">
        <v>155.34</v>
      </c>
      <c r="F1696" s="2">
        <v>5741035</v>
      </c>
      <c r="G1696" s="2" t="s">
        <v>563</v>
      </c>
      <c r="H1696" s="2" t="s">
        <v>564</v>
      </c>
      <c r="I1696" s="2" t="s">
        <v>565</v>
      </c>
      <c r="J1696" s="3">
        <v>0.122</v>
      </c>
      <c r="K1696" s="2" t="s">
        <v>226</v>
      </c>
      <c r="L1696" s="2">
        <v>2023</v>
      </c>
      <c r="M1696" s="2" t="s">
        <v>227</v>
      </c>
      <c r="N1696" s="2" t="s">
        <v>21</v>
      </c>
      <c r="O1696">
        <f t="shared" si="52"/>
        <v>1.6050000000000182</v>
      </c>
      <c r="P1696">
        <f t="shared" si="53"/>
        <v>-12.641000000000009</v>
      </c>
    </row>
    <row r="1697" spans="1:16" x14ac:dyDescent="0.35">
      <c r="A1697" s="9" t="s">
        <v>229</v>
      </c>
      <c r="B1697" s="2">
        <v>155.57</v>
      </c>
      <c r="C1697" s="2">
        <v>155.93</v>
      </c>
      <c r="D1697" s="2">
        <v>154.57</v>
      </c>
      <c r="E1697" s="2">
        <v>155.52000000000001</v>
      </c>
      <c r="F1697" s="2">
        <v>4955308</v>
      </c>
      <c r="G1697" s="2" t="s">
        <v>563</v>
      </c>
      <c r="H1697" s="2" t="s">
        <v>564</v>
      </c>
      <c r="I1697" s="2" t="s">
        <v>565</v>
      </c>
      <c r="J1697" s="3">
        <v>0.11600000000000001</v>
      </c>
      <c r="K1697" s="2" t="s">
        <v>226</v>
      </c>
      <c r="L1697" s="2">
        <v>2023</v>
      </c>
      <c r="M1697" s="2" t="s">
        <v>227</v>
      </c>
      <c r="N1697" s="2" t="s">
        <v>21</v>
      </c>
      <c r="O1697">
        <f t="shared" si="52"/>
        <v>1.3600000000000136</v>
      </c>
      <c r="P1697">
        <f t="shared" si="53"/>
        <v>-12.525000000000009</v>
      </c>
    </row>
    <row r="1698" spans="1:16" x14ac:dyDescent="0.35">
      <c r="A1698" s="9" t="s">
        <v>230</v>
      </c>
      <c r="B1698" s="2">
        <v>156.27000000000001</v>
      </c>
      <c r="C1698" s="2">
        <v>158.04</v>
      </c>
      <c r="D1698" s="2">
        <v>156.07</v>
      </c>
      <c r="E1698" s="2">
        <v>157.13999999999999</v>
      </c>
      <c r="F1698" s="2">
        <v>5993541</v>
      </c>
      <c r="G1698" s="2" t="s">
        <v>563</v>
      </c>
      <c r="H1698" s="2" t="s">
        <v>564</v>
      </c>
      <c r="I1698" s="2" t="s">
        <v>565</v>
      </c>
      <c r="J1698" s="3">
        <v>1.042</v>
      </c>
      <c r="K1698" s="2" t="s">
        <v>226</v>
      </c>
      <c r="L1698" s="2">
        <v>2023</v>
      </c>
      <c r="M1698" s="2" t="s">
        <v>227</v>
      </c>
      <c r="N1698" s="2" t="s">
        <v>21</v>
      </c>
      <c r="O1698">
        <f t="shared" si="52"/>
        <v>1.9699999999999989</v>
      </c>
      <c r="P1698">
        <f t="shared" si="53"/>
        <v>-11.483000000000009</v>
      </c>
    </row>
    <row r="1699" spans="1:16" x14ac:dyDescent="0.35">
      <c r="A1699" s="9" t="s">
        <v>231</v>
      </c>
      <c r="B1699" s="2">
        <v>157.08000000000001</v>
      </c>
      <c r="C1699" s="2">
        <v>158.30000000000001</v>
      </c>
      <c r="D1699" s="2">
        <v>156.59</v>
      </c>
      <c r="E1699" s="2">
        <v>157.63999999999999</v>
      </c>
      <c r="F1699" s="2">
        <v>5802226</v>
      </c>
      <c r="G1699" s="2" t="s">
        <v>563</v>
      </c>
      <c r="H1699" s="2" t="s">
        <v>564</v>
      </c>
      <c r="I1699" s="2" t="s">
        <v>565</v>
      </c>
      <c r="J1699" s="3">
        <v>0.318</v>
      </c>
      <c r="K1699" s="2" t="s">
        <v>226</v>
      </c>
      <c r="L1699" s="2">
        <v>2023</v>
      </c>
      <c r="M1699" s="2" t="s">
        <v>227</v>
      </c>
      <c r="N1699" s="2" t="s">
        <v>21</v>
      </c>
      <c r="O1699">
        <f t="shared" si="52"/>
        <v>1.710000000000008</v>
      </c>
      <c r="P1699">
        <f t="shared" si="53"/>
        <v>-11.16500000000001</v>
      </c>
    </row>
    <row r="1700" spans="1:16" x14ac:dyDescent="0.35">
      <c r="A1700" s="9" t="s">
        <v>232</v>
      </c>
      <c r="B1700" s="2">
        <v>157.18</v>
      </c>
      <c r="C1700" s="2">
        <v>158.88</v>
      </c>
      <c r="D1700" s="2">
        <v>157.09</v>
      </c>
      <c r="E1700" s="2">
        <v>158.54</v>
      </c>
      <c r="F1700" s="2">
        <v>4414322</v>
      </c>
      <c r="G1700" s="2" t="s">
        <v>563</v>
      </c>
      <c r="H1700" s="2" t="s">
        <v>564</v>
      </c>
      <c r="I1700" s="2" t="s">
        <v>565</v>
      </c>
      <c r="J1700" s="3">
        <v>0.57099999999999995</v>
      </c>
      <c r="K1700" s="2" t="s">
        <v>226</v>
      </c>
      <c r="L1700" s="2">
        <v>2023</v>
      </c>
      <c r="M1700" s="2" t="s">
        <v>227</v>
      </c>
      <c r="N1700" s="2" t="s">
        <v>21</v>
      </c>
      <c r="O1700">
        <f t="shared" si="52"/>
        <v>1.789999999999992</v>
      </c>
      <c r="P1700">
        <f t="shared" si="53"/>
        <v>-10.59400000000001</v>
      </c>
    </row>
    <row r="1701" spans="1:16" x14ac:dyDescent="0.35">
      <c r="A1701" s="9" t="s">
        <v>233</v>
      </c>
      <c r="B1701" s="2">
        <v>158.38</v>
      </c>
      <c r="C1701" s="2">
        <v>159.27000000000001</v>
      </c>
      <c r="D1701" s="2">
        <v>157.9</v>
      </c>
      <c r="E1701" s="2">
        <v>158.36000000000001</v>
      </c>
      <c r="F1701" s="2">
        <v>5273531</v>
      </c>
      <c r="G1701" s="2" t="s">
        <v>563</v>
      </c>
      <c r="H1701" s="2" t="s">
        <v>564</v>
      </c>
      <c r="I1701" s="2" t="s">
        <v>565</v>
      </c>
      <c r="J1701" s="4">
        <v>-0.114</v>
      </c>
      <c r="K1701" s="2" t="s">
        <v>226</v>
      </c>
      <c r="L1701" s="2">
        <v>2023</v>
      </c>
      <c r="M1701" s="2" t="s">
        <v>227</v>
      </c>
      <c r="N1701" s="2" t="s">
        <v>23</v>
      </c>
      <c r="O1701">
        <f t="shared" si="52"/>
        <v>1.3700000000000045</v>
      </c>
      <c r="P1701">
        <f t="shared" si="53"/>
        <v>-10.708000000000011</v>
      </c>
    </row>
    <row r="1702" spans="1:16" x14ac:dyDescent="0.35">
      <c r="A1702" s="9" t="s">
        <v>234</v>
      </c>
      <c r="B1702" s="2">
        <v>158.46</v>
      </c>
      <c r="C1702" s="2">
        <v>159.05000000000001</v>
      </c>
      <c r="D1702" s="2">
        <v>156.04</v>
      </c>
      <c r="E1702" s="2">
        <v>156.18</v>
      </c>
      <c r="F1702" s="2">
        <v>6922907</v>
      </c>
      <c r="G1702" s="2" t="s">
        <v>563</v>
      </c>
      <c r="H1702" s="2" t="s">
        <v>564</v>
      </c>
      <c r="I1702" s="2" t="s">
        <v>565</v>
      </c>
      <c r="J1702" s="4">
        <v>-1.377</v>
      </c>
      <c r="K1702" s="2" t="s">
        <v>226</v>
      </c>
      <c r="L1702" s="2">
        <v>2023</v>
      </c>
      <c r="M1702" s="2" t="s">
        <v>227</v>
      </c>
      <c r="N1702" s="2" t="s">
        <v>23</v>
      </c>
      <c r="O1702">
        <f t="shared" si="52"/>
        <v>3.0100000000000193</v>
      </c>
      <c r="P1702">
        <f t="shared" si="53"/>
        <v>-12.085000000000012</v>
      </c>
    </row>
    <row r="1703" spans="1:16" x14ac:dyDescent="0.35">
      <c r="A1703" s="9" t="s">
        <v>235</v>
      </c>
      <c r="B1703" s="2">
        <v>155.91999999999999</v>
      </c>
      <c r="C1703" s="2">
        <v>156.56</v>
      </c>
      <c r="D1703" s="2">
        <v>155.066</v>
      </c>
      <c r="E1703" s="2">
        <v>156.33000000000001</v>
      </c>
      <c r="F1703" s="2">
        <v>5792419</v>
      </c>
      <c r="G1703" s="2" t="s">
        <v>563</v>
      </c>
      <c r="H1703" s="2" t="s">
        <v>564</v>
      </c>
      <c r="I1703" s="2" t="s">
        <v>565</v>
      </c>
      <c r="J1703" s="3">
        <v>9.6000000000000002E-2</v>
      </c>
      <c r="K1703" s="2" t="s">
        <v>226</v>
      </c>
      <c r="L1703" s="2">
        <v>2023</v>
      </c>
      <c r="M1703" s="2" t="s">
        <v>227</v>
      </c>
      <c r="N1703" s="2" t="s">
        <v>21</v>
      </c>
      <c r="O1703">
        <f t="shared" si="52"/>
        <v>1.4939999999999998</v>
      </c>
      <c r="P1703">
        <f t="shared" si="53"/>
        <v>-11.989000000000011</v>
      </c>
    </row>
    <row r="1704" spans="1:16" x14ac:dyDescent="0.35">
      <c r="A1704" s="9" t="s">
        <v>236</v>
      </c>
      <c r="B1704" s="2">
        <v>156.72999999999999</v>
      </c>
      <c r="C1704" s="2">
        <v>157.36000000000001</v>
      </c>
      <c r="D1704" s="2">
        <v>156.05000000000001</v>
      </c>
      <c r="E1704" s="2">
        <v>156.85</v>
      </c>
      <c r="F1704" s="2">
        <v>5360347</v>
      </c>
      <c r="G1704" s="2" t="s">
        <v>563</v>
      </c>
      <c r="H1704" s="2" t="s">
        <v>564</v>
      </c>
      <c r="I1704" s="2" t="s">
        <v>565</v>
      </c>
      <c r="J1704" s="3">
        <v>0.33300000000000002</v>
      </c>
      <c r="K1704" s="2" t="s">
        <v>226</v>
      </c>
      <c r="L1704" s="2">
        <v>2023</v>
      </c>
      <c r="M1704" s="2" t="s">
        <v>227</v>
      </c>
      <c r="N1704" s="2" t="s">
        <v>21</v>
      </c>
      <c r="O1704">
        <f t="shared" si="52"/>
        <v>1.3100000000000023</v>
      </c>
      <c r="P1704">
        <f t="shared" si="53"/>
        <v>-11.656000000000011</v>
      </c>
    </row>
    <row r="1705" spans="1:16" x14ac:dyDescent="0.35">
      <c r="A1705" s="9" t="s">
        <v>237</v>
      </c>
      <c r="B1705" s="2">
        <v>157.82</v>
      </c>
      <c r="C1705" s="2">
        <v>158.25</v>
      </c>
      <c r="D1705" s="2">
        <v>156.84</v>
      </c>
      <c r="E1705" s="2">
        <v>157.53</v>
      </c>
      <c r="F1705" s="2">
        <v>6408142</v>
      </c>
      <c r="G1705" s="2" t="s">
        <v>563</v>
      </c>
      <c r="H1705" s="2" t="s">
        <v>564</v>
      </c>
      <c r="I1705" s="2" t="s">
        <v>565</v>
      </c>
      <c r="J1705" s="3">
        <v>0.434</v>
      </c>
      <c r="K1705" s="2" t="s">
        <v>226</v>
      </c>
      <c r="L1705" s="2">
        <v>2023</v>
      </c>
      <c r="M1705" s="2" t="s">
        <v>227</v>
      </c>
      <c r="N1705" s="2" t="s">
        <v>21</v>
      </c>
      <c r="O1705">
        <f t="shared" si="52"/>
        <v>1.4099999999999966</v>
      </c>
      <c r="P1705">
        <f t="shared" si="53"/>
        <v>-11.222000000000012</v>
      </c>
    </row>
    <row r="1706" spans="1:16" x14ac:dyDescent="0.35">
      <c r="A1706" s="9" t="s">
        <v>238</v>
      </c>
      <c r="B1706" s="2">
        <v>155.97999999999999</v>
      </c>
      <c r="C1706" s="2">
        <v>158.94999999999999</v>
      </c>
      <c r="D1706" s="2">
        <v>154.608</v>
      </c>
      <c r="E1706" s="2">
        <v>156.09</v>
      </c>
      <c r="F1706" s="2">
        <v>12244374</v>
      </c>
      <c r="G1706" s="2" t="s">
        <v>563</v>
      </c>
      <c r="H1706" s="2" t="s">
        <v>564</v>
      </c>
      <c r="I1706" s="2" t="s">
        <v>565</v>
      </c>
      <c r="J1706" s="4">
        <v>-0.91400000000000003</v>
      </c>
      <c r="K1706" s="2" t="s">
        <v>226</v>
      </c>
      <c r="L1706" s="2">
        <v>2023</v>
      </c>
      <c r="M1706" s="2" t="s">
        <v>227</v>
      </c>
      <c r="N1706" s="2" t="s">
        <v>23</v>
      </c>
      <c r="O1706">
        <f t="shared" si="52"/>
        <v>4.3419999999999845</v>
      </c>
      <c r="P1706">
        <f t="shared" si="53"/>
        <v>-12.136000000000012</v>
      </c>
    </row>
    <row r="1707" spans="1:16" x14ac:dyDescent="0.35">
      <c r="A1707" s="9" t="s">
        <v>239</v>
      </c>
      <c r="B1707" s="2">
        <v>155.41</v>
      </c>
      <c r="C1707" s="2">
        <v>155.94999999999999</v>
      </c>
      <c r="D1707" s="2">
        <v>152.05000000000001</v>
      </c>
      <c r="E1707" s="2">
        <v>152.72999999999999</v>
      </c>
      <c r="F1707" s="2">
        <v>9097348</v>
      </c>
      <c r="G1707" s="2" t="s">
        <v>563</v>
      </c>
      <c r="H1707" s="2" t="s">
        <v>564</v>
      </c>
      <c r="I1707" s="2" t="s">
        <v>565</v>
      </c>
      <c r="J1707" s="4">
        <v>-2.153</v>
      </c>
      <c r="K1707" s="2" t="s">
        <v>226</v>
      </c>
      <c r="L1707" s="2">
        <v>2023</v>
      </c>
      <c r="M1707" s="2" t="s">
        <v>227</v>
      </c>
      <c r="N1707" s="2" t="s">
        <v>23</v>
      </c>
      <c r="O1707">
        <f t="shared" si="52"/>
        <v>3.8999999999999773</v>
      </c>
      <c r="P1707">
        <f t="shared" si="53"/>
        <v>-14.289000000000012</v>
      </c>
    </row>
    <row r="1708" spans="1:16" x14ac:dyDescent="0.35">
      <c r="A1708" s="9" t="s">
        <v>240</v>
      </c>
      <c r="B1708" s="2">
        <v>151.66999999999999</v>
      </c>
      <c r="C1708" s="2">
        <v>153.10900000000001</v>
      </c>
      <c r="D1708" s="2">
        <v>150.15</v>
      </c>
      <c r="E1708" s="2">
        <v>152.32</v>
      </c>
      <c r="F1708" s="2">
        <v>7733790</v>
      </c>
      <c r="G1708" s="2" t="s">
        <v>563</v>
      </c>
      <c r="H1708" s="2" t="s">
        <v>564</v>
      </c>
      <c r="I1708" s="2" t="s">
        <v>565</v>
      </c>
      <c r="J1708" s="4">
        <v>-0.26800000000000002</v>
      </c>
      <c r="K1708" s="2" t="s">
        <v>226</v>
      </c>
      <c r="L1708" s="2">
        <v>2023</v>
      </c>
      <c r="M1708" s="2" t="s">
        <v>227</v>
      </c>
      <c r="N1708" s="2" t="s">
        <v>23</v>
      </c>
      <c r="O1708">
        <f t="shared" si="52"/>
        <v>2.9590000000000032</v>
      </c>
      <c r="P1708">
        <f t="shared" si="53"/>
        <v>-14.557000000000013</v>
      </c>
    </row>
    <row r="1709" spans="1:16" x14ac:dyDescent="0.35">
      <c r="A1709" s="9" t="s">
        <v>241</v>
      </c>
      <c r="B1709" s="2">
        <v>152.74</v>
      </c>
      <c r="C1709" s="2">
        <v>153.87</v>
      </c>
      <c r="D1709" s="2">
        <v>152.33000000000001</v>
      </c>
      <c r="E1709" s="2">
        <v>153</v>
      </c>
      <c r="F1709" s="2">
        <v>7206976</v>
      </c>
      <c r="G1709" s="2" t="s">
        <v>563</v>
      </c>
      <c r="H1709" s="2" t="s">
        <v>564</v>
      </c>
      <c r="I1709" s="2" t="s">
        <v>565</v>
      </c>
      <c r="J1709" s="3">
        <v>0.44600000000000001</v>
      </c>
      <c r="K1709" s="2" t="s">
        <v>226</v>
      </c>
      <c r="L1709" s="2">
        <v>2023</v>
      </c>
      <c r="M1709" s="2" t="s">
        <v>227</v>
      </c>
      <c r="N1709" s="2" t="s">
        <v>21</v>
      </c>
      <c r="O1709">
        <f t="shared" si="52"/>
        <v>1.539999999999992</v>
      </c>
      <c r="P1709">
        <f t="shared" si="53"/>
        <v>-14.111000000000013</v>
      </c>
    </row>
    <row r="1710" spans="1:16" x14ac:dyDescent="0.35">
      <c r="A1710" s="9" t="s">
        <v>242</v>
      </c>
      <c r="B1710" s="2">
        <v>152.86000000000001</v>
      </c>
      <c r="C1710" s="2">
        <v>153.5</v>
      </c>
      <c r="D1710" s="2">
        <v>151.21</v>
      </c>
      <c r="E1710" s="2">
        <v>151.38999999999999</v>
      </c>
      <c r="F1710" s="2">
        <v>5873981</v>
      </c>
      <c r="G1710" s="2" t="s">
        <v>563</v>
      </c>
      <c r="H1710" s="2" t="s">
        <v>564</v>
      </c>
      <c r="I1710" s="2" t="s">
        <v>565</v>
      </c>
      <c r="J1710" s="4">
        <v>-1.052</v>
      </c>
      <c r="K1710" s="2" t="s">
        <v>226</v>
      </c>
      <c r="L1710" s="2">
        <v>2023</v>
      </c>
      <c r="M1710" s="2" t="s">
        <v>227</v>
      </c>
      <c r="N1710" s="2" t="s">
        <v>23</v>
      </c>
      <c r="O1710">
        <f t="shared" si="52"/>
        <v>2.289999999999992</v>
      </c>
      <c r="P1710">
        <f t="shared" si="53"/>
        <v>-15.163000000000013</v>
      </c>
    </row>
    <row r="1711" spans="1:16" x14ac:dyDescent="0.35">
      <c r="A1711" s="9" t="s">
        <v>243</v>
      </c>
      <c r="B1711" s="2">
        <v>150.75</v>
      </c>
      <c r="C1711" s="2">
        <v>151.96</v>
      </c>
      <c r="D1711" s="2">
        <v>150.13</v>
      </c>
      <c r="E1711" s="2">
        <v>151.22999999999999</v>
      </c>
      <c r="F1711" s="2">
        <v>6155269</v>
      </c>
      <c r="G1711" s="2" t="s">
        <v>563</v>
      </c>
      <c r="H1711" s="2" t="s">
        <v>564</v>
      </c>
      <c r="I1711" s="2" t="s">
        <v>565</v>
      </c>
      <c r="J1711" s="4">
        <v>-0.106</v>
      </c>
      <c r="K1711" s="2" t="s">
        <v>226</v>
      </c>
      <c r="L1711" s="2">
        <v>2023</v>
      </c>
      <c r="M1711" s="2" t="s">
        <v>227</v>
      </c>
      <c r="N1711" s="2" t="s">
        <v>23</v>
      </c>
      <c r="O1711">
        <f t="shared" si="52"/>
        <v>1.8300000000000125</v>
      </c>
      <c r="P1711">
        <f t="shared" si="53"/>
        <v>-15.269000000000013</v>
      </c>
    </row>
    <row r="1712" spans="1:16" x14ac:dyDescent="0.35">
      <c r="A1712" s="9" t="s">
        <v>244</v>
      </c>
      <c r="B1712" s="2">
        <v>151.24</v>
      </c>
      <c r="C1712" s="2">
        <v>152.16999999999999</v>
      </c>
      <c r="D1712" s="2">
        <v>150.22999999999999</v>
      </c>
      <c r="E1712" s="2">
        <v>151.57</v>
      </c>
      <c r="F1712" s="2">
        <v>5880816</v>
      </c>
      <c r="G1712" s="2" t="s">
        <v>563</v>
      </c>
      <c r="H1712" s="2" t="s">
        <v>564</v>
      </c>
      <c r="I1712" s="2" t="s">
        <v>565</v>
      </c>
      <c r="J1712" s="3">
        <v>0.22500000000000001</v>
      </c>
      <c r="K1712" s="2" t="s">
        <v>226</v>
      </c>
      <c r="L1712" s="2">
        <v>2023</v>
      </c>
      <c r="M1712" s="2" t="s">
        <v>227</v>
      </c>
      <c r="N1712" s="2" t="s">
        <v>21</v>
      </c>
      <c r="O1712">
        <f t="shared" si="52"/>
        <v>1.9399999999999977</v>
      </c>
      <c r="P1712">
        <f t="shared" si="53"/>
        <v>-15.044000000000013</v>
      </c>
    </row>
    <row r="1713" spans="1:16" x14ac:dyDescent="0.35">
      <c r="A1713" s="9" t="s">
        <v>245</v>
      </c>
      <c r="B1713" s="2">
        <v>151.97</v>
      </c>
      <c r="C1713" s="2">
        <v>151.97</v>
      </c>
      <c r="D1713" s="2">
        <v>148.88</v>
      </c>
      <c r="E1713" s="2">
        <v>149</v>
      </c>
      <c r="F1713" s="2">
        <v>7612507</v>
      </c>
      <c r="G1713" s="2" t="s">
        <v>563</v>
      </c>
      <c r="H1713" s="2" t="s">
        <v>564</v>
      </c>
      <c r="I1713" s="2" t="s">
        <v>565</v>
      </c>
      <c r="J1713" s="4">
        <v>-1.696</v>
      </c>
      <c r="K1713" s="2" t="s">
        <v>226</v>
      </c>
      <c r="L1713" s="2">
        <v>2023</v>
      </c>
      <c r="M1713" s="2" t="s">
        <v>227</v>
      </c>
      <c r="N1713" s="2" t="s">
        <v>23</v>
      </c>
      <c r="O1713">
        <f t="shared" si="52"/>
        <v>3.0900000000000034</v>
      </c>
      <c r="P1713">
        <f t="shared" si="53"/>
        <v>-16.740000000000013</v>
      </c>
    </row>
    <row r="1714" spans="1:16" x14ac:dyDescent="0.35">
      <c r="A1714" s="9" t="s">
        <v>246</v>
      </c>
      <c r="B1714" s="2">
        <v>148.49</v>
      </c>
      <c r="C1714" s="2">
        <v>148.66</v>
      </c>
      <c r="D1714" s="2">
        <v>144.94999999999999</v>
      </c>
      <c r="E1714" s="2">
        <v>145.6</v>
      </c>
      <c r="F1714" s="2">
        <v>11385751</v>
      </c>
      <c r="G1714" s="2" t="s">
        <v>563</v>
      </c>
      <c r="H1714" s="2" t="s">
        <v>564</v>
      </c>
      <c r="I1714" s="2" t="s">
        <v>565</v>
      </c>
      <c r="J1714" s="4">
        <v>-2.282</v>
      </c>
      <c r="K1714" s="2" t="s">
        <v>226</v>
      </c>
      <c r="L1714" s="2">
        <v>2023</v>
      </c>
      <c r="M1714" s="2" t="s">
        <v>227</v>
      </c>
      <c r="N1714" s="2" t="s">
        <v>23</v>
      </c>
      <c r="O1714">
        <f t="shared" si="52"/>
        <v>3.710000000000008</v>
      </c>
      <c r="P1714">
        <f t="shared" si="53"/>
        <v>-19.022000000000013</v>
      </c>
    </row>
    <row r="1715" spans="1:16" x14ac:dyDescent="0.35">
      <c r="A1715" s="9" t="s">
        <v>247</v>
      </c>
      <c r="B1715" s="2">
        <v>146.09</v>
      </c>
      <c r="C1715" s="2">
        <v>147.24</v>
      </c>
      <c r="D1715" s="2">
        <v>146</v>
      </c>
      <c r="E1715" s="2">
        <v>147.03</v>
      </c>
      <c r="F1715" s="2">
        <v>8205509</v>
      </c>
      <c r="G1715" s="2" t="s">
        <v>563</v>
      </c>
      <c r="H1715" s="2" t="s">
        <v>564</v>
      </c>
      <c r="I1715" s="2" t="s">
        <v>565</v>
      </c>
      <c r="J1715" s="3">
        <v>0.98199999999999998</v>
      </c>
      <c r="K1715" s="2" t="s">
        <v>226</v>
      </c>
      <c r="L1715" s="2">
        <v>2023</v>
      </c>
      <c r="M1715" s="2" t="s">
        <v>227</v>
      </c>
      <c r="N1715" s="2" t="s">
        <v>21</v>
      </c>
      <c r="O1715">
        <f t="shared" si="52"/>
        <v>1.2400000000000091</v>
      </c>
      <c r="P1715">
        <f t="shared" si="53"/>
        <v>-18.040000000000013</v>
      </c>
    </row>
    <row r="1716" spans="1:16" x14ac:dyDescent="0.35">
      <c r="A1716" s="9" t="s">
        <v>248</v>
      </c>
      <c r="B1716" s="2">
        <v>147.54</v>
      </c>
      <c r="C1716" s="2">
        <v>148.54499999999999</v>
      </c>
      <c r="D1716" s="2">
        <v>146.642</v>
      </c>
      <c r="E1716" s="2">
        <v>148.34</v>
      </c>
      <c r="F1716" s="2">
        <v>7577017</v>
      </c>
      <c r="G1716" s="2" t="s">
        <v>563</v>
      </c>
      <c r="H1716" s="2" t="s">
        <v>564</v>
      </c>
      <c r="I1716" s="2" t="s">
        <v>565</v>
      </c>
      <c r="J1716" s="3">
        <v>0.89100000000000001</v>
      </c>
      <c r="K1716" s="2" t="s">
        <v>226</v>
      </c>
      <c r="L1716" s="2">
        <v>2023</v>
      </c>
      <c r="M1716" s="2" t="s">
        <v>227</v>
      </c>
      <c r="N1716" s="2" t="s">
        <v>21</v>
      </c>
      <c r="O1716">
        <f t="shared" si="52"/>
        <v>1.9029999999999916</v>
      </c>
      <c r="P1716">
        <f t="shared" si="53"/>
        <v>-17.149000000000015</v>
      </c>
    </row>
    <row r="1717" spans="1:16" x14ac:dyDescent="0.35">
      <c r="A1717" s="9" t="s">
        <v>249</v>
      </c>
      <c r="B1717" s="2">
        <v>149.19</v>
      </c>
      <c r="C1717" s="2">
        <v>149.76</v>
      </c>
      <c r="D1717" s="2">
        <v>148.46</v>
      </c>
      <c r="E1717" s="2">
        <v>148.69</v>
      </c>
      <c r="F1717" s="2">
        <v>5732973</v>
      </c>
      <c r="G1717" s="2" t="s">
        <v>563</v>
      </c>
      <c r="H1717" s="2" t="s">
        <v>564</v>
      </c>
      <c r="I1717" s="2" t="s">
        <v>565</v>
      </c>
      <c r="J1717" s="3">
        <v>0.23599999999999999</v>
      </c>
      <c r="K1717" s="2" t="s">
        <v>250</v>
      </c>
      <c r="L1717" s="2">
        <v>2023</v>
      </c>
      <c r="M1717" s="2" t="s">
        <v>251</v>
      </c>
      <c r="N1717" s="2" t="s">
        <v>21</v>
      </c>
      <c r="O1717">
        <f t="shared" si="52"/>
        <v>1.2999999999999829</v>
      </c>
      <c r="P1717">
        <f t="shared" si="53"/>
        <v>-16.913000000000014</v>
      </c>
    </row>
    <row r="1718" spans="1:16" x14ac:dyDescent="0.35">
      <c r="A1718" s="9" t="s">
        <v>252</v>
      </c>
      <c r="B1718" s="2">
        <v>147.71</v>
      </c>
      <c r="C1718" s="2">
        <v>150.4</v>
      </c>
      <c r="D1718" s="2">
        <v>147.54</v>
      </c>
      <c r="E1718" s="2">
        <v>150.24</v>
      </c>
      <c r="F1718" s="2">
        <v>5349097</v>
      </c>
      <c r="G1718" s="2" t="s">
        <v>563</v>
      </c>
      <c r="H1718" s="2" t="s">
        <v>564</v>
      </c>
      <c r="I1718" s="2" t="s">
        <v>565</v>
      </c>
      <c r="J1718" s="3">
        <v>1.042</v>
      </c>
      <c r="K1718" s="2" t="s">
        <v>250</v>
      </c>
      <c r="L1718" s="2">
        <v>2023</v>
      </c>
      <c r="M1718" s="2" t="s">
        <v>251</v>
      </c>
      <c r="N1718" s="2" t="s">
        <v>21</v>
      </c>
      <c r="O1718">
        <f t="shared" si="52"/>
        <v>2.8600000000000136</v>
      </c>
      <c r="P1718">
        <f t="shared" si="53"/>
        <v>-15.871000000000015</v>
      </c>
    </row>
    <row r="1719" spans="1:16" x14ac:dyDescent="0.35">
      <c r="A1719" s="9" t="s">
        <v>253</v>
      </c>
      <c r="B1719" s="2">
        <v>151.21</v>
      </c>
      <c r="C1719" s="2">
        <v>152.27000000000001</v>
      </c>
      <c r="D1719" s="2">
        <v>150.14500000000001</v>
      </c>
      <c r="E1719" s="2">
        <v>151.34</v>
      </c>
      <c r="F1719" s="2">
        <v>4926765</v>
      </c>
      <c r="G1719" s="2" t="s">
        <v>563</v>
      </c>
      <c r="H1719" s="2" t="s">
        <v>564</v>
      </c>
      <c r="I1719" s="2" t="s">
        <v>565</v>
      </c>
      <c r="J1719" s="3">
        <v>0.73199999999999998</v>
      </c>
      <c r="K1719" s="2" t="s">
        <v>250</v>
      </c>
      <c r="L1719" s="2">
        <v>2023</v>
      </c>
      <c r="M1719" s="2" t="s">
        <v>251</v>
      </c>
      <c r="N1719" s="2" t="s">
        <v>21</v>
      </c>
      <c r="O1719">
        <f t="shared" si="52"/>
        <v>2.125</v>
      </c>
      <c r="P1719">
        <f t="shared" si="53"/>
        <v>-15.139000000000015</v>
      </c>
    </row>
    <row r="1720" spans="1:16" x14ac:dyDescent="0.35">
      <c r="A1720" s="9" t="s">
        <v>254</v>
      </c>
      <c r="B1720" s="2">
        <v>151.78</v>
      </c>
      <c r="C1720" s="2">
        <v>152.42500000000001</v>
      </c>
      <c r="D1720" s="2">
        <v>151.37</v>
      </c>
      <c r="E1720" s="2">
        <v>151.69999999999999</v>
      </c>
      <c r="F1720" s="2">
        <v>4851421</v>
      </c>
      <c r="G1720" s="2" t="s">
        <v>563</v>
      </c>
      <c r="H1720" s="2" t="s">
        <v>564</v>
      </c>
      <c r="I1720" s="2" t="s">
        <v>565</v>
      </c>
      <c r="J1720" s="3">
        <v>0.23799999999999999</v>
      </c>
      <c r="K1720" s="2" t="s">
        <v>250</v>
      </c>
      <c r="L1720" s="2">
        <v>2023</v>
      </c>
      <c r="M1720" s="2" t="s">
        <v>251</v>
      </c>
      <c r="N1720" s="2" t="s">
        <v>21</v>
      </c>
      <c r="O1720">
        <f t="shared" si="52"/>
        <v>1.0550000000000068</v>
      </c>
      <c r="P1720">
        <f t="shared" si="53"/>
        <v>-14.901000000000016</v>
      </c>
    </row>
    <row r="1721" spans="1:16" x14ac:dyDescent="0.35">
      <c r="A1721" s="9" t="s">
        <v>255</v>
      </c>
      <c r="B1721" s="2">
        <v>151.93</v>
      </c>
      <c r="C1721" s="2">
        <v>152.25</v>
      </c>
      <c r="D1721" s="2">
        <v>150.68</v>
      </c>
      <c r="E1721" s="2">
        <v>150.9</v>
      </c>
      <c r="F1721" s="2">
        <v>4840590</v>
      </c>
      <c r="G1721" s="2" t="s">
        <v>563</v>
      </c>
      <c r="H1721" s="2" t="s">
        <v>564</v>
      </c>
      <c r="I1721" s="2" t="s">
        <v>565</v>
      </c>
      <c r="J1721" s="4">
        <v>-0.52700000000000002</v>
      </c>
      <c r="K1721" s="2" t="s">
        <v>250</v>
      </c>
      <c r="L1721" s="2">
        <v>2023</v>
      </c>
      <c r="M1721" s="2" t="s">
        <v>251</v>
      </c>
      <c r="N1721" s="2" t="s">
        <v>23</v>
      </c>
      <c r="O1721">
        <f t="shared" si="52"/>
        <v>1.5699999999999932</v>
      </c>
      <c r="P1721">
        <f t="shared" si="53"/>
        <v>-15.428000000000015</v>
      </c>
    </row>
    <row r="1722" spans="1:16" x14ac:dyDescent="0.35">
      <c r="A1722" s="9" t="s">
        <v>256</v>
      </c>
      <c r="B1722" s="2">
        <v>151.35</v>
      </c>
      <c r="C1722" s="2">
        <v>151.83000000000001</v>
      </c>
      <c r="D1722" s="2">
        <v>150.34</v>
      </c>
      <c r="E1722" s="2">
        <v>150.35</v>
      </c>
      <c r="F1722" s="2">
        <v>5460167</v>
      </c>
      <c r="G1722" s="2" t="s">
        <v>563</v>
      </c>
      <c r="H1722" s="2" t="s">
        <v>564</v>
      </c>
      <c r="I1722" s="2" t="s">
        <v>565</v>
      </c>
      <c r="J1722" s="4">
        <v>-0.36399999999999999</v>
      </c>
      <c r="K1722" s="2" t="s">
        <v>250</v>
      </c>
      <c r="L1722" s="2">
        <v>2023</v>
      </c>
      <c r="M1722" s="2" t="s">
        <v>251</v>
      </c>
      <c r="N1722" s="2" t="s">
        <v>23</v>
      </c>
      <c r="O1722">
        <f t="shared" si="52"/>
        <v>1.4900000000000091</v>
      </c>
      <c r="P1722">
        <f t="shared" si="53"/>
        <v>-15.792000000000016</v>
      </c>
    </row>
    <row r="1723" spans="1:16" x14ac:dyDescent="0.35">
      <c r="A1723" s="9" t="s">
        <v>257</v>
      </c>
      <c r="B1723" s="2">
        <v>150.5</v>
      </c>
      <c r="C1723" s="2">
        <v>150.5</v>
      </c>
      <c r="D1723" s="2">
        <v>147.26</v>
      </c>
      <c r="E1723" s="2">
        <v>147.41999999999999</v>
      </c>
      <c r="F1723" s="2">
        <v>6973598</v>
      </c>
      <c r="G1723" s="2" t="s">
        <v>563</v>
      </c>
      <c r="H1723" s="2" t="s">
        <v>564</v>
      </c>
      <c r="I1723" s="2" t="s">
        <v>565</v>
      </c>
      <c r="J1723" s="4">
        <v>-1.9490000000000001</v>
      </c>
      <c r="K1723" s="2" t="s">
        <v>250</v>
      </c>
      <c r="L1723" s="2">
        <v>2023</v>
      </c>
      <c r="M1723" s="2" t="s">
        <v>251</v>
      </c>
      <c r="N1723" s="2" t="s">
        <v>23</v>
      </c>
      <c r="O1723">
        <f t="shared" si="52"/>
        <v>3.2400000000000091</v>
      </c>
      <c r="P1723">
        <f t="shared" si="53"/>
        <v>-17.741000000000017</v>
      </c>
    </row>
    <row r="1724" spans="1:16" x14ac:dyDescent="0.35">
      <c r="A1724" s="9" t="s">
        <v>258</v>
      </c>
      <c r="B1724" s="2">
        <v>148.25</v>
      </c>
      <c r="C1724" s="2">
        <v>148.5</v>
      </c>
      <c r="D1724" s="2">
        <v>145.63999999999999</v>
      </c>
      <c r="E1724" s="2">
        <v>147.25</v>
      </c>
      <c r="F1724" s="2">
        <v>6931611</v>
      </c>
      <c r="G1724" s="2" t="s">
        <v>563</v>
      </c>
      <c r="H1724" s="2" t="s">
        <v>564</v>
      </c>
      <c r="I1724" s="2" t="s">
        <v>565</v>
      </c>
      <c r="J1724" s="4">
        <v>-0.115</v>
      </c>
      <c r="K1724" s="2" t="s">
        <v>250</v>
      </c>
      <c r="L1724" s="2">
        <v>2023</v>
      </c>
      <c r="M1724" s="2" t="s">
        <v>251</v>
      </c>
      <c r="N1724" s="2" t="s">
        <v>23</v>
      </c>
      <c r="O1724">
        <f t="shared" si="52"/>
        <v>2.8600000000000136</v>
      </c>
      <c r="P1724">
        <f t="shared" si="53"/>
        <v>-17.856000000000016</v>
      </c>
    </row>
    <row r="1725" spans="1:16" x14ac:dyDescent="0.35">
      <c r="A1725" s="9" t="s">
        <v>259</v>
      </c>
      <c r="B1725" s="2">
        <v>147.25</v>
      </c>
      <c r="C1725" s="2">
        <v>147.9</v>
      </c>
      <c r="D1725" s="2">
        <v>146.65</v>
      </c>
      <c r="E1725" s="2">
        <v>147.63</v>
      </c>
      <c r="F1725" s="2">
        <v>5889367</v>
      </c>
      <c r="G1725" s="2" t="s">
        <v>563</v>
      </c>
      <c r="H1725" s="2" t="s">
        <v>564</v>
      </c>
      <c r="I1725" s="2" t="s">
        <v>565</v>
      </c>
      <c r="J1725" s="3">
        <v>0.25800000000000001</v>
      </c>
      <c r="K1725" s="2" t="s">
        <v>250</v>
      </c>
      <c r="L1725" s="2">
        <v>2023</v>
      </c>
      <c r="M1725" s="2" t="s">
        <v>251</v>
      </c>
      <c r="N1725" s="2" t="s">
        <v>21</v>
      </c>
      <c r="O1725">
        <f t="shared" si="52"/>
        <v>1.25</v>
      </c>
      <c r="P1725">
        <f t="shared" si="53"/>
        <v>-17.598000000000017</v>
      </c>
    </row>
    <row r="1726" spans="1:16" x14ac:dyDescent="0.35">
      <c r="A1726" s="9" t="s">
        <v>260</v>
      </c>
      <c r="B1726" s="2">
        <v>147.63999999999999</v>
      </c>
      <c r="C1726" s="2">
        <v>148.54</v>
      </c>
      <c r="D1726" s="2">
        <v>146.97</v>
      </c>
      <c r="E1726" s="2">
        <v>147.66</v>
      </c>
      <c r="F1726" s="2">
        <v>6713647</v>
      </c>
      <c r="G1726" s="2" t="s">
        <v>563</v>
      </c>
      <c r="H1726" s="2" t="s">
        <v>564</v>
      </c>
      <c r="I1726" s="2" t="s">
        <v>565</v>
      </c>
      <c r="J1726" s="3">
        <v>0.02</v>
      </c>
      <c r="K1726" s="2" t="s">
        <v>250</v>
      </c>
      <c r="L1726" s="2">
        <v>2023</v>
      </c>
      <c r="M1726" s="2" t="s">
        <v>251</v>
      </c>
      <c r="N1726" s="2" t="s">
        <v>21</v>
      </c>
      <c r="O1726">
        <f t="shared" si="52"/>
        <v>1.5699999999999932</v>
      </c>
      <c r="P1726">
        <f t="shared" si="53"/>
        <v>-17.578000000000017</v>
      </c>
    </row>
    <row r="1727" spans="1:16" x14ac:dyDescent="0.35">
      <c r="A1727" s="9" t="s">
        <v>261</v>
      </c>
      <c r="B1727" s="2">
        <v>147.35</v>
      </c>
      <c r="C1727" s="2">
        <v>149.41999999999999</v>
      </c>
      <c r="D1727" s="2">
        <v>147.27000000000001</v>
      </c>
      <c r="E1727" s="2">
        <v>148.80000000000001</v>
      </c>
      <c r="F1727" s="2">
        <v>6729120</v>
      </c>
      <c r="G1727" s="2" t="s">
        <v>563</v>
      </c>
      <c r="H1727" s="2" t="s">
        <v>564</v>
      </c>
      <c r="I1727" s="2" t="s">
        <v>565</v>
      </c>
      <c r="J1727" s="3">
        <v>0.77200000000000002</v>
      </c>
      <c r="K1727" s="2" t="s">
        <v>250</v>
      </c>
      <c r="L1727" s="2">
        <v>2023</v>
      </c>
      <c r="M1727" s="2" t="s">
        <v>251</v>
      </c>
      <c r="N1727" s="2" t="s">
        <v>21</v>
      </c>
      <c r="O1727">
        <f t="shared" si="52"/>
        <v>2.1499999999999773</v>
      </c>
      <c r="P1727">
        <f t="shared" si="53"/>
        <v>-16.806000000000019</v>
      </c>
    </row>
    <row r="1728" spans="1:16" x14ac:dyDescent="0.35">
      <c r="A1728" s="9" t="s">
        <v>262</v>
      </c>
      <c r="B1728" s="2">
        <v>149.5</v>
      </c>
      <c r="C1728" s="2">
        <v>150.16999999999999</v>
      </c>
      <c r="D1728" s="2">
        <v>148.63999999999999</v>
      </c>
      <c r="E1728" s="2">
        <v>150.1</v>
      </c>
      <c r="F1728" s="2">
        <v>6875566</v>
      </c>
      <c r="G1728" s="2" t="s">
        <v>563</v>
      </c>
      <c r="H1728" s="2" t="s">
        <v>564</v>
      </c>
      <c r="I1728" s="2" t="s">
        <v>565</v>
      </c>
      <c r="J1728" s="3">
        <v>0.874</v>
      </c>
      <c r="K1728" s="2" t="s">
        <v>250</v>
      </c>
      <c r="L1728" s="2">
        <v>2023</v>
      </c>
      <c r="M1728" s="2" t="s">
        <v>251</v>
      </c>
      <c r="N1728" s="2" t="s">
        <v>21</v>
      </c>
      <c r="O1728">
        <f t="shared" si="52"/>
        <v>1.5300000000000011</v>
      </c>
      <c r="P1728">
        <f t="shared" si="53"/>
        <v>-15.932000000000018</v>
      </c>
    </row>
    <row r="1729" spans="1:16" x14ac:dyDescent="0.35">
      <c r="A1729" s="9" t="s">
        <v>263</v>
      </c>
      <c r="B1729" s="2">
        <v>150.55000000000001</v>
      </c>
      <c r="C1729" s="2">
        <v>150.785</v>
      </c>
      <c r="D1729" s="2">
        <v>149.065</v>
      </c>
      <c r="E1729" s="2">
        <v>149.79</v>
      </c>
      <c r="F1729" s="2">
        <v>7025544</v>
      </c>
      <c r="G1729" s="2" t="s">
        <v>563</v>
      </c>
      <c r="H1729" s="2" t="s">
        <v>564</v>
      </c>
      <c r="I1729" s="2" t="s">
        <v>565</v>
      </c>
      <c r="J1729" s="4">
        <v>-0.20699999999999999</v>
      </c>
      <c r="K1729" s="2" t="s">
        <v>250</v>
      </c>
      <c r="L1729" s="2">
        <v>2023</v>
      </c>
      <c r="M1729" s="2" t="s">
        <v>251</v>
      </c>
      <c r="N1729" s="2" t="s">
        <v>23</v>
      </c>
      <c r="O1729">
        <f t="shared" si="52"/>
        <v>1.7199999999999989</v>
      </c>
      <c r="P1729">
        <f t="shared" si="53"/>
        <v>-16.139000000000017</v>
      </c>
    </row>
    <row r="1730" spans="1:16" x14ac:dyDescent="0.35">
      <c r="A1730" s="9" t="s">
        <v>264</v>
      </c>
      <c r="B1730" s="2">
        <v>147.91</v>
      </c>
      <c r="C1730" s="2">
        <v>150.4</v>
      </c>
      <c r="D1730" s="2">
        <v>147.54</v>
      </c>
      <c r="E1730" s="2">
        <v>149.91</v>
      </c>
      <c r="F1730" s="2">
        <v>8860472</v>
      </c>
      <c r="G1730" s="2" t="s">
        <v>563</v>
      </c>
      <c r="H1730" s="2" t="s">
        <v>564</v>
      </c>
      <c r="I1730" s="2" t="s">
        <v>565</v>
      </c>
      <c r="J1730" s="3">
        <v>0.08</v>
      </c>
      <c r="K1730" s="2" t="s">
        <v>250</v>
      </c>
      <c r="L1730" s="2">
        <v>2023</v>
      </c>
      <c r="M1730" s="2" t="s">
        <v>251</v>
      </c>
      <c r="N1730" s="2" t="s">
        <v>21</v>
      </c>
      <c r="O1730">
        <f t="shared" si="52"/>
        <v>2.8600000000000136</v>
      </c>
      <c r="P1730">
        <f t="shared" si="53"/>
        <v>-16.059000000000019</v>
      </c>
    </row>
    <row r="1731" spans="1:16" x14ac:dyDescent="0.35">
      <c r="A1731" s="9" t="s">
        <v>265</v>
      </c>
      <c r="B1731" s="2">
        <v>150.1</v>
      </c>
      <c r="C1731" s="2">
        <v>151.29</v>
      </c>
      <c r="D1731" s="2">
        <v>149.61000000000001</v>
      </c>
      <c r="E1731" s="2">
        <v>151.12</v>
      </c>
      <c r="F1731" s="2">
        <v>5916344</v>
      </c>
      <c r="G1731" s="2" t="s">
        <v>563</v>
      </c>
      <c r="H1731" s="2" t="s">
        <v>564</v>
      </c>
      <c r="I1731" s="2" t="s">
        <v>565</v>
      </c>
      <c r="J1731" s="3">
        <v>0.80700000000000005</v>
      </c>
      <c r="K1731" s="2" t="s">
        <v>250</v>
      </c>
      <c r="L1731" s="2">
        <v>2023</v>
      </c>
      <c r="M1731" s="2" t="s">
        <v>251</v>
      </c>
      <c r="N1731" s="2" t="s">
        <v>21</v>
      </c>
      <c r="O1731">
        <f t="shared" ref="O1731:O1794" si="54">C1731-D1731</f>
        <v>1.6799999999999784</v>
      </c>
      <c r="P1731">
        <f t="shared" si="53"/>
        <v>-15.252000000000018</v>
      </c>
    </row>
    <row r="1732" spans="1:16" x14ac:dyDescent="0.35">
      <c r="A1732" s="9" t="s">
        <v>266</v>
      </c>
      <c r="B1732" s="2">
        <v>151.63</v>
      </c>
      <c r="C1732" s="2">
        <v>152.04</v>
      </c>
      <c r="D1732" s="2">
        <v>150.38999999999999</v>
      </c>
      <c r="E1732" s="2">
        <v>150.82</v>
      </c>
      <c r="F1732" s="2">
        <v>4635503</v>
      </c>
      <c r="G1732" s="2" t="s">
        <v>563</v>
      </c>
      <c r="H1732" s="2" t="s">
        <v>564</v>
      </c>
      <c r="I1732" s="2" t="s">
        <v>565</v>
      </c>
      <c r="J1732" s="4">
        <v>-0.19900000000000001</v>
      </c>
      <c r="K1732" s="2" t="s">
        <v>250</v>
      </c>
      <c r="L1732" s="2">
        <v>2023</v>
      </c>
      <c r="M1732" s="2" t="s">
        <v>251</v>
      </c>
      <c r="N1732" s="2" t="s">
        <v>23</v>
      </c>
      <c r="O1732">
        <f t="shared" si="54"/>
        <v>1.6500000000000057</v>
      </c>
      <c r="P1732">
        <f t="shared" ref="P1732:P1795" si="55">IF(G1732=G1731, P1731+J1732, J1732)</f>
        <v>-15.451000000000018</v>
      </c>
    </row>
    <row r="1733" spans="1:16" x14ac:dyDescent="0.35">
      <c r="A1733" s="9" t="s">
        <v>267</v>
      </c>
      <c r="B1733" s="2">
        <v>150.86000000000001</v>
      </c>
      <c r="C1733" s="2">
        <v>152.679</v>
      </c>
      <c r="D1733" s="2">
        <v>150.86000000000001</v>
      </c>
      <c r="E1733" s="2">
        <v>152.5</v>
      </c>
      <c r="F1733" s="2">
        <v>3351448</v>
      </c>
      <c r="G1733" s="2" t="s">
        <v>563</v>
      </c>
      <c r="H1733" s="2" t="s">
        <v>564</v>
      </c>
      <c r="I1733" s="2" t="s">
        <v>565</v>
      </c>
      <c r="J1733" s="3">
        <v>1.1140000000000001</v>
      </c>
      <c r="K1733" s="2" t="s">
        <v>250</v>
      </c>
      <c r="L1733" s="2">
        <v>2023</v>
      </c>
      <c r="M1733" s="2" t="s">
        <v>251</v>
      </c>
      <c r="N1733" s="2" t="s">
        <v>21</v>
      </c>
      <c r="O1733">
        <f t="shared" si="54"/>
        <v>1.8189999999999884</v>
      </c>
      <c r="P1733">
        <f t="shared" si="55"/>
        <v>-14.337000000000018</v>
      </c>
    </row>
    <row r="1734" spans="1:16" x14ac:dyDescent="0.35">
      <c r="A1734" s="9" t="s">
        <v>268</v>
      </c>
      <c r="B1734" s="2">
        <v>152.29</v>
      </c>
      <c r="C1734" s="2">
        <v>152.32</v>
      </c>
      <c r="D1734" s="2">
        <v>150.97</v>
      </c>
      <c r="E1734" s="2">
        <v>151.28</v>
      </c>
      <c r="F1734" s="2">
        <v>6449740</v>
      </c>
      <c r="G1734" s="2" t="s">
        <v>563</v>
      </c>
      <c r="H1734" s="2" t="s">
        <v>564</v>
      </c>
      <c r="I1734" s="2" t="s">
        <v>565</v>
      </c>
      <c r="J1734" s="4">
        <v>-0.8</v>
      </c>
      <c r="K1734" s="2" t="s">
        <v>250</v>
      </c>
      <c r="L1734" s="2">
        <v>2023</v>
      </c>
      <c r="M1734" s="2" t="s">
        <v>251</v>
      </c>
      <c r="N1734" s="2" t="s">
        <v>23</v>
      </c>
      <c r="O1734">
        <f t="shared" si="54"/>
        <v>1.3499999999999943</v>
      </c>
      <c r="P1734">
        <f t="shared" si="55"/>
        <v>-15.137000000000018</v>
      </c>
    </row>
    <row r="1735" spans="1:16" x14ac:dyDescent="0.35">
      <c r="A1735" s="9" t="s">
        <v>269</v>
      </c>
      <c r="B1735" s="2">
        <v>151.4</v>
      </c>
      <c r="C1735" s="2">
        <v>151.81</v>
      </c>
      <c r="D1735" s="2">
        <v>150.84</v>
      </c>
      <c r="E1735" s="2">
        <v>151.63</v>
      </c>
      <c r="F1735" s="2">
        <v>5909044</v>
      </c>
      <c r="G1735" s="2" t="s">
        <v>563</v>
      </c>
      <c r="H1735" s="2" t="s">
        <v>564</v>
      </c>
      <c r="I1735" s="2" t="s">
        <v>565</v>
      </c>
      <c r="J1735" s="3">
        <v>0.23100000000000001</v>
      </c>
      <c r="K1735" s="2" t="s">
        <v>250</v>
      </c>
      <c r="L1735" s="2">
        <v>2023</v>
      </c>
      <c r="M1735" s="2" t="s">
        <v>251</v>
      </c>
      <c r="N1735" s="2" t="s">
        <v>21</v>
      </c>
      <c r="O1735">
        <f t="shared" si="54"/>
        <v>0.96999999999999886</v>
      </c>
      <c r="P1735">
        <f t="shared" si="55"/>
        <v>-14.906000000000018</v>
      </c>
    </row>
    <row r="1736" spans="1:16" x14ac:dyDescent="0.35">
      <c r="A1736" s="9" t="s">
        <v>270</v>
      </c>
      <c r="B1736" s="2">
        <v>151.33000000000001</v>
      </c>
      <c r="C1736" s="2">
        <v>152.19999999999999</v>
      </c>
      <c r="D1736" s="2">
        <v>151.07</v>
      </c>
      <c r="E1736" s="2">
        <v>152.11000000000001</v>
      </c>
      <c r="F1736" s="2">
        <v>5190026</v>
      </c>
      <c r="G1736" s="2" t="s">
        <v>563</v>
      </c>
      <c r="H1736" s="2" t="s">
        <v>564</v>
      </c>
      <c r="I1736" s="2" t="s">
        <v>565</v>
      </c>
      <c r="J1736" s="3">
        <v>0.317</v>
      </c>
      <c r="K1736" s="2" t="s">
        <v>250</v>
      </c>
      <c r="L1736" s="2">
        <v>2023</v>
      </c>
      <c r="M1736" s="2" t="s">
        <v>251</v>
      </c>
      <c r="N1736" s="2" t="s">
        <v>21</v>
      </c>
      <c r="O1736">
        <f t="shared" si="54"/>
        <v>1.1299999999999955</v>
      </c>
      <c r="P1736">
        <f t="shared" si="55"/>
        <v>-14.589000000000018</v>
      </c>
    </row>
    <row r="1737" spans="1:16" x14ac:dyDescent="0.35">
      <c r="A1737" s="9" t="s">
        <v>271</v>
      </c>
      <c r="B1737" s="2">
        <v>152.26</v>
      </c>
      <c r="C1737" s="2">
        <v>155.13999999999999</v>
      </c>
      <c r="D1737" s="2">
        <v>151.91999999999999</v>
      </c>
      <c r="E1737" s="2">
        <v>154.66</v>
      </c>
      <c r="F1737" s="2">
        <v>12481867</v>
      </c>
      <c r="G1737" s="2" t="s">
        <v>563</v>
      </c>
      <c r="H1737" s="2" t="s">
        <v>564</v>
      </c>
      <c r="I1737" s="2" t="s">
        <v>565</v>
      </c>
      <c r="J1737" s="3">
        <v>1.6759999999999999</v>
      </c>
      <c r="K1737" s="2" t="s">
        <v>250</v>
      </c>
      <c r="L1737" s="2">
        <v>2023</v>
      </c>
      <c r="M1737" s="2" t="s">
        <v>251</v>
      </c>
      <c r="N1737" s="2" t="s">
        <v>21</v>
      </c>
      <c r="O1737">
        <f t="shared" si="54"/>
        <v>3.2199999999999989</v>
      </c>
      <c r="P1737">
        <f t="shared" si="55"/>
        <v>-12.913000000000018</v>
      </c>
    </row>
    <row r="1738" spans="1:16" x14ac:dyDescent="0.35">
      <c r="A1738" s="9" t="s">
        <v>272</v>
      </c>
      <c r="B1738" s="2">
        <v>156.44</v>
      </c>
      <c r="C1738" s="2">
        <v>158.46</v>
      </c>
      <c r="D1738" s="2">
        <v>155.47</v>
      </c>
      <c r="E1738" s="2">
        <v>158.38</v>
      </c>
      <c r="F1738" s="2">
        <v>10342901</v>
      </c>
      <c r="G1738" s="2" t="s">
        <v>563</v>
      </c>
      <c r="H1738" s="2" t="s">
        <v>564</v>
      </c>
      <c r="I1738" s="2" t="s">
        <v>565</v>
      </c>
      <c r="J1738" s="3">
        <v>2.4049999999999998</v>
      </c>
      <c r="K1738" s="2" t="s">
        <v>273</v>
      </c>
      <c r="L1738" s="2">
        <v>2023</v>
      </c>
      <c r="M1738" s="2" t="s">
        <v>274</v>
      </c>
      <c r="N1738" s="2" t="s">
        <v>21</v>
      </c>
      <c r="O1738">
        <f t="shared" si="54"/>
        <v>2.9900000000000091</v>
      </c>
      <c r="P1738">
        <f t="shared" si="55"/>
        <v>-10.508000000000019</v>
      </c>
    </row>
    <row r="1739" spans="1:16" x14ac:dyDescent="0.35">
      <c r="A1739" s="9" t="s">
        <v>275</v>
      </c>
      <c r="B1739" s="2">
        <v>158</v>
      </c>
      <c r="C1739" s="2">
        <v>160.02000000000001</v>
      </c>
      <c r="D1739" s="2">
        <v>158</v>
      </c>
      <c r="E1739" s="2">
        <v>158.88</v>
      </c>
      <c r="F1739" s="2">
        <v>8920279</v>
      </c>
      <c r="G1739" s="2" t="s">
        <v>563</v>
      </c>
      <c r="H1739" s="2" t="s">
        <v>564</v>
      </c>
      <c r="I1739" s="2" t="s">
        <v>565</v>
      </c>
      <c r="J1739" s="3">
        <v>0.316</v>
      </c>
      <c r="K1739" s="2" t="s">
        <v>273</v>
      </c>
      <c r="L1739" s="2">
        <v>2023</v>
      </c>
      <c r="M1739" s="2" t="s">
        <v>274</v>
      </c>
      <c r="N1739" s="2" t="s">
        <v>21</v>
      </c>
      <c r="O1739">
        <f t="shared" si="54"/>
        <v>2.0200000000000102</v>
      </c>
      <c r="P1739">
        <f t="shared" si="55"/>
        <v>-10.192000000000018</v>
      </c>
    </row>
    <row r="1740" spans="1:16" x14ac:dyDescent="0.35">
      <c r="A1740" s="9" t="s">
        <v>276</v>
      </c>
      <c r="B1740" s="2">
        <v>158.80000000000001</v>
      </c>
      <c r="C1740" s="2">
        <v>159.63</v>
      </c>
      <c r="D1740" s="2">
        <v>158.22</v>
      </c>
      <c r="E1740" s="2">
        <v>158.55000000000001</v>
      </c>
      <c r="F1740" s="2">
        <v>7268151</v>
      </c>
      <c r="G1740" s="2" t="s">
        <v>563</v>
      </c>
      <c r="H1740" s="2" t="s">
        <v>564</v>
      </c>
      <c r="I1740" s="2" t="s">
        <v>565</v>
      </c>
      <c r="J1740" s="4">
        <v>-0.20799999999999999</v>
      </c>
      <c r="K1740" s="2" t="s">
        <v>273</v>
      </c>
      <c r="L1740" s="2">
        <v>2023</v>
      </c>
      <c r="M1740" s="2" t="s">
        <v>274</v>
      </c>
      <c r="N1740" s="2" t="s">
        <v>23</v>
      </c>
      <c r="O1740">
        <f t="shared" si="54"/>
        <v>1.4099999999999966</v>
      </c>
      <c r="P1740">
        <f t="shared" si="55"/>
        <v>-10.400000000000018</v>
      </c>
    </row>
    <row r="1741" spans="1:16" x14ac:dyDescent="0.35">
      <c r="A1741" s="9" t="s">
        <v>277</v>
      </c>
      <c r="B1741" s="2">
        <v>158.52000000000001</v>
      </c>
      <c r="C1741" s="2">
        <v>158.65899999999999</v>
      </c>
      <c r="D1741" s="2">
        <v>156.16999999999999</v>
      </c>
      <c r="E1741" s="2">
        <v>156.62</v>
      </c>
      <c r="F1741" s="2">
        <v>6642891</v>
      </c>
      <c r="G1741" s="2" t="s">
        <v>563</v>
      </c>
      <c r="H1741" s="2" t="s">
        <v>564</v>
      </c>
      <c r="I1741" s="2" t="s">
        <v>565</v>
      </c>
      <c r="J1741" s="4">
        <v>-1.2170000000000001</v>
      </c>
      <c r="K1741" s="2" t="s">
        <v>273</v>
      </c>
      <c r="L1741" s="2">
        <v>2023</v>
      </c>
      <c r="M1741" s="2" t="s">
        <v>274</v>
      </c>
      <c r="N1741" s="2" t="s">
        <v>23</v>
      </c>
      <c r="O1741">
        <f t="shared" si="54"/>
        <v>2.4890000000000043</v>
      </c>
      <c r="P1741">
        <f t="shared" si="55"/>
        <v>-11.617000000000019</v>
      </c>
    </row>
    <row r="1742" spans="1:16" x14ac:dyDescent="0.35">
      <c r="A1742" s="9" t="s">
        <v>278</v>
      </c>
      <c r="B1742" s="2">
        <v>156.58000000000001</v>
      </c>
      <c r="C1742" s="2">
        <v>156.58000000000001</v>
      </c>
      <c r="D1742" s="2">
        <v>154.71</v>
      </c>
      <c r="E1742" s="2">
        <v>155.4</v>
      </c>
      <c r="F1742" s="2">
        <v>6532388</v>
      </c>
      <c r="G1742" s="2" t="s">
        <v>563</v>
      </c>
      <c r="H1742" s="2" t="s">
        <v>564</v>
      </c>
      <c r="I1742" s="2" t="s">
        <v>565</v>
      </c>
      <c r="J1742" s="4">
        <v>-0.77900000000000003</v>
      </c>
      <c r="K1742" s="2" t="s">
        <v>273</v>
      </c>
      <c r="L1742" s="2">
        <v>2023</v>
      </c>
      <c r="M1742" s="2" t="s">
        <v>274</v>
      </c>
      <c r="N1742" s="2" t="s">
        <v>23</v>
      </c>
      <c r="O1742">
        <f t="shared" si="54"/>
        <v>1.8700000000000045</v>
      </c>
      <c r="P1742">
        <f t="shared" si="55"/>
        <v>-12.396000000000019</v>
      </c>
    </row>
    <row r="1743" spans="1:16" x14ac:dyDescent="0.35">
      <c r="A1743" s="9" t="s">
        <v>279</v>
      </c>
      <c r="B1743" s="2">
        <v>155.41999999999999</v>
      </c>
      <c r="C1743" s="2">
        <v>155.85</v>
      </c>
      <c r="D1743" s="2">
        <v>153.84</v>
      </c>
      <c r="E1743" s="2">
        <v>154.41999999999999</v>
      </c>
      <c r="F1743" s="2">
        <v>6254673</v>
      </c>
      <c r="G1743" s="2" t="s">
        <v>563</v>
      </c>
      <c r="H1743" s="2" t="s">
        <v>564</v>
      </c>
      <c r="I1743" s="2" t="s">
        <v>565</v>
      </c>
      <c r="J1743" s="4">
        <v>-0.63100000000000001</v>
      </c>
      <c r="K1743" s="2" t="s">
        <v>273</v>
      </c>
      <c r="L1743" s="2">
        <v>2023</v>
      </c>
      <c r="M1743" s="2" t="s">
        <v>274</v>
      </c>
      <c r="N1743" s="2" t="s">
        <v>23</v>
      </c>
      <c r="O1743">
        <f t="shared" si="54"/>
        <v>2.0099999999999909</v>
      </c>
      <c r="P1743">
        <f t="shared" si="55"/>
        <v>-13.027000000000019</v>
      </c>
    </row>
    <row r="1744" spans="1:16" x14ac:dyDescent="0.35">
      <c r="A1744" s="9" t="s">
        <v>280</v>
      </c>
      <c r="B1744" s="2">
        <v>154.5</v>
      </c>
      <c r="C1744" s="2">
        <v>155.47999999999999</v>
      </c>
      <c r="D1744" s="2">
        <v>154.35</v>
      </c>
      <c r="E1744" s="2">
        <v>155.06</v>
      </c>
      <c r="F1744" s="2">
        <v>6090360</v>
      </c>
      <c r="G1744" s="2" t="s">
        <v>563</v>
      </c>
      <c r="H1744" s="2" t="s">
        <v>564</v>
      </c>
      <c r="I1744" s="2" t="s">
        <v>565</v>
      </c>
      <c r="J1744" s="3">
        <v>0.41399999999999998</v>
      </c>
      <c r="K1744" s="2" t="s">
        <v>273</v>
      </c>
      <c r="L1744" s="2">
        <v>2023</v>
      </c>
      <c r="M1744" s="2" t="s">
        <v>274</v>
      </c>
      <c r="N1744" s="2" t="s">
        <v>21</v>
      </c>
      <c r="O1744">
        <f t="shared" si="54"/>
        <v>1.1299999999999955</v>
      </c>
      <c r="P1744">
        <f t="shared" si="55"/>
        <v>-12.613000000000019</v>
      </c>
    </row>
    <row r="1745" spans="1:16" x14ac:dyDescent="0.35">
      <c r="A1745" s="9" t="s">
        <v>281</v>
      </c>
      <c r="B1745" s="2">
        <v>155</v>
      </c>
      <c r="C1745" s="2">
        <v>155.32</v>
      </c>
      <c r="D1745" s="2">
        <v>153.65</v>
      </c>
      <c r="E1745" s="2">
        <v>155.07</v>
      </c>
      <c r="F1745" s="2">
        <v>5324406</v>
      </c>
      <c r="G1745" s="2" t="s">
        <v>563</v>
      </c>
      <c r="H1745" s="2" t="s">
        <v>564</v>
      </c>
      <c r="I1745" s="2" t="s">
        <v>565</v>
      </c>
      <c r="J1745" s="3">
        <v>6.0000000000000001E-3</v>
      </c>
      <c r="K1745" s="2" t="s">
        <v>273</v>
      </c>
      <c r="L1745" s="2">
        <v>2023</v>
      </c>
      <c r="M1745" s="2" t="s">
        <v>274</v>
      </c>
      <c r="N1745" s="2" t="s">
        <v>21</v>
      </c>
      <c r="O1745">
        <f t="shared" si="54"/>
        <v>1.6699999999999875</v>
      </c>
      <c r="P1745">
        <f t="shared" si="55"/>
        <v>-12.607000000000019</v>
      </c>
    </row>
    <row r="1746" spans="1:16" x14ac:dyDescent="0.35">
      <c r="A1746" s="9" t="s">
        <v>282</v>
      </c>
      <c r="B1746" s="2">
        <v>153.66</v>
      </c>
      <c r="C1746" s="2">
        <v>155.94</v>
      </c>
      <c r="D1746" s="2">
        <v>151.77000000000001</v>
      </c>
      <c r="E1746" s="2">
        <v>155.79</v>
      </c>
      <c r="F1746" s="2">
        <v>10764575</v>
      </c>
      <c r="G1746" s="2" t="s">
        <v>563</v>
      </c>
      <c r="H1746" s="2" t="s">
        <v>564</v>
      </c>
      <c r="I1746" s="2" t="s">
        <v>565</v>
      </c>
      <c r="J1746" s="3">
        <v>0.46400000000000002</v>
      </c>
      <c r="K1746" s="2" t="s">
        <v>273</v>
      </c>
      <c r="L1746" s="2">
        <v>2023</v>
      </c>
      <c r="M1746" s="2" t="s">
        <v>274</v>
      </c>
      <c r="N1746" s="2" t="s">
        <v>21</v>
      </c>
      <c r="O1746">
        <f t="shared" si="54"/>
        <v>4.1699999999999875</v>
      </c>
      <c r="P1746">
        <f t="shared" si="55"/>
        <v>-12.143000000000018</v>
      </c>
    </row>
    <row r="1747" spans="1:16" x14ac:dyDescent="0.35">
      <c r="A1747" s="9" t="s">
        <v>283</v>
      </c>
      <c r="B1747" s="2">
        <v>156.47</v>
      </c>
      <c r="C1747" s="2">
        <v>157.16</v>
      </c>
      <c r="D1747" s="2">
        <v>155.047</v>
      </c>
      <c r="E1747" s="2">
        <v>156.87</v>
      </c>
      <c r="F1747" s="2">
        <v>9240800</v>
      </c>
      <c r="G1747" s="2" t="s">
        <v>563</v>
      </c>
      <c r="H1747" s="2" t="s">
        <v>564</v>
      </c>
      <c r="I1747" s="2" t="s">
        <v>565</v>
      </c>
      <c r="J1747" s="3">
        <v>0.69299999999999995</v>
      </c>
      <c r="K1747" s="2" t="s">
        <v>273</v>
      </c>
      <c r="L1747" s="2">
        <v>2023</v>
      </c>
      <c r="M1747" s="2" t="s">
        <v>274</v>
      </c>
      <c r="N1747" s="2" t="s">
        <v>21</v>
      </c>
      <c r="O1747">
        <f t="shared" si="54"/>
        <v>2.1129999999999995</v>
      </c>
      <c r="P1747">
        <f t="shared" si="55"/>
        <v>-11.450000000000019</v>
      </c>
    </row>
    <row r="1748" spans="1:16" x14ac:dyDescent="0.35">
      <c r="A1748" s="9" t="s">
        <v>284</v>
      </c>
      <c r="B1748" s="2">
        <v>155.49</v>
      </c>
      <c r="C1748" s="2">
        <v>156.69</v>
      </c>
      <c r="D1748" s="2">
        <v>153.76</v>
      </c>
      <c r="E1748" s="2">
        <v>155.16</v>
      </c>
      <c r="F1748" s="2">
        <v>21727754</v>
      </c>
      <c r="G1748" s="2" t="s">
        <v>563</v>
      </c>
      <c r="H1748" s="2" t="s">
        <v>564</v>
      </c>
      <c r="I1748" s="2" t="s">
        <v>565</v>
      </c>
      <c r="J1748" s="4">
        <v>-1.0900000000000001</v>
      </c>
      <c r="K1748" s="2" t="s">
        <v>273</v>
      </c>
      <c r="L1748" s="2">
        <v>2023</v>
      </c>
      <c r="M1748" s="2" t="s">
        <v>274</v>
      </c>
      <c r="N1748" s="2" t="s">
        <v>23</v>
      </c>
      <c r="O1748">
        <f t="shared" si="54"/>
        <v>2.9300000000000068</v>
      </c>
      <c r="P1748">
        <f t="shared" si="55"/>
        <v>-12.540000000000019</v>
      </c>
    </row>
    <row r="1749" spans="1:16" x14ac:dyDescent="0.35">
      <c r="A1749" s="9" t="s">
        <v>285</v>
      </c>
      <c r="B1749" s="2">
        <v>155.21</v>
      </c>
      <c r="C1749" s="2">
        <v>156.44</v>
      </c>
      <c r="D1749" s="2">
        <v>154.76</v>
      </c>
      <c r="E1749" s="2">
        <v>155.44</v>
      </c>
      <c r="F1749" s="2">
        <v>7231383</v>
      </c>
      <c r="G1749" s="2" t="s">
        <v>563</v>
      </c>
      <c r="H1749" s="2" t="s">
        <v>564</v>
      </c>
      <c r="I1749" s="2" t="s">
        <v>565</v>
      </c>
      <c r="J1749" s="3">
        <v>0.18</v>
      </c>
      <c r="K1749" s="2" t="s">
        <v>273</v>
      </c>
      <c r="L1749" s="2">
        <v>2023</v>
      </c>
      <c r="M1749" s="2" t="s">
        <v>274</v>
      </c>
      <c r="N1749" s="2" t="s">
        <v>21</v>
      </c>
      <c r="O1749">
        <f t="shared" si="54"/>
        <v>1.6800000000000068</v>
      </c>
      <c r="P1749">
        <f t="shared" si="55"/>
        <v>-12.360000000000019</v>
      </c>
    </row>
    <row r="1750" spans="1:16" x14ac:dyDescent="0.35">
      <c r="A1750" s="9" t="s">
        <v>286</v>
      </c>
      <c r="B1750" s="2">
        <v>155.30000000000001</v>
      </c>
      <c r="C1750" s="2">
        <v>156.5</v>
      </c>
      <c r="D1750" s="2">
        <v>154.94</v>
      </c>
      <c r="E1750" s="2">
        <v>156.46</v>
      </c>
      <c r="F1750" s="2">
        <v>6651744</v>
      </c>
      <c r="G1750" s="2" t="s">
        <v>563</v>
      </c>
      <c r="H1750" s="2" t="s">
        <v>564</v>
      </c>
      <c r="I1750" s="2" t="s">
        <v>565</v>
      </c>
      <c r="J1750" s="3">
        <v>0.65600000000000003</v>
      </c>
      <c r="K1750" s="2" t="s">
        <v>273</v>
      </c>
      <c r="L1750" s="2">
        <v>2023</v>
      </c>
      <c r="M1750" s="2" t="s">
        <v>274</v>
      </c>
      <c r="N1750" s="2" t="s">
        <v>21</v>
      </c>
      <c r="O1750">
        <f t="shared" si="54"/>
        <v>1.5600000000000023</v>
      </c>
      <c r="P1750">
        <f t="shared" si="55"/>
        <v>-11.704000000000018</v>
      </c>
    </row>
    <row r="1751" spans="1:16" x14ac:dyDescent="0.35">
      <c r="A1751" s="9" t="s">
        <v>287</v>
      </c>
      <c r="B1751" s="2">
        <v>156.54</v>
      </c>
      <c r="C1751" s="2">
        <v>156.66</v>
      </c>
      <c r="D1751" s="2">
        <v>153.11000000000001</v>
      </c>
      <c r="E1751" s="2">
        <v>153.27000000000001</v>
      </c>
      <c r="F1751" s="2">
        <v>7008313</v>
      </c>
      <c r="G1751" s="2" t="s">
        <v>563</v>
      </c>
      <c r="H1751" s="2" t="s">
        <v>564</v>
      </c>
      <c r="I1751" s="2" t="s">
        <v>565</v>
      </c>
      <c r="J1751" s="4">
        <v>-2.0390000000000001</v>
      </c>
      <c r="K1751" s="2" t="s">
        <v>273</v>
      </c>
      <c r="L1751" s="2">
        <v>2023</v>
      </c>
      <c r="M1751" s="2" t="s">
        <v>274</v>
      </c>
      <c r="N1751" s="2" t="s">
        <v>23</v>
      </c>
      <c r="O1751">
        <f t="shared" si="54"/>
        <v>3.5499999999999829</v>
      </c>
      <c r="P1751">
        <f t="shared" si="55"/>
        <v>-13.743000000000018</v>
      </c>
    </row>
    <row r="1752" spans="1:16" x14ac:dyDescent="0.35">
      <c r="A1752" s="9" t="s">
        <v>288</v>
      </c>
      <c r="B1752" s="2">
        <v>153.69</v>
      </c>
      <c r="C1752" s="2">
        <v>155.13</v>
      </c>
      <c r="D1752" s="2">
        <v>153.30000000000001</v>
      </c>
      <c r="E1752" s="2">
        <v>154.84</v>
      </c>
      <c r="F1752" s="2">
        <v>4598843</v>
      </c>
      <c r="G1752" s="2" t="s">
        <v>563</v>
      </c>
      <c r="H1752" s="2" t="s">
        <v>564</v>
      </c>
      <c r="I1752" s="2" t="s">
        <v>565</v>
      </c>
      <c r="J1752" s="3">
        <v>1.024</v>
      </c>
      <c r="K1752" s="2" t="s">
        <v>273</v>
      </c>
      <c r="L1752" s="2">
        <v>2023</v>
      </c>
      <c r="M1752" s="2" t="s">
        <v>274</v>
      </c>
      <c r="N1752" s="2" t="s">
        <v>21</v>
      </c>
      <c r="O1752">
        <f t="shared" si="54"/>
        <v>1.8299999999999841</v>
      </c>
      <c r="P1752">
        <f t="shared" si="55"/>
        <v>-12.719000000000019</v>
      </c>
    </row>
    <row r="1753" spans="1:16" x14ac:dyDescent="0.35">
      <c r="A1753" s="9" t="s">
        <v>289</v>
      </c>
      <c r="B1753" s="2">
        <v>155.25</v>
      </c>
      <c r="C1753" s="2">
        <v>156.53</v>
      </c>
      <c r="D1753" s="2">
        <v>155.02000000000001</v>
      </c>
      <c r="E1753" s="2">
        <v>155.46</v>
      </c>
      <c r="F1753" s="2">
        <v>3798865</v>
      </c>
      <c r="G1753" s="2" t="s">
        <v>563</v>
      </c>
      <c r="H1753" s="2" t="s">
        <v>564</v>
      </c>
      <c r="I1753" s="2" t="s">
        <v>565</v>
      </c>
      <c r="J1753" s="3">
        <v>0.4</v>
      </c>
      <c r="K1753" s="2" t="s">
        <v>273</v>
      </c>
      <c r="L1753" s="2">
        <v>2023</v>
      </c>
      <c r="M1753" s="2" t="s">
        <v>274</v>
      </c>
      <c r="N1753" s="2" t="s">
        <v>21</v>
      </c>
      <c r="O1753">
        <f t="shared" si="54"/>
        <v>1.5099999999999909</v>
      </c>
      <c r="P1753">
        <f t="shared" si="55"/>
        <v>-12.319000000000019</v>
      </c>
    </row>
    <row r="1754" spans="1:16" x14ac:dyDescent="0.35">
      <c r="A1754" s="9" t="s">
        <v>290</v>
      </c>
      <c r="B1754" s="2">
        <v>155</v>
      </c>
      <c r="C1754" s="2">
        <v>156.35</v>
      </c>
      <c r="D1754" s="2">
        <v>154.85</v>
      </c>
      <c r="E1754" s="2">
        <v>156.13999999999999</v>
      </c>
      <c r="F1754" s="2">
        <v>4170190</v>
      </c>
      <c r="G1754" s="2" t="s">
        <v>563</v>
      </c>
      <c r="H1754" s="2" t="s">
        <v>564</v>
      </c>
      <c r="I1754" s="2" t="s">
        <v>565</v>
      </c>
      <c r="J1754" s="3">
        <v>0.437</v>
      </c>
      <c r="K1754" s="2" t="s">
        <v>273</v>
      </c>
      <c r="L1754" s="2">
        <v>2023</v>
      </c>
      <c r="M1754" s="2" t="s">
        <v>274</v>
      </c>
      <c r="N1754" s="2" t="s">
        <v>21</v>
      </c>
      <c r="O1754">
        <f t="shared" si="54"/>
        <v>1.5</v>
      </c>
      <c r="P1754">
        <f t="shared" si="55"/>
        <v>-11.882000000000019</v>
      </c>
    </row>
    <row r="1755" spans="1:16" x14ac:dyDescent="0.35">
      <c r="A1755" s="9" t="s">
        <v>291</v>
      </c>
      <c r="B1755" s="2">
        <v>155.5</v>
      </c>
      <c r="C1755" s="2">
        <v>156.52000000000001</v>
      </c>
      <c r="D1755" s="2">
        <v>155.41999999999999</v>
      </c>
      <c r="E1755" s="2">
        <v>156.35</v>
      </c>
      <c r="F1755" s="2">
        <v>5288101</v>
      </c>
      <c r="G1755" s="2" t="s">
        <v>563</v>
      </c>
      <c r="H1755" s="2" t="s">
        <v>564</v>
      </c>
      <c r="I1755" s="2" t="s">
        <v>565</v>
      </c>
      <c r="J1755" s="3">
        <v>0.13400000000000001</v>
      </c>
      <c r="K1755" s="2" t="s">
        <v>273</v>
      </c>
      <c r="L1755" s="2">
        <v>2023</v>
      </c>
      <c r="M1755" s="2" t="s">
        <v>274</v>
      </c>
      <c r="N1755" s="2" t="s">
        <v>21</v>
      </c>
      <c r="O1755">
        <f t="shared" si="54"/>
        <v>1.1000000000000227</v>
      </c>
      <c r="P1755">
        <f t="shared" si="55"/>
        <v>-11.748000000000019</v>
      </c>
    </row>
    <row r="1756" spans="1:16" x14ac:dyDescent="0.35">
      <c r="A1756" s="9" t="s">
        <v>292</v>
      </c>
      <c r="B1756" s="2">
        <v>156</v>
      </c>
      <c r="C1756" s="2">
        <v>157.24</v>
      </c>
      <c r="D1756" s="2">
        <v>155.99</v>
      </c>
      <c r="E1756" s="2">
        <v>156.58000000000001</v>
      </c>
      <c r="F1756" s="2">
        <v>4377535</v>
      </c>
      <c r="G1756" s="2" t="s">
        <v>563</v>
      </c>
      <c r="H1756" s="2" t="s">
        <v>564</v>
      </c>
      <c r="I1756" s="2" t="s">
        <v>565</v>
      </c>
      <c r="J1756" s="3">
        <v>0.14699999999999999</v>
      </c>
      <c r="K1756" s="2" t="s">
        <v>273</v>
      </c>
      <c r="L1756" s="2">
        <v>2023</v>
      </c>
      <c r="M1756" s="2" t="s">
        <v>274</v>
      </c>
      <c r="N1756" s="2" t="s">
        <v>21</v>
      </c>
      <c r="O1756">
        <f t="shared" si="54"/>
        <v>1.25</v>
      </c>
      <c r="P1756">
        <f t="shared" si="55"/>
        <v>-11.601000000000019</v>
      </c>
    </row>
    <row r="1757" spans="1:16" x14ac:dyDescent="0.35">
      <c r="A1757" s="9" t="s">
        <v>293</v>
      </c>
      <c r="B1757" s="2">
        <v>156.51</v>
      </c>
      <c r="C1757" s="2">
        <v>156.9</v>
      </c>
      <c r="D1757" s="2">
        <v>155.97999999999999</v>
      </c>
      <c r="E1757" s="2">
        <v>156.74</v>
      </c>
      <c r="F1757" s="2">
        <v>4313691</v>
      </c>
      <c r="G1757" s="2" t="s">
        <v>563</v>
      </c>
      <c r="H1757" s="2" t="s">
        <v>564</v>
      </c>
      <c r="I1757" s="2" t="s">
        <v>565</v>
      </c>
      <c r="J1757" s="3">
        <v>0.10199999999999999</v>
      </c>
      <c r="K1757" s="2" t="s">
        <v>273</v>
      </c>
      <c r="L1757" s="2">
        <v>2023</v>
      </c>
      <c r="M1757" s="2" t="s">
        <v>274</v>
      </c>
      <c r="N1757" s="2" t="s">
        <v>21</v>
      </c>
      <c r="O1757">
        <f t="shared" si="54"/>
        <v>0.92000000000001592</v>
      </c>
      <c r="P1757">
        <f t="shared" si="55"/>
        <v>-11.499000000000018</v>
      </c>
    </row>
    <row r="1758" spans="1:16" x14ac:dyDescent="0.35">
      <c r="A1758" s="9" t="s">
        <v>294</v>
      </c>
      <c r="B1758" s="2">
        <v>156.93</v>
      </c>
      <c r="C1758" s="2">
        <v>161.63900000000001</v>
      </c>
      <c r="D1758" s="2">
        <v>156.79</v>
      </c>
      <c r="E1758" s="2">
        <v>159.97</v>
      </c>
      <c r="F1758" s="2">
        <v>9622108</v>
      </c>
      <c r="G1758" s="2" t="s">
        <v>563</v>
      </c>
      <c r="H1758" s="2" t="s">
        <v>564</v>
      </c>
      <c r="I1758" s="2" t="s">
        <v>565</v>
      </c>
      <c r="J1758" s="3">
        <v>2.0609999999999999</v>
      </c>
      <c r="K1758" s="2" t="s">
        <v>295</v>
      </c>
      <c r="L1758" s="2">
        <v>2024</v>
      </c>
      <c r="M1758" s="2" t="s">
        <v>19</v>
      </c>
      <c r="N1758" s="2" t="s">
        <v>21</v>
      </c>
      <c r="O1758">
        <f t="shared" si="54"/>
        <v>4.849000000000018</v>
      </c>
      <c r="P1758">
        <f t="shared" si="55"/>
        <v>-9.4380000000000184</v>
      </c>
    </row>
    <row r="1759" spans="1:16" x14ac:dyDescent="0.35">
      <c r="A1759" s="9" t="s">
        <v>296</v>
      </c>
      <c r="B1759" s="2">
        <v>160.63999999999999</v>
      </c>
      <c r="C1759" s="2">
        <v>161.44</v>
      </c>
      <c r="D1759" s="2">
        <v>159.80000000000001</v>
      </c>
      <c r="E1759" s="2">
        <v>160.97</v>
      </c>
      <c r="F1759" s="2">
        <v>8231987</v>
      </c>
      <c r="G1759" s="2" t="s">
        <v>563</v>
      </c>
      <c r="H1759" s="2" t="s">
        <v>564</v>
      </c>
      <c r="I1759" s="2" t="s">
        <v>565</v>
      </c>
      <c r="J1759" s="3">
        <v>0.625</v>
      </c>
      <c r="K1759" s="2" t="s">
        <v>295</v>
      </c>
      <c r="L1759" s="2">
        <v>2024</v>
      </c>
      <c r="M1759" s="2" t="s">
        <v>19</v>
      </c>
      <c r="N1759" s="2" t="s">
        <v>21</v>
      </c>
      <c r="O1759">
        <f t="shared" si="54"/>
        <v>1.6399999999999864</v>
      </c>
      <c r="P1759">
        <f t="shared" si="55"/>
        <v>-8.8130000000000184</v>
      </c>
    </row>
    <row r="1760" spans="1:16" x14ac:dyDescent="0.35">
      <c r="A1760" s="9" t="s">
        <v>297</v>
      </c>
      <c r="B1760" s="2">
        <v>161.59</v>
      </c>
      <c r="C1760" s="2">
        <v>161.97999999999999</v>
      </c>
      <c r="D1760" s="2">
        <v>160.41999999999999</v>
      </c>
      <c r="E1760" s="2">
        <v>160.63</v>
      </c>
      <c r="F1760" s="2">
        <v>6766641</v>
      </c>
      <c r="G1760" s="2" t="s">
        <v>563</v>
      </c>
      <c r="H1760" s="2" t="s">
        <v>564</v>
      </c>
      <c r="I1760" s="2" t="s">
        <v>565</v>
      </c>
      <c r="J1760" s="4">
        <v>-0.21099999999999999</v>
      </c>
      <c r="K1760" s="2" t="s">
        <v>295</v>
      </c>
      <c r="L1760" s="2">
        <v>2024</v>
      </c>
      <c r="M1760" s="2" t="s">
        <v>19</v>
      </c>
      <c r="N1760" s="2" t="s">
        <v>23</v>
      </c>
      <c r="O1760">
        <f t="shared" si="54"/>
        <v>1.5600000000000023</v>
      </c>
      <c r="P1760">
        <f t="shared" si="55"/>
        <v>-9.0240000000000187</v>
      </c>
    </row>
    <row r="1761" spans="1:16" x14ac:dyDescent="0.35">
      <c r="A1761" s="9" t="s">
        <v>298</v>
      </c>
      <c r="B1761" s="2">
        <v>160.5</v>
      </c>
      <c r="C1761" s="2">
        <v>161.34</v>
      </c>
      <c r="D1761" s="2">
        <v>159.47</v>
      </c>
      <c r="E1761" s="2">
        <v>161.13</v>
      </c>
      <c r="F1761" s="2">
        <v>5602564</v>
      </c>
      <c r="G1761" s="2" t="s">
        <v>563</v>
      </c>
      <c r="H1761" s="2" t="s">
        <v>564</v>
      </c>
      <c r="I1761" s="2" t="s">
        <v>565</v>
      </c>
      <c r="J1761" s="3">
        <v>0.311</v>
      </c>
      <c r="K1761" s="2" t="s">
        <v>295</v>
      </c>
      <c r="L1761" s="2">
        <v>2024</v>
      </c>
      <c r="M1761" s="2" t="s">
        <v>19</v>
      </c>
      <c r="N1761" s="2" t="s">
        <v>21</v>
      </c>
      <c r="O1761">
        <f t="shared" si="54"/>
        <v>1.8700000000000045</v>
      </c>
      <c r="P1761">
        <f t="shared" si="55"/>
        <v>-8.7130000000000187</v>
      </c>
    </row>
    <row r="1762" spans="1:16" x14ac:dyDescent="0.35">
      <c r="A1762" s="9" t="s">
        <v>299</v>
      </c>
      <c r="B1762" s="2">
        <v>161.1</v>
      </c>
      <c r="C1762" s="2">
        <v>161.66</v>
      </c>
      <c r="D1762" s="2">
        <v>159.61000000000001</v>
      </c>
      <c r="E1762" s="2">
        <v>161.53</v>
      </c>
      <c r="F1762" s="2">
        <v>6569810</v>
      </c>
      <c r="G1762" s="2" t="s">
        <v>563</v>
      </c>
      <c r="H1762" s="2" t="s">
        <v>564</v>
      </c>
      <c r="I1762" s="2" t="s">
        <v>565</v>
      </c>
      <c r="J1762" s="3">
        <v>0.248</v>
      </c>
      <c r="K1762" s="2" t="s">
        <v>295</v>
      </c>
      <c r="L1762" s="2">
        <v>2024</v>
      </c>
      <c r="M1762" s="2" t="s">
        <v>19</v>
      </c>
      <c r="N1762" s="2" t="s">
        <v>21</v>
      </c>
      <c r="O1762">
        <f t="shared" si="54"/>
        <v>2.0499999999999829</v>
      </c>
      <c r="P1762">
        <f t="shared" si="55"/>
        <v>-8.4650000000000194</v>
      </c>
    </row>
    <row r="1763" spans="1:16" x14ac:dyDescent="0.35">
      <c r="A1763" s="9" t="s">
        <v>300</v>
      </c>
      <c r="B1763" s="2">
        <v>161.63</v>
      </c>
      <c r="C1763" s="2">
        <v>163.28</v>
      </c>
      <c r="D1763" s="2">
        <v>160.595</v>
      </c>
      <c r="E1763" s="2">
        <v>161.63</v>
      </c>
      <c r="F1763" s="2">
        <v>6357014</v>
      </c>
      <c r="G1763" s="2" t="s">
        <v>563</v>
      </c>
      <c r="H1763" s="2" t="s">
        <v>564</v>
      </c>
      <c r="I1763" s="2" t="s">
        <v>565</v>
      </c>
      <c r="J1763" s="3">
        <v>6.2E-2</v>
      </c>
      <c r="K1763" s="2" t="s">
        <v>295</v>
      </c>
      <c r="L1763" s="2">
        <v>2024</v>
      </c>
      <c r="M1763" s="2" t="s">
        <v>19</v>
      </c>
      <c r="N1763" s="2" t="s">
        <v>21</v>
      </c>
      <c r="O1763">
        <f t="shared" si="54"/>
        <v>2.6850000000000023</v>
      </c>
      <c r="P1763">
        <f t="shared" si="55"/>
        <v>-8.40300000000002</v>
      </c>
    </row>
    <row r="1764" spans="1:16" x14ac:dyDescent="0.35">
      <c r="A1764" s="9" t="s">
        <v>301</v>
      </c>
      <c r="B1764" s="2">
        <v>161.82499999999999</v>
      </c>
      <c r="C1764" s="2">
        <v>162.62</v>
      </c>
      <c r="D1764" s="2">
        <v>161.19999999999999</v>
      </c>
      <c r="E1764" s="2">
        <v>161.87</v>
      </c>
      <c r="F1764" s="2">
        <v>4945088</v>
      </c>
      <c r="G1764" s="2" t="s">
        <v>563</v>
      </c>
      <c r="H1764" s="2" t="s">
        <v>564</v>
      </c>
      <c r="I1764" s="2" t="s">
        <v>565</v>
      </c>
      <c r="J1764" s="3">
        <v>0.14799999999999999</v>
      </c>
      <c r="K1764" s="2" t="s">
        <v>295</v>
      </c>
      <c r="L1764" s="2">
        <v>2024</v>
      </c>
      <c r="M1764" s="2" t="s">
        <v>19</v>
      </c>
      <c r="N1764" s="2" t="s">
        <v>21</v>
      </c>
      <c r="O1764">
        <f t="shared" si="54"/>
        <v>1.4200000000000159</v>
      </c>
      <c r="P1764">
        <f t="shared" si="55"/>
        <v>-8.2550000000000203</v>
      </c>
    </row>
    <row r="1765" spans="1:16" x14ac:dyDescent="0.35">
      <c r="A1765" s="9" t="s">
        <v>302</v>
      </c>
      <c r="B1765" s="2">
        <v>162.07</v>
      </c>
      <c r="C1765" s="2">
        <v>162.19900000000001</v>
      </c>
      <c r="D1765" s="2">
        <v>160.78</v>
      </c>
      <c r="E1765" s="2">
        <v>161.15</v>
      </c>
      <c r="F1765" s="2">
        <v>4946015</v>
      </c>
      <c r="G1765" s="2" t="s">
        <v>563</v>
      </c>
      <c r="H1765" s="2" t="s">
        <v>564</v>
      </c>
      <c r="I1765" s="2" t="s">
        <v>565</v>
      </c>
      <c r="J1765" s="4">
        <v>-0.44500000000000001</v>
      </c>
      <c r="K1765" s="2" t="s">
        <v>295</v>
      </c>
      <c r="L1765" s="2">
        <v>2024</v>
      </c>
      <c r="M1765" s="2" t="s">
        <v>19</v>
      </c>
      <c r="N1765" s="2" t="s">
        <v>23</v>
      </c>
      <c r="O1765">
        <f t="shared" si="54"/>
        <v>1.4190000000000111</v>
      </c>
      <c r="P1765">
        <f t="shared" si="55"/>
        <v>-8.7000000000000206</v>
      </c>
    </row>
    <row r="1766" spans="1:16" x14ac:dyDescent="0.35">
      <c r="A1766" s="9" t="s">
        <v>303</v>
      </c>
      <c r="B1766" s="2">
        <v>161.84</v>
      </c>
      <c r="C1766" s="2">
        <v>162.47</v>
      </c>
      <c r="D1766" s="2">
        <v>161.69</v>
      </c>
      <c r="E1766" s="2">
        <v>162.38999999999999</v>
      </c>
      <c r="F1766" s="2">
        <v>4496942</v>
      </c>
      <c r="G1766" s="2" t="s">
        <v>563</v>
      </c>
      <c r="H1766" s="2" t="s">
        <v>564</v>
      </c>
      <c r="I1766" s="2" t="s">
        <v>565</v>
      </c>
      <c r="J1766" s="3">
        <v>0.76900000000000002</v>
      </c>
      <c r="K1766" s="2" t="s">
        <v>295</v>
      </c>
      <c r="L1766" s="2">
        <v>2024</v>
      </c>
      <c r="M1766" s="2" t="s">
        <v>19</v>
      </c>
      <c r="N1766" s="2" t="s">
        <v>21</v>
      </c>
      <c r="O1766">
        <f t="shared" si="54"/>
        <v>0.78000000000000114</v>
      </c>
      <c r="P1766">
        <f t="shared" si="55"/>
        <v>-7.9310000000000205</v>
      </c>
    </row>
    <row r="1767" spans="1:16" x14ac:dyDescent="0.35">
      <c r="A1767" s="9" t="s">
        <v>304</v>
      </c>
      <c r="B1767" s="2">
        <v>161.57</v>
      </c>
      <c r="C1767" s="2">
        <v>162.25</v>
      </c>
      <c r="D1767" s="2">
        <v>160.18</v>
      </c>
      <c r="E1767" s="2">
        <v>160.52000000000001</v>
      </c>
      <c r="F1767" s="2">
        <v>6923174</v>
      </c>
      <c r="G1767" s="2" t="s">
        <v>563</v>
      </c>
      <c r="H1767" s="2" t="s">
        <v>564</v>
      </c>
      <c r="I1767" s="2" t="s">
        <v>565</v>
      </c>
      <c r="J1767" s="4">
        <v>-1.1519999999999999</v>
      </c>
      <c r="K1767" s="2" t="s">
        <v>295</v>
      </c>
      <c r="L1767" s="2">
        <v>2024</v>
      </c>
      <c r="M1767" s="2" t="s">
        <v>19</v>
      </c>
      <c r="N1767" s="2" t="s">
        <v>23</v>
      </c>
      <c r="O1767">
        <f t="shared" si="54"/>
        <v>2.0699999999999932</v>
      </c>
      <c r="P1767">
        <f t="shared" si="55"/>
        <v>-9.0830000000000197</v>
      </c>
    </row>
    <row r="1768" spans="1:16" x14ac:dyDescent="0.35">
      <c r="A1768" s="9" t="s">
        <v>305</v>
      </c>
      <c r="B1768" s="2">
        <v>160.25</v>
      </c>
      <c r="C1768" s="2">
        <v>161.30000000000001</v>
      </c>
      <c r="D1768" s="2">
        <v>159.87</v>
      </c>
      <c r="E1768" s="2">
        <v>160.43</v>
      </c>
      <c r="F1768" s="2">
        <v>5072104</v>
      </c>
      <c r="G1768" s="2" t="s">
        <v>563</v>
      </c>
      <c r="H1768" s="2" t="s">
        <v>564</v>
      </c>
      <c r="I1768" s="2" t="s">
        <v>565</v>
      </c>
      <c r="J1768" s="4">
        <v>-5.6000000000000001E-2</v>
      </c>
      <c r="K1768" s="2" t="s">
        <v>295</v>
      </c>
      <c r="L1768" s="2">
        <v>2024</v>
      </c>
      <c r="M1768" s="2" t="s">
        <v>19</v>
      </c>
      <c r="N1768" s="2" t="s">
        <v>23</v>
      </c>
      <c r="O1768">
        <f t="shared" si="54"/>
        <v>1.4300000000000068</v>
      </c>
      <c r="P1768">
        <f t="shared" si="55"/>
        <v>-9.1390000000000189</v>
      </c>
    </row>
    <row r="1769" spans="1:16" x14ac:dyDescent="0.35">
      <c r="A1769" s="9" t="s">
        <v>306</v>
      </c>
      <c r="B1769" s="2">
        <v>160</v>
      </c>
      <c r="C1769" s="2">
        <v>161.37</v>
      </c>
      <c r="D1769" s="2">
        <v>159.69</v>
      </c>
      <c r="E1769" s="2">
        <v>161.21</v>
      </c>
      <c r="F1769" s="2">
        <v>5368502</v>
      </c>
      <c r="G1769" s="2" t="s">
        <v>563</v>
      </c>
      <c r="H1769" s="2" t="s">
        <v>564</v>
      </c>
      <c r="I1769" s="2" t="s">
        <v>565</v>
      </c>
      <c r="J1769" s="3">
        <v>0.48599999999999999</v>
      </c>
      <c r="K1769" s="2" t="s">
        <v>295</v>
      </c>
      <c r="L1769" s="2">
        <v>2024</v>
      </c>
      <c r="M1769" s="2" t="s">
        <v>19</v>
      </c>
      <c r="N1769" s="2" t="s">
        <v>21</v>
      </c>
      <c r="O1769">
        <f t="shared" si="54"/>
        <v>1.6800000000000068</v>
      </c>
      <c r="P1769">
        <f t="shared" si="55"/>
        <v>-8.6530000000000182</v>
      </c>
    </row>
    <row r="1770" spans="1:16" x14ac:dyDescent="0.35">
      <c r="A1770" s="9" t="s">
        <v>307</v>
      </c>
      <c r="B1770" s="2">
        <v>161.15</v>
      </c>
      <c r="C1770" s="2">
        <v>161.923</v>
      </c>
      <c r="D1770" s="2">
        <v>160.28</v>
      </c>
      <c r="E1770" s="2">
        <v>161.68</v>
      </c>
      <c r="F1770" s="2">
        <v>7071320</v>
      </c>
      <c r="G1770" s="2" t="s">
        <v>563</v>
      </c>
      <c r="H1770" s="2" t="s">
        <v>564</v>
      </c>
      <c r="I1770" s="2" t="s">
        <v>565</v>
      </c>
      <c r="J1770" s="3">
        <v>0.29199999999999998</v>
      </c>
      <c r="K1770" s="2" t="s">
        <v>295</v>
      </c>
      <c r="L1770" s="2">
        <v>2024</v>
      </c>
      <c r="M1770" s="2" t="s">
        <v>19</v>
      </c>
      <c r="N1770" s="2" t="s">
        <v>21</v>
      </c>
      <c r="O1770">
        <f t="shared" si="54"/>
        <v>1.6430000000000007</v>
      </c>
      <c r="P1770">
        <f t="shared" si="55"/>
        <v>-8.3610000000000184</v>
      </c>
    </row>
    <row r="1771" spans="1:16" x14ac:dyDescent="0.35">
      <c r="A1771" s="9" t="s">
        <v>308</v>
      </c>
      <c r="B1771" s="2">
        <v>162</v>
      </c>
      <c r="C1771" s="2">
        <v>163.58000000000001</v>
      </c>
      <c r="D1771" s="2">
        <v>161.34</v>
      </c>
      <c r="E1771" s="2">
        <v>162.47</v>
      </c>
      <c r="F1771" s="2">
        <v>6824156</v>
      </c>
      <c r="G1771" s="2" t="s">
        <v>563</v>
      </c>
      <c r="H1771" s="2" t="s">
        <v>564</v>
      </c>
      <c r="I1771" s="2" t="s">
        <v>565</v>
      </c>
      <c r="J1771" s="3">
        <v>0.48899999999999999</v>
      </c>
      <c r="K1771" s="2" t="s">
        <v>295</v>
      </c>
      <c r="L1771" s="2">
        <v>2024</v>
      </c>
      <c r="M1771" s="2" t="s">
        <v>19</v>
      </c>
      <c r="N1771" s="2" t="s">
        <v>21</v>
      </c>
      <c r="O1771">
        <f t="shared" si="54"/>
        <v>2.2400000000000091</v>
      </c>
      <c r="P1771">
        <f t="shared" si="55"/>
        <v>-7.8720000000000185</v>
      </c>
    </row>
    <row r="1772" spans="1:16" x14ac:dyDescent="0.35">
      <c r="A1772" s="9" t="s">
        <v>309</v>
      </c>
      <c r="B1772" s="2">
        <v>159.66</v>
      </c>
      <c r="C1772" s="2">
        <v>160.50700000000001</v>
      </c>
      <c r="D1772" s="2">
        <v>156.91</v>
      </c>
      <c r="E1772" s="2">
        <v>159.81</v>
      </c>
      <c r="F1772" s="2">
        <v>9149777</v>
      </c>
      <c r="G1772" s="2" t="s">
        <v>563</v>
      </c>
      <c r="H1772" s="2" t="s">
        <v>564</v>
      </c>
      <c r="I1772" s="2" t="s">
        <v>565</v>
      </c>
      <c r="J1772" s="4">
        <v>-1.637</v>
      </c>
      <c r="K1772" s="2" t="s">
        <v>295</v>
      </c>
      <c r="L1772" s="2">
        <v>2024</v>
      </c>
      <c r="M1772" s="2" t="s">
        <v>19</v>
      </c>
      <c r="N1772" s="2" t="s">
        <v>23</v>
      </c>
      <c r="O1772">
        <f t="shared" si="54"/>
        <v>3.5970000000000084</v>
      </c>
      <c r="P1772">
        <f t="shared" si="55"/>
        <v>-9.5090000000000181</v>
      </c>
    </row>
    <row r="1773" spans="1:16" x14ac:dyDescent="0.35">
      <c r="A1773" s="9" t="s">
        <v>310</v>
      </c>
      <c r="B1773" s="2">
        <v>159.75</v>
      </c>
      <c r="C1773" s="2">
        <v>160.6</v>
      </c>
      <c r="D1773" s="2">
        <v>158.16</v>
      </c>
      <c r="E1773" s="2">
        <v>158.96</v>
      </c>
      <c r="F1773" s="2">
        <v>7247926</v>
      </c>
      <c r="G1773" s="2" t="s">
        <v>563</v>
      </c>
      <c r="H1773" s="2" t="s">
        <v>564</v>
      </c>
      <c r="I1773" s="2" t="s">
        <v>565</v>
      </c>
      <c r="J1773" s="4">
        <v>-0.53200000000000003</v>
      </c>
      <c r="K1773" s="2" t="s">
        <v>295</v>
      </c>
      <c r="L1773" s="2">
        <v>2024</v>
      </c>
      <c r="M1773" s="2" t="s">
        <v>19</v>
      </c>
      <c r="N1773" s="2" t="s">
        <v>23</v>
      </c>
      <c r="O1773">
        <f t="shared" si="54"/>
        <v>2.4399999999999977</v>
      </c>
      <c r="P1773">
        <f t="shared" si="55"/>
        <v>-10.041000000000018</v>
      </c>
    </row>
    <row r="1774" spans="1:16" x14ac:dyDescent="0.35">
      <c r="A1774" s="9" t="s">
        <v>311</v>
      </c>
      <c r="B1774" s="2">
        <v>159</v>
      </c>
      <c r="C1774" s="2">
        <v>159.62</v>
      </c>
      <c r="D1774" s="2">
        <v>158.47</v>
      </c>
      <c r="E1774" s="2">
        <v>159.56</v>
      </c>
      <c r="F1774" s="2">
        <v>5478898</v>
      </c>
      <c r="G1774" s="2" t="s">
        <v>563</v>
      </c>
      <c r="H1774" s="2" t="s">
        <v>564</v>
      </c>
      <c r="I1774" s="2" t="s">
        <v>565</v>
      </c>
      <c r="J1774" s="3">
        <v>0.377</v>
      </c>
      <c r="K1774" s="2" t="s">
        <v>295</v>
      </c>
      <c r="L1774" s="2">
        <v>2024</v>
      </c>
      <c r="M1774" s="2" t="s">
        <v>19</v>
      </c>
      <c r="N1774" s="2" t="s">
        <v>21</v>
      </c>
      <c r="O1774">
        <f t="shared" si="54"/>
        <v>1.1500000000000057</v>
      </c>
      <c r="P1774">
        <f t="shared" si="55"/>
        <v>-9.6640000000000175</v>
      </c>
    </row>
    <row r="1775" spans="1:16" x14ac:dyDescent="0.35">
      <c r="A1775" s="9" t="s">
        <v>312</v>
      </c>
      <c r="B1775" s="2">
        <v>160.43</v>
      </c>
      <c r="C1775" s="2">
        <v>160.74</v>
      </c>
      <c r="D1775" s="2">
        <v>159.36000000000001</v>
      </c>
      <c r="E1775" s="2">
        <v>159.5</v>
      </c>
      <c r="F1775" s="2">
        <v>5591930</v>
      </c>
      <c r="G1775" s="2" t="s">
        <v>563</v>
      </c>
      <c r="H1775" s="2" t="s">
        <v>564</v>
      </c>
      <c r="I1775" s="2" t="s">
        <v>565</v>
      </c>
      <c r="J1775" s="4">
        <v>-3.7999999999999999E-2</v>
      </c>
      <c r="K1775" s="2" t="s">
        <v>295</v>
      </c>
      <c r="L1775" s="2">
        <v>2024</v>
      </c>
      <c r="M1775" s="2" t="s">
        <v>19</v>
      </c>
      <c r="N1775" s="2" t="s">
        <v>23</v>
      </c>
      <c r="O1775">
        <f t="shared" si="54"/>
        <v>1.3799999999999955</v>
      </c>
      <c r="P1775">
        <f t="shared" si="55"/>
        <v>-9.7020000000000177</v>
      </c>
    </row>
    <row r="1776" spans="1:16" x14ac:dyDescent="0.35">
      <c r="A1776" s="9" t="s">
        <v>313</v>
      </c>
      <c r="B1776" s="2">
        <v>159.01</v>
      </c>
      <c r="C1776" s="2">
        <v>160.07</v>
      </c>
      <c r="D1776" s="2">
        <v>158.96</v>
      </c>
      <c r="E1776" s="2">
        <v>159.36000000000001</v>
      </c>
      <c r="F1776" s="2">
        <v>6483190</v>
      </c>
      <c r="G1776" s="2" t="s">
        <v>563</v>
      </c>
      <c r="H1776" s="2" t="s">
        <v>564</v>
      </c>
      <c r="I1776" s="2" t="s">
        <v>565</v>
      </c>
      <c r="J1776" s="4">
        <v>-8.7999999999999995E-2</v>
      </c>
      <c r="K1776" s="2" t="s">
        <v>295</v>
      </c>
      <c r="L1776" s="2">
        <v>2024</v>
      </c>
      <c r="M1776" s="2" t="s">
        <v>19</v>
      </c>
      <c r="N1776" s="2" t="s">
        <v>23</v>
      </c>
      <c r="O1776">
        <f t="shared" si="54"/>
        <v>1.1099999999999852</v>
      </c>
      <c r="P1776">
        <f t="shared" si="55"/>
        <v>-9.7900000000000169</v>
      </c>
    </row>
    <row r="1777" spans="1:16" x14ac:dyDescent="0.35">
      <c r="A1777" s="9" t="s">
        <v>314</v>
      </c>
      <c r="B1777" s="2">
        <v>159.35</v>
      </c>
      <c r="C1777" s="2">
        <v>159.76</v>
      </c>
      <c r="D1777" s="2">
        <v>158.13</v>
      </c>
      <c r="E1777" s="2">
        <v>158.77000000000001</v>
      </c>
      <c r="F1777" s="2">
        <v>7200538</v>
      </c>
      <c r="G1777" s="2" t="s">
        <v>563</v>
      </c>
      <c r="H1777" s="2" t="s">
        <v>564</v>
      </c>
      <c r="I1777" s="2" t="s">
        <v>565</v>
      </c>
      <c r="J1777" s="4">
        <v>-0.37</v>
      </c>
      <c r="K1777" s="2" t="s">
        <v>295</v>
      </c>
      <c r="L1777" s="2">
        <v>2024</v>
      </c>
      <c r="M1777" s="2" t="s">
        <v>19</v>
      </c>
      <c r="N1777" s="2" t="s">
        <v>23</v>
      </c>
      <c r="O1777">
        <f t="shared" si="54"/>
        <v>1.6299999999999955</v>
      </c>
      <c r="P1777">
        <f t="shared" si="55"/>
        <v>-10.160000000000016</v>
      </c>
    </row>
    <row r="1778" spans="1:16" x14ac:dyDescent="0.35">
      <c r="A1778" s="9" t="s">
        <v>315</v>
      </c>
      <c r="B1778" s="2">
        <v>160.4</v>
      </c>
      <c r="C1778" s="2">
        <v>160.62</v>
      </c>
      <c r="D1778" s="2">
        <v>158.66999999999999</v>
      </c>
      <c r="E1778" s="2">
        <v>158.9</v>
      </c>
      <c r="F1778" s="2">
        <v>8257029</v>
      </c>
      <c r="G1778" s="2" t="s">
        <v>563</v>
      </c>
      <c r="H1778" s="2" t="s">
        <v>564</v>
      </c>
      <c r="I1778" s="2" t="s">
        <v>565</v>
      </c>
      <c r="J1778" s="3">
        <v>8.2000000000000003E-2</v>
      </c>
      <c r="K1778" s="2" t="s">
        <v>295</v>
      </c>
      <c r="L1778" s="2">
        <v>2024</v>
      </c>
      <c r="M1778" s="2" t="s">
        <v>19</v>
      </c>
      <c r="N1778" s="2" t="s">
        <v>21</v>
      </c>
      <c r="O1778">
        <f t="shared" si="54"/>
        <v>1.9500000000000171</v>
      </c>
      <c r="P1778">
        <f t="shared" si="55"/>
        <v>-10.078000000000015</v>
      </c>
    </row>
    <row r="1779" spans="1:16" x14ac:dyDescent="0.35">
      <c r="A1779" s="9" t="s">
        <v>316</v>
      </c>
      <c r="B1779" s="2">
        <v>158.16</v>
      </c>
      <c r="C1779" s="2">
        <v>158.49</v>
      </c>
      <c r="D1779" s="2">
        <v>157.05000000000001</v>
      </c>
      <c r="E1779" s="2">
        <v>158.36000000000001</v>
      </c>
      <c r="F1779" s="2">
        <v>8012122</v>
      </c>
      <c r="G1779" s="2" t="s">
        <v>563</v>
      </c>
      <c r="H1779" s="2" t="s">
        <v>564</v>
      </c>
      <c r="I1779" s="2" t="s">
        <v>565</v>
      </c>
      <c r="J1779" s="4">
        <v>-0.34</v>
      </c>
      <c r="K1779" s="2" t="s">
        <v>317</v>
      </c>
      <c r="L1779" s="2">
        <v>2024</v>
      </c>
      <c r="M1779" s="2" t="s">
        <v>43</v>
      </c>
      <c r="N1779" s="2" t="s">
        <v>23</v>
      </c>
      <c r="O1779">
        <f t="shared" si="54"/>
        <v>1.4399999999999977</v>
      </c>
      <c r="P1779">
        <f t="shared" si="55"/>
        <v>-10.418000000000015</v>
      </c>
    </row>
    <row r="1780" spans="1:16" x14ac:dyDescent="0.35">
      <c r="A1780" s="9" t="s">
        <v>318</v>
      </c>
      <c r="B1780" s="2">
        <v>157.97</v>
      </c>
      <c r="C1780" s="2">
        <v>158.31</v>
      </c>
      <c r="D1780" s="2">
        <v>155.94</v>
      </c>
      <c r="E1780" s="2">
        <v>156.61000000000001</v>
      </c>
      <c r="F1780" s="2">
        <v>8295916</v>
      </c>
      <c r="G1780" s="2" t="s">
        <v>563</v>
      </c>
      <c r="H1780" s="2" t="s">
        <v>564</v>
      </c>
      <c r="I1780" s="2" t="s">
        <v>565</v>
      </c>
      <c r="J1780" s="4">
        <v>-1.105</v>
      </c>
      <c r="K1780" s="2" t="s">
        <v>317</v>
      </c>
      <c r="L1780" s="2">
        <v>2024</v>
      </c>
      <c r="M1780" s="2" t="s">
        <v>43</v>
      </c>
      <c r="N1780" s="2" t="s">
        <v>23</v>
      </c>
      <c r="O1780">
        <f t="shared" si="54"/>
        <v>2.3700000000000045</v>
      </c>
      <c r="P1780">
        <f t="shared" si="55"/>
        <v>-11.523000000000016</v>
      </c>
    </row>
    <row r="1781" spans="1:16" x14ac:dyDescent="0.35">
      <c r="A1781" s="9" t="s">
        <v>319</v>
      </c>
      <c r="B1781" s="2">
        <v>156.61000000000001</v>
      </c>
      <c r="C1781" s="2">
        <v>156.88999999999999</v>
      </c>
      <c r="D1781" s="2">
        <v>155.34</v>
      </c>
      <c r="E1781" s="2">
        <v>155.80000000000001</v>
      </c>
      <c r="F1781" s="2">
        <v>9121808</v>
      </c>
      <c r="G1781" s="2" t="s">
        <v>563</v>
      </c>
      <c r="H1781" s="2" t="s">
        <v>564</v>
      </c>
      <c r="I1781" s="2" t="s">
        <v>565</v>
      </c>
      <c r="J1781" s="4">
        <v>-0.51700000000000002</v>
      </c>
      <c r="K1781" s="2" t="s">
        <v>317</v>
      </c>
      <c r="L1781" s="2">
        <v>2024</v>
      </c>
      <c r="M1781" s="2" t="s">
        <v>43</v>
      </c>
      <c r="N1781" s="2" t="s">
        <v>23</v>
      </c>
      <c r="O1781">
        <f t="shared" si="54"/>
        <v>1.5499999999999829</v>
      </c>
      <c r="P1781">
        <f t="shared" si="55"/>
        <v>-12.040000000000015</v>
      </c>
    </row>
    <row r="1782" spans="1:16" x14ac:dyDescent="0.35">
      <c r="A1782" s="9" t="s">
        <v>320</v>
      </c>
      <c r="B1782" s="2">
        <v>155.83000000000001</v>
      </c>
      <c r="C1782" s="2">
        <v>158.72999999999999</v>
      </c>
      <c r="D1782" s="2">
        <v>155.6</v>
      </c>
      <c r="E1782" s="2">
        <v>158.06</v>
      </c>
      <c r="F1782" s="2">
        <v>9230611</v>
      </c>
      <c r="G1782" s="2" t="s">
        <v>563</v>
      </c>
      <c r="H1782" s="2" t="s">
        <v>564</v>
      </c>
      <c r="I1782" s="2" t="s">
        <v>565</v>
      </c>
      <c r="J1782" s="3">
        <v>1.4510000000000001</v>
      </c>
      <c r="K1782" s="2" t="s">
        <v>317</v>
      </c>
      <c r="L1782" s="2">
        <v>2024</v>
      </c>
      <c r="M1782" s="2" t="s">
        <v>43</v>
      </c>
      <c r="N1782" s="2" t="s">
        <v>21</v>
      </c>
      <c r="O1782">
        <f t="shared" si="54"/>
        <v>3.1299999999999955</v>
      </c>
      <c r="P1782">
        <f t="shared" si="55"/>
        <v>-10.589000000000015</v>
      </c>
    </row>
    <row r="1783" spans="1:16" x14ac:dyDescent="0.35">
      <c r="A1783" s="9" t="s">
        <v>321</v>
      </c>
      <c r="B1783" s="2">
        <v>157.80000000000001</v>
      </c>
      <c r="C1783" s="2">
        <v>159.37</v>
      </c>
      <c r="D1783" s="2">
        <v>157.69</v>
      </c>
      <c r="E1783" s="2">
        <v>157.97999999999999</v>
      </c>
      <c r="F1783" s="2">
        <v>8690294</v>
      </c>
      <c r="G1783" s="2" t="s">
        <v>563</v>
      </c>
      <c r="H1783" s="2" t="s">
        <v>564</v>
      </c>
      <c r="I1783" s="2" t="s">
        <v>565</v>
      </c>
      <c r="J1783" s="4">
        <v>-5.0999999999999997E-2</v>
      </c>
      <c r="K1783" s="2" t="s">
        <v>317</v>
      </c>
      <c r="L1783" s="2">
        <v>2024</v>
      </c>
      <c r="M1783" s="2" t="s">
        <v>43</v>
      </c>
      <c r="N1783" s="2" t="s">
        <v>23</v>
      </c>
      <c r="O1783">
        <f t="shared" si="54"/>
        <v>1.6800000000000068</v>
      </c>
      <c r="P1783">
        <f t="shared" si="55"/>
        <v>-10.640000000000015</v>
      </c>
    </row>
    <row r="1784" spans="1:16" x14ac:dyDescent="0.35">
      <c r="A1784" s="9" t="s">
        <v>322</v>
      </c>
      <c r="B1784" s="2">
        <v>157.34</v>
      </c>
      <c r="C1784" s="2">
        <v>157.34</v>
      </c>
      <c r="D1784" s="2">
        <v>155.31</v>
      </c>
      <c r="E1784" s="2">
        <v>156.4</v>
      </c>
      <c r="F1784" s="2">
        <v>9754960</v>
      </c>
      <c r="G1784" s="2" t="s">
        <v>563</v>
      </c>
      <c r="H1784" s="2" t="s">
        <v>564</v>
      </c>
      <c r="I1784" s="2" t="s">
        <v>565</v>
      </c>
      <c r="J1784" s="4">
        <v>-1</v>
      </c>
      <c r="K1784" s="2" t="s">
        <v>317</v>
      </c>
      <c r="L1784" s="2">
        <v>2024</v>
      </c>
      <c r="M1784" s="2" t="s">
        <v>43</v>
      </c>
      <c r="N1784" s="2" t="s">
        <v>23</v>
      </c>
      <c r="O1784">
        <f t="shared" si="54"/>
        <v>2.0300000000000011</v>
      </c>
      <c r="P1784">
        <f t="shared" si="55"/>
        <v>-11.640000000000015</v>
      </c>
    </row>
    <row r="1785" spans="1:16" x14ac:dyDescent="0.35">
      <c r="A1785" s="9" t="s">
        <v>323</v>
      </c>
      <c r="B1785" s="2">
        <v>156.27000000000001</v>
      </c>
      <c r="C1785" s="2">
        <v>157.19999999999999</v>
      </c>
      <c r="D1785" s="2">
        <v>155.66999999999999</v>
      </c>
      <c r="E1785" s="2">
        <v>156.76</v>
      </c>
      <c r="F1785" s="2">
        <v>6529202</v>
      </c>
      <c r="G1785" s="2" t="s">
        <v>563</v>
      </c>
      <c r="H1785" s="2" t="s">
        <v>564</v>
      </c>
      <c r="I1785" s="2" t="s">
        <v>565</v>
      </c>
      <c r="J1785" s="3">
        <v>0.23</v>
      </c>
      <c r="K1785" s="2" t="s">
        <v>317</v>
      </c>
      <c r="L1785" s="2">
        <v>2024</v>
      </c>
      <c r="M1785" s="2" t="s">
        <v>43</v>
      </c>
      <c r="N1785" s="2" t="s">
        <v>21</v>
      </c>
      <c r="O1785">
        <f t="shared" si="54"/>
        <v>1.5300000000000011</v>
      </c>
      <c r="P1785">
        <f t="shared" si="55"/>
        <v>-11.410000000000014</v>
      </c>
    </row>
    <row r="1786" spans="1:16" x14ac:dyDescent="0.35">
      <c r="A1786" s="9" t="s">
        <v>324</v>
      </c>
      <c r="B1786" s="2">
        <v>156.58000000000001</v>
      </c>
      <c r="C1786" s="2">
        <v>158.41</v>
      </c>
      <c r="D1786" s="2">
        <v>156.35</v>
      </c>
      <c r="E1786" s="2">
        <v>157.85</v>
      </c>
      <c r="F1786" s="2">
        <v>6701508</v>
      </c>
      <c r="G1786" s="2" t="s">
        <v>563</v>
      </c>
      <c r="H1786" s="2" t="s">
        <v>564</v>
      </c>
      <c r="I1786" s="2" t="s">
        <v>565</v>
      </c>
      <c r="J1786" s="3">
        <v>0.69499999999999995</v>
      </c>
      <c r="K1786" s="2" t="s">
        <v>317</v>
      </c>
      <c r="L1786" s="2">
        <v>2024</v>
      </c>
      <c r="M1786" s="2" t="s">
        <v>43</v>
      </c>
      <c r="N1786" s="2" t="s">
        <v>21</v>
      </c>
      <c r="O1786">
        <f t="shared" si="54"/>
        <v>2.0600000000000023</v>
      </c>
      <c r="P1786">
        <f t="shared" si="55"/>
        <v>-10.715000000000014</v>
      </c>
    </row>
    <row r="1787" spans="1:16" x14ac:dyDescent="0.35">
      <c r="A1787" s="9" t="s">
        <v>325</v>
      </c>
      <c r="B1787" s="2">
        <v>157.63999999999999</v>
      </c>
      <c r="C1787" s="2">
        <v>158.44999999999999</v>
      </c>
      <c r="D1787" s="2">
        <v>155.75</v>
      </c>
      <c r="E1787" s="2">
        <v>156.47</v>
      </c>
      <c r="F1787" s="2">
        <v>8621022</v>
      </c>
      <c r="G1787" s="2" t="s">
        <v>563</v>
      </c>
      <c r="H1787" s="2" t="s">
        <v>564</v>
      </c>
      <c r="I1787" s="2" t="s">
        <v>565</v>
      </c>
      <c r="J1787" s="4">
        <v>-0.874</v>
      </c>
      <c r="K1787" s="2" t="s">
        <v>317</v>
      </c>
      <c r="L1787" s="2">
        <v>2024</v>
      </c>
      <c r="M1787" s="2" t="s">
        <v>43</v>
      </c>
      <c r="N1787" s="2" t="s">
        <v>23</v>
      </c>
      <c r="O1787">
        <f t="shared" si="54"/>
        <v>2.6999999999999886</v>
      </c>
      <c r="P1787">
        <f t="shared" si="55"/>
        <v>-11.589000000000015</v>
      </c>
    </row>
    <row r="1788" spans="1:16" x14ac:dyDescent="0.35">
      <c r="A1788" s="9" t="s">
        <v>326</v>
      </c>
      <c r="B1788" s="2">
        <v>156.35</v>
      </c>
      <c r="C1788" s="2">
        <v>156.46</v>
      </c>
      <c r="D1788" s="2">
        <v>154.84</v>
      </c>
      <c r="E1788" s="2">
        <v>155.74</v>
      </c>
      <c r="F1788" s="2">
        <v>9098805</v>
      </c>
      <c r="G1788" s="2" t="s">
        <v>563</v>
      </c>
      <c r="H1788" s="2" t="s">
        <v>564</v>
      </c>
      <c r="I1788" s="2" t="s">
        <v>565</v>
      </c>
      <c r="J1788" s="4">
        <v>-0.46700000000000003</v>
      </c>
      <c r="K1788" s="2" t="s">
        <v>317</v>
      </c>
      <c r="L1788" s="2">
        <v>2024</v>
      </c>
      <c r="M1788" s="2" t="s">
        <v>43</v>
      </c>
      <c r="N1788" s="2" t="s">
        <v>23</v>
      </c>
      <c r="O1788">
        <f t="shared" si="54"/>
        <v>1.6200000000000045</v>
      </c>
      <c r="P1788">
        <f t="shared" si="55"/>
        <v>-12.056000000000015</v>
      </c>
    </row>
    <row r="1789" spans="1:16" x14ac:dyDescent="0.35">
      <c r="A1789" s="9" t="s">
        <v>327</v>
      </c>
      <c r="B1789" s="2">
        <v>155.97999999999999</v>
      </c>
      <c r="C1789" s="2">
        <v>158.47499999999999</v>
      </c>
      <c r="D1789" s="2">
        <v>155.88999999999999</v>
      </c>
      <c r="E1789" s="2">
        <v>157.91999999999999</v>
      </c>
      <c r="F1789" s="2">
        <v>7462529</v>
      </c>
      <c r="G1789" s="2" t="s">
        <v>563</v>
      </c>
      <c r="H1789" s="2" t="s">
        <v>564</v>
      </c>
      <c r="I1789" s="2" t="s">
        <v>565</v>
      </c>
      <c r="J1789" s="3">
        <v>1.4</v>
      </c>
      <c r="K1789" s="2" t="s">
        <v>317</v>
      </c>
      <c r="L1789" s="2">
        <v>2024</v>
      </c>
      <c r="M1789" s="2" t="s">
        <v>43</v>
      </c>
      <c r="N1789" s="2" t="s">
        <v>21</v>
      </c>
      <c r="O1789">
        <f t="shared" si="54"/>
        <v>2.585000000000008</v>
      </c>
      <c r="P1789">
        <f t="shared" si="55"/>
        <v>-10.656000000000015</v>
      </c>
    </row>
    <row r="1790" spans="1:16" x14ac:dyDescent="0.35">
      <c r="A1790" s="9" t="s">
        <v>328</v>
      </c>
      <c r="B1790" s="2">
        <v>156.6</v>
      </c>
      <c r="C1790" s="2">
        <v>157.255</v>
      </c>
      <c r="D1790" s="2">
        <v>155.66999999999999</v>
      </c>
      <c r="E1790" s="2">
        <v>156.55000000000001</v>
      </c>
      <c r="F1790" s="2">
        <v>8540961</v>
      </c>
      <c r="G1790" s="2" t="s">
        <v>563</v>
      </c>
      <c r="H1790" s="2" t="s">
        <v>564</v>
      </c>
      <c r="I1790" s="2" t="s">
        <v>565</v>
      </c>
      <c r="J1790" s="4">
        <v>-0.86799999999999999</v>
      </c>
      <c r="K1790" s="2" t="s">
        <v>317</v>
      </c>
      <c r="L1790" s="2">
        <v>2024</v>
      </c>
      <c r="M1790" s="2" t="s">
        <v>43</v>
      </c>
      <c r="N1790" s="2" t="s">
        <v>23</v>
      </c>
      <c r="O1790">
        <f t="shared" si="54"/>
        <v>1.585000000000008</v>
      </c>
      <c r="P1790">
        <f t="shared" si="55"/>
        <v>-11.524000000000015</v>
      </c>
    </row>
    <row r="1791" spans="1:16" x14ac:dyDescent="0.35">
      <c r="A1791" s="9" t="s">
        <v>329</v>
      </c>
      <c r="B1791" s="2">
        <v>156.56</v>
      </c>
      <c r="C1791" s="2">
        <v>158.61000000000001</v>
      </c>
      <c r="D1791" s="2">
        <v>156.44</v>
      </c>
      <c r="E1791" s="2">
        <v>157.86000000000001</v>
      </c>
      <c r="F1791" s="2">
        <v>9501742</v>
      </c>
      <c r="G1791" s="2" t="s">
        <v>563</v>
      </c>
      <c r="H1791" s="2" t="s">
        <v>564</v>
      </c>
      <c r="I1791" s="2" t="s">
        <v>565</v>
      </c>
      <c r="J1791" s="3">
        <v>0.83699999999999997</v>
      </c>
      <c r="K1791" s="2" t="s">
        <v>317</v>
      </c>
      <c r="L1791" s="2">
        <v>2024</v>
      </c>
      <c r="M1791" s="2" t="s">
        <v>43</v>
      </c>
      <c r="N1791" s="2" t="s">
        <v>21</v>
      </c>
      <c r="O1791">
        <f t="shared" si="54"/>
        <v>2.1700000000000159</v>
      </c>
      <c r="P1791">
        <f t="shared" si="55"/>
        <v>-10.687000000000015</v>
      </c>
    </row>
    <row r="1792" spans="1:16" x14ac:dyDescent="0.35">
      <c r="A1792" s="9" t="s">
        <v>330</v>
      </c>
      <c r="B1792" s="2">
        <v>158.02000000000001</v>
      </c>
      <c r="C1792" s="2">
        <v>158.69</v>
      </c>
      <c r="D1792" s="2">
        <v>157.131</v>
      </c>
      <c r="E1792" s="2">
        <v>158.68</v>
      </c>
      <c r="F1792" s="2">
        <v>7473300</v>
      </c>
      <c r="G1792" s="2" t="s">
        <v>563</v>
      </c>
      <c r="H1792" s="2" t="s">
        <v>564</v>
      </c>
      <c r="I1792" s="2" t="s">
        <v>565</v>
      </c>
      <c r="J1792" s="3">
        <v>0.51900000000000002</v>
      </c>
      <c r="K1792" s="2" t="s">
        <v>317</v>
      </c>
      <c r="L1792" s="2">
        <v>2024</v>
      </c>
      <c r="M1792" s="2" t="s">
        <v>43</v>
      </c>
      <c r="N1792" s="2" t="s">
        <v>21</v>
      </c>
      <c r="O1792">
        <f t="shared" si="54"/>
        <v>1.5589999999999975</v>
      </c>
      <c r="P1792">
        <f t="shared" si="55"/>
        <v>-10.168000000000015</v>
      </c>
    </row>
    <row r="1793" spans="1:16" x14ac:dyDescent="0.35">
      <c r="A1793" s="9" t="s">
        <v>331</v>
      </c>
      <c r="B1793" s="2">
        <v>158.97999999999999</v>
      </c>
      <c r="C1793" s="2">
        <v>160.74</v>
      </c>
      <c r="D1793" s="2">
        <v>157.77000000000001</v>
      </c>
      <c r="E1793" s="2">
        <v>160.44999999999999</v>
      </c>
      <c r="F1793" s="2">
        <v>8065010</v>
      </c>
      <c r="G1793" s="2" t="s">
        <v>563</v>
      </c>
      <c r="H1793" s="2" t="s">
        <v>564</v>
      </c>
      <c r="I1793" s="2" t="s">
        <v>565</v>
      </c>
      <c r="J1793" s="3">
        <v>1.115</v>
      </c>
      <c r="K1793" s="2" t="s">
        <v>317</v>
      </c>
      <c r="L1793" s="2">
        <v>2024</v>
      </c>
      <c r="M1793" s="2" t="s">
        <v>43</v>
      </c>
      <c r="N1793" s="2" t="s">
        <v>21</v>
      </c>
      <c r="O1793">
        <f t="shared" si="54"/>
        <v>2.9699999999999989</v>
      </c>
      <c r="P1793">
        <f t="shared" si="55"/>
        <v>-9.053000000000015</v>
      </c>
    </row>
    <row r="1794" spans="1:16" x14ac:dyDescent="0.35">
      <c r="A1794" s="9" t="s">
        <v>332</v>
      </c>
      <c r="B1794" s="2">
        <v>160.88</v>
      </c>
      <c r="C1794" s="2">
        <v>162.25</v>
      </c>
      <c r="D1794" s="2">
        <v>160.16</v>
      </c>
      <c r="E1794" s="2">
        <v>161.84</v>
      </c>
      <c r="F1794" s="2">
        <v>6725963</v>
      </c>
      <c r="G1794" s="2" t="s">
        <v>563</v>
      </c>
      <c r="H1794" s="2" t="s">
        <v>564</v>
      </c>
      <c r="I1794" s="2" t="s">
        <v>565</v>
      </c>
      <c r="J1794" s="3">
        <v>0.86599999999999999</v>
      </c>
      <c r="K1794" s="2" t="s">
        <v>317</v>
      </c>
      <c r="L1794" s="2">
        <v>2024</v>
      </c>
      <c r="M1794" s="2" t="s">
        <v>43</v>
      </c>
      <c r="N1794" s="2" t="s">
        <v>21</v>
      </c>
      <c r="O1794">
        <f t="shared" si="54"/>
        <v>2.0900000000000034</v>
      </c>
      <c r="P1794">
        <f t="shared" si="55"/>
        <v>-8.1870000000000154</v>
      </c>
    </row>
    <row r="1795" spans="1:16" x14ac:dyDescent="0.35">
      <c r="A1795" s="9" t="s">
        <v>333</v>
      </c>
      <c r="B1795" s="2">
        <v>161.80000000000001</v>
      </c>
      <c r="C1795" s="2">
        <v>162.01</v>
      </c>
      <c r="D1795" s="2">
        <v>160.57</v>
      </c>
      <c r="E1795" s="2">
        <v>160.79</v>
      </c>
      <c r="F1795" s="2">
        <v>5465417</v>
      </c>
      <c r="G1795" s="2" t="s">
        <v>563</v>
      </c>
      <c r="H1795" s="2" t="s">
        <v>564</v>
      </c>
      <c r="I1795" s="2" t="s">
        <v>565</v>
      </c>
      <c r="J1795" s="4">
        <v>-0.64900000000000002</v>
      </c>
      <c r="K1795" s="2" t="s">
        <v>317</v>
      </c>
      <c r="L1795" s="2">
        <v>2024</v>
      </c>
      <c r="M1795" s="2" t="s">
        <v>43</v>
      </c>
      <c r="N1795" s="2" t="s">
        <v>23</v>
      </c>
      <c r="O1795">
        <f t="shared" ref="O1795:O1858" si="56">C1795-D1795</f>
        <v>1.4399999999999977</v>
      </c>
      <c r="P1795">
        <f t="shared" si="55"/>
        <v>-8.8360000000000163</v>
      </c>
    </row>
    <row r="1796" spans="1:16" x14ac:dyDescent="0.35">
      <c r="A1796" s="9" t="s">
        <v>334</v>
      </c>
      <c r="B1796" s="2">
        <v>160.34</v>
      </c>
      <c r="C1796" s="2">
        <v>161.04</v>
      </c>
      <c r="D1796" s="2">
        <v>159.63999999999999</v>
      </c>
      <c r="E1796" s="2">
        <v>160.97999999999999</v>
      </c>
      <c r="F1796" s="2">
        <v>5078650</v>
      </c>
      <c r="G1796" s="2" t="s">
        <v>563</v>
      </c>
      <c r="H1796" s="2" t="s">
        <v>564</v>
      </c>
      <c r="I1796" s="2" t="s">
        <v>565</v>
      </c>
      <c r="J1796" s="3">
        <v>0.11799999999999999</v>
      </c>
      <c r="K1796" s="2" t="s">
        <v>317</v>
      </c>
      <c r="L1796" s="2">
        <v>2024</v>
      </c>
      <c r="M1796" s="2" t="s">
        <v>43</v>
      </c>
      <c r="N1796" s="2" t="s">
        <v>21</v>
      </c>
      <c r="O1796">
        <f t="shared" si="56"/>
        <v>1.4000000000000057</v>
      </c>
      <c r="P1796">
        <f t="shared" ref="P1796:P1859" si="57">IF(G1796=G1795, P1795+J1796, J1796)</f>
        <v>-8.718000000000016</v>
      </c>
    </row>
    <row r="1797" spans="1:16" x14ac:dyDescent="0.35">
      <c r="A1797" s="9" t="s">
        <v>335</v>
      </c>
      <c r="B1797" s="2">
        <v>161</v>
      </c>
      <c r="C1797" s="2">
        <v>161.61000000000001</v>
      </c>
      <c r="D1797" s="2">
        <v>160.29</v>
      </c>
      <c r="E1797" s="2">
        <v>161.55000000000001</v>
      </c>
      <c r="F1797" s="2">
        <v>6071076</v>
      </c>
      <c r="G1797" s="2" t="s">
        <v>563</v>
      </c>
      <c r="H1797" s="2" t="s">
        <v>564</v>
      </c>
      <c r="I1797" s="2" t="s">
        <v>565</v>
      </c>
      <c r="J1797" s="3">
        <v>0.35399999999999998</v>
      </c>
      <c r="K1797" s="2" t="s">
        <v>317</v>
      </c>
      <c r="L1797" s="2">
        <v>2024</v>
      </c>
      <c r="M1797" s="2" t="s">
        <v>43</v>
      </c>
      <c r="N1797" s="2" t="s">
        <v>21</v>
      </c>
      <c r="O1797">
        <f t="shared" si="56"/>
        <v>1.3200000000000216</v>
      </c>
      <c r="P1797">
        <f t="shared" si="57"/>
        <v>-8.3640000000000168</v>
      </c>
    </row>
    <row r="1798" spans="1:16" x14ac:dyDescent="0.35">
      <c r="A1798" s="9" t="s">
        <v>336</v>
      </c>
      <c r="B1798" s="2">
        <v>162</v>
      </c>
      <c r="C1798" s="2">
        <v>162.19</v>
      </c>
      <c r="D1798" s="2">
        <v>160.94</v>
      </c>
      <c r="E1798" s="2">
        <v>161.38</v>
      </c>
      <c r="F1798" s="2">
        <v>9849270</v>
      </c>
      <c r="G1798" s="2" t="s">
        <v>563</v>
      </c>
      <c r="H1798" s="2" t="s">
        <v>564</v>
      </c>
      <c r="I1798" s="2" t="s">
        <v>565</v>
      </c>
      <c r="J1798" s="4">
        <v>-0.105</v>
      </c>
      <c r="K1798" s="2" t="s">
        <v>317</v>
      </c>
      <c r="L1798" s="2">
        <v>2024</v>
      </c>
      <c r="M1798" s="2" t="s">
        <v>43</v>
      </c>
      <c r="N1798" s="2" t="s">
        <v>23</v>
      </c>
      <c r="O1798">
        <f t="shared" si="56"/>
        <v>1.25</v>
      </c>
      <c r="P1798">
        <f t="shared" si="57"/>
        <v>-8.4690000000000172</v>
      </c>
    </row>
    <row r="1799" spans="1:16" x14ac:dyDescent="0.35">
      <c r="A1799" s="9" t="s">
        <v>337</v>
      </c>
      <c r="B1799" s="2">
        <v>161.83000000000001</v>
      </c>
      <c r="C1799" s="2">
        <v>162.57</v>
      </c>
      <c r="D1799" s="2">
        <v>161.09</v>
      </c>
      <c r="E1799" s="2">
        <v>162.12</v>
      </c>
      <c r="F1799" s="2">
        <v>5670135</v>
      </c>
      <c r="G1799" s="2" t="s">
        <v>563</v>
      </c>
      <c r="H1799" s="2" t="s">
        <v>564</v>
      </c>
      <c r="I1799" s="2" t="s">
        <v>565</v>
      </c>
      <c r="J1799" s="3">
        <v>0.45900000000000002</v>
      </c>
      <c r="K1799" s="2" t="s">
        <v>338</v>
      </c>
      <c r="L1799" s="2">
        <v>2024</v>
      </c>
      <c r="M1799" s="2" t="s">
        <v>64</v>
      </c>
      <c r="N1799" s="2" t="s">
        <v>21</v>
      </c>
      <c r="O1799">
        <f t="shared" si="56"/>
        <v>1.4799999999999898</v>
      </c>
      <c r="P1799">
        <f t="shared" si="57"/>
        <v>-8.0100000000000176</v>
      </c>
    </row>
    <row r="1800" spans="1:16" x14ac:dyDescent="0.35">
      <c r="A1800" s="9" t="s">
        <v>339</v>
      </c>
      <c r="B1800" s="2">
        <v>161.32</v>
      </c>
      <c r="C1800" s="2">
        <v>161.61000000000001</v>
      </c>
      <c r="D1800" s="2">
        <v>158.27000000000001</v>
      </c>
      <c r="E1800" s="2">
        <v>159.84</v>
      </c>
      <c r="F1800" s="2">
        <v>8533083</v>
      </c>
      <c r="G1800" s="2" t="s">
        <v>563</v>
      </c>
      <c r="H1800" s="2" t="s">
        <v>564</v>
      </c>
      <c r="I1800" s="2" t="s">
        <v>565</v>
      </c>
      <c r="J1800" s="4">
        <v>-1.4059999999999999</v>
      </c>
      <c r="K1800" s="2" t="s">
        <v>338</v>
      </c>
      <c r="L1800" s="2">
        <v>2024</v>
      </c>
      <c r="M1800" s="2" t="s">
        <v>64</v>
      </c>
      <c r="N1800" s="2" t="s">
        <v>23</v>
      </c>
      <c r="O1800">
        <f t="shared" si="56"/>
        <v>3.3400000000000034</v>
      </c>
      <c r="P1800">
        <f t="shared" si="57"/>
        <v>-9.4160000000000181</v>
      </c>
    </row>
    <row r="1801" spans="1:16" x14ac:dyDescent="0.35">
      <c r="A1801" s="9" t="s">
        <v>340</v>
      </c>
      <c r="B1801" s="2">
        <v>160.62</v>
      </c>
      <c r="C1801" s="2">
        <v>161.24</v>
      </c>
      <c r="D1801" s="2">
        <v>159.19999999999999</v>
      </c>
      <c r="E1801" s="2">
        <v>159.97</v>
      </c>
      <c r="F1801" s="2">
        <v>8298182</v>
      </c>
      <c r="G1801" s="2" t="s">
        <v>563</v>
      </c>
      <c r="H1801" s="2" t="s">
        <v>564</v>
      </c>
      <c r="I1801" s="2" t="s">
        <v>565</v>
      </c>
      <c r="J1801" s="3">
        <v>8.1000000000000003E-2</v>
      </c>
      <c r="K1801" s="2" t="s">
        <v>338</v>
      </c>
      <c r="L1801" s="2">
        <v>2024</v>
      </c>
      <c r="M1801" s="2" t="s">
        <v>64</v>
      </c>
      <c r="N1801" s="2" t="s">
        <v>21</v>
      </c>
      <c r="O1801">
        <f t="shared" si="56"/>
        <v>2.0400000000000205</v>
      </c>
      <c r="P1801">
        <f t="shared" si="57"/>
        <v>-9.3350000000000186</v>
      </c>
    </row>
    <row r="1802" spans="1:16" x14ac:dyDescent="0.35">
      <c r="A1802" s="9" t="s">
        <v>341</v>
      </c>
      <c r="B1802" s="2">
        <v>159.46</v>
      </c>
      <c r="C1802" s="2">
        <v>160.93</v>
      </c>
      <c r="D1802" s="2">
        <v>159.22</v>
      </c>
      <c r="E1802" s="2">
        <v>159.34</v>
      </c>
      <c r="F1802" s="2">
        <v>5773683</v>
      </c>
      <c r="G1802" s="2" t="s">
        <v>563</v>
      </c>
      <c r="H1802" s="2" t="s">
        <v>564</v>
      </c>
      <c r="I1802" s="2" t="s">
        <v>565</v>
      </c>
      <c r="J1802" s="4">
        <v>-0.39400000000000002</v>
      </c>
      <c r="K1802" s="2" t="s">
        <v>338</v>
      </c>
      <c r="L1802" s="2">
        <v>2024</v>
      </c>
      <c r="M1802" s="2" t="s">
        <v>64</v>
      </c>
      <c r="N1802" s="2" t="s">
        <v>23</v>
      </c>
      <c r="O1802">
        <f t="shared" si="56"/>
        <v>1.710000000000008</v>
      </c>
      <c r="P1802">
        <f t="shared" si="57"/>
        <v>-9.7290000000000187</v>
      </c>
    </row>
    <row r="1803" spans="1:16" x14ac:dyDescent="0.35">
      <c r="A1803" s="9" t="s">
        <v>342</v>
      </c>
      <c r="B1803" s="2">
        <v>160</v>
      </c>
      <c r="C1803" s="2">
        <v>160.36000000000001</v>
      </c>
      <c r="D1803" s="2">
        <v>158.24</v>
      </c>
      <c r="E1803" s="2">
        <v>158.87</v>
      </c>
      <c r="F1803" s="2">
        <v>5188726</v>
      </c>
      <c r="G1803" s="2" t="s">
        <v>563</v>
      </c>
      <c r="H1803" s="2" t="s">
        <v>564</v>
      </c>
      <c r="I1803" s="2" t="s">
        <v>565</v>
      </c>
      <c r="J1803" s="4">
        <v>-0.29499999999999998</v>
      </c>
      <c r="K1803" s="2" t="s">
        <v>338</v>
      </c>
      <c r="L1803" s="2">
        <v>2024</v>
      </c>
      <c r="M1803" s="2" t="s">
        <v>64</v>
      </c>
      <c r="N1803" s="2" t="s">
        <v>23</v>
      </c>
      <c r="O1803">
        <f t="shared" si="56"/>
        <v>2.1200000000000045</v>
      </c>
      <c r="P1803">
        <f t="shared" si="57"/>
        <v>-10.024000000000019</v>
      </c>
    </row>
    <row r="1804" spans="1:16" x14ac:dyDescent="0.35">
      <c r="A1804" s="9" t="s">
        <v>343</v>
      </c>
      <c r="B1804" s="2">
        <v>158.87</v>
      </c>
      <c r="C1804" s="2">
        <v>160.38999999999999</v>
      </c>
      <c r="D1804" s="2">
        <v>158.42500000000001</v>
      </c>
      <c r="E1804" s="2">
        <v>159.52000000000001</v>
      </c>
      <c r="F1804" s="2">
        <v>5283951</v>
      </c>
      <c r="G1804" s="2" t="s">
        <v>563</v>
      </c>
      <c r="H1804" s="2" t="s">
        <v>564</v>
      </c>
      <c r="I1804" s="2" t="s">
        <v>565</v>
      </c>
      <c r="J1804" s="3">
        <v>0.40899999999999997</v>
      </c>
      <c r="K1804" s="2" t="s">
        <v>338</v>
      </c>
      <c r="L1804" s="2">
        <v>2024</v>
      </c>
      <c r="M1804" s="2" t="s">
        <v>64</v>
      </c>
      <c r="N1804" s="2" t="s">
        <v>21</v>
      </c>
      <c r="O1804">
        <f t="shared" si="56"/>
        <v>1.964999999999975</v>
      </c>
      <c r="P1804">
        <f t="shared" si="57"/>
        <v>-9.615000000000018</v>
      </c>
    </row>
    <row r="1805" spans="1:16" x14ac:dyDescent="0.35">
      <c r="A1805" s="9" t="s">
        <v>344</v>
      </c>
      <c r="B1805" s="2">
        <v>159.49</v>
      </c>
      <c r="C1805" s="2">
        <v>161.32</v>
      </c>
      <c r="D1805" s="2">
        <v>158.88</v>
      </c>
      <c r="E1805" s="2">
        <v>161.22999999999999</v>
      </c>
      <c r="F1805" s="2">
        <v>4620826</v>
      </c>
      <c r="G1805" s="2" t="s">
        <v>563</v>
      </c>
      <c r="H1805" s="2" t="s">
        <v>564</v>
      </c>
      <c r="I1805" s="2" t="s">
        <v>565</v>
      </c>
      <c r="J1805" s="3">
        <v>1.0720000000000001</v>
      </c>
      <c r="K1805" s="2" t="s">
        <v>338</v>
      </c>
      <c r="L1805" s="2">
        <v>2024</v>
      </c>
      <c r="M1805" s="2" t="s">
        <v>64</v>
      </c>
      <c r="N1805" s="2" t="s">
        <v>21</v>
      </c>
      <c r="O1805">
        <f t="shared" si="56"/>
        <v>2.4399999999999977</v>
      </c>
      <c r="P1805">
        <f t="shared" si="57"/>
        <v>-8.543000000000017</v>
      </c>
    </row>
    <row r="1806" spans="1:16" x14ac:dyDescent="0.35">
      <c r="A1806" s="9" t="s">
        <v>345</v>
      </c>
      <c r="B1806" s="2">
        <v>161.58000000000001</v>
      </c>
      <c r="C1806" s="2">
        <v>163.11000000000001</v>
      </c>
      <c r="D1806" s="2">
        <v>161.13</v>
      </c>
      <c r="E1806" s="2">
        <v>162.74</v>
      </c>
      <c r="F1806" s="2">
        <v>8018736</v>
      </c>
      <c r="G1806" s="2" t="s">
        <v>563</v>
      </c>
      <c r="H1806" s="2" t="s">
        <v>564</v>
      </c>
      <c r="I1806" s="2" t="s">
        <v>565</v>
      </c>
      <c r="J1806" s="3">
        <v>0.93700000000000006</v>
      </c>
      <c r="K1806" s="2" t="s">
        <v>338</v>
      </c>
      <c r="L1806" s="2">
        <v>2024</v>
      </c>
      <c r="M1806" s="2" t="s">
        <v>64</v>
      </c>
      <c r="N1806" s="2" t="s">
        <v>21</v>
      </c>
      <c r="O1806">
        <f t="shared" si="56"/>
        <v>1.9800000000000182</v>
      </c>
      <c r="P1806">
        <f t="shared" si="57"/>
        <v>-7.6060000000000167</v>
      </c>
    </row>
    <row r="1807" spans="1:16" x14ac:dyDescent="0.35">
      <c r="A1807" s="9" t="s">
        <v>346</v>
      </c>
      <c r="B1807" s="2">
        <v>162.53</v>
      </c>
      <c r="C1807" s="2">
        <v>162.68</v>
      </c>
      <c r="D1807" s="2">
        <v>159.81</v>
      </c>
      <c r="E1807" s="2">
        <v>161.1</v>
      </c>
      <c r="F1807" s="2">
        <v>6260000</v>
      </c>
      <c r="G1807" s="2" t="s">
        <v>563</v>
      </c>
      <c r="H1807" s="2" t="s">
        <v>564</v>
      </c>
      <c r="I1807" s="2" t="s">
        <v>565</v>
      </c>
      <c r="J1807" s="4">
        <v>-1.008</v>
      </c>
      <c r="K1807" s="2" t="s">
        <v>338</v>
      </c>
      <c r="L1807" s="2">
        <v>2024</v>
      </c>
      <c r="M1807" s="2" t="s">
        <v>64</v>
      </c>
      <c r="N1807" s="2" t="s">
        <v>23</v>
      </c>
      <c r="O1807">
        <f t="shared" si="56"/>
        <v>2.8700000000000045</v>
      </c>
      <c r="P1807">
        <f t="shared" si="57"/>
        <v>-8.6140000000000168</v>
      </c>
    </row>
    <row r="1808" spans="1:16" x14ac:dyDescent="0.35">
      <c r="A1808" s="9" t="s">
        <v>347</v>
      </c>
      <c r="B1808" s="2">
        <v>160.94</v>
      </c>
      <c r="C1808" s="2">
        <v>161.54</v>
      </c>
      <c r="D1808" s="2">
        <v>158.69</v>
      </c>
      <c r="E1808" s="2">
        <v>159.21</v>
      </c>
      <c r="F1808" s="2">
        <v>6988264</v>
      </c>
      <c r="G1808" s="2" t="s">
        <v>563</v>
      </c>
      <c r="H1808" s="2" t="s">
        <v>564</v>
      </c>
      <c r="I1808" s="2" t="s">
        <v>565</v>
      </c>
      <c r="J1808" s="4">
        <v>-1.173</v>
      </c>
      <c r="K1808" s="2" t="s">
        <v>338</v>
      </c>
      <c r="L1808" s="2">
        <v>2024</v>
      </c>
      <c r="M1808" s="2" t="s">
        <v>64</v>
      </c>
      <c r="N1808" s="2" t="s">
        <v>23</v>
      </c>
      <c r="O1808">
        <f t="shared" si="56"/>
        <v>2.8499999999999943</v>
      </c>
      <c r="P1808">
        <f t="shared" si="57"/>
        <v>-9.7870000000000168</v>
      </c>
    </row>
    <row r="1809" spans="1:16" x14ac:dyDescent="0.35">
      <c r="A1809" s="9" t="s">
        <v>348</v>
      </c>
      <c r="B1809" s="2">
        <v>158.06</v>
      </c>
      <c r="C1809" s="2">
        <v>159.19</v>
      </c>
      <c r="D1809" s="2">
        <v>157.1</v>
      </c>
      <c r="E1809" s="2">
        <v>158.18</v>
      </c>
      <c r="F1809" s="2">
        <v>13165500</v>
      </c>
      <c r="G1809" s="2" t="s">
        <v>563</v>
      </c>
      <c r="H1809" s="2" t="s">
        <v>564</v>
      </c>
      <c r="I1809" s="2" t="s">
        <v>565</v>
      </c>
      <c r="J1809" s="4">
        <v>-0.64700000000000002</v>
      </c>
      <c r="K1809" s="2" t="s">
        <v>338</v>
      </c>
      <c r="L1809" s="2">
        <v>2024</v>
      </c>
      <c r="M1809" s="2" t="s">
        <v>64</v>
      </c>
      <c r="N1809" s="2" t="s">
        <v>23</v>
      </c>
      <c r="O1809">
        <f t="shared" si="56"/>
        <v>2.0900000000000034</v>
      </c>
      <c r="P1809">
        <f t="shared" si="57"/>
        <v>-10.434000000000017</v>
      </c>
    </row>
    <row r="1810" spans="1:16" x14ac:dyDescent="0.35">
      <c r="A1810" s="9" t="s">
        <v>349</v>
      </c>
      <c r="B1810" s="2">
        <v>158.57</v>
      </c>
      <c r="C1810" s="2">
        <v>158.69</v>
      </c>
      <c r="D1810" s="2">
        <v>156.5</v>
      </c>
      <c r="E1810" s="2">
        <v>156.76</v>
      </c>
      <c r="F1810" s="2">
        <v>6602255</v>
      </c>
      <c r="G1810" s="2" t="s">
        <v>563</v>
      </c>
      <c r="H1810" s="2" t="s">
        <v>564</v>
      </c>
      <c r="I1810" s="2" t="s">
        <v>565</v>
      </c>
      <c r="J1810" s="4">
        <v>-0.89800000000000002</v>
      </c>
      <c r="K1810" s="2" t="s">
        <v>338</v>
      </c>
      <c r="L1810" s="2">
        <v>2024</v>
      </c>
      <c r="M1810" s="2" t="s">
        <v>64</v>
      </c>
      <c r="N1810" s="2" t="s">
        <v>23</v>
      </c>
      <c r="O1810">
        <f t="shared" si="56"/>
        <v>2.1899999999999977</v>
      </c>
      <c r="P1810">
        <f t="shared" si="57"/>
        <v>-11.332000000000017</v>
      </c>
    </row>
    <row r="1811" spans="1:16" x14ac:dyDescent="0.35">
      <c r="A1811" s="9" t="s">
        <v>350</v>
      </c>
      <c r="B1811" s="2">
        <v>156.66999999999999</v>
      </c>
      <c r="C1811" s="2">
        <v>156.86000000000001</v>
      </c>
      <c r="D1811" s="2">
        <v>155.66</v>
      </c>
      <c r="E1811" s="2">
        <v>156.21</v>
      </c>
      <c r="F1811" s="2">
        <v>7840624</v>
      </c>
      <c r="G1811" s="2" t="s">
        <v>563</v>
      </c>
      <c r="H1811" s="2" t="s">
        <v>564</v>
      </c>
      <c r="I1811" s="2" t="s">
        <v>565</v>
      </c>
      <c r="J1811" s="4">
        <v>-0.35099999999999998</v>
      </c>
      <c r="K1811" s="2" t="s">
        <v>338</v>
      </c>
      <c r="L1811" s="2">
        <v>2024</v>
      </c>
      <c r="M1811" s="2" t="s">
        <v>64</v>
      </c>
      <c r="N1811" s="2" t="s">
        <v>23</v>
      </c>
      <c r="O1811">
        <f t="shared" si="56"/>
        <v>1.2000000000000171</v>
      </c>
      <c r="P1811">
        <f t="shared" si="57"/>
        <v>-11.683000000000018</v>
      </c>
    </row>
    <row r="1812" spans="1:16" x14ac:dyDescent="0.35">
      <c r="A1812" s="9" t="s">
        <v>351</v>
      </c>
      <c r="B1812" s="2">
        <v>155.69999999999999</v>
      </c>
      <c r="C1812" s="2">
        <v>156.44</v>
      </c>
      <c r="D1812" s="2">
        <v>155.21</v>
      </c>
      <c r="E1812" s="2">
        <v>155.76</v>
      </c>
      <c r="F1812" s="2">
        <v>5982304</v>
      </c>
      <c r="G1812" s="2" t="s">
        <v>563</v>
      </c>
      <c r="H1812" s="2" t="s">
        <v>564</v>
      </c>
      <c r="I1812" s="2" t="s">
        <v>565</v>
      </c>
      <c r="J1812" s="4">
        <v>-0.28799999999999998</v>
      </c>
      <c r="K1812" s="2" t="s">
        <v>338</v>
      </c>
      <c r="L1812" s="2">
        <v>2024</v>
      </c>
      <c r="M1812" s="2" t="s">
        <v>64</v>
      </c>
      <c r="N1812" s="2" t="s">
        <v>23</v>
      </c>
      <c r="O1812">
        <f t="shared" si="56"/>
        <v>1.2299999999999898</v>
      </c>
      <c r="P1812">
        <f t="shared" si="57"/>
        <v>-11.971000000000018</v>
      </c>
    </row>
    <row r="1813" spans="1:16" x14ac:dyDescent="0.35">
      <c r="A1813" s="9" t="s">
        <v>352</v>
      </c>
      <c r="B1813" s="2">
        <v>155.59</v>
      </c>
      <c r="C1813" s="2">
        <v>156.94999999999999</v>
      </c>
      <c r="D1813" s="2">
        <v>155.1</v>
      </c>
      <c r="E1813" s="2">
        <v>155.75</v>
      </c>
      <c r="F1813" s="2">
        <v>5915777</v>
      </c>
      <c r="G1813" s="2" t="s">
        <v>563</v>
      </c>
      <c r="H1813" s="2" t="s">
        <v>564</v>
      </c>
      <c r="I1813" s="2" t="s">
        <v>565</v>
      </c>
      <c r="J1813" s="4">
        <v>-6.0000000000000001E-3</v>
      </c>
      <c r="K1813" s="2" t="s">
        <v>338</v>
      </c>
      <c r="L1813" s="2">
        <v>2024</v>
      </c>
      <c r="M1813" s="2" t="s">
        <v>64</v>
      </c>
      <c r="N1813" s="2" t="s">
        <v>23</v>
      </c>
      <c r="O1813">
        <f t="shared" si="56"/>
        <v>1.8499999999999943</v>
      </c>
      <c r="P1813">
        <f t="shared" si="57"/>
        <v>-11.977000000000018</v>
      </c>
    </row>
    <row r="1814" spans="1:16" x14ac:dyDescent="0.35">
      <c r="A1814" s="9" t="s">
        <v>353</v>
      </c>
      <c r="B1814" s="2">
        <v>155.69</v>
      </c>
      <c r="C1814" s="2">
        <v>156.36000000000001</v>
      </c>
      <c r="D1814" s="2">
        <v>155.11000000000001</v>
      </c>
      <c r="E1814" s="2">
        <v>155.22999999999999</v>
      </c>
      <c r="F1814" s="2">
        <v>7248622</v>
      </c>
      <c r="G1814" s="2" t="s">
        <v>563</v>
      </c>
      <c r="H1814" s="2" t="s">
        <v>564</v>
      </c>
      <c r="I1814" s="2" t="s">
        <v>565</v>
      </c>
      <c r="J1814" s="4">
        <v>-0.33400000000000002</v>
      </c>
      <c r="K1814" s="2" t="s">
        <v>338</v>
      </c>
      <c r="L1814" s="2">
        <v>2024</v>
      </c>
      <c r="M1814" s="2" t="s">
        <v>64</v>
      </c>
      <c r="N1814" s="2" t="s">
        <v>23</v>
      </c>
      <c r="O1814">
        <f t="shared" si="56"/>
        <v>1.25</v>
      </c>
      <c r="P1814">
        <f t="shared" si="57"/>
        <v>-12.311000000000018</v>
      </c>
    </row>
    <row r="1815" spans="1:16" x14ac:dyDescent="0.35">
      <c r="A1815" s="9" t="s">
        <v>354</v>
      </c>
      <c r="B1815" s="2">
        <v>155.4</v>
      </c>
      <c r="C1815" s="2">
        <v>155.98400000000001</v>
      </c>
      <c r="D1815" s="2">
        <v>154.9</v>
      </c>
      <c r="E1815" s="2">
        <v>155.22</v>
      </c>
      <c r="F1815" s="2">
        <v>7498100</v>
      </c>
      <c r="G1815" s="2" t="s">
        <v>563</v>
      </c>
      <c r="H1815" s="2" t="s">
        <v>564</v>
      </c>
      <c r="I1815" s="2" t="s">
        <v>565</v>
      </c>
      <c r="J1815" s="4">
        <v>-6.0000000000000001E-3</v>
      </c>
      <c r="K1815" s="2" t="s">
        <v>338</v>
      </c>
      <c r="L1815" s="2">
        <v>2024</v>
      </c>
      <c r="M1815" s="2" t="s">
        <v>64</v>
      </c>
      <c r="N1815" s="2" t="s">
        <v>23</v>
      </c>
      <c r="O1815">
        <f t="shared" si="56"/>
        <v>1.0840000000000032</v>
      </c>
      <c r="P1815">
        <f t="shared" si="57"/>
        <v>-12.317000000000018</v>
      </c>
    </row>
    <row r="1816" spans="1:16" x14ac:dyDescent="0.35">
      <c r="A1816" s="9" t="s">
        <v>355</v>
      </c>
      <c r="B1816" s="2">
        <v>155.61000000000001</v>
      </c>
      <c r="C1816" s="2">
        <v>156.22999999999999</v>
      </c>
      <c r="D1816" s="2">
        <v>154.76</v>
      </c>
      <c r="E1816" s="2">
        <v>155.77000000000001</v>
      </c>
      <c r="F1816" s="2">
        <v>6864099</v>
      </c>
      <c r="G1816" s="2" t="s">
        <v>563</v>
      </c>
      <c r="H1816" s="2" t="s">
        <v>564</v>
      </c>
      <c r="I1816" s="2" t="s">
        <v>565</v>
      </c>
      <c r="J1816" s="3">
        <v>0.35399999999999998</v>
      </c>
      <c r="K1816" s="2" t="s">
        <v>338</v>
      </c>
      <c r="L1816" s="2">
        <v>2024</v>
      </c>
      <c r="M1816" s="2" t="s">
        <v>64</v>
      </c>
      <c r="N1816" s="2" t="s">
        <v>21</v>
      </c>
      <c r="O1816">
        <f t="shared" si="56"/>
        <v>1.4699999999999989</v>
      </c>
      <c r="P1816">
        <f t="shared" si="57"/>
        <v>-11.963000000000019</v>
      </c>
    </row>
    <row r="1817" spans="1:16" x14ac:dyDescent="0.35">
      <c r="A1817" s="9" t="s">
        <v>356</v>
      </c>
      <c r="B1817" s="2">
        <v>155.99</v>
      </c>
      <c r="C1817" s="2">
        <v>158.22</v>
      </c>
      <c r="D1817" s="2">
        <v>155.44</v>
      </c>
      <c r="E1817" s="2">
        <v>157.96</v>
      </c>
      <c r="F1817" s="2">
        <v>8461600</v>
      </c>
      <c r="G1817" s="2" t="s">
        <v>563</v>
      </c>
      <c r="H1817" s="2" t="s">
        <v>564</v>
      </c>
      <c r="I1817" s="2" t="s">
        <v>565</v>
      </c>
      <c r="J1817" s="3">
        <v>1.4059999999999999</v>
      </c>
      <c r="K1817" s="2" t="s">
        <v>338</v>
      </c>
      <c r="L1817" s="2">
        <v>2024</v>
      </c>
      <c r="M1817" s="2" t="s">
        <v>64</v>
      </c>
      <c r="N1817" s="2" t="s">
        <v>21</v>
      </c>
      <c r="O1817">
        <f t="shared" si="56"/>
        <v>2.7800000000000011</v>
      </c>
      <c r="P1817">
        <f t="shared" si="57"/>
        <v>-10.557000000000018</v>
      </c>
    </row>
    <row r="1818" spans="1:16" x14ac:dyDescent="0.35">
      <c r="A1818" s="9" t="s">
        <v>357</v>
      </c>
      <c r="B1818" s="2">
        <v>158.19999999999999</v>
      </c>
      <c r="C1818" s="2">
        <v>159.13999999999999</v>
      </c>
      <c r="D1818" s="2">
        <v>158.11000000000001</v>
      </c>
      <c r="E1818" s="2">
        <v>158.19</v>
      </c>
      <c r="F1818" s="2">
        <v>6181503</v>
      </c>
      <c r="G1818" s="2" t="s">
        <v>563</v>
      </c>
      <c r="H1818" s="2" t="s">
        <v>564</v>
      </c>
      <c r="I1818" s="2" t="s">
        <v>565</v>
      </c>
      <c r="J1818" s="3">
        <v>0.14599999999999999</v>
      </c>
      <c r="K1818" s="2" t="s">
        <v>338</v>
      </c>
      <c r="L1818" s="2">
        <v>2024</v>
      </c>
      <c r="M1818" s="2" t="s">
        <v>64</v>
      </c>
      <c r="N1818" s="2" t="s">
        <v>21</v>
      </c>
      <c r="O1818">
        <f t="shared" si="56"/>
        <v>1.0299999999999727</v>
      </c>
      <c r="P1818">
        <f t="shared" si="57"/>
        <v>-10.411000000000017</v>
      </c>
    </row>
    <row r="1819" spans="1:16" x14ac:dyDescent="0.35">
      <c r="A1819" s="9" t="s">
        <v>358</v>
      </c>
      <c r="B1819" s="2">
        <v>157.72</v>
      </c>
      <c r="C1819" s="2">
        <v>158.15</v>
      </c>
      <c r="D1819" s="2">
        <v>156.77000000000001</v>
      </c>
      <c r="E1819" s="2">
        <v>157.78</v>
      </c>
      <c r="F1819" s="2">
        <v>4364699</v>
      </c>
      <c r="G1819" s="2" t="s">
        <v>563</v>
      </c>
      <c r="H1819" s="2" t="s">
        <v>564</v>
      </c>
      <c r="I1819" s="2" t="s">
        <v>565</v>
      </c>
      <c r="J1819" s="4">
        <v>-0.25900000000000001</v>
      </c>
      <c r="K1819" s="2" t="s">
        <v>359</v>
      </c>
      <c r="L1819" s="2">
        <v>2024</v>
      </c>
      <c r="M1819" s="2" t="s">
        <v>89</v>
      </c>
      <c r="N1819" s="2" t="s">
        <v>23</v>
      </c>
      <c r="O1819">
        <f t="shared" si="56"/>
        <v>1.3799999999999955</v>
      </c>
      <c r="P1819">
        <f t="shared" si="57"/>
        <v>-10.670000000000018</v>
      </c>
    </row>
    <row r="1820" spans="1:16" x14ac:dyDescent="0.35">
      <c r="A1820" s="9" t="s">
        <v>360</v>
      </c>
      <c r="B1820" s="2">
        <v>156.57</v>
      </c>
      <c r="C1820" s="2">
        <v>157.83000000000001</v>
      </c>
      <c r="D1820" s="2">
        <v>155.94999999999999</v>
      </c>
      <c r="E1820" s="2">
        <v>157.72999999999999</v>
      </c>
      <c r="F1820" s="2">
        <v>6102497</v>
      </c>
      <c r="G1820" s="2" t="s">
        <v>563</v>
      </c>
      <c r="H1820" s="2" t="s">
        <v>564</v>
      </c>
      <c r="I1820" s="2" t="s">
        <v>565</v>
      </c>
      <c r="J1820" s="4">
        <v>-3.2000000000000001E-2</v>
      </c>
      <c r="K1820" s="2" t="s">
        <v>359</v>
      </c>
      <c r="L1820" s="2">
        <v>2024</v>
      </c>
      <c r="M1820" s="2" t="s">
        <v>89</v>
      </c>
      <c r="N1820" s="2" t="s">
        <v>23</v>
      </c>
      <c r="O1820">
        <f t="shared" si="56"/>
        <v>1.8800000000000239</v>
      </c>
      <c r="P1820">
        <f t="shared" si="57"/>
        <v>-10.702000000000018</v>
      </c>
    </row>
    <row r="1821" spans="1:16" x14ac:dyDescent="0.35">
      <c r="A1821" s="9" t="s">
        <v>361</v>
      </c>
      <c r="B1821" s="2">
        <v>157.79</v>
      </c>
      <c r="C1821" s="2">
        <v>158.05000000000001</v>
      </c>
      <c r="D1821" s="2">
        <v>154.25</v>
      </c>
      <c r="E1821" s="2">
        <v>154.26</v>
      </c>
      <c r="F1821" s="2">
        <v>8098242</v>
      </c>
      <c r="G1821" s="2" t="s">
        <v>563</v>
      </c>
      <c r="H1821" s="2" t="s">
        <v>564</v>
      </c>
      <c r="I1821" s="2" t="s">
        <v>565</v>
      </c>
      <c r="J1821" s="4">
        <v>-2.2000000000000002</v>
      </c>
      <c r="K1821" s="2" t="s">
        <v>359</v>
      </c>
      <c r="L1821" s="2">
        <v>2024</v>
      </c>
      <c r="M1821" s="2" t="s">
        <v>89</v>
      </c>
      <c r="N1821" s="2" t="s">
        <v>23</v>
      </c>
      <c r="O1821">
        <f t="shared" si="56"/>
        <v>3.8000000000000114</v>
      </c>
      <c r="P1821">
        <f t="shared" si="57"/>
        <v>-12.902000000000019</v>
      </c>
    </row>
    <row r="1822" spans="1:16" x14ac:dyDescent="0.35">
      <c r="A1822" s="9" t="s">
        <v>362</v>
      </c>
      <c r="B1822" s="2">
        <v>155.31</v>
      </c>
      <c r="C1822" s="2">
        <v>155.5</v>
      </c>
      <c r="D1822" s="2">
        <v>152.41</v>
      </c>
      <c r="E1822" s="2">
        <v>152.5</v>
      </c>
      <c r="F1822" s="2">
        <v>6947423</v>
      </c>
      <c r="G1822" s="2" t="s">
        <v>563</v>
      </c>
      <c r="H1822" s="2" t="s">
        <v>564</v>
      </c>
      <c r="I1822" s="2" t="s">
        <v>565</v>
      </c>
      <c r="J1822" s="4">
        <v>-1.141</v>
      </c>
      <c r="K1822" s="2" t="s">
        <v>359</v>
      </c>
      <c r="L1822" s="2">
        <v>2024</v>
      </c>
      <c r="M1822" s="2" t="s">
        <v>89</v>
      </c>
      <c r="N1822" s="2" t="s">
        <v>23</v>
      </c>
      <c r="O1822">
        <f t="shared" si="56"/>
        <v>3.0900000000000034</v>
      </c>
      <c r="P1822">
        <f t="shared" si="57"/>
        <v>-14.043000000000019</v>
      </c>
    </row>
    <row r="1823" spans="1:16" x14ac:dyDescent="0.35">
      <c r="A1823" s="9" t="s">
        <v>363</v>
      </c>
      <c r="B1823" s="2">
        <v>152.03</v>
      </c>
      <c r="C1823" s="2">
        <v>153.01</v>
      </c>
      <c r="D1823" s="2">
        <v>151.61000000000001</v>
      </c>
      <c r="E1823" s="2">
        <v>152.38999999999999</v>
      </c>
      <c r="F1823" s="2">
        <v>6783020</v>
      </c>
      <c r="G1823" s="2" t="s">
        <v>563</v>
      </c>
      <c r="H1823" s="2" t="s">
        <v>564</v>
      </c>
      <c r="I1823" s="2" t="s">
        <v>565</v>
      </c>
      <c r="J1823" s="4">
        <v>-7.1999999999999995E-2</v>
      </c>
      <c r="K1823" s="2" t="s">
        <v>359</v>
      </c>
      <c r="L1823" s="2">
        <v>2024</v>
      </c>
      <c r="M1823" s="2" t="s">
        <v>89</v>
      </c>
      <c r="N1823" s="2" t="s">
        <v>23</v>
      </c>
      <c r="O1823">
        <f t="shared" si="56"/>
        <v>1.3999999999999773</v>
      </c>
      <c r="P1823">
        <f t="shared" si="57"/>
        <v>-14.115000000000018</v>
      </c>
    </row>
    <row r="1824" spans="1:16" x14ac:dyDescent="0.35">
      <c r="A1824" s="9" t="s">
        <v>364</v>
      </c>
      <c r="B1824" s="2">
        <v>151.99</v>
      </c>
      <c r="C1824" s="2">
        <v>153.035</v>
      </c>
      <c r="D1824" s="2">
        <v>151.56</v>
      </c>
      <c r="E1824" s="2">
        <v>151.59</v>
      </c>
      <c r="F1824" s="2">
        <v>5935415</v>
      </c>
      <c r="G1824" s="2" t="s">
        <v>563</v>
      </c>
      <c r="H1824" s="2" t="s">
        <v>564</v>
      </c>
      <c r="I1824" s="2" t="s">
        <v>565</v>
      </c>
      <c r="J1824" s="4">
        <v>-0.52500000000000002</v>
      </c>
      <c r="K1824" s="2" t="s">
        <v>359</v>
      </c>
      <c r="L1824" s="2">
        <v>2024</v>
      </c>
      <c r="M1824" s="2" t="s">
        <v>89</v>
      </c>
      <c r="N1824" s="2" t="s">
        <v>23</v>
      </c>
      <c r="O1824">
        <f t="shared" si="56"/>
        <v>1.4749999999999943</v>
      </c>
      <c r="P1824">
        <f t="shared" si="57"/>
        <v>-14.640000000000018</v>
      </c>
    </row>
    <row r="1825" spans="1:16" x14ac:dyDescent="0.35">
      <c r="A1825" s="9" t="s">
        <v>365</v>
      </c>
      <c r="B1825" s="2">
        <v>151.55000000000001</v>
      </c>
      <c r="C1825" s="2">
        <v>152.53</v>
      </c>
      <c r="D1825" s="2">
        <v>150.94</v>
      </c>
      <c r="E1825" s="2">
        <v>152.29</v>
      </c>
      <c r="F1825" s="2">
        <v>6135556</v>
      </c>
      <c r="G1825" s="2" t="s">
        <v>563</v>
      </c>
      <c r="H1825" s="2" t="s">
        <v>564</v>
      </c>
      <c r="I1825" s="2" t="s">
        <v>565</v>
      </c>
      <c r="J1825" s="3">
        <v>0.46200000000000002</v>
      </c>
      <c r="K1825" s="2" t="s">
        <v>359</v>
      </c>
      <c r="L1825" s="2">
        <v>2024</v>
      </c>
      <c r="M1825" s="2" t="s">
        <v>89</v>
      </c>
      <c r="N1825" s="2" t="s">
        <v>21</v>
      </c>
      <c r="O1825">
        <f t="shared" si="56"/>
        <v>1.5900000000000034</v>
      </c>
      <c r="P1825">
        <f t="shared" si="57"/>
        <v>-14.178000000000019</v>
      </c>
    </row>
    <row r="1826" spans="1:16" x14ac:dyDescent="0.35">
      <c r="A1826" s="9" t="s">
        <v>366</v>
      </c>
      <c r="B1826" s="2">
        <v>151.53</v>
      </c>
      <c r="C1826" s="2">
        <v>151.82</v>
      </c>
      <c r="D1826" s="2">
        <v>149.76</v>
      </c>
      <c r="E1826" s="2">
        <v>150.19999999999999</v>
      </c>
      <c r="F1826" s="2">
        <v>6809519</v>
      </c>
      <c r="G1826" s="2" t="s">
        <v>563</v>
      </c>
      <c r="H1826" s="2" t="s">
        <v>564</v>
      </c>
      <c r="I1826" s="2" t="s">
        <v>565</v>
      </c>
      <c r="J1826" s="4">
        <v>-1.3720000000000001</v>
      </c>
      <c r="K1826" s="2" t="s">
        <v>359</v>
      </c>
      <c r="L1826" s="2">
        <v>2024</v>
      </c>
      <c r="M1826" s="2" t="s">
        <v>89</v>
      </c>
      <c r="N1826" s="2" t="s">
        <v>23</v>
      </c>
      <c r="O1826">
        <f t="shared" si="56"/>
        <v>2.0600000000000023</v>
      </c>
      <c r="P1826">
        <f t="shared" si="57"/>
        <v>-15.550000000000018</v>
      </c>
    </row>
    <row r="1827" spans="1:16" x14ac:dyDescent="0.35">
      <c r="A1827" s="9" t="s">
        <v>367</v>
      </c>
      <c r="B1827" s="2">
        <v>150.80000000000001</v>
      </c>
      <c r="C1827" s="2">
        <v>150.87</v>
      </c>
      <c r="D1827" s="2">
        <v>148.38999999999999</v>
      </c>
      <c r="E1827" s="2">
        <v>148.79</v>
      </c>
      <c r="F1827" s="2">
        <v>8374434</v>
      </c>
      <c r="G1827" s="2" t="s">
        <v>563</v>
      </c>
      <c r="H1827" s="2" t="s">
        <v>564</v>
      </c>
      <c r="I1827" s="2" t="s">
        <v>565</v>
      </c>
      <c r="J1827" s="4">
        <v>-0.93899999999999995</v>
      </c>
      <c r="K1827" s="2" t="s">
        <v>359</v>
      </c>
      <c r="L1827" s="2">
        <v>2024</v>
      </c>
      <c r="M1827" s="2" t="s">
        <v>89</v>
      </c>
      <c r="N1827" s="2" t="s">
        <v>23</v>
      </c>
      <c r="O1827">
        <f t="shared" si="56"/>
        <v>2.4800000000000182</v>
      </c>
      <c r="P1827">
        <f t="shared" si="57"/>
        <v>-16.489000000000019</v>
      </c>
    </row>
    <row r="1828" spans="1:16" x14ac:dyDescent="0.35">
      <c r="A1828" s="9" t="s">
        <v>368</v>
      </c>
      <c r="B1828" s="2">
        <v>148.06</v>
      </c>
      <c r="C1828" s="2">
        <v>149.065</v>
      </c>
      <c r="D1828" s="2">
        <v>147.15</v>
      </c>
      <c r="E1828" s="2">
        <v>147.52000000000001</v>
      </c>
      <c r="F1828" s="2">
        <v>7100178</v>
      </c>
      <c r="G1828" s="2" t="s">
        <v>563</v>
      </c>
      <c r="H1828" s="2" t="s">
        <v>564</v>
      </c>
      <c r="I1828" s="2" t="s">
        <v>565</v>
      </c>
      <c r="J1828" s="4">
        <v>-0.85399999999999998</v>
      </c>
      <c r="K1828" s="2" t="s">
        <v>359</v>
      </c>
      <c r="L1828" s="2">
        <v>2024</v>
      </c>
      <c r="M1828" s="2" t="s">
        <v>89</v>
      </c>
      <c r="N1828" s="2" t="s">
        <v>23</v>
      </c>
      <c r="O1828">
        <f t="shared" si="56"/>
        <v>1.914999999999992</v>
      </c>
      <c r="P1828">
        <f t="shared" si="57"/>
        <v>-17.343000000000018</v>
      </c>
    </row>
    <row r="1829" spans="1:16" x14ac:dyDescent="0.35">
      <c r="A1829" s="9" t="s">
        <v>369</v>
      </c>
      <c r="B1829" s="2">
        <v>148.37</v>
      </c>
      <c r="C1829" s="2">
        <v>149.49</v>
      </c>
      <c r="D1829" s="2">
        <v>147.37</v>
      </c>
      <c r="E1829" s="2">
        <v>147.59</v>
      </c>
      <c r="F1829" s="2">
        <v>8502266</v>
      </c>
      <c r="G1829" s="2" t="s">
        <v>563</v>
      </c>
      <c r="H1829" s="2" t="s">
        <v>564</v>
      </c>
      <c r="I1829" s="2" t="s">
        <v>565</v>
      </c>
      <c r="J1829" s="3">
        <v>4.7E-2</v>
      </c>
      <c r="K1829" s="2" t="s">
        <v>359</v>
      </c>
      <c r="L1829" s="2">
        <v>2024</v>
      </c>
      <c r="M1829" s="2" t="s">
        <v>89</v>
      </c>
      <c r="N1829" s="2" t="s">
        <v>21</v>
      </c>
      <c r="O1829">
        <f t="shared" si="56"/>
        <v>2.1200000000000045</v>
      </c>
      <c r="P1829">
        <f t="shared" si="57"/>
        <v>-17.296000000000017</v>
      </c>
    </row>
    <row r="1830" spans="1:16" x14ac:dyDescent="0.35">
      <c r="A1830" s="9" t="s">
        <v>370</v>
      </c>
      <c r="B1830" s="2">
        <v>145.01</v>
      </c>
      <c r="C1830" s="2">
        <v>146.25</v>
      </c>
      <c r="D1830" s="2">
        <v>143.38999999999999</v>
      </c>
      <c r="E1830" s="2">
        <v>144.44999999999999</v>
      </c>
      <c r="F1830" s="2">
        <v>12774859</v>
      </c>
      <c r="G1830" s="2" t="s">
        <v>563</v>
      </c>
      <c r="H1830" s="2" t="s">
        <v>564</v>
      </c>
      <c r="I1830" s="2" t="s">
        <v>565</v>
      </c>
      <c r="J1830" s="4">
        <v>-2.1280000000000001</v>
      </c>
      <c r="K1830" s="2" t="s">
        <v>359</v>
      </c>
      <c r="L1830" s="2">
        <v>2024</v>
      </c>
      <c r="M1830" s="2" t="s">
        <v>89</v>
      </c>
      <c r="N1830" s="2" t="s">
        <v>23</v>
      </c>
      <c r="O1830">
        <f t="shared" si="56"/>
        <v>2.8600000000000136</v>
      </c>
      <c r="P1830">
        <f t="shared" si="57"/>
        <v>-19.424000000000017</v>
      </c>
    </row>
    <row r="1831" spans="1:16" x14ac:dyDescent="0.35">
      <c r="A1831" s="9" t="s">
        <v>371</v>
      </c>
      <c r="B1831" s="2">
        <v>145</v>
      </c>
      <c r="C1831" s="2">
        <v>145.41</v>
      </c>
      <c r="D1831" s="2">
        <v>143.54</v>
      </c>
      <c r="E1831" s="2">
        <v>144.77000000000001</v>
      </c>
      <c r="F1831" s="2">
        <v>9378059</v>
      </c>
      <c r="G1831" s="2" t="s">
        <v>563</v>
      </c>
      <c r="H1831" s="2" t="s">
        <v>564</v>
      </c>
      <c r="I1831" s="2" t="s">
        <v>565</v>
      </c>
      <c r="J1831" s="3">
        <v>0.222</v>
      </c>
      <c r="K1831" s="2" t="s">
        <v>359</v>
      </c>
      <c r="L1831" s="2">
        <v>2024</v>
      </c>
      <c r="M1831" s="2" t="s">
        <v>89</v>
      </c>
      <c r="N1831" s="2" t="s">
        <v>21</v>
      </c>
      <c r="O1831">
        <f t="shared" si="56"/>
        <v>1.8700000000000045</v>
      </c>
      <c r="P1831">
        <f t="shared" si="57"/>
        <v>-19.202000000000016</v>
      </c>
    </row>
    <row r="1832" spans="1:16" x14ac:dyDescent="0.35">
      <c r="A1832" s="9" t="s">
        <v>372</v>
      </c>
      <c r="B1832" s="2">
        <v>144.97999999999999</v>
      </c>
      <c r="C1832" s="2">
        <v>145.80000000000001</v>
      </c>
      <c r="D1832" s="2">
        <v>143.13</v>
      </c>
      <c r="E1832" s="2">
        <v>145.74</v>
      </c>
      <c r="F1832" s="2">
        <v>9887704</v>
      </c>
      <c r="G1832" s="2" t="s">
        <v>563</v>
      </c>
      <c r="H1832" s="2" t="s">
        <v>564</v>
      </c>
      <c r="I1832" s="2" t="s">
        <v>565</v>
      </c>
      <c r="J1832" s="3">
        <v>0.67</v>
      </c>
      <c r="K1832" s="2" t="s">
        <v>359</v>
      </c>
      <c r="L1832" s="2">
        <v>2024</v>
      </c>
      <c r="M1832" s="2" t="s">
        <v>89</v>
      </c>
      <c r="N1832" s="2" t="s">
        <v>21</v>
      </c>
      <c r="O1832">
        <f t="shared" si="56"/>
        <v>2.6700000000000159</v>
      </c>
      <c r="P1832">
        <f t="shared" si="57"/>
        <v>-18.532000000000014</v>
      </c>
    </row>
    <row r="1833" spans="1:16" x14ac:dyDescent="0.35">
      <c r="A1833" s="9" t="s">
        <v>373</v>
      </c>
      <c r="B1833" s="2">
        <v>146.15</v>
      </c>
      <c r="C1833" s="2">
        <v>148.13</v>
      </c>
      <c r="D1833" s="2">
        <v>144.55000000000001</v>
      </c>
      <c r="E1833" s="2">
        <v>147.91</v>
      </c>
      <c r="F1833" s="2">
        <v>9747587</v>
      </c>
      <c r="G1833" s="2" t="s">
        <v>563</v>
      </c>
      <c r="H1833" s="2" t="s">
        <v>564</v>
      </c>
      <c r="I1833" s="2" t="s">
        <v>565</v>
      </c>
      <c r="J1833" s="3">
        <v>1.4890000000000001</v>
      </c>
      <c r="K1833" s="2" t="s">
        <v>359</v>
      </c>
      <c r="L1833" s="2">
        <v>2024</v>
      </c>
      <c r="M1833" s="2" t="s">
        <v>89</v>
      </c>
      <c r="N1833" s="2" t="s">
        <v>21</v>
      </c>
      <c r="O1833">
        <f t="shared" si="56"/>
        <v>3.5799999999999841</v>
      </c>
      <c r="P1833">
        <f t="shared" si="57"/>
        <v>-17.043000000000013</v>
      </c>
    </row>
    <row r="1834" spans="1:16" x14ac:dyDescent="0.35">
      <c r="A1834" s="9" t="s">
        <v>374</v>
      </c>
      <c r="B1834" s="2">
        <v>148.51</v>
      </c>
      <c r="C1834" s="2">
        <v>150.27000000000001</v>
      </c>
      <c r="D1834" s="2">
        <v>147.30000000000001</v>
      </c>
      <c r="E1834" s="2">
        <v>149.12</v>
      </c>
      <c r="F1834" s="2">
        <v>10118694</v>
      </c>
      <c r="G1834" s="2" t="s">
        <v>563</v>
      </c>
      <c r="H1834" s="2" t="s">
        <v>564</v>
      </c>
      <c r="I1834" s="2" t="s">
        <v>565</v>
      </c>
      <c r="J1834" s="3">
        <v>0.81799999999999995</v>
      </c>
      <c r="K1834" s="2" t="s">
        <v>359</v>
      </c>
      <c r="L1834" s="2">
        <v>2024</v>
      </c>
      <c r="M1834" s="2" t="s">
        <v>89</v>
      </c>
      <c r="N1834" s="2" t="s">
        <v>21</v>
      </c>
      <c r="O1834">
        <f t="shared" si="56"/>
        <v>2.9699999999999989</v>
      </c>
      <c r="P1834">
        <f t="shared" si="57"/>
        <v>-16.225000000000012</v>
      </c>
    </row>
    <row r="1835" spans="1:16" x14ac:dyDescent="0.35">
      <c r="A1835" s="9" t="s">
        <v>375</v>
      </c>
      <c r="B1835" s="2">
        <v>149.86000000000001</v>
      </c>
      <c r="C1835" s="2">
        <v>150.49</v>
      </c>
      <c r="D1835" s="2">
        <v>148.19999999999999</v>
      </c>
      <c r="E1835" s="2">
        <v>149.56</v>
      </c>
      <c r="F1835" s="2">
        <v>10110442</v>
      </c>
      <c r="G1835" s="2" t="s">
        <v>563</v>
      </c>
      <c r="H1835" s="2" t="s">
        <v>564</v>
      </c>
      <c r="I1835" s="2" t="s">
        <v>565</v>
      </c>
      <c r="J1835" s="3">
        <v>0.29499999999999998</v>
      </c>
      <c r="K1835" s="2" t="s">
        <v>359</v>
      </c>
      <c r="L1835" s="2">
        <v>2024</v>
      </c>
      <c r="M1835" s="2" t="s">
        <v>89</v>
      </c>
      <c r="N1835" s="2" t="s">
        <v>21</v>
      </c>
      <c r="O1835">
        <f t="shared" si="56"/>
        <v>2.2900000000000205</v>
      </c>
      <c r="P1835">
        <f t="shared" si="57"/>
        <v>-15.930000000000012</v>
      </c>
    </row>
    <row r="1836" spans="1:16" x14ac:dyDescent="0.35">
      <c r="A1836" s="9" t="s">
        <v>376</v>
      </c>
      <c r="B1836" s="2">
        <v>148.13999999999999</v>
      </c>
      <c r="C1836" s="2">
        <v>148.99</v>
      </c>
      <c r="D1836" s="2">
        <v>146.86000000000001</v>
      </c>
      <c r="E1836" s="2">
        <v>148.53</v>
      </c>
      <c r="F1836" s="2">
        <v>9756259</v>
      </c>
      <c r="G1836" s="2" t="s">
        <v>563</v>
      </c>
      <c r="H1836" s="2" t="s">
        <v>564</v>
      </c>
      <c r="I1836" s="2" t="s">
        <v>565</v>
      </c>
      <c r="J1836" s="4">
        <v>-0.68899999999999995</v>
      </c>
      <c r="K1836" s="2" t="s">
        <v>359</v>
      </c>
      <c r="L1836" s="2">
        <v>2024</v>
      </c>
      <c r="M1836" s="2" t="s">
        <v>89</v>
      </c>
      <c r="N1836" s="2" t="s">
        <v>23</v>
      </c>
      <c r="O1836">
        <f t="shared" si="56"/>
        <v>2.1299999999999955</v>
      </c>
      <c r="P1836">
        <f t="shared" si="57"/>
        <v>-16.61900000000001</v>
      </c>
    </row>
    <row r="1837" spans="1:16" x14ac:dyDescent="0.35">
      <c r="A1837" s="9" t="s">
        <v>377</v>
      </c>
      <c r="B1837" s="2">
        <v>149.37</v>
      </c>
      <c r="C1837" s="2">
        <v>149.58000000000001</v>
      </c>
      <c r="D1837" s="2">
        <v>146.33000000000001</v>
      </c>
      <c r="E1837" s="2">
        <v>146.82</v>
      </c>
      <c r="F1837" s="2">
        <v>7642732</v>
      </c>
      <c r="G1837" s="2" t="s">
        <v>563</v>
      </c>
      <c r="H1837" s="2" t="s">
        <v>564</v>
      </c>
      <c r="I1837" s="2" t="s">
        <v>565</v>
      </c>
      <c r="J1837" s="4">
        <v>-1.151</v>
      </c>
      <c r="K1837" s="2" t="s">
        <v>359</v>
      </c>
      <c r="L1837" s="2">
        <v>2024</v>
      </c>
      <c r="M1837" s="2" t="s">
        <v>89</v>
      </c>
      <c r="N1837" s="2" t="s">
        <v>23</v>
      </c>
      <c r="O1837">
        <f t="shared" si="56"/>
        <v>3.25</v>
      </c>
      <c r="P1837">
        <f t="shared" si="57"/>
        <v>-17.77000000000001</v>
      </c>
    </row>
    <row r="1838" spans="1:16" x14ac:dyDescent="0.35">
      <c r="A1838" s="9" t="s">
        <v>378</v>
      </c>
      <c r="B1838" s="2">
        <v>146.69999999999999</v>
      </c>
      <c r="C1838" s="2">
        <v>147.17500000000001</v>
      </c>
      <c r="D1838" s="2">
        <v>145.94999999999999</v>
      </c>
      <c r="E1838" s="2">
        <v>146.13999999999999</v>
      </c>
      <c r="F1838" s="2">
        <v>6182982</v>
      </c>
      <c r="G1838" s="2" t="s">
        <v>563</v>
      </c>
      <c r="H1838" s="2" t="s">
        <v>564</v>
      </c>
      <c r="I1838" s="2" t="s">
        <v>565</v>
      </c>
      <c r="J1838" s="4">
        <v>-0.46300000000000002</v>
      </c>
      <c r="K1838" s="2" t="s">
        <v>359</v>
      </c>
      <c r="L1838" s="2">
        <v>2024</v>
      </c>
      <c r="M1838" s="2" t="s">
        <v>89</v>
      </c>
      <c r="N1838" s="2" t="s">
        <v>23</v>
      </c>
      <c r="O1838">
        <f t="shared" si="56"/>
        <v>1.2250000000000227</v>
      </c>
      <c r="P1838">
        <f t="shared" si="57"/>
        <v>-18.233000000000011</v>
      </c>
    </row>
    <row r="1839" spans="1:16" x14ac:dyDescent="0.35">
      <c r="A1839" s="9" t="s">
        <v>379</v>
      </c>
      <c r="B1839" s="2">
        <v>146.13999999999999</v>
      </c>
      <c r="C1839" s="2">
        <v>147.22</v>
      </c>
      <c r="D1839" s="2">
        <v>145.98500000000001</v>
      </c>
      <c r="E1839" s="2">
        <v>146.82</v>
      </c>
      <c r="F1839" s="2">
        <v>6461588</v>
      </c>
      <c r="G1839" s="2" t="s">
        <v>563</v>
      </c>
      <c r="H1839" s="2" t="s">
        <v>564</v>
      </c>
      <c r="I1839" s="2" t="s">
        <v>565</v>
      </c>
      <c r="J1839" s="3">
        <v>0.46500000000000002</v>
      </c>
      <c r="K1839" s="2" t="s">
        <v>359</v>
      </c>
      <c r="L1839" s="2">
        <v>2024</v>
      </c>
      <c r="M1839" s="2" t="s">
        <v>89</v>
      </c>
      <c r="N1839" s="2" t="s">
        <v>21</v>
      </c>
      <c r="O1839">
        <f t="shared" si="56"/>
        <v>1.2349999999999852</v>
      </c>
      <c r="P1839">
        <f t="shared" si="57"/>
        <v>-17.768000000000011</v>
      </c>
    </row>
    <row r="1840" spans="1:16" x14ac:dyDescent="0.35">
      <c r="A1840" s="9" t="s">
        <v>380</v>
      </c>
      <c r="B1840" s="2">
        <v>146.88</v>
      </c>
      <c r="C1840" s="2">
        <v>146.88</v>
      </c>
      <c r="D1840" s="2">
        <v>144.53</v>
      </c>
      <c r="E1840" s="2">
        <v>144.59</v>
      </c>
      <c r="F1840" s="2">
        <v>8817719</v>
      </c>
      <c r="G1840" s="2" t="s">
        <v>563</v>
      </c>
      <c r="H1840" s="2" t="s">
        <v>564</v>
      </c>
      <c r="I1840" s="2" t="s">
        <v>565</v>
      </c>
      <c r="J1840" s="4">
        <v>-1.5189999999999999</v>
      </c>
      <c r="K1840" s="2" t="s">
        <v>359</v>
      </c>
      <c r="L1840" s="2">
        <v>2024</v>
      </c>
      <c r="M1840" s="2" t="s">
        <v>89</v>
      </c>
      <c r="N1840" s="2" t="s">
        <v>23</v>
      </c>
      <c r="O1840">
        <f t="shared" si="56"/>
        <v>2.3499999999999943</v>
      </c>
      <c r="P1840">
        <f t="shared" si="57"/>
        <v>-19.28700000000001</v>
      </c>
    </row>
    <row r="1841" spans="1:16" x14ac:dyDescent="0.35">
      <c r="A1841" s="9" t="s">
        <v>381</v>
      </c>
      <c r="B1841" s="2">
        <v>148.73500000000001</v>
      </c>
      <c r="C1841" s="2">
        <v>151.85</v>
      </c>
      <c r="D1841" s="2">
        <v>147.62</v>
      </c>
      <c r="E1841" s="2">
        <v>151.18</v>
      </c>
      <c r="F1841" s="2">
        <v>14473711</v>
      </c>
      <c r="G1841" s="2" t="s">
        <v>563</v>
      </c>
      <c r="H1841" s="2" t="s">
        <v>564</v>
      </c>
      <c r="I1841" s="2" t="s">
        <v>565</v>
      </c>
      <c r="J1841" s="3">
        <v>4.5579999999999998</v>
      </c>
      <c r="K1841" s="2" t="s">
        <v>382</v>
      </c>
      <c r="L1841" s="2">
        <v>2024</v>
      </c>
      <c r="M1841" s="2" t="s">
        <v>110</v>
      </c>
      <c r="N1841" s="2" t="s">
        <v>21</v>
      </c>
      <c r="O1841">
        <f t="shared" si="56"/>
        <v>4.2299999999999898</v>
      </c>
      <c r="P1841">
        <f t="shared" si="57"/>
        <v>-14.72900000000001</v>
      </c>
    </row>
    <row r="1842" spans="1:16" x14ac:dyDescent="0.35">
      <c r="A1842" s="9" t="s">
        <v>383</v>
      </c>
      <c r="B1842" s="2">
        <v>152.04</v>
      </c>
      <c r="C1842" s="2">
        <v>152.33000000000001</v>
      </c>
      <c r="D1842" s="2">
        <v>149.13999999999999</v>
      </c>
      <c r="E1842" s="2">
        <v>149.91999999999999</v>
      </c>
      <c r="F1842" s="2">
        <v>8459796</v>
      </c>
      <c r="G1842" s="2" t="s">
        <v>563</v>
      </c>
      <c r="H1842" s="2" t="s">
        <v>564</v>
      </c>
      <c r="I1842" s="2" t="s">
        <v>565</v>
      </c>
      <c r="J1842" s="4">
        <v>-0.83299999999999996</v>
      </c>
      <c r="K1842" s="2" t="s">
        <v>382</v>
      </c>
      <c r="L1842" s="2">
        <v>2024</v>
      </c>
      <c r="M1842" s="2" t="s">
        <v>110</v>
      </c>
      <c r="N1842" s="2" t="s">
        <v>23</v>
      </c>
      <c r="O1842">
        <f t="shared" si="56"/>
        <v>3.1900000000000261</v>
      </c>
      <c r="P1842">
        <f t="shared" si="57"/>
        <v>-15.56200000000001</v>
      </c>
    </row>
    <row r="1843" spans="1:16" x14ac:dyDescent="0.35">
      <c r="A1843" s="9" t="s">
        <v>384</v>
      </c>
      <c r="B1843" s="2">
        <v>149.88999999999999</v>
      </c>
      <c r="C1843" s="2">
        <v>149.88999999999999</v>
      </c>
      <c r="D1843" s="2">
        <v>147.82</v>
      </c>
      <c r="E1843" s="2">
        <v>149.27000000000001</v>
      </c>
      <c r="F1843" s="2">
        <v>6532718</v>
      </c>
      <c r="G1843" s="2" t="s">
        <v>563</v>
      </c>
      <c r="H1843" s="2" t="s">
        <v>564</v>
      </c>
      <c r="I1843" s="2" t="s">
        <v>565</v>
      </c>
      <c r="J1843" s="4">
        <v>-0.434</v>
      </c>
      <c r="K1843" s="2" t="s">
        <v>382</v>
      </c>
      <c r="L1843" s="2">
        <v>2024</v>
      </c>
      <c r="M1843" s="2" t="s">
        <v>110</v>
      </c>
      <c r="N1843" s="2" t="s">
        <v>23</v>
      </c>
      <c r="O1843">
        <f t="shared" si="56"/>
        <v>2.0699999999999932</v>
      </c>
      <c r="P1843">
        <f t="shared" si="57"/>
        <v>-15.996000000000009</v>
      </c>
    </row>
    <row r="1844" spans="1:16" x14ac:dyDescent="0.35">
      <c r="A1844" s="9" t="s">
        <v>385</v>
      </c>
      <c r="B1844" s="2">
        <v>149.87</v>
      </c>
      <c r="C1844" s="2">
        <v>150.05000000000001</v>
      </c>
      <c r="D1844" s="2">
        <v>147.91</v>
      </c>
      <c r="E1844" s="2">
        <v>148.58000000000001</v>
      </c>
      <c r="F1844" s="2">
        <v>5042757</v>
      </c>
      <c r="G1844" s="2" t="s">
        <v>563</v>
      </c>
      <c r="H1844" s="2" t="s">
        <v>564</v>
      </c>
      <c r="I1844" s="2" t="s">
        <v>565</v>
      </c>
      <c r="J1844" s="4">
        <v>-0.46200000000000002</v>
      </c>
      <c r="K1844" s="2" t="s">
        <v>382</v>
      </c>
      <c r="L1844" s="2">
        <v>2024</v>
      </c>
      <c r="M1844" s="2" t="s">
        <v>110</v>
      </c>
      <c r="N1844" s="2" t="s">
        <v>23</v>
      </c>
      <c r="O1844">
        <f t="shared" si="56"/>
        <v>2.1400000000000148</v>
      </c>
      <c r="P1844">
        <f t="shared" si="57"/>
        <v>-16.458000000000009</v>
      </c>
    </row>
    <row r="1845" spans="1:16" x14ac:dyDescent="0.35">
      <c r="A1845" s="9" t="s">
        <v>386</v>
      </c>
      <c r="B1845" s="2">
        <v>149.38</v>
      </c>
      <c r="C1845" s="2">
        <v>149.72999999999999</v>
      </c>
      <c r="D1845" s="2">
        <v>148.44999999999999</v>
      </c>
      <c r="E1845" s="2">
        <v>148.72</v>
      </c>
      <c r="F1845" s="2">
        <v>7333730</v>
      </c>
      <c r="G1845" s="2" t="s">
        <v>563</v>
      </c>
      <c r="H1845" s="2" t="s">
        <v>564</v>
      </c>
      <c r="I1845" s="2" t="s">
        <v>565</v>
      </c>
      <c r="J1845" s="3">
        <v>9.4E-2</v>
      </c>
      <c r="K1845" s="2" t="s">
        <v>382</v>
      </c>
      <c r="L1845" s="2">
        <v>2024</v>
      </c>
      <c r="M1845" s="2" t="s">
        <v>110</v>
      </c>
      <c r="N1845" s="2" t="s">
        <v>21</v>
      </c>
      <c r="O1845">
        <f t="shared" si="56"/>
        <v>1.2800000000000011</v>
      </c>
      <c r="P1845">
        <f t="shared" si="57"/>
        <v>-16.364000000000008</v>
      </c>
    </row>
    <row r="1846" spans="1:16" x14ac:dyDescent="0.35">
      <c r="A1846" s="9" t="s">
        <v>387</v>
      </c>
      <c r="B1846" s="2">
        <v>149.12</v>
      </c>
      <c r="C1846" s="2">
        <v>149.72999999999999</v>
      </c>
      <c r="D1846" s="2">
        <v>148.69999999999999</v>
      </c>
      <c r="E1846" s="2">
        <v>148.94999999999999</v>
      </c>
      <c r="F1846" s="2">
        <v>7735148</v>
      </c>
      <c r="G1846" s="2" t="s">
        <v>563</v>
      </c>
      <c r="H1846" s="2" t="s">
        <v>564</v>
      </c>
      <c r="I1846" s="2" t="s">
        <v>565</v>
      </c>
      <c r="J1846" s="3">
        <v>0.155</v>
      </c>
      <c r="K1846" s="2" t="s">
        <v>382</v>
      </c>
      <c r="L1846" s="2">
        <v>2024</v>
      </c>
      <c r="M1846" s="2" t="s">
        <v>110</v>
      </c>
      <c r="N1846" s="2" t="s">
        <v>21</v>
      </c>
      <c r="O1846">
        <f t="shared" si="56"/>
        <v>1.0300000000000011</v>
      </c>
      <c r="P1846">
        <f t="shared" si="57"/>
        <v>-16.209000000000007</v>
      </c>
    </row>
    <row r="1847" spans="1:16" x14ac:dyDescent="0.35">
      <c r="A1847" s="9" t="s">
        <v>388</v>
      </c>
      <c r="B1847" s="2">
        <v>148.97999999999999</v>
      </c>
      <c r="C1847" s="2">
        <v>150.1</v>
      </c>
      <c r="D1847" s="2">
        <v>148.88999999999999</v>
      </c>
      <c r="E1847" s="2">
        <v>149.85</v>
      </c>
      <c r="F1847" s="2">
        <v>6546153</v>
      </c>
      <c r="G1847" s="2" t="s">
        <v>563</v>
      </c>
      <c r="H1847" s="2" t="s">
        <v>564</v>
      </c>
      <c r="I1847" s="2" t="s">
        <v>565</v>
      </c>
      <c r="J1847" s="3">
        <v>0.60399999999999998</v>
      </c>
      <c r="K1847" s="2" t="s">
        <v>382</v>
      </c>
      <c r="L1847" s="2">
        <v>2024</v>
      </c>
      <c r="M1847" s="2" t="s">
        <v>110</v>
      </c>
      <c r="N1847" s="2" t="s">
        <v>21</v>
      </c>
      <c r="O1847">
        <f t="shared" si="56"/>
        <v>1.210000000000008</v>
      </c>
      <c r="P1847">
        <f t="shared" si="57"/>
        <v>-15.605000000000008</v>
      </c>
    </row>
    <row r="1848" spans="1:16" x14ac:dyDescent="0.35">
      <c r="A1848" s="9" t="s">
        <v>389</v>
      </c>
      <c r="B1848" s="2">
        <v>150</v>
      </c>
      <c r="C1848" s="2">
        <v>150.09</v>
      </c>
      <c r="D1848" s="2">
        <v>149.19</v>
      </c>
      <c r="E1848" s="2">
        <v>149.91</v>
      </c>
      <c r="F1848" s="2">
        <v>5710566</v>
      </c>
      <c r="G1848" s="2" t="s">
        <v>563</v>
      </c>
      <c r="H1848" s="2" t="s">
        <v>564</v>
      </c>
      <c r="I1848" s="2" t="s">
        <v>565</v>
      </c>
      <c r="J1848" s="3">
        <v>0.04</v>
      </c>
      <c r="K1848" s="2" t="s">
        <v>382</v>
      </c>
      <c r="L1848" s="2">
        <v>2024</v>
      </c>
      <c r="M1848" s="2" t="s">
        <v>110</v>
      </c>
      <c r="N1848" s="2" t="s">
        <v>21</v>
      </c>
      <c r="O1848">
        <f t="shared" si="56"/>
        <v>0.90000000000000568</v>
      </c>
      <c r="P1848">
        <f t="shared" si="57"/>
        <v>-15.565000000000008</v>
      </c>
    </row>
    <row r="1849" spans="1:16" x14ac:dyDescent="0.35">
      <c r="A1849" s="9" t="s">
        <v>390</v>
      </c>
      <c r="B1849" s="2">
        <v>150.04</v>
      </c>
      <c r="C1849" s="2">
        <v>152</v>
      </c>
      <c r="D1849" s="2">
        <v>149.70500000000001</v>
      </c>
      <c r="E1849" s="2">
        <v>151.22</v>
      </c>
      <c r="F1849" s="2">
        <v>5628467</v>
      </c>
      <c r="G1849" s="2" t="s">
        <v>563</v>
      </c>
      <c r="H1849" s="2" t="s">
        <v>564</v>
      </c>
      <c r="I1849" s="2" t="s">
        <v>565</v>
      </c>
      <c r="J1849" s="3">
        <v>0.874</v>
      </c>
      <c r="K1849" s="2" t="s">
        <v>382</v>
      </c>
      <c r="L1849" s="2">
        <v>2024</v>
      </c>
      <c r="M1849" s="2" t="s">
        <v>110</v>
      </c>
      <c r="N1849" s="2" t="s">
        <v>21</v>
      </c>
      <c r="O1849">
        <f t="shared" si="56"/>
        <v>2.2949999999999875</v>
      </c>
      <c r="P1849">
        <f t="shared" si="57"/>
        <v>-14.691000000000008</v>
      </c>
    </row>
    <row r="1850" spans="1:16" x14ac:dyDescent="0.35">
      <c r="A1850" s="9" t="s">
        <v>391</v>
      </c>
      <c r="B1850" s="2">
        <v>151.85</v>
      </c>
      <c r="C1850" s="2">
        <v>152.21</v>
      </c>
      <c r="D1850" s="2">
        <v>150.69999999999999</v>
      </c>
      <c r="E1850" s="2">
        <v>151.38</v>
      </c>
      <c r="F1850" s="2">
        <v>8254171</v>
      </c>
      <c r="G1850" s="2" t="s">
        <v>563</v>
      </c>
      <c r="H1850" s="2" t="s">
        <v>564</v>
      </c>
      <c r="I1850" s="2" t="s">
        <v>565</v>
      </c>
      <c r="J1850" s="3">
        <v>0.106</v>
      </c>
      <c r="K1850" s="2" t="s">
        <v>382</v>
      </c>
      <c r="L1850" s="2">
        <v>2024</v>
      </c>
      <c r="M1850" s="2" t="s">
        <v>110</v>
      </c>
      <c r="N1850" s="2" t="s">
        <v>21</v>
      </c>
      <c r="O1850">
        <f t="shared" si="56"/>
        <v>1.5100000000000193</v>
      </c>
      <c r="P1850">
        <f t="shared" si="57"/>
        <v>-14.585000000000008</v>
      </c>
    </row>
    <row r="1851" spans="1:16" x14ac:dyDescent="0.35">
      <c r="A1851" s="9" t="s">
        <v>392</v>
      </c>
      <c r="B1851" s="2">
        <v>151.82</v>
      </c>
      <c r="C1851" s="2">
        <v>152.94999999999999</v>
      </c>
      <c r="D1851" s="2">
        <v>151.30000000000001</v>
      </c>
      <c r="E1851" s="2">
        <v>152.66999999999999</v>
      </c>
      <c r="F1851" s="2">
        <v>5547955</v>
      </c>
      <c r="G1851" s="2" t="s">
        <v>563</v>
      </c>
      <c r="H1851" s="2" t="s">
        <v>564</v>
      </c>
      <c r="I1851" s="2" t="s">
        <v>565</v>
      </c>
      <c r="J1851" s="3">
        <v>0.85199999999999998</v>
      </c>
      <c r="K1851" s="2" t="s">
        <v>382</v>
      </c>
      <c r="L1851" s="2">
        <v>2024</v>
      </c>
      <c r="M1851" s="2" t="s">
        <v>110</v>
      </c>
      <c r="N1851" s="2" t="s">
        <v>21</v>
      </c>
      <c r="O1851">
        <f t="shared" si="56"/>
        <v>1.6499999999999773</v>
      </c>
      <c r="P1851">
        <f t="shared" si="57"/>
        <v>-13.733000000000008</v>
      </c>
    </row>
    <row r="1852" spans="1:16" x14ac:dyDescent="0.35">
      <c r="A1852" s="9" t="s">
        <v>393</v>
      </c>
      <c r="B1852" s="2">
        <v>153</v>
      </c>
      <c r="C1852" s="2">
        <v>154.38</v>
      </c>
      <c r="D1852" s="2">
        <v>152.33000000000001</v>
      </c>
      <c r="E1852" s="2">
        <v>154.28</v>
      </c>
      <c r="F1852" s="2">
        <v>7590959</v>
      </c>
      <c r="G1852" s="2" t="s">
        <v>563</v>
      </c>
      <c r="H1852" s="2" t="s">
        <v>564</v>
      </c>
      <c r="I1852" s="2" t="s">
        <v>565</v>
      </c>
      <c r="J1852" s="3">
        <v>1.0549999999999999</v>
      </c>
      <c r="K1852" s="2" t="s">
        <v>382</v>
      </c>
      <c r="L1852" s="2">
        <v>2024</v>
      </c>
      <c r="M1852" s="2" t="s">
        <v>110</v>
      </c>
      <c r="N1852" s="2" t="s">
        <v>21</v>
      </c>
      <c r="O1852">
        <f t="shared" si="56"/>
        <v>2.0499999999999829</v>
      </c>
      <c r="P1852">
        <f t="shared" si="57"/>
        <v>-12.678000000000008</v>
      </c>
    </row>
    <row r="1853" spans="1:16" x14ac:dyDescent="0.35">
      <c r="A1853" s="9" t="s">
        <v>394</v>
      </c>
      <c r="B1853" s="2">
        <v>154.86000000000001</v>
      </c>
      <c r="C1853" s="2">
        <v>154.86000000000001</v>
      </c>
      <c r="D1853" s="2">
        <v>153.71299999999999</v>
      </c>
      <c r="E1853" s="2">
        <v>154.63999999999999</v>
      </c>
      <c r="F1853" s="2">
        <v>6521794</v>
      </c>
      <c r="G1853" s="2" t="s">
        <v>563</v>
      </c>
      <c r="H1853" s="2" t="s">
        <v>564</v>
      </c>
      <c r="I1853" s="2" t="s">
        <v>565</v>
      </c>
      <c r="J1853" s="3">
        <v>0.23300000000000001</v>
      </c>
      <c r="K1853" s="2" t="s">
        <v>382</v>
      </c>
      <c r="L1853" s="2">
        <v>2024</v>
      </c>
      <c r="M1853" s="2" t="s">
        <v>110</v>
      </c>
      <c r="N1853" s="2" t="s">
        <v>21</v>
      </c>
      <c r="O1853">
        <f t="shared" si="56"/>
        <v>1.1470000000000198</v>
      </c>
      <c r="P1853">
        <f t="shared" si="57"/>
        <v>-12.445000000000007</v>
      </c>
    </row>
    <row r="1854" spans="1:16" x14ac:dyDescent="0.35">
      <c r="A1854" s="9" t="s">
        <v>395</v>
      </c>
      <c r="B1854" s="2">
        <v>153.1</v>
      </c>
      <c r="C1854" s="2">
        <v>153.38999999999999</v>
      </c>
      <c r="D1854" s="2">
        <v>151.26</v>
      </c>
      <c r="E1854" s="2">
        <v>151.27000000000001</v>
      </c>
      <c r="F1854" s="2">
        <v>7742280</v>
      </c>
      <c r="G1854" s="2" t="s">
        <v>563</v>
      </c>
      <c r="H1854" s="2" t="s">
        <v>564</v>
      </c>
      <c r="I1854" s="2" t="s">
        <v>565</v>
      </c>
      <c r="J1854" s="4">
        <v>-2.1789999999999998</v>
      </c>
      <c r="K1854" s="2" t="s">
        <v>382</v>
      </c>
      <c r="L1854" s="2">
        <v>2024</v>
      </c>
      <c r="M1854" s="2" t="s">
        <v>110</v>
      </c>
      <c r="N1854" s="2" t="s">
        <v>23</v>
      </c>
      <c r="O1854">
        <f t="shared" si="56"/>
        <v>2.1299999999999955</v>
      </c>
      <c r="P1854">
        <f t="shared" si="57"/>
        <v>-14.624000000000008</v>
      </c>
    </row>
    <row r="1855" spans="1:16" x14ac:dyDescent="0.35">
      <c r="A1855" s="9" t="s">
        <v>396</v>
      </c>
      <c r="B1855" s="2">
        <v>151.78</v>
      </c>
      <c r="C1855" s="2">
        <v>152.58500000000001</v>
      </c>
      <c r="D1855" s="2">
        <v>150.785</v>
      </c>
      <c r="E1855" s="2">
        <v>151.24</v>
      </c>
      <c r="F1855" s="2">
        <v>5492354</v>
      </c>
      <c r="G1855" s="2" t="s">
        <v>563</v>
      </c>
      <c r="H1855" s="2" t="s">
        <v>564</v>
      </c>
      <c r="I1855" s="2" t="s">
        <v>565</v>
      </c>
      <c r="J1855" s="4">
        <v>-0.02</v>
      </c>
      <c r="K1855" s="2" t="s">
        <v>382</v>
      </c>
      <c r="L1855" s="2">
        <v>2024</v>
      </c>
      <c r="M1855" s="2" t="s">
        <v>110</v>
      </c>
      <c r="N1855" s="2" t="s">
        <v>23</v>
      </c>
      <c r="O1855">
        <f t="shared" si="56"/>
        <v>1.8000000000000114</v>
      </c>
      <c r="P1855">
        <f t="shared" si="57"/>
        <v>-14.644000000000007</v>
      </c>
    </row>
    <row r="1856" spans="1:16" x14ac:dyDescent="0.35">
      <c r="A1856" s="9" t="s">
        <v>397</v>
      </c>
      <c r="B1856" s="2">
        <v>150.84</v>
      </c>
      <c r="C1856" s="2">
        <v>154.08000000000001</v>
      </c>
      <c r="D1856" s="2">
        <v>150.32</v>
      </c>
      <c r="E1856" s="2">
        <v>153.5</v>
      </c>
      <c r="F1856" s="2">
        <v>6609788</v>
      </c>
      <c r="G1856" s="2" t="s">
        <v>563</v>
      </c>
      <c r="H1856" s="2" t="s">
        <v>564</v>
      </c>
      <c r="I1856" s="2" t="s">
        <v>565</v>
      </c>
      <c r="J1856" s="3">
        <v>1.494</v>
      </c>
      <c r="K1856" s="2" t="s">
        <v>382</v>
      </c>
      <c r="L1856" s="2">
        <v>2024</v>
      </c>
      <c r="M1856" s="2" t="s">
        <v>110</v>
      </c>
      <c r="N1856" s="2" t="s">
        <v>21</v>
      </c>
      <c r="O1856">
        <f t="shared" si="56"/>
        <v>3.7600000000000193</v>
      </c>
      <c r="P1856">
        <f t="shared" si="57"/>
        <v>-13.150000000000007</v>
      </c>
    </row>
    <row r="1857" spans="1:16" x14ac:dyDescent="0.35">
      <c r="A1857" s="9" t="s">
        <v>398</v>
      </c>
      <c r="B1857" s="2">
        <v>152.75</v>
      </c>
      <c r="C1857" s="2">
        <v>152.84</v>
      </c>
      <c r="D1857" s="2">
        <v>149.375</v>
      </c>
      <c r="E1857" s="2">
        <v>149.69999999999999</v>
      </c>
      <c r="F1857" s="2">
        <v>8000422</v>
      </c>
      <c r="G1857" s="2" t="s">
        <v>563</v>
      </c>
      <c r="H1857" s="2" t="s">
        <v>564</v>
      </c>
      <c r="I1857" s="2" t="s">
        <v>565</v>
      </c>
      <c r="J1857" s="4">
        <v>-2.476</v>
      </c>
      <c r="K1857" s="2" t="s">
        <v>382</v>
      </c>
      <c r="L1857" s="2">
        <v>2024</v>
      </c>
      <c r="M1857" s="2" t="s">
        <v>110</v>
      </c>
      <c r="N1857" s="2" t="s">
        <v>23</v>
      </c>
      <c r="O1857">
        <f t="shared" si="56"/>
        <v>3.4650000000000034</v>
      </c>
      <c r="P1857">
        <f t="shared" si="57"/>
        <v>-15.626000000000008</v>
      </c>
    </row>
    <row r="1858" spans="1:16" x14ac:dyDescent="0.35">
      <c r="A1858" s="9" t="s">
        <v>399</v>
      </c>
      <c r="B1858" s="2">
        <v>149.53</v>
      </c>
      <c r="C1858" s="2">
        <v>149.81399999999999</v>
      </c>
      <c r="D1858" s="2">
        <v>146.76</v>
      </c>
      <c r="E1858" s="2">
        <v>146.97</v>
      </c>
      <c r="F1858" s="2">
        <v>9520576</v>
      </c>
      <c r="G1858" s="2" t="s">
        <v>563</v>
      </c>
      <c r="H1858" s="2" t="s">
        <v>564</v>
      </c>
      <c r="I1858" s="2" t="s">
        <v>565</v>
      </c>
      <c r="J1858" s="4">
        <v>-1.8240000000000001</v>
      </c>
      <c r="K1858" s="2" t="s">
        <v>382</v>
      </c>
      <c r="L1858" s="2">
        <v>2024</v>
      </c>
      <c r="M1858" s="2" t="s">
        <v>110</v>
      </c>
      <c r="N1858" s="2" t="s">
        <v>23</v>
      </c>
      <c r="O1858">
        <f t="shared" si="56"/>
        <v>3.054000000000002</v>
      </c>
      <c r="P1858">
        <f t="shared" si="57"/>
        <v>-17.45000000000001</v>
      </c>
    </row>
    <row r="1859" spans="1:16" x14ac:dyDescent="0.35">
      <c r="A1859" s="9" t="s">
        <v>400</v>
      </c>
      <c r="B1859" s="2">
        <v>146.79</v>
      </c>
      <c r="C1859" s="2">
        <v>146.79</v>
      </c>
      <c r="D1859" s="2">
        <v>144.15</v>
      </c>
      <c r="E1859" s="2">
        <v>144.38</v>
      </c>
      <c r="F1859" s="2">
        <v>10499829</v>
      </c>
      <c r="G1859" s="2" t="s">
        <v>563</v>
      </c>
      <c r="H1859" s="2" t="s">
        <v>564</v>
      </c>
      <c r="I1859" s="2" t="s">
        <v>565</v>
      </c>
      <c r="J1859" s="4">
        <v>-1.762</v>
      </c>
      <c r="K1859" s="2" t="s">
        <v>382</v>
      </c>
      <c r="L1859" s="2">
        <v>2024</v>
      </c>
      <c r="M1859" s="2" t="s">
        <v>110</v>
      </c>
      <c r="N1859" s="2" t="s">
        <v>23</v>
      </c>
      <c r="O1859">
        <f t="shared" ref="O1859:O1922" si="58">C1859-D1859</f>
        <v>2.6399999999999864</v>
      </c>
      <c r="P1859">
        <f t="shared" si="57"/>
        <v>-19.21200000000001</v>
      </c>
    </row>
    <row r="1860" spans="1:16" x14ac:dyDescent="0.35">
      <c r="A1860" s="9" t="s">
        <v>401</v>
      </c>
      <c r="B1860" s="2">
        <v>143.82</v>
      </c>
      <c r="C1860" s="2">
        <v>145.41499999999999</v>
      </c>
      <c r="D1860" s="2">
        <v>143.71</v>
      </c>
      <c r="E1860" s="2">
        <v>144.44</v>
      </c>
      <c r="F1860" s="2">
        <v>8263810</v>
      </c>
      <c r="G1860" s="2" t="s">
        <v>563</v>
      </c>
      <c r="H1860" s="2" t="s">
        <v>564</v>
      </c>
      <c r="I1860" s="2" t="s">
        <v>565</v>
      </c>
      <c r="J1860" s="3">
        <v>4.2000000000000003E-2</v>
      </c>
      <c r="K1860" s="2" t="s">
        <v>382</v>
      </c>
      <c r="L1860" s="2">
        <v>2024</v>
      </c>
      <c r="M1860" s="2" t="s">
        <v>110</v>
      </c>
      <c r="N1860" s="2" t="s">
        <v>21</v>
      </c>
      <c r="O1860">
        <f t="shared" si="58"/>
        <v>1.7049999999999841</v>
      </c>
      <c r="P1860">
        <f t="shared" ref="P1860:P1923" si="59">IF(G1860=G1859, P1859+J1860, J1860)</f>
        <v>-19.170000000000009</v>
      </c>
    </row>
    <row r="1861" spans="1:16" x14ac:dyDescent="0.35">
      <c r="A1861" s="9" t="s">
        <v>402</v>
      </c>
      <c r="B1861" s="2">
        <v>144.62</v>
      </c>
      <c r="C1861" s="2">
        <v>145.61000000000001</v>
      </c>
      <c r="D1861" s="2">
        <v>144.02000000000001</v>
      </c>
      <c r="E1861" s="2">
        <v>145.28</v>
      </c>
      <c r="F1861" s="2">
        <v>8491111</v>
      </c>
      <c r="G1861" s="2" t="s">
        <v>563</v>
      </c>
      <c r="H1861" s="2" t="s">
        <v>564</v>
      </c>
      <c r="I1861" s="2" t="s">
        <v>565</v>
      </c>
      <c r="J1861" s="3">
        <v>0.58199999999999996</v>
      </c>
      <c r="K1861" s="2" t="s">
        <v>382</v>
      </c>
      <c r="L1861" s="2">
        <v>2024</v>
      </c>
      <c r="M1861" s="2" t="s">
        <v>110</v>
      </c>
      <c r="N1861" s="2" t="s">
        <v>21</v>
      </c>
      <c r="O1861">
        <f t="shared" si="58"/>
        <v>1.5900000000000034</v>
      </c>
      <c r="P1861">
        <f t="shared" si="59"/>
        <v>-18.588000000000008</v>
      </c>
    </row>
    <row r="1862" spans="1:16" x14ac:dyDescent="0.35">
      <c r="A1862" s="9" t="s">
        <v>403</v>
      </c>
      <c r="B1862" s="2">
        <v>145.57</v>
      </c>
      <c r="C1862" s="2">
        <v>147.47999999999999</v>
      </c>
      <c r="D1862" s="2">
        <v>145.19</v>
      </c>
      <c r="E1862" s="2">
        <v>146.66999999999999</v>
      </c>
      <c r="F1862" s="2">
        <v>14621203</v>
      </c>
      <c r="G1862" s="2" t="s">
        <v>563</v>
      </c>
      <c r="H1862" s="2" t="s">
        <v>564</v>
      </c>
      <c r="I1862" s="2" t="s">
        <v>565</v>
      </c>
      <c r="J1862" s="3">
        <v>0.95699999999999996</v>
      </c>
      <c r="K1862" s="2" t="s">
        <v>382</v>
      </c>
      <c r="L1862" s="2">
        <v>2024</v>
      </c>
      <c r="M1862" s="2" t="s">
        <v>110</v>
      </c>
      <c r="N1862" s="2" t="s">
        <v>21</v>
      </c>
      <c r="O1862">
        <f t="shared" si="58"/>
        <v>2.289999999999992</v>
      </c>
      <c r="P1862">
        <f t="shared" si="59"/>
        <v>-17.631000000000007</v>
      </c>
    </row>
    <row r="1863" spans="1:16" x14ac:dyDescent="0.35">
      <c r="A1863" s="9" t="s">
        <v>404</v>
      </c>
      <c r="B1863" s="2">
        <v>147.25</v>
      </c>
      <c r="C1863" s="2">
        <v>148.9</v>
      </c>
      <c r="D1863" s="2">
        <v>146.77000000000001</v>
      </c>
      <c r="E1863" s="2">
        <v>147.74</v>
      </c>
      <c r="F1863" s="2">
        <v>7329241</v>
      </c>
      <c r="G1863" s="2" t="s">
        <v>563</v>
      </c>
      <c r="H1863" s="2" t="s">
        <v>564</v>
      </c>
      <c r="I1863" s="2" t="s">
        <v>565</v>
      </c>
      <c r="J1863" s="3">
        <v>0.73</v>
      </c>
      <c r="K1863" s="2" t="s">
        <v>405</v>
      </c>
      <c r="L1863" s="2">
        <v>2024</v>
      </c>
      <c r="M1863" s="2" t="s">
        <v>135</v>
      </c>
      <c r="N1863" s="2" t="s">
        <v>21</v>
      </c>
      <c r="O1863">
        <f t="shared" si="58"/>
        <v>2.1299999999999955</v>
      </c>
      <c r="P1863">
        <f t="shared" si="59"/>
        <v>-16.901000000000007</v>
      </c>
    </row>
    <row r="1864" spans="1:16" x14ac:dyDescent="0.35">
      <c r="A1864" s="9" t="s">
        <v>406</v>
      </c>
      <c r="B1864" s="2">
        <v>147.47999999999999</v>
      </c>
      <c r="C1864" s="2">
        <v>148.31</v>
      </c>
      <c r="D1864" s="2">
        <v>146.19</v>
      </c>
      <c r="E1864" s="2">
        <v>147.80000000000001</v>
      </c>
      <c r="F1864" s="2">
        <v>8876441</v>
      </c>
      <c r="G1864" s="2" t="s">
        <v>563</v>
      </c>
      <c r="H1864" s="2" t="s">
        <v>564</v>
      </c>
      <c r="I1864" s="2" t="s">
        <v>565</v>
      </c>
      <c r="J1864" s="3">
        <v>4.1000000000000002E-2</v>
      </c>
      <c r="K1864" s="2" t="s">
        <v>405</v>
      </c>
      <c r="L1864" s="2">
        <v>2024</v>
      </c>
      <c r="M1864" s="2" t="s">
        <v>135</v>
      </c>
      <c r="N1864" s="2" t="s">
        <v>21</v>
      </c>
      <c r="O1864">
        <f t="shared" si="58"/>
        <v>2.1200000000000045</v>
      </c>
      <c r="P1864">
        <f t="shared" si="59"/>
        <v>-16.860000000000007</v>
      </c>
    </row>
    <row r="1865" spans="1:16" x14ac:dyDescent="0.35">
      <c r="A1865" s="9" t="s">
        <v>407</v>
      </c>
      <c r="B1865" s="2">
        <v>147.97</v>
      </c>
      <c r="C1865" s="2">
        <v>147.99</v>
      </c>
      <c r="D1865" s="2">
        <v>145.85499999999999</v>
      </c>
      <c r="E1865" s="2">
        <v>145.97</v>
      </c>
      <c r="F1865" s="2">
        <v>5891299</v>
      </c>
      <c r="G1865" s="2" t="s">
        <v>563</v>
      </c>
      <c r="H1865" s="2" t="s">
        <v>564</v>
      </c>
      <c r="I1865" s="2" t="s">
        <v>565</v>
      </c>
      <c r="J1865" s="4">
        <v>-1.238</v>
      </c>
      <c r="K1865" s="2" t="s">
        <v>405</v>
      </c>
      <c r="L1865" s="2">
        <v>2024</v>
      </c>
      <c r="M1865" s="2" t="s">
        <v>135</v>
      </c>
      <c r="N1865" s="2" t="s">
        <v>23</v>
      </c>
      <c r="O1865">
        <f t="shared" si="58"/>
        <v>2.1350000000000193</v>
      </c>
      <c r="P1865">
        <f t="shared" si="59"/>
        <v>-18.098000000000006</v>
      </c>
    </row>
    <row r="1866" spans="1:16" x14ac:dyDescent="0.35">
      <c r="A1866" s="9" t="s">
        <v>408</v>
      </c>
      <c r="B1866" s="2">
        <v>145.5</v>
      </c>
      <c r="C1866" s="2">
        <v>147</v>
      </c>
      <c r="D1866" s="2">
        <v>144.66</v>
      </c>
      <c r="E1866" s="2">
        <v>146.41999999999999</v>
      </c>
      <c r="F1866" s="2">
        <v>5016301</v>
      </c>
      <c r="G1866" s="2" t="s">
        <v>563</v>
      </c>
      <c r="H1866" s="2" t="s">
        <v>564</v>
      </c>
      <c r="I1866" s="2" t="s">
        <v>565</v>
      </c>
      <c r="J1866" s="3">
        <v>0.308</v>
      </c>
      <c r="K1866" s="2" t="s">
        <v>405</v>
      </c>
      <c r="L1866" s="2">
        <v>2024</v>
      </c>
      <c r="M1866" s="2" t="s">
        <v>135</v>
      </c>
      <c r="N1866" s="2" t="s">
        <v>21</v>
      </c>
      <c r="O1866">
        <f t="shared" si="58"/>
        <v>2.3400000000000034</v>
      </c>
      <c r="P1866">
        <f t="shared" si="59"/>
        <v>-17.790000000000006</v>
      </c>
    </row>
    <row r="1867" spans="1:16" x14ac:dyDescent="0.35">
      <c r="A1867" s="9" t="s">
        <v>409</v>
      </c>
      <c r="B1867" s="2">
        <v>146.68</v>
      </c>
      <c r="C1867" s="2">
        <v>148.30000000000001</v>
      </c>
      <c r="D1867" s="2">
        <v>146.34</v>
      </c>
      <c r="E1867" s="2">
        <v>147.08000000000001</v>
      </c>
      <c r="F1867" s="2">
        <v>5111626</v>
      </c>
      <c r="G1867" s="2" t="s">
        <v>563</v>
      </c>
      <c r="H1867" s="2" t="s">
        <v>564</v>
      </c>
      <c r="I1867" s="2" t="s">
        <v>565</v>
      </c>
      <c r="J1867" s="3">
        <v>0.45100000000000001</v>
      </c>
      <c r="K1867" s="2" t="s">
        <v>405</v>
      </c>
      <c r="L1867" s="2">
        <v>2024</v>
      </c>
      <c r="M1867" s="2" t="s">
        <v>135</v>
      </c>
      <c r="N1867" s="2" t="s">
        <v>21</v>
      </c>
      <c r="O1867">
        <f t="shared" si="58"/>
        <v>1.960000000000008</v>
      </c>
      <c r="P1867">
        <f t="shared" si="59"/>
        <v>-17.339000000000006</v>
      </c>
    </row>
    <row r="1868" spans="1:16" x14ac:dyDescent="0.35">
      <c r="A1868" s="9" t="s">
        <v>410</v>
      </c>
      <c r="B1868" s="2">
        <v>146.53</v>
      </c>
      <c r="C1868" s="2">
        <v>147.56</v>
      </c>
      <c r="D1868" s="2">
        <v>145.6</v>
      </c>
      <c r="E1868" s="2">
        <v>147.13</v>
      </c>
      <c r="F1868" s="2">
        <v>5751309</v>
      </c>
      <c r="G1868" s="2" t="s">
        <v>563</v>
      </c>
      <c r="H1868" s="2" t="s">
        <v>564</v>
      </c>
      <c r="I1868" s="2" t="s">
        <v>565</v>
      </c>
      <c r="J1868" s="3">
        <v>3.4000000000000002E-2</v>
      </c>
      <c r="K1868" s="2" t="s">
        <v>405</v>
      </c>
      <c r="L1868" s="2">
        <v>2024</v>
      </c>
      <c r="M1868" s="2" t="s">
        <v>135</v>
      </c>
      <c r="N1868" s="2" t="s">
        <v>21</v>
      </c>
      <c r="O1868">
        <f t="shared" si="58"/>
        <v>1.960000000000008</v>
      </c>
      <c r="P1868">
        <f t="shared" si="59"/>
        <v>-17.305000000000007</v>
      </c>
    </row>
    <row r="1869" spans="1:16" x14ac:dyDescent="0.35">
      <c r="A1869" s="9" t="s">
        <v>411</v>
      </c>
      <c r="B1869" s="2">
        <v>146.81</v>
      </c>
      <c r="C1869" s="2">
        <v>147.16</v>
      </c>
      <c r="D1869" s="2">
        <v>145.44</v>
      </c>
      <c r="E1869" s="2">
        <v>146.76</v>
      </c>
      <c r="F1869" s="2">
        <v>5661236</v>
      </c>
      <c r="G1869" s="2" t="s">
        <v>563</v>
      </c>
      <c r="H1869" s="2" t="s">
        <v>564</v>
      </c>
      <c r="I1869" s="2" t="s">
        <v>565</v>
      </c>
      <c r="J1869" s="4">
        <v>-0.251</v>
      </c>
      <c r="K1869" s="2" t="s">
        <v>405</v>
      </c>
      <c r="L1869" s="2">
        <v>2024</v>
      </c>
      <c r="M1869" s="2" t="s">
        <v>135</v>
      </c>
      <c r="N1869" s="2" t="s">
        <v>23</v>
      </c>
      <c r="O1869">
        <f t="shared" si="58"/>
        <v>1.7199999999999989</v>
      </c>
      <c r="P1869">
        <f t="shared" si="59"/>
        <v>-17.556000000000008</v>
      </c>
    </row>
    <row r="1870" spans="1:16" x14ac:dyDescent="0.35">
      <c r="A1870" s="9" t="s">
        <v>412</v>
      </c>
      <c r="B1870" s="2">
        <v>147.06</v>
      </c>
      <c r="C1870" s="2">
        <v>147.21</v>
      </c>
      <c r="D1870" s="2">
        <v>144.78</v>
      </c>
      <c r="E1870" s="2">
        <v>145.41</v>
      </c>
      <c r="F1870" s="2">
        <v>6180493</v>
      </c>
      <c r="G1870" s="2" t="s">
        <v>563</v>
      </c>
      <c r="H1870" s="2" t="s">
        <v>564</v>
      </c>
      <c r="I1870" s="2" t="s">
        <v>565</v>
      </c>
      <c r="J1870" s="4">
        <v>-0.92</v>
      </c>
      <c r="K1870" s="2" t="s">
        <v>405</v>
      </c>
      <c r="L1870" s="2">
        <v>2024</v>
      </c>
      <c r="M1870" s="2" t="s">
        <v>135</v>
      </c>
      <c r="N1870" s="2" t="s">
        <v>23</v>
      </c>
      <c r="O1870">
        <f t="shared" si="58"/>
        <v>2.4300000000000068</v>
      </c>
      <c r="P1870">
        <f t="shared" si="59"/>
        <v>-18.47600000000001</v>
      </c>
    </row>
    <row r="1871" spans="1:16" x14ac:dyDescent="0.35">
      <c r="A1871" s="9" t="s">
        <v>413</v>
      </c>
      <c r="B1871" s="2">
        <v>145.07</v>
      </c>
      <c r="C1871" s="2">
        <v>146</v>
      </c>
      <c r="D1871" s="2">
        <v>143.88</v>
      </c>
      <c r="E1871" s="2">
        <v>145.44999999999999</v>
      </c>
      <c r="F1871" s="2">
        <v>6840374</v>
      </c>
      <c r="G1871" s="2" t="s">
        <v>563</v>
      </c>
      <c r="H1871" s="2" t="s">
        <v>564</v>
      </c>
      <c r="I1871" s="2" t="s">
        <v>565</v>
      </c>
      <c r="J1871" s="3">
        <v>2.8000000000000001E-2</v>
      </c>
      <c r="K1871" s="2" t="s">
        <v>405</v>
      </c>
      <c r="L1871" s="2">
        <v>2024</v>
      </c>
      <c r="M1871" s="2" t="s">
        <v>135</v>
      </c>
      <c r="N1871" s="2" t="s">
        <v>21</v>
      </c>
      <c r="O1871">
        <f t="shared" si="58"/>
        <v>2.1200000000000045</v>
      </c>
      <c r="P1871">
        <f t="shared" si="59"/>
        <v>-18.448000000000011</v>
      </c>
    </row>
    <row r="1872" spans="1:16" x14ac:dyDescent="0.35">
      <c r="A1872" s="9" t="s">
        <v>414</v>
      </c>
      <c r="B1872" s="2">
        <v>145.13999999999999</v>
      </c>
      <c r="C1872" s="2">
        <v>145.97</v>
      </c>
      <c r="D1872" s="2">
        <v>144.47999999999999</v>
      </c>
      <c r="E1872" s="2">
        <v>145.54</v>
      </c>
      <c r="F1872" s="2">
        <v>4075342</v>
      </c>
      <c r="G1872" s="2" t="s">
        <v>563</v>
      </c>
      <c r="H1872" s="2" t="s">
        <v>564</v>
      </c>
      <c r="I1872" s="2" t="s">
        <v>565</v>
      </c>
      <c r="J1872" s="3">
        <v>6.2E-2</v>
      </c>
      <c r="K1872" s="2" t="s">
        <v>405</v>
      </c>
      <c r="L1872" s="2">
        <v>2024</v>
      </c>
      <c r="M1872" s="2" t="s">
        <v>135</v>
      </c>
      <c r="N1872" s="2" t="s">
        <v>21</v>
      </c>
      <c r="O1872">
        <f t="shared" si="58"/>
        <v>1.4900000000000091</v>
      </c>
      <c r="P1872">
        <f t="shared" si="59"/>
        <v>-18.38600000000001</v>
      </c>
    </row>
    <row r="1873" spans="1:16" x14ac:dyDescent="0.35">
      <c r="A1873" s="9" t="s">
        <v>415</v>
      </c>
      <c r="B1873" s="2">
        <v>145.02000000000001</v>
      </c>
      <c r="C1873" s="2">
        <v>146.43</v>
      </c>
      <c r="D1873" s="2">
        <v>144.74</v>
      </c>
      <c r="E1873" s="2">
        <v>145.94999999999999</v>
      </c>
      <c r="F1873" s="2">
        <v>6666583</v>
      </c>
      <c r="G1873" s="2" t="s">
        <v>563</v>
      </c>
      <c r="H1873" s="2" t="s">
        <v>564</v>
      </c>
      <c r="I1873" s="2" t="s">
        <v>565</v>
      </c>
      <c r="J1873" s="3">
        <v>0.28199999999999997</v>
      </c>
      <c r="K1873" s="2" t="s">
        <v>405</v>
      </c>
      <c r="L1873" s="2">
        <v>2024</v>
      </c>
      <c r="M1873" s="2" t="s">
        <v>135</v>
      </c>
      <c r="N1873" s="2" t="s">
        <v>21</v>
      </c>
      <c r="O1873">
        <f t="shared" si="58"/>
        <v>1.6899999999999977</v>
      </c>
      <c r="P1873">
        <f t="shared" si="59"/>
        <v>-18.10400000000001</v>
      </c>
    </row>
    <row r="1874" spans="1:16" x14ac:dyDescent="0.35">
      <c r="A1874" s="9" t="s">
        <v>416</v>
      </c>
      <c r="B1874" s="2">
        <v>145.96</v>
      </c>
      <c r="C1874" s="2">
        <v>146.38999999999999</v>
      </c>
      <c r="D1874" s="2">
        <v>145.26499999999999</v>
      </c>
      <c r="E1874" s="2">
        <v>145.65</v>
      </c>
      <c r="F1874" s="2">
        <v>6156572</v>
      </c>
      <c r="G1874" s="2" t="s">
        <v>563</v>
      </c>
      <c r="H1874" s="2" t="s">
        <v>564</v>
      </c>
      <c r="I1874" s="2" t="s">
        <v>565</v>
      </c>
      <c r="J1874" s="4">
        <v>-0.20599999999999999</v>
      </c>
      <c r="K1874" s="2" t="s">
        <v>405</v>
      </c>
      <c r="L1874" s="2">
        <v>2024</v>
      </c>
      <c r="M1874" s="2" t="s">
        <v>135</v>
      </c>
      <c r="N1874" s="2" t="s">
        <v>23</v>
      </c>
      <c r="O1874">
        <f t="shared" si="58"/>
        <v>1.125</v>
      </c>
      <c r="P1874">
        <f t="shared" si="59"/>
        <v>-18.310000000000009</v>
      </c>
    </row>
    <row r="1875" spans="1:16" x14ac:dyDescent="0.35">
      <c r="A1875" s="9" t="s">
        <v>417</v>
      </c>
      <c r="B1875" s="2">
        <v>145.27000000000001</v>
      </c>
      <c r="C1875" s="2">
        <v>148.08000000000001</v>
      </c>
      <c r="D1875" s="2">
        <v>145.01</v>
      </c>
      <c r="E1875" s="2">
        <v>147.78</v>
      </c>
      <c r="F1875" s="2">
        <v>8749717</v>
      </c>
      <c r="G1875" s="2" t="s">
        <v>563</v>
      </c>
      <c r="H1875" s="2" t="s">
        <v>564</v>
      </c>
      <c r="I1875" s="2" t="s">
        <v>565</v>
      </c>
      <c r="J1875" s="3">
        <v>1.462</v>
      </c>
      <c r="K1875" s="2" t="s">
        <v>405</v>
      </c>
      <c r="L1875" s="2">
        <v>2024</v>
      </c>
      <c r="M1875" s="2" t="s">
        <v>135</v>
      </c>
      <c r="N1875" s="2" t="s">
        <v>21</v>
      </c>
      <c r="O1875">
        <f t="shared" si="58"/>
        <v>3.0700000000000216</v>
      </c>
      <c r="P1875">
        <f t="shared" si="59"/>
        <v>-16.84800000000001</v>
      </c>
    </row>
    <row r="1876" spans="1:16" x14ac:dyDescent="0.35">
      <c r="A1876" s="9" t="s">
        <v>418</v>
      </c>
      <c r="B1876" s="2">
        <v>147.88999999999999</v>
      </c>
      <c r="C1876" s="2">
        <v>149.08000000000001</v>
      </c>
      <c r="D1876" s="2">
        <v>147.37</v>
      </c>
      <c r="E1876" s="2">
        <v>148.75</v>
      </c>
      <c r="F1876" s="2">
        <v>15176869</v>
      </c>
      <c r="G1876" s="2" t="s">
        <v>563</v>
      </c>
      <c r="H1876" s="2" t="s">
        <v>564</v>
      </c>
      <c r="I1876" s="2" t="s">
        <v>565</v>
      </c>
      <c r="J1876" s="3">
        <v>0.65600000000000003</v>
      </c>
      <c r="K1876" s="2" t="s">
        <v>405</v>
      </c>
      <c r="L1876" s="2">
        <v>2024</v>
      </c>
      <c r="M1876" s="2" t="s">
        <v>135</v>
      </c>
      <c r="N1876" s="2" t="s">
        <v>21</v>
      </c>
      <c r="O1876">
        <f t="shared" si="58"/>
        <v>1.710000000000008</v>
      </c>
      <c r="P1876">
        <f t="shared" si="59"/>
        <v>-16.192000000000011</v>
      </c>
    </row>
    <row r="1877" spans="1:16" x14ac:dyDescent="0.35">
      <c r="A1877" s="9" t="s">
        <v>419</v>
      </c>
      <c r="B1877" s="2">
        <v>149</v>
      </c>
      <c r="C1877" s="2">
        <v>149.72</v>
      </c>
      <c r="D1877" s="2">
        <v>148.16999999999999</v>
      </c>
      <c r="E1877" s="2">
        <v>149.12</v>
      </c>
      <c r="F1877" s="2">
        <v>6914671</v>
      </c>
      <c r="G1877" s="2" t="s">
        <v>563</v>
      </c>
      <c r="H1877" s="2" t="s">
        <v>564</v>
      </c>
      <c r="I1877" s="2" t="s">
        <v>565</v>
      </c>
      <c r="J1877" s="3">
        <v>0.249</v>
      </c>
      <c r="K1877" s="2" t="s">
        <v>405</v>
      </c>
      <c r="L1877" s="2">
        <v>2024</v>
      </c>
      <c r="M1877" s="2" t="s">
        <v>135</v>
      </c>
      <c r="N1877" s="2" t="s">
        <v>21</v>
      </c>
      <c r="O1877">
        <f t="shared" si="58"/>
        <v>1.5500000000000114</v>
      </c>
      <c r="P1877">
        <f t="shared" si="59"/>
        <v>-15.94300000000001</v>
      </c>
    </row>
    <row r="1878" spans="1:16" x14ac:dyDescent="0.35">
      <c r="A1878" s="9" t="s">
        <v>420</v>
      </c>
      <c r="B1878" s="2">
        <v>149.18</v>
      </c>
      <c r="C1878" s="2">
        <v>149.19999999999999</v>
      </c>
      <c r="D1878" s="2">
        <v>146.94</v>
      </c>
      <c r="E1878" s="2">
        <v>147.19</v>
      </c>
      <c r="F1878" s="2">
        <v>6620303</v>
      </c>
      <c r="G1878" s="2" t="s">
        <v>563</v>
      </c>
      <c r="H1878" s="2" t="s">
        <v>564</v>
      </c>
      <c r="I1878" s="2" t="s">
        <v>565</v>
      </c>
      <c r="J1878" s="4">
        <v>-1.294</v>
      </c>
      <c r="K1878" s="2" t="s">
        <v>405</v>
      </c>
      <c r="L1878" s="2">
        <v>2024</v>
      </c>
      <c r="M1878" s="2" t="s">
        <v>135</v>
      </c>
      <c r="N1878" s="2" t="s">
        <v>23</v>
      </c>
      <c r="O1878">
        <f t="shared" si="58"/>
        <v>2.2599999999999909</v>
      </c>
      <c r="P1878">
        <f t="shared" si="59"/>
        <v>-17.237000000000009</v>
      </c>
    </row>
    <row r="1879" spans="1:16" x14ac:dyDescent="0.35">
      <c r="A1879" s="9" t="s">
        <v>421</v>
      </c>
      <c r="B1879" s="2">
        <v>146.19999999999999</v>
      </c>
      <c r="C1879" s="2">
        <v>147.19</v>
      </c>
      <c r="D1879" s="2">
        <v>145.78</v>
      </c>
      <c r="E1879" s="2">
        <v>146.87</v>
      </c>
      <c r="F1879" s="2">
        <v>5267809</v>
      </c>
      <c r="G1879" s="2" t="s">
        <v>563</v>
      </c>
      <c r="H1879" s="2" t="s">
        <v>564</v>
      </c>
      <c r="I1879" s="2" t="s">
        <v>565</v>
      </c>
      <c r="J1879" s="4">
        <v>-0.217</v>
      </c>
      <c r="K1879" s="2" t="s">
        <v>405</v>
      </c>
      <c r="L1879" s="2">
        <v>2024</v>
      </c>
      <c r="M1879" s="2" t="s">
        <v>135</v>
      </c>
      <c r="N1879" s="2" t="s">
        <v>23</v>
      </c>
      <c r="O1879">
        <f t="shared" si="58"/>
        <v>1.4099999999999966</v>
      </c>
      <c r="P1879">
        <f t="shared" si="59"/>
        <v>-17.454000000000008</v>
      </c>
    </row>
    <row r="1880" spans="1:16" x14ac:dyDescent="0.35">
      <c r="A1880" s="9" t="s">
        <v>422</v>
      </c>
      <c r="B1880" s="2">
        <v>146.80000000000001</v>
      </c>
      <c r="C1880" s="2">
        <v>147.36000000000001</v>
      </c>
      <c r="D1880" s="2">
        <v>144.84</v>
      </c>
      <c r="E1880" s="2">
        <v>145.80000000000001</v>
      </c>
      <c r="F1880" s="2">
        <v>5739246</v>
      </c>
      <c r="G1880" s="2" t="s">
        <v>563</v>
      </c>
      <c r="H1880" s="2" t="s">
        <v>564</v>
      </c>
      <c r="I1880" s="2" t="s">
        <v>565</v>
      </c>
      <c r="J1880" s="4">
        <v>-0.72899999999999998</v>
      </c>
      <c r="K1880" s="2" t="s">
        <v>405</v>
      </c>
      <c r="L1880" s="2">
        <v>2024</v>
      </c>
      <c r="M1880" s="2" t="s">
        <v>135</v>
      </c>
      <c r="N1880" s="2" t="s">
        <v>23</v>
      </c>
      <c r="O1880">
        <f t="shared" si="58"/>
        <v>2.5200000000000102</v>
      </c>
      <c r="P1880">
        <f t="shared" si="59"/>
        <v>-18.183000000000007</v>
      </c>
    </row>
    <row r="1881" spans="1:16" x14ac:dyDescent="0.35">
      <c r="A1881" s="9" t="s">
        <v>423</v>
      </c>
      <c r="B1881" s="2">
        <v>146.04</v>
      </c>
      <c r="C1881" s="2">
        <v>147.07</v>
      </c>
      <c r="D1881" s="2">
        <v>145.65</v>
      </c>
      <c r="E1881" s="2">
        <v>146.16</v>
      </c>
      <c r="F1881" s="2">
        <v>10495735</v>
      </c>
      <c r="G1881" s="2" t="s">
        <v>563</v>
      </c>
      <c r="H1881" s="2" t="s">
        <v>564</v>
      </c>
      <c r="I1881" s="2" t="s">
        <v>565</v>
      </c>
      <c r="J1881" s="3">
        <v>0.247</v>
      </c>
      <c r="K1881" s="2" t="s">
        <v>405</v>
      </c>
      <c r="L1881" s="2">
        <v>2024</v>
      </c>
      <c r="M1881" s="2" t="s">
        <v>135</v>
      </c>
      <c r="N1881" s="2" t="s">
        <v>21</v>
      </c>
      <c r="O1881">
        <f t="shared" si="58"/>
        <v>1.4199999999999875</v>
      </c>
      <c r="P1881">
        <f t="shared" si="59"/>
        <v>-17.936000000000007</v>
      </c>
    </row>
    <row r="1882" spans="1:16" x14ac:dyDescent="0.35">
      <c r="A1882" s="9" t="s">
        <v>424</v>
      </c>
      <c r="B1882" s="2">
        <v>146.07</v>
      </c>
      <c r="C1882" s="2">
        <v>148.69999999999999</v>
      </c>
      <c r="D1882" s="2">
        <v>145.62</v>
      </c>
      <c r="E1882" s="2">
        <v>146.44</v>
      </c>
      <c r="F1882" s="2">
        <v>5144443</v>
      </c>
      <c r="G1882" s="2" t="s">
        <v>563</v>
      </c>
      <c r="H1882" s="2" t="s">
        <v>564</v>
      </c>
      <c r="I1882" s="2" t="s">
        <v>565</v>
      </c>
      <c r="J1882" s="3">
        <v>0.192</v>
      </c>
      <c r="K1882" s="2" t="s">
        <v>425</v>
      </c>
      <c r="L1882" s="2">
        <v>2024</v>
      </c>
      <c r="M1882" s="2" t="s">
        <v>158</v>
      </c>
      <c r="N1882" s="2" t="s">
        <v>21</v>
      </c>
      <c r="O1882">
        <f t="shared" si="58"/>
        <v>3.0799999999999841</v>
      </c>
      <c r="P1882">
        <f t="shared" si="59"/>
        <v>-17.744000000000007</v>
      </c>
    </row>
    <row r="1883" spans="1:16" x14ac:dyDescent="0.35">
      <c r="A1883" s="9" t="s">
        <v>426</v>
      </c>
      <c r="B1883" s="2">
        <v>146.43</v>
      </c>
      <c r="C1883" s="2">
        <v>147.15</v>
      </c>
      <c r="D1883" s="2">
        <v>145.74</v>
      </c>
      <c r="E1883" s="2">
        <v>146.03</v>
      </c>
      <c r="F1883" s="2">
        <v>5491962</v>
      </c>
      <c r="G1883" s="2" t="s">
        <v>563</v>
      </c>
      <c r="H1883" s="2" t="s">
        <v>564</v>
      </c>
      <c r="I1883" s="2" t="s">
        <v>565</v>
      </c>
      <c r="J1883" s="4">
        <v>-0.28000000000000003</v>
      </c>
      <c r="K1883" s="2" t="s">
        <v>425</v>
      </c>
      <c r="L1883" s="2">
        <v>2024</v>
      </c>
      <c r="M1883" s="2" t="s">
        <v>158</v>
      </c>
      <c r="N1883" s="2" t="s">
        <v>23</v>
      </c>
      <c r="O1883">
        <f t="shared" si="58"/>
        <v>1.4099999999999966</v>
      </c>
      <c r="P1883">
        <f t="shared" si="59"/>
        <v>-18.024000000000008</v>
      </c>
    </row>
    <row r="1884" spans="1:16" x14ac:dyDescent="0.35">
      <c r="A1884" s="9" t="s">
        <v>427</v>
      </c>
      <c r="B1884" s="2">
        <v>146.19999999999999</v>
      </c>
      <c r="C1884" s="2">
        <v>146.65</v>
      </c>
      <c r="D1884" s="2">
        <v>144.74</v>
      </c>
      <c r="E1884" s="2">
        <v>145.69</v>
      </c>
      <c r="F1884" s="2">
        <v>3246157</v>
      </c>
      <c r="G1884" s="2" t="s">
        <v>563</v>
      </c>
      <c r="H1884" s="2" t="s">
        <v>564</v>
      </c>
      <c r="I1884" s="2" t="s">
        <v>565</v>
      </c>
      <c r="J1884" s="4">
        <v>-0.23300000000000001</v>
      </c>
      <c r="K1884" s="2" t="s">
        <v>425</v>
      </c>
      <c r="L1884" s="2">
        <v>2024</v>
      </c>
      <c r="M1884" s="2" t="s">
        <v>158</v>
      </c>
      <c r="N1884" s="2" t="s">
        <v>23</v>
      </c>
      <c r="O1884">
        <f t="shared" si="58"/>
        <v>1.9099999999999966</v>
      </c>
      <c r="P1884">
        <f t="shared" si="59"/>
        <v>-18.257000000000009</v>
      </c>
    </row>
    <row r="1885" spans="1:16" x14ac:dyDescent="0.35">
      <c r="A1885" s="9" t="s">
        <v>428</v>
      </c>
      <c r="B1885" s="2">
        <v>145.77000000000001</v>
      </c>
      <c r="C1885" s="2">
        <v>146.55000000000001</v>
      </c>
      <c r="D1885" s="2">
        <v>144.5</v>
      </c>
      <c r="E1885" s="2">
        <v>146.47999999999999</v>
      </c>
      <c r="F1885" s="2">
        <v>4888535</v>
      </c>
      <c r="G1885" s="2" t="s">
        <v>563</v>
      </c>
      <c r="H1885" s="2" t="s">
        <v>564</v>
      </c>
      <c r="I1885" s="2" t="s">
        <v>565</v>
      </c>
      <c r="J1885" s="3">
        <v>0.54200000000000004</v>
      </c>
      <c r="K1885" s="2" t="s">
        <v>425</v>
      </c>
      <c r="L1885" s="2">
        <v>2024</v>
      </c>
      <c r="M1885" s="2" t="s">
        <v>158</v>
      </c>
      <c r="N1885" s="2" t="s">
        <v>21</v>
      </c>
      <c r="O1885">
        <f t="shared" si="58"/>
        <v>2.0500000000000114</v>
      </c>
      <c r="P1885">
        <f t="shared" si="59"/>
        <v>-17.715000000000007</v>
      </c>
    </row>
    <row r="1886" spans="1:16" x14ac:dyDescent="0.35">
      <c r="A1886" s="9" t="s">
        <v>429</v>
      </c>
      <c r="B1886" s="2">
        <v>146.4</v>
      </c>
      <c r="C1886" s="2">
        <v>147.22</v>
      </c>
      <c r="D1886" s="2">
        <v>145.25</v>
      </c>
      <c r="E1886" s="2">
        <v>145.47999999999999</v>
      </c>
      <c r="F1886" s="2">
        <v>5260229</v>
      </c>
      <c r="G1886" s="2" t="s">
        <v>563</v>
      </c>
      <c r="H1886" s="2" t="s">
        <v>564</v>
      </c>
      <c r="I1886" s="2" t="s">
        <v>565</v>
      </c>
      <c r="J1886" s="4">
        <v>-0.68300000000000005</v>
      </c>
      <c r="K1886" s="2" t="s">
        <v>425</v>
      </c>
      <c r="L1886" s="2">
        <v>2024</v>
      </c>
      <c r="M1886" s="2" t="s">
        <v>158</v>
      </c>
      <c r="N1886" s="2" t="s">
        <v>23</v>
      </c>
      <c r="O1886">
        <f t="shared" si="58"/>
        <v>1.9699999999999989</v>
      </c>
      <c r="P1886">
        <f t="shared" si="59"/>
        <v>-18.398000000000007</v>
      </c>
    </row>
    <row r="1887" spans="1:16" x14ac:dyDescent="0.35">
      <c r="A1887" s="9" t="s">
        <v>430</v>
      </c>
      <c r="B1887" s="2">
        <v>145.66999999999999</v>
      </c>
      <c r="C1887" s="2">
        <v>147.13</v>
      </c>
      <c r="D1887" s="2">
        <v>145.18</v>
      </c>
      <c r="E1887" s="2">
        <v>147.05000000000001</v>
      </c>
      <c r="F1887" s="2">
        <v>5892187</v>
      </c>
      <c r="G1887" s="2" t="s">
        <v>563</v>
      </c>
      <c r="H1887" s="2" t="s">
        <v>564</v>
      </c>
      <c r="I1887" s="2" t="s">
        <v>565</v>
      </c>
      <c r="J1887" s="3">
        <v>1.079</v>
      </c>
      <c r="K1887" s="2" t="s">
        <v>425</v>
      </c>
      <c r="L1887" s="2">
        <v>2024</v>
      </c>
      <c r="M1887" s="2" t="s">
        <v>158</v>
      </c>
      <c r="N1887" s="2" t="s">
        <v>21</v>
      </c>
      <c r="O1887">
        <f t="shared" si="58"/>
        <v>1.9499999999999886</v>
      </c>
      <c r="P1887">
        <f t="shared" si="59"/>
        <v>-17.319000000000006</v>
      </c>
    </row>
    <row r="1888" spans="1:16" x14ac:dyDescent="0.35">
      <c r="A1888" s="9" t="s">
        <v>431</v>
      </c>
      <c r="B1888" s="2">
        <v>147.26</v>
      </c>
      <c r="C1888" s="2">
        <v>149.47</v>
      </c>
      <c r="D1888" s="2">
        <v>146.68</v>
      </c>
      <c r="E1888" s="2">
        <v>149.43</v>
      </c>
      <c r="F1888" s="2">
        <v>6093187</v>
      </c>
      <c r="G1888" s="2" t="s">
        <v>563</v>
      </c>
      <c r="H1888" s="2" t="s">
        <v>564</v>
      </c>
      <c r="I1888" s="2" t="s">
        <v>565</v>
      </c>
      <c r="J1888" s="3">
        <v>1.6180000000000001</v>
      </c>
      <c r="K1888" s="2" t="s">
        <v>425</v>
      </c>
      <c r="L1888" s="2">
        <v>2024</v>
      </c>
      <c r="M1888" s="2" t="s">
        <v>158</v>
      </c>
      <c r="N1888" s="2" t="s">
        <v>21</v>
      </c>
      <c r="O1888">
        <f t="shared" si="58"/>
        <v>2.789999999999992</v>
      </c>
      <c r="P1888">
        <f t="shared" si="59"/>
        <v>-15.701000000000006</v>
      </c>
    </row>
    <row r="1889" spans="1:16" x14ac:dyDescent="0.35">
      <c r="A1889" s="9" t="s">
        <v>432</v>
      </c>
      <c r="B1889" s="2">
        <v>149.58000000000001</v>
      </c>
      <c r="C1889" s="2">
        <v>150.58000000000001</v>
      </c>
      <c r="D1889" s="2">
        <v>148.63999999999999</v>
      </c>
      <c r="E1889" s="2">
        <v>149.69999999999999</v>
      </c>
      <c r="F1889" s="2">
        <v>6352109</v>
      </c>
      <c r="G1889" s="2" t="s">
        <v>563</v>
      </c>
      <c r="H1889" s="2" t="s">
        <v>564</v>
      </c>
      <c r="I1889" s="2" t="s">
        <v>565</v>
      </c>
      <c r="J1889" s="3">
        <v>0.18099999999999999</v>
      </c>
      <c r="K1889" s="2" t="s">
        <v>425</v>
      </c>
      <c r="L1889" s="2">
        <v>2024</v>
      </c>
      <c r="M1889" s="2" t="s">
        <v>158</v>
      </c>
      <c r="N1889" s="2" t="s">
        <v>21</v>
      </c>
      <c r="O1889">
        <f t="shared" si="58"/>
        <v>1.9400000000000261</v>
      </c>
      <c r="P1889">
        <f t="shared" si="59"/>
        <v>-15.520000000000007</v>
      </c>
    </row>
    <row r="1890" spans="1:16" x14ac:dyDescent="0.35">
      <c r="A1890" s="9" t="s">
        <v>433</v>
      </c>
      <c r="B1890" s="2">
        <v>150</v>
      </c>
      <c r="C1890" s="2">
        <v>150.88</v>
      </c>
      <c r="D1890" s="2">
        <v>149.24</v>
      </c>
      <c r="E1890" s="2">
        <v>149.88</v>
      </c>
      <c r="F1890" s="2">
        <v>5336394</v>
      </c>
      <c r="G1890" s="2" t="s">
        <v>563</v>
      </c>
      <c r="H1890" s="2" t="s">
        <v>564</v>
      </c>
      <c r="I1890" s="2" t="s">
        <v>565</v>
      </c>
      <c r="J1890" s="3">
        <v>0.12</v>
      </c>
      <c r="K1890" s="2" t="s">
        <v>425</v>
      </c>
      <c r="L1890" s="2">
        <v>2024</v>
      </c>
      <c r="M1890" s="2" t="s">
        <v>158</v>
      </c>
      <c r="N1890" s="2" t="s">
        <v>21</v>
      </c>
      <c r="O1890">
        <f t="shared" si="58"/>
        <v>1.6399999999999864</v>
      </c>
      <c r="P1890">
        <f t="shared" si="59"/>
        <v>-15.400000000000007</v>
      </c>
    </row>
    <row r="1891" spans="1:16" x14ac:dyDescent="0.35">
      <c r="A1891" s="9" t="s">
        <v>434</v>
      </c>
      <c r="B1891" s="2">
        <v>150.08000000000001</v>
      </c>
      <c r="C1891" s="2">
        <v>150.25</v>
      </c>
      <c r="D1891" s="2">
        <v>148.87</v>
      </c>
      <c r="E1891" s="2">
        <v>149.24</v>
      </c>
      <c r="F1891" s="2">
        <v>6711354</v>
      </c>
      <c r="G1891" s="2" t="s">
        <v>563</v>
      </c>
      <c r="H1891" s="2" t="s">
        <v>564</v>
      </c>
      <c r="I1891" s="2" t="s">
        <v>565</v>
      </c>
      <c r="J1891" s="4">
        <v>-0.42699999999999999</v>
      </c>
      <c r="K1891" s="2" t="s">
        <v>425</v>
      </c>
      <c r="L1891" s="2">
        <v>2024</v>
      </c>
      <c r="M1891" s="2" t="s">
        <v>158</v>
      </c>
      <c r="N1891" s="2" t="s">
        <v>23</v>
      </c>
      <c r="O1891">
        <f t="shared" si="58"/>
        <v>1.3799999999999955</v>
      </c>
      <c r="P1891">
        <f t="shared" si="59"/>
        <v>-15.827000000000007</v>
      </c>
    </row>
    <row r="1892" spans="1:16" x14ac:dyDescent="0.35">
      <c r="A1892" s="9" t="s">
        <v>435</v>
      </c>
      <c r="B1892" s="2">
        <v>149.69</v>
      </c>
      <c r="C1892" s="2">
        <v>151.08000000000001</v>
      </c>
      <c r="D1892" s="2">
        <v>149.16</v>
      </c>
      <c r="E1892" s="2">
        <v>151.01</v>
      </c>
      <c r="F1892" s="2">
        <v>6469582</v>
      </c>
      <c r="G1892" s="2" t="s">
        <v>563</v>
      </c>
      <c r="H1892" s="2" t="s">
        <v>564</v>
      </c>
      <c r="I1892" s="2" t="s">
        <v>565</v>
      </c>
      <c r="J1892" s="3">
        <v>1.1859999999999999</v>
      </c>
      <c r="K1892" s="2" t="s">
        <v>425</v>
      </c>
      <c r="L1892" s="2">
        <v>2024</v>
      </c>
      <c r="M1892" s="2" t="s">
        <v>158</v>
      </c>
      <c r="N1892" s="2" t="s">
        <v>21</v>
      </c>
      <c r="O1892">
        <f t="shared" si="58"/>
        <v>1.9200000000000159</v>
      </c>
      <c r="P1892">
        <f t="shared" si="59"/>
        <v>-14.641000000000007</v>
      </c>
    </row>
    <row r="1893" spans="1:16" x14ac:dyDescent="0.35">
      <c r="A1893" s="9" t="s">
        <v>436</v>
      </c>
      <c r="B1893" s="2">
        <v>151.55000000000001</v>
      </c>
      <c r="C1893" s="2">
        <v>157.49</v>
      </c>
      <c r="D1893" s="2">
        <v>151.41499999999999</v>
      </c>
      <c r="E1893" s="2">
        <v>156.58000000000001</v>
      </c>
      <c r="F1893" s="2">
        <v>13801429</v>
      </c>
      <c r="G1893" s="2" t="s">
        <v>563</v>
      </c>
      <c r="H1893" s="2" t="s">
        <v>564</v>
      </c>
      <c r="I1893" s="2" t="s">
        <v>565</v>
      </c>
      <c r="J1893" s="3">
        <v>3.6880000000000002</v>
      </c>
      <c r="K1893" s="2" t="s">
        <v>425</v>
      </c>
      <c r="L1893" s="2">
        <v>2024</v>
      </c>
      <c r="M1893" s="2" t="s">
        <v>158</v>
      </c>
      <c r="N1893" s="2" t="s">
        <v>21</v>
      </c>
      <c r="O1893">
        <f t="shared" si="58"/>
        <v>6.0750000000000171</v>
      </c>
      <c r="P1893">
        <f t="shared" si="59"/>
        <v>-10.953000000000007</v>
      </c>
    </row>
    <row r="1894" spans="1:16" x14ac:dyDescent="0.35">
      <c r="A1894" s="9" t="s">
        <v>437</v>
      </c>
      <c r="B1894" s="2">
        <v>155.6</v>
      </c>
      <c r="C1894" s="2">
        <v>157.07</v>
      </c>
      <c r="D1894" s="2">
        <v>154.62</v>
      </c>
      <c r="E1894" s="2">
        <v>155.41999999999999</v>
      </c>
      <c r="F1894" s="2">
        <v>10166247</v>
      </c>
      <c r="G1894" s="2" t="s">
        <v>563</v>
      </c>
      <c r="H1894" s="2" t="s">
        <v>564</v>
      </c>
      <c r="I1894" s="2" t="s">
        <v>565</v>
      </c>
      <c r="J1894" s="4">
        <v>-0.74099999999999999</v>
      </c>
      <c r="K1894" s="2" t="s">
        <v>425</v>
      </c>
      <c r="L1894" s="2">
        <v>2024</v>
      </c>
      <c r="M1894" s="2" t="s">
        <v>158</v>
      </c>
      <c r="N1894" s="2" t="s">
        <v>23</v>
      </c>
      <c r="O1894">
        <f t="shared" si="58"/>
        <v>2.4499999999999886</v>
      </c>
      <c r="P1894">
        <f t="shared" si="59"/>
        <v>-11.694000000000006</v>
      </c>
    </row>
    <row r="1895" spans="1:16" x14ac:dyDescent="0.35">
      <c r="A1895" s="9" t="s">
        <v>438</v>
      </c>
      <c r="B1895" s="2">
        <v>156.51</v>
      </c>
      <c r="C1895" s="2">
        <v>156.51</v>
      </c>
      <c r="D1895" s="2">
        <v>154.12</v>
      </c>
      <c r="E1895" s="2">
        <v>154.69</v>
      </c>
      <c r="F1895" s="2">
        <v>7398036</v>
      </c>
      <c r="G1895" s="2" t="s">
        <v>563</v>
      </c>
      <c r="H1895" s="2" t="s">
        <v>564</v>
      </c>
      <c r="I1895" s="2" t="s">
        <v>565</v>
      </c>
      <c r="J1895" s="4">
        <v>-0.47</v>
      </c>
      <c r="K1895" s="2" t="s">
        <v>425</v>
      </c>
      <c r="L1895" s="2">
        <v>2024</v>
      </c>
      <c r="M1895" s="2" t="s">
        <v>158</v>
      </c>
      <c r="N1895" s="2" t="s">
        <v>23</v>
      </c>
      <c r="O1895">
        <f t="shared" si="58"/>
        <v>2.3899999999999864</v>
      </c>
      <c r="P1895">
        <f t="shared" si="59"/>
        <v>-12.164000000000007</v>
      </c>
    </row>
    <row r="1896" spans="1:16" x14ac:dyDescent="0.35">
      <c r="A1896" s="9" t="s">
        <v>439</v>
      </c>
      <c r="B1896" s="2">
        <v>154.77000000000001</v>
      </c>
      <c r="C1896" s="2">
        <v>155.11000000000001</v>
      </c>
      <c r="D1896" s="2">
        <v>153.59</v>
      </c>
      <c r="E1896" s="2">
        <v>154.24</v>
      </c>
      <c r="F1896" s="2">
        <v>6840609</v>
      </c>
      <c r="G1896" s="2" t="s">
        <v>563</v>
      </c>
      <c r="H1896" s="2" t="s">
        <v>564</v>
      </c>
      <c r="I1896" s="2" t="s">
        <v>565</v>
      </c>
      <c r="J1896" s="4">
        <v>-0.29099999999999998</v>
      </c>
      <c r="K1896" s="2" t="s">
        <v>425</v>
      </c>
      <c r="L1896" s="2">
        <v>2024</v>
      </c>
      <c r="M1896" s="2" t="s">
        <v>158</v>
      </c>
      <c r="N1896" s="2" t="s">
        <v>23</v>
      </c>
      <c r="O1896">
        <f t="shared" si="58"/>
        <v>1.5200000000000102</v>
      </c>
      <c r="P1896">
        <f t="shared" si="59"/>
        <v>-12.455000000000007</v>
      </c>
    </row>
    <row r="1897" spans="1:16" x14ac:dyDescent="0.35">
      <c r="A1897" s="9" t="s">
        <v>440</v>
      </c>
      <c r="B1897" s="2">
        <v>153.31</v>
      </c>
      <c r="C1897" s="2">
        <v>153.5</v>
      </c>
      <c r="D1897" s="2">
        <v>151.57</v>
      </c>
      <c r="E1897" s="2">
        <v>152.35</v>
      </c>
      <c r="F1897" s="2">
        <v>6261870</v>
      </c>
      <c r="G1897" s="2" t="s">
        <v>563</v>
      </c>
      <c r="H1897" s="2" t="s">
        <v>564</v>
      </c>
      <c r="I1897" s="2" t="s">
        <v>565</v>
      </c>
      <c r="J1897" s="4">
        <v>-1.2250000000000001</v>
      </c>
      <c r="K1897" s="2" t="s">
        <v>425</v>
      </c>
      <c r="L1897" s="2">
        <v>2024</v>
      </c>
      <c r="M1897" s="2" t="s">
        <v>158</v>
      </c>
      <c r="N1897" s="2" t="s">
        <v>23</v>
      </c>
      <c r="O1897">
        <f t="shared" si="58"/>
        <v>1.9300000000000068</v>
      </c>
      <c r="P1897">
        <f t="shared" si="59"/>
        <v>-13.680000000000007</v>
      </c>
    </row>
    <row r="1898" spans="1:16" x14ac:dyDescent="0.35">
      <c r="A1898" s="9" t="s">
        <v>441</v>
      </c>
      <c r="B1898" s="2">
        <v>152.76</v>
      </c>
      <c r="C1898" s="2">
        <v>156.41</v>
      </c>
      <c r="D1898" s="2">
        <v>152.33000000000001</v>
      </c>
      <c r="E1898" s="2">
        <v>156.28</v>
      </c>
      <c r="F1898" s="2">
        <v>7168217</v>
      </c>
      <c r="G1898" s="2" t="s">
        <v>563</v>
      </c>
      <c r="H1898" s="2" t="s">
        <v>564</v>
      </c>
      <c r="I1898" s="2" t="s">
        <v>565</v>
      </c>
      <c r="J1898" s="3">
        <v>2.58</v>
      </c>
      <c r="K1898" s="2" t="s">
        <v>425</v>
      </c>
      <c r="L1898" s="2">
        <v>2024</v>
      </c>
      <c r="M1898" s="2" t="s">
        <v>158</v>
      </c>
      <c r="N1898" s="2" t="s">
        <v>21</v>
      </c>
      <c r="O1898">
        <f t="shared" si="58"/>
        <v>4.0799999999999841</v>
      </c>
      <c r="P1898">
        <f t="shared" si="59"/>
        <v>-11.100000000000007</v>
      </c>
    </row>
    <row r="1899" spans="1:16" x14ac:dyDescent="0.35">
      <c r="A1899" s="9" t="s">
        <v>442</v>
      </c>
      <c r="B1899" s="2">
        <v>156.47999999999999</v>
      </c>
      <c r="C1899" s="2">
        <v>160.58000000000001</v>
      </c>
      <c r="D1899" s="2">
        <v>156</v>
      </c>
      <c r="E1899" s="2">
        <v>159.63999999999999</v>
      </c>
      <c r="F1899" s="2">
        <v>10019578</v>
      </c>
      <c r="G1899" s="2" t="s">
        <v>563</v>
      </c>
      <c r="H1899" s="2" t="s">
        <v>564</v>
      </c>
      <c r="I1899" s="2" t="s">
        <v>565</v>
      </c>
      <c r="J1899" s="3">
        <v>2.15</v>
      </c>
      <c r="K1899" s="2" t="s">
        <v>425</v>
      </c>
      <c r="L1899" s="2">
        <v>2024</v>
      </c>
      <c r="M1899" s="2" t="s">
        <v>158</v>
      </c>
      <c r="N1899" s="2" t="s">
        <v>21</v>
      </c>
      <c r="O1899">
        <f t="shared" si="58"/>
        <v>4.5800000000000125</v>
      </c>
      <c r="P1899">
        <f t="shared" si="59"/>
        <v>-8.9500000000000064</v>
      </c>
    </row>
    <row r="1900" spans="1:16" x14ac:dyDescent="0.35">
      <c r="A1900" s="9" t="s">
        <v>443</v>
      </c>
      <c r="B1900" s="2">
        <v>159.75</v>
      </c>
      <c r="C1900" s="2">
        <v>161.58000000000001</v>
      </c>
      <c r="D1900" s="2">
        <v>159.47200000000001</v>
      </c>
      <c r="E1900" s="2">
        <v>160.63999999999999</v>
      </c>
      <c r="F1900" s="2">
        <v>8356878</v>
      </c>
      <c r="G1900" s="2" t="s">
        <v>563</v>
      </c>
      <c r="H1900" s="2" t="s">
        <v>564</v>
      </c>
      <c r="I1900" s="2" t="s">
        <v>565</v>
      </c>
      <c r="J1900" s="3">
        <v>0.626</v>
      </c>
      <c r="K1900" s="2" t="s">
        <v>425</v>
      </c>
      <c r="L1900" s="2">
        <v>2024</v>
      </c>
      <c r="M1900" s="2" t="s">
        <v>158</v>
      </c>
      <c r="N1900" s="2" t="s">
        <v>21</v>
      </c>
      <c r="O1900">
        <f t="shared" si="58"/>
        <v>2.1080000000000041</v>
      </c>
      <c r="P1900">
        <f t="shared" si="59"/>
        <v>-8.3240000000000069</v>
      </c>
    </row>
    <row r="1901" spans="1:16" x14ac:dyDescent="0.35">
      <c r="A1901" s="9" t="s">
        <v>444</v>
      </c>
      <c r="B1901" s="2">
        <v>159.97</v>
      </c>
      <c r="C1901" s="2">
        <v>160</v>
      </c>
      <c r="D1901" s="2">
        <v>158.05000000000001</v>
      </c>
      <c r="E1901" s="2">
        <v>158.56</v>
      </c>
      <c r="F1901" s="2">
        <v>5625204</v>
      </c>
      <c r="G1901" s="2" t="s">
        <v>563</v>
      </c>
      <c r="H1901" s="2" t="s">
        <v>564</v>
      </c>
      <c r="I1901" s="2" t="s">
        <v>565</v>
      </c>
      <c r="J1901" s="4">
        <v>-1.2949999999999999</v>
      </c>
      <c r="K1901" s="2" t="s">
        <v>425</v>
      </c>
      <c r="L1901" s="2">
        <v>2024</v>
      </c>
      <c r="M1901" s="2" t="s">
        <v>158</v>
      </c>
      <c r="N1901" s="2" t="s">
        <v>23</v>
      </c>
      <c r="O1901">
        <f t="shared" si="58"/>
        <v>1.9499999999999886</v>
      </c>
      <c r="P1901">
        <f t="shared" si="59"/>
        <v>-9.6190000000000069</v>
      </c>
    </row>
    <row r="1902" spans="1:16" x14ac:dyDescent="0.35">
      <c r="A1902" s="9" t="s">
        <v>445</v>
      </c>
      <c r="B1902" s="2">
        <v>158.54</v>
      </c>
      <c r="C1902" s="2">
        <v>161.55000000000001</v>
      </c>
      <c r="D1902" s="2">
        <v>158.36000000000001</v>
      </c>
      <c r="E1902" s="2">
        <v>161.33000000000001</v>
      </c>
      <c r="F1902" s="2">
        <v>6545677</v>
      </c>
      <c r="G1902" s="2" t="s">
        <v>563</v>
      </c>
      <c r="H1902" s="2" t="s">
        <v>564</v>
      </c>
      <c r="I1902" s="2" t="s">
        <v>565</v>
      </c>
      <c r="J1902" s="3">
        <v>1.7470000000000001</v>
      </c>
      <c r="K1902" s="2" t="s">
        <v>425</v>
      </c>
      <c r="L1902" s="2">
        <v>2024</v>
      </c>
      <c r="M1902" s="2" t="s">
        <v>158</v>
      </c>
      <c r="N1902" s="2" t="s">
        <v>21</v>
      </c>
      <c r="O1902">
        <f t="shared" si="58"/>
        <v>3.1899999999999977</v>
      </c>
      <c r="P1902">
        <f t="shared" si="59"/>
        <v>-7.872000000000007</v>
      </c>
    </row>
    <row r="1903" spans="1:16" x14ac:dyDescent="0.35">
      <c r="A1903" s="9" t="s">
        <v>446</v>
      </c>
      <c r="B1903" s="2">
        <v>159.85</v>
      </c>
      <c r="C1903" s="2">
        <v>160.35</v>
      </c>
      <c r="D1903" s="2">
        <v>157.74</v>
      </c>
      <c r="E1903" s="2">
        <v>157.85</v>
      </c>
      <c r="F1903" s="2">
        <v>8293239</v>
      </c>
      <c r="G1903" s="2" t="s">
        <v>563</v>
      </c>
      <c r="H1903" s="2" t="s">
        <v>564</v>
      </c>
      <c r="I1903" s="2" t="s">
        <v>565</v>
      </c>
      <c r="J1903" s="4">
        <v>-2.157</v>
      </c>
      <c r="K1903" s="2" t="s">
        <v>425</v>
      </c>
      <c r="L1903" s="2">
        <v>2024</v>
      </c>
      <c r="M1903" s="2" t="s">
        <v>158</v>
      </c>
      <c r="N1903" s="2" t="s">
        <v>23</v>
      </c>
      <c r="O1903">
        <f t="shared" si="58"/>
        <v>2.6099999999999852</v>
      </c>
      <c r="P1903">
        <f t="shared" si="59"/>
        <v>-10.029000000000007</v>
      </c>
    </row>
    <row r="1904" spans="1:16" x14ac:dyDescent="0.35">
      <c r="A1904" s="9" t="s">
        <v>447</v>
      </c>
      <c r="B1904" s="2">
        <v>158.47999999999999</v>
      </c>
      <c r="C1904" s="2">
        <v>160.81</v>
      </c>
      <c r="D1904" s="2">
        <v>157.71</v>
      </c>
      <c r="E1904" s="2">
        <v>160.76</v>
      </c>
      <c r="F1904" s="2">
        <v>7213419</v>
      </c>
      <c r="G1904" s="2" t="s">
        <v>563</v>
      </c>
      <c r="H1904" s="2" t="s">
        <v>564</v>
      </c>
      <c r="I1904" s="2" t="s">
        <v>565</v>
      </c>
      <c r="J1904" s="3">
        <v>1.8440000000000001</v>
      </c>
      <c r="K1904" s="2" t="s">
        <v>448</v>
      </c>
      <c r="L1904" s="2">
        <v>2024</v>
      </c>
      <c r="M1904" s="2" t="s">
        <v>180</v>
      </c>
      <c r="N1904" s="2" t="s">
        <v>21</v>
      </c>
      <c r="O1904">
        <f t="shared" si="58"/>
        <v>3.0999999999999943</v>
      </c>
      <c r="P1904">
        <f t="shared" si="59"/>
        <v>-8.1850000000000076</v>
      </c>
    </row>
    <row r="1905" spans="1:16" x14ac:dyDescent="0.35">
      <c r="A1905" s="9" t="s">
        <v>449</v>
      </c>
      <c r="B1905" s="2">
        <v>161.9</v>
      </c>
      <c r="C1905" s="2">
        <v>164.85</v>
      </c>
      <c r="D1905" s="2">
        <v>161</v>
      </c>
      <c r="E1905" s="2">
        <v>164.14</v>
      </c>
      <c r="F1905" s="2">
        <v>11280357</v>
      </c>
      <c r="G1905" s="2" t="s">
        <v>563</v>
      </c>
      <c r="H1905" s="2" t="s">
        <v>564</v>
      </c>
      <c r="I1905" s="2" t="s">
        <v>565</v>
      </c>
      <c r="J1905" s="3">
        <v>2.1030000000000002</v>
      </c>
      <c r="K1905" s="2" t="s">
        <v>448</v>
      </c>
      <c r="L1905" s="2">
        <v>2024</v>
      </c>
      <c r="M1905" s="2" t="s">
        <v>180</v>
      </c>
      <c r="N1905" s="2" t="s">
        <v>21</v>
      </c>
      <c r="O1905">
        <f t="shared" si="58"/>
        <v>3.8499999999999943</v>
      </c>
      <c r="P1905">
        <f t="shared" si="59"/>
        <v>-6.0820000000000078</v>
      </c>
    </row>
    <row r="1906" spans="1:16" x14ac:dyDescent="0.35">
      <c r="A1906" s="9" t="s">
        <v>450</v>
      </c>
      <c r="B1906" s="2">
        <v>163.79499999999999</v>
      </c>
      <c r="C1906" s="2">
        <v>165.78</v>
      </c>
      <c r="D1906" s="2">
        <v>160.58000000000001</v>
      </c>
      <c r="E1906" s="2">
        <v>161.25</v>
      </c>
      <c r="F1906" s="2">
        <v>12032209</v>
      </c>
      <c r="G1906" s="2" t="s">
        <v>563</v>
      </c>
      <c r="H1906" s="2" t="s">
        <v>564</v>
      </c>
      <c r="I1906" s="2" t="s">
        <v>565</v>
      </c>
      <c r="J1906" s="4">
        <v>-1.7609999999999999</v>
      </c>
      <c r="K1906" s="2" t="s">
        <v>448</v>
      </c>
      <c r="L1906" s="2">
        <v>2024</v>
      </c>
      <c r="M1906" s="2" t="s">
        <v>180</v>
      </c>
      <c r="N1906" s="2" t="s">
        <v>23</v>
      </c>
      <c r="O1906">
        <f t="shared" si="58"/>
        <v>5.1999999999999886</v>
      </c>
      <c r="P1906">
        <f t="shared" si="59"/>
        <v>-7.843000000000008</v>
      </c>
    </row>
    <row r="1907" spans="1:16" x14ac:dyDescent="0.35">
      <c r="A1907" s="9" t="s">
        <v>451</v>
      </c>
      <c r="B1907" s="2">
        <v>161.05000000000001</v>
      </c>
      <c r="C1907" s="2">
        <v>161.47999999999999</v>
      </c>
      <c r="D1907" s="2">
        <v>158.94</v>
      </c>
      <c r="E1907" s="2">
        <v>158.97</v>
      </c>
      <c r="F1907" s="2">
        <v>7607144</v>
      </c>
      <c r="G1907" s="2" t="s">
        <v>563</v>
      </c>
      <c r="H1907" s="2" t="s">
        <v>564</v>
      </c>
      <c r="I1907" s="2" t="s">
        <v>565</v>
      </c>
      <c r="J1907" s="4">
        <v>-1.4139999999999999</v>
      </c>
      <c r="K1907" s="2" t="s">
        <v>448</v>
      </c>
      <c r="L1907" s="2">
        <v>2024</v>
      </c>
      <c r="M1907" s="2" t="s">
        <v>180</v>
      </c>
      <c r="N1907" s="2" t="s">
        <v>23</v>
      </c>
      <c r="O1907">
        <f t="shared" si="58"/>
        <v>2.539999999999992</v>
      </c>
      <c r="P1907">
        <f t="shared" si="59"/>
        <v>-9.2570000000000086</v>
      </c>
    </row>
    <row r="1908" spans="1:16" x14ac:dyDescent="0.35">
      <c r="A1908" s="9" t="s">
        <v>452</v>
      </c>
      <c r="B1908" s="2">
        <v>158.87</v>
      </c>
      <c r="C1908" s="2">
        <v>160.61500000000001</v>
      </c>
      <c r="D1908" s="2">
        <v>158.19</v>
      </c>
      <c r="E1908" s="2">
        <v>158.9</v>
      </c>
      <c r="F1908" s="2">
        <v>5993028</v>
      </c>
      <c r="G1908" s="2" t="s">
        <v>563</v>
      </c>
      <c r="H1908" s="2" t="s">
        <v>564</v>
      </c>
      <c r="I1908" s="2" t="s">
        <v>565</v>
      </c>
      <c r="J1908" s="4">
        <v>-4.3999999999999997E-2</v>
      </c>
      <c r="K1908" s="2" t="s">
        <v>448</v>
      </c>
      <c r="L1908" s="2">
        <v>2024</v>
      </c>
      <c r="M1908" s="2" t="s">
        <v>180</v>
      </c>
      <c r="N1908" s="2" t="s">
        <v>23</v>
      </c>
      <c r="O1908">
        <f t="shared" si="58"/>
        <v>2.4250000000000114</v>
      </c>
      <c r="P1908">
        <f t="shared" si="59"/>
        <v>-9.301000000000009</v>
      </c>
    </row>
    <row r="1909" spans="1:16" x14ac:dyDescent="0.35">
      <c r="A1909" s="9" t="s">
        <v>453</v>
      </c>
      <c r="B1909" s="2">
        <v>158.57</v>
      </c>
      <c r="C1909" s="2">
        <v>160.69999999999999</v>
      </c>
      <c r="D1909" s="2">
        <v>158.03</v>
      </c>
      <c r="E1909" s="2">
        <v>160.22</v>
      </c>
      <c r="F1909" s="2">
        <v>5094830</v>
      </c>
      <c r="G1909" s="2" t="s">
        <v>563</v>
      </c>
      <c r="H1909" s="2" t="s">
        <v>564</v>
      </c>
      <c r="I1909" s="2" t="s">
        <v>565</v>
      </c>
      <c r="J1909" s="3">
        <v>0.83099999999999996</v>
      </c>
      <c r="K1909" s="2" t="s">
        <v>448</v>
      </c>
      <c r="L1909" s="2">
        <v>2024</v>
      </c>
      <c r="M1909" s="2" t="s">
        <v>180</v>
      </c>
      <c r="N1909" s="2" t="s">
        <v>21</v>
      </c>
      <c r="O1909">
        <f t="shared" si="58"/>
        <v>2.6699999999999875</v>
      </c>
      <c r="P1909">
        <f t="shared" si="59"/>
        <v>-8.4700000000000095</v>
      </c>
    </row>
    <row r="1910" spans="1:16" x14ac:dyDescent="0.35">
      <c r="A1910" s="9" t="s">
        <v>454</v>
      </c>
      <c r="B1910" s="2">
        <v>160.12</v>
      </c>
      <c r="C1910" s="2">
        <v>160.93</v>
      </c>
      <c r="D1910" s="2">
        <v>159.34</v>
      </c>
      <c r="E1910" s="2">
        <v>160.62</v>
      </c>
      <c r="F1910" s="2">
        <v>4579186</v>
      </c>
      <c r="G1910" s="2" t="s">
        <v>563</v>
      </c>
      <c r="H1910" s="2" t="s">
        <v>564</v>
      </c>
      <c r="I1910" s="2" t="s">
        <v>565</v>
      </c>
      <c r="J1910" s="3">
        <v>0.25</v>
      </c>
      <c r="K1910" s="2" t="s">
        <v>448</v>
      </c>
      <c r="L1910" s="2">
        <v>2024</v>
      </c>
      <c r="M1910" s="2" t="s">
        <v>180</v>
      </c>
      <c r="N1910" s="2" t="s">
        <v>21</v>
      </c>
      <c r="O1910">
        <f t="shared" si="58"/>
        <v>1.5900000000000034</v>
      </c>
      <c r="P1910">
        <f t="shared" si="59"/>
        <v>-8.2200000000000095</v>
      </c>
    </row>
    <row r="1911" spans="1:16" x14ac:dyDescent="0.35">
      <c r="A1911" s="9" t="s">
        <v>455</v>
      </c>
      <c r="B1911" s="2">
        <v>160.97</v>
      </c>
      <c r="C1911" s="2">
        <v>161.69999999999999</v>
      </c>
      <c r="D1911" s="2">
        <v>158.71</v>
      </c>
      <c r="E1911" s="2">
        <v>159.88</v>
      </c>
      <c r="F1911" s="2">
        <v>7605419</v>
      </c>
      <c r="G1911" s="2" t="s">
        <v>563</v>
      </c>
      <c r="H1911" s="2" t="s">
        <v>564</v>
      </c>
      <c r="I1911" s="2" t="s">
        <v>565</v>
      </c>
      <c r="J1911" s="4">
        <v>-0.46100000000000002</v>
      </c>
      <c r="K1911" s="2" t="s">
        <v>448</v>
      </c>
      <c r="L1911" s="2">
        <v>2024</v>
      </c>
      <c r="M1911" s="2" t="s">
        <v>180</v>
      </c>
      <c r="N1911" s="2" t="s">
        <v>23</v>
      </c>
      <c r="O1911">
        <f t="shared" si="58"/>
        <v>2.9899999999999807</v>
      </c>
      <c r="P1911">
        <f t="shared" si="59"/>
        <v>-8.6810000000000098</v>
      </c>
    </row>
    <row r="1912" spans="1:16" x14ac:dyDescent="0.35">
      <c r="A1912" s="9" t="s">
        <v>456</v>
      </c>
      <c r="B1912" s="2">
        <v>160.27000000000001</v>
      </c>
      <c r="C1912" s="2">
        <v>160.37</v>
      </c>
      <c r="D1912" s="2">
        <v>156.44</v>
      </c>
      <c r="E1912" s="2">
        <v>158.38999999999999</v>
      </c>
      <c r="F1912" s="2">
        <v>9711395</v>
      </c>
      <c r="G1912" s="2" t="s">
        <v>563</v>
      </c>
      <c r="H1912" s="2" t="s">
        <v>564</v>
      </c>
      <c r="I1912" s="2" t="s">
        <v>565</v>
      </c>
      <c r="J1912" s="4">
        <v>-0.93200000000000005</v>
      </c>
      <c r="K1912" s="2" t="s">
        <v>448</v>
      </c>
      <c r="L1912" s="2">
        <v>2024</v>
      </c>
      <c r="M1912" s="2" t="s">
        <v>180</v>
      </c>
      <c r="N1912" s="2" t="s">
        <v>23</v>
      </c>
      <c r="O1912">
        <f t="shared" si="58"/>
        <v>3.9300000000000068</v>
      </c>
      <c r="P1912">
        <f t="shared" si="59"/>
        <v>-9.6130000000000102</v>
      </c>
    </row>
    <row r="1913" spans="1:16" x14ac:dyDescent="0.35">
      <c r="A1913" s="9" t="s">
        <v>457</v>
      </c>
      <c r="B1913" s="2">
        <v>157.83000000000001</v>
      </c>
      <c r="C1913" s="2">
        <v>159.55000000000001</v>
      </c>
      <c r="D1913" s="2">
        <v>157.4</v>
      </c>
      <c r="E1913" s="2">
        <v>158.47999999999999</v>
      </c>
      <c r="F1913" s="2">
        <v>5141249</v>
      </c>
      <c r="G1913" s="2" t="s">
        <v>563</v>
      </c>
      <c r="H1913" s="2" t="s">
        <v>564</v>
      </c>
      <c r="I1913" s="2" t="s">
        <v>565</v>
      </c>
      <c r="J1913" s="3">
        <v>5.7000000000000002E-2</v>
      </c>
      <c r="K1913" s="2" t="s">
        <v>448</v>
      </c>
      <c r="L1913" s="2">
        <v>2024</v>
      </c>
      <c r="M1913" s="2" t="s">
        <v>180</v>
      </c>
      <c r="N1913" s="2" t="s">
        <v>21</v>
      </c>
      <c r="O1913">
        <f t="shared" si="58"/>
        <v>2.1500000000000057</v>
      </c>
      <c r="P1913">
        <f t="shared" si="59"/>
        <v>-9.5560000000000098</v>
      </c>
    </row>
    <row r="1914" spans="1:16" x14ac:dyDescent="0.35">
      <c r="A1914" s="9" t="s">
        <v>458</v>
      </c>
      <c r="B1914" s="2">
        <v>158.37</v>
      </c>
      <c r="C1914" s="2">
        <v>159.495</v>
      </c>
      <c r="D1914" s="2">
        <v>157.84</v>
      </c>
      <c r="E1914" s="2">
        <v>159.09</v>
      </c>
      <c r="F1914" s="2">
        <v>7237785</v>
      </c>
      <c r="G1914" s="2" t="s">
        <v>563</v>
      </c>
      <c r="H1914" s="2" t="s">
        <v>564</v>
      </c>
      <c r="I1914" s="2" t="s">
        <v>565</v>
      </c>
      <c r="J1914" s="3">
        <v>0.38500000000000001</v>
      </c>
      <c r="K1914" s="2" t="s">
        <v>448</v>
      </c>
      <c r="L1914" s="2">
        <v>2024</v>
      </c>
      <c r="M1914" s="2" t="s">
        <v>180</v>
      </c>
      <c r="N1914" s="2" t="s">
        <v>21</v>
      </c>
      <c r="O1914">
        <f t="shared" si="58"/>
        <v>1.6550000000000011</v>
      </c>
      <c r="P1914">
        <f t="shared" si="59"/>
        <v>-9.17100000000001</v>
      </c>
    </row>
    <row r="1915" spans="1:16" x14ac:dyDescent="0.35">
      <c r="A1915" s="9" t="s">
        <v>459</v>
      </c>
      <c r="B1915" s="2">
        <v>159.13999999999999</v>
      </c>
      <c r="C1915" s="2">
        <v>159.94</v>
      </c>
      <c r="D1915" s="2">
        <v>158.18</v>
      </c>
      <c r="E1915" s="2">
        <v>159.38999999999999</v>
      </c>
      <c r="F1915" s="2">
        <v>5012774</v>
      </c>
      <c r="G1915" s="2" t="s">
        <v>563</v>
      </c>
      <c r="H1915" s="2" t="s">
        <v>564</v>
      </c>
      <c r="I1915" s="2" t="s">
        <v>565</v>
      </c>
      <c r="J1915" s="3">
        <v>0.189</v>
      </c>
      <c r="K1915" s="2" t="s">
        <v>448</v>
      </c>
      <c r="L1915" s="2">
        <v>2024</v>
      </c>
      <c r="M1915" s="2" t="s">
        <v>180</v>
      </c>
      <c r="N1915" s="2" t="s">
        <v>21</v>
      </c>
      <c r="O1915">
        <f t="shared" si="58"/>
        <v>1.7599999999999909</v>
      </c>
      <c r="P1915">
        <f t="shared" si="59"/>
        <v>-8.98200000000001</v>
      </c>
    </row>
    <row r="1916" spans="1:16" x14ac:dyDescent="0.35">
      <c r="A1916" s="9" t="s">
        <v>460</v>
      </c>
      <c r="B1916" s="2">
        <v>159.46</v>
      </c>
      <c r="C1916" s="2">
        <v>160.29499999999999</v>
      </c>
      <c r="D1916" s="2">
        <v>159.13</v>
      </c>
      <c r="E1916" s="2">
        <v>159.63</v>
      </c>
      <c r="F1916" s="2">
        <v>4408517</v>
      </c>
      <c r="G1916" s="2" t="s">
        <v>563</v>
      </c>
      <c r="H1916" s="2" t="s">
        <v>564</v>
      </c>
      <c r="I1916" s="2" t="s">
        <v>565</v>
      </c>
      <c r="J1916" s="3">
        <v>0.151</v>
      </c>
      <c r="K1916" s="2" t="s">
        <v>448</v>
      </c>
      <c r="L1916" s="2">
        <v>2024</v>
      </c>
      <c r="M1916" s="2" t="s">
        <v>180</v>
      </c>
      <c r="N1916" s="2" t="s">
        <v>21</v>
      </c>
      <c r="O1916">
        <f t="shared" si="58"/>
        <v>1.164999999999992</v>
      </c>
      <c r="P1916">
        <f t="shared" si="59"/>
        <v>-8.8310000000000102</v>
      </c>
    </row>
    <row r="1917" spans="1:16" x14ac:dyDescent="0.35">
      <c r="A1917" s="9" t="s">
        <v>461</v>
      </c>
      <c r="B1917" s="2">
        <v>160</v>
      </c>
      <c r="C1917" s="2">
        <v>160.93</v>
      </c>
      <c r="D1917" s="2">
        <v>159.66999999999999</v>
      </c>
      <c r="E1917" s="2">
        <v>160.16</v>
      </c>
      <c r="F1917" s="2">
        <v>7275133</v>
      </c>
      <c r="G1917" s="2" t="s">
        <v>563</v>
      </c>
      <c r="H1917" s="2" t="s">
        <v>564</v>
      </c>
      <c r="I1917" s="2" t="s">
        <v>565</v>
      </c>
      <c r="J1917" s="3">
        <v>0.33200000000000002</v>
      </c>
      <c r="K1917" s="2" t="s">
        <v>448</v>
      </c>
      <c r="L1917" s="2">
        <v>2024</v>
      </c>
      <c r="M1917" s="2" t="s">
        <v>180</v>
      </c>
      <c r="N1917" s="2" t="s">
        <v>21</v>
      </c>
      <c r="O1917">
        <f t="shared" si="58"/>
        <v>1.2600000000000193</v>
      </c>
      <c r="P1917">
        <f t="shared" si="59"/>
        <v>-8.4990000000000094</v>
      </c>
    </row>
    <row r="1918" spans="1:16" x14ac:dyDescent="0.35">
      <c r="A1918" s="9" t="s">
        <v>462</v>
      </c>
      <c r="B1918" s="2">
        <v>160.4</v>
      </c>
      <c r="C1918" s="2">
        <v>161.47999999999999</v>
      </c>
      <c r="D1918" s="2">
        <v>160.31</v>
      </c>
      <c r="E1918" s="2">
        <v>161.43</v>
      </c>
      <c r="F1918" s="2">
        <v>5019375</v>
      </c>
      <c r="G1918" s="2" t="s">
        <v>563</v>
      </c>
      <c r="H1918" s="2" t="s">
        <v>564</v>
      </c>
      <c r="I1918" s="2" t="s">
        <v>565</v>
      </c>
      <c r="J1918" s="3">
        <v>0.79300000000000004</v>
      </c>
      <c r="K1918" s="2" t="s">
        <v>448</v>
      </c>
      <c r="L1918" s="2">
        <v>2024</v>
      </c>
      <c r="M1918" s="2" t="s">
        <v>180</v>
      </c>
      <c r="N1918" s="2" t="s">
        <v>21</v>
      </c>
      <c r="O1918">
        <f t="shared" si="58"/>
        <v>1.1699999999999875</v>
      </c>
      <c r="P1918">
        <f t="shared" si="59"/>
        <v>-7.7060000000000093</v>
      </c>
    </row>
    <row r="1919" spans="1:16" x14ac:dyDescent="0.35">
      <c r="A1919" s="9" t="s">
        <v>463</v>
      </c>
      <c r="B1919" s="2">
        <v>162</v>
      </c>
      <c r="C1919" s="2">
        <v>162.49</v>
      </c>
      <c r="D1919" s="2">
        <v>160.79</v>
      </c>
      <c r="E1919" s="2">
        <v>162.35</v>
      </c>
      <c r="F1919" s="2">
        <v>6552142</v>
      </c>
      <c r="G1919" s="2" t="s">
        <v>563</v>
      </c>
      <c r="H1919" s="2" t="s">
        <v>564</v>
      </c>
      <c r="I1919" s="2" t="s">
        <v>565</v>
      </c>
      <c r="J1919" s="3">
        <v>0.56999999999999995</v>
      </c>
      <c r="K1919" s="2" t="s">
        <v>448</v>
      </c>
      <c r="L1919" s="2">
        <v>2024</v>
      </c>
      <c r="M1919" s="2" t="s">
        <v>180</v>
      </c>
      <c r="N1919" s="2" t="s">
        <v>21</v>
      </c>
      <c r="O1919">
        <f t="shared" si="58"/>
        <v>1.7000000000000171</v>
      </c>
      <c r="P1919">
        <f t="shared" si="59"/>
        <v>-7.136000000000009</v>
      </c>
    </row>
    <row r="1920" spans="1:16" x14ac:dyDescent="0.35">
      <c r="A1920" s="9" t="s">
        <v>464</v>
      </c>
      <c r="B1920" s="2">
        <v>162.5</v>
      </c>
      <c r="C1920" s="2">
        <v>164.22</v>
      </c>
      <c r="D1920" s="2">
        <v>161.69499999999999</v>
      </c>
      <c r="E1920" s="2">
        <v>164.13</v>
      </c>
      <c r="F1920" s="2">
        <v>7093429</v>
      </c>
      <c r="G1920" s="2" t="s">
        <v>563</v>
      </c>
      <c r="H1920" s="2" t="s">
        <v>564</v>
      </c>
      <c r="I1920" s="2" t="s">
        <v>565</v>
      </c>
      <c r="J1920" s="3">
        <v>1.0960000000000001</v>
      </c>
      <c r="K1920" s="2" t="s">
        <v>448</v>
      </c>
      <c r="L1920" s="2">
        <v>2024</v>
      </c>
      <c r="M1920" s="2" t="s">
        <v>180</v>
      </c>
      <c r="N1920" s="2" t="s">
        <v>21</v>
      </c>
      <c r="O1920">
        <f t="shared" si="58"/>
        <v>2.5250000000000057</v>
      </c>
      <c r="P1920">
        <f t="shared" si="59"/>
        <v>-6.0400000000000089</v>
      </c>
    </row>
    <row r="1921" spans="1:16" x14ac:dyDescent="0.35">
      <c r="A1921" s="9" t="s">
        <v>465</v>
      </c>
      <c r="B1921" s="2">
        <v>164.17</v>
      </c>
      <c r="C1921" s="2">
        <v>165.71</v>
      </c>
      <c r="D1921" s="2">
        <v>163.54</v>
      </c>
      <c r="E1921" s="2">
        <v>164.61</v>
      </c>
      <c r="F1921" s="2">
        <v>6870622</v>
      </c>
      <c r="G1921" s="2" t="s">
        <v>563</v>
      </c>
      <c r="H1921" s="2" t="s">
        <v>564</v>
      </c>
      <c r="I1921" s="2" t="s">
        <v>565</v>
      </c>
      <c r="J1921" s="3">
        <v>0.29199999999999998</v>
      </c>
      <c r="K1921" s="2" t="s">
        <v>448</v>
      </c>
      <c r="L1921" s="2">
        <v>2024</v>
      </c>
      <c r="M1921" s="2" t="s">
        <v>180</v>
      </c>
      <c r="N1921" s="2" t="s">
        <v>21</v>
      </c>
      <c r="O1921">
        <f t="shared" si="58"/>
        <v>2.1700000000000159</v>
      </c>
      <c r="P1921">
        <f t="shared" si="59"/>
        <v>-5.7480000000000091</v>
      </c>
    </row>
    <row r="1922" spans="1:16" x14ac:dyDescent="0.35">
      <c r="A1922" s="9" t="s">
        <v>466</v>
      </c>
      <c r="B1922" s="2">
        <v>163.5</v>
      </c>
      <c r="C1922" s="2">
        <v>164.035</v>
      </c>
      <c r="D1922" s="2">
        <v>162.16</v>
      </c>
      <c r="E1922" s="2">
        <v>162.94999999999999</v>
      </c>
      <c r="F1922" s="2">
        <v>4388728</v>
      </c>
      <c r="G1922" s="2" t="s">
        <v>563</v>
      </c>
      <c r="H1922" s="2" t="s">
        <v>564</v>
      </c>
      <c r="I1922" s="2" t="s">
        <v>565</v>
      </c>
      <c r="J1922" s="4">
        <v>-1.008</v>
      </c>
      <c r="K1922" s="2" t="s">
        <v>448</v>
      </c>
      <c r="L1922" s="2">
        <v>2024</v>
      </c>
      <c r="M1922" s="2" t="s">
        <v>180</v>
      </c>
      <c r="N1922" s="2" t="s">
        <v>23</v>
      </c>
      <c r="O1922">
        <f t="shared" si="58"/>
        <v>1.875</v>
      </c>
      <c r="P1922">
        <f t="shared" si="59"/>
        <v>-6.7560000000000091</v>
      </c>
    </row>
    <row r="1923" spans="1:16" x14ac:dyDescent="0.35">
      <c r="A1923" s="9" t="s">
        <v>467</v>
      </c>
      <c r="B1923" s="2">
        <v>163</v>
      </c>
      <c r="C1923" s="2">
        <v>165</v>
      </c>
      <c r="D1923" s="2">
        <v>162.71</v>
      </c>
      <c r="E1923" s="2">
        <v>163.92</v>
      </c>
      <c r="F1923" s="2">
        <v>5187198</v>
      </c>
      <c r="G1923" s="2" t="s">
        <v>563</v>
      </c>
      <c r="H1923" s="2" t="s">
        <v>564</v>
      </c>
      <c r="I1923" s="2" t="s">
        <v>565</v>
      </c>
      <c r="J1923" s="3">
        <v>0.59499999999999997</v>
      </c>
      <c r="K1923" s="2" t="s">
        <v>448</v>
      </c>
      <c r="L1923" s="2">
        <v>2024</v>
      </c>
      <c r="M1923" s="2" t="s">
        <v>180</v>
      </c>
      <c r="N1923" s="2" t="s">
        <v>21</v>
      </c>
      <c r="O1923">
        <f t="shared" ref="O1923:O1986" si="60">C1923-D1923</f>
        <v>2.289999999999992</v>
      </c>
      <c r="P1923">
        <f t="shared" si="59"/>
        <v>-6.1610000000000094</v>
      </c>
    </row>
    <row r="1924" spans="1:16" x14ac:dyDescent="0.35">
      <c r="A1924" s="9" t="s">
        <v>468</v>
      </c>
      <c r="B1924" s="2">
        <v>164.63</v>
      </c>
      <c r="C1924" s="2">
        <v>164.72</v>
      </c>
      <c r="D1924" s="2">
        <v>163.36000000000001</v>
      </c>
      <c r="E1924" s="2">
        <v>164.23</v>
      </c>
      <c r="F1924" s="2">
        <v>7390125</v>
      </c>
      <c r="G1924" s="2" t="s">
        <v>563</v>
      </c>
      <c r="H1924" s="2" t="s">
        <v>564</v>
      </c>
      <c r="I1924" s="2" t="s">
        <v>565</v>
      </c>
      <c r="J1924" s="3">
        <v>0.189</v>
      </c>
      <c r="K1924" s="2" t="s">
        <v>448</v>
      </c>
      <c r="L1924" s="2">
        <v>2024</v>
      </c>
      <c r="M1924" s="2" t="s">
        <v>180</v>
      </c>
      <c r="N1924" s="2" t="s">
        <v>21</v>
      </c>
      <c r="O1924">
        <f t="shared" si="60"/>
        <v>1.3599999999999852</v>
      </c>
      <c r="P1924">
        <f t="shared" ref="P1924:P1987" si="61">IF(G1924=G1923, P1923+J1924, J1924)</f>
        <v>-5.9720000000000093</v>
      </c>
    </row>
    <row r="1925" spans="1:16" x14ac:dyDescent="0.35">
      <c r="A1925" s="9" t="s">
        <v>469</v>
      </c>
      <c r="B1925" s="2">
        <v>164.12</v>
      </c>
      <c r="C1925" s="2">
        <v>165.98</v>
      </c>
      <c r="D1925" s="2">
        <v>163.81</v>
      </c>
      <c r="E1925" s="2">
        <v>165.86</v>
      </c>
      <c r="F1925" s="2">
        <v>7971017</v>
      </c>
      <c r="G1925" s="2" t="s">
        <v>563</v>
      </c>
      <c r="H1925" s="2" t="s">
        <v>564</v>
      </c>
      <c r="I1925" s="2" t="s">
        <v>565</v>
      </c>
      <c r="J1925" s="3">
        <v>0.99299999999999999</v>
      </c>
      <c r="K1925" s="2" t="s">
        <v>448</v>
      </c>
      <c r="L1925" s="2">
        <v>2024</v>
      </c>
      <c r="M1925" s="2" t="s">
        <v>180</v>
      </c>
      <c r="N1925" s="2" t="s">
        <v>21</v>
      </c>
      <c r="O1925">
        <f t="shared" si="60"/>
        <v>2.1699999999999875</v>
      </c>
      <c r="P1925">
        <f t="shared" si="61"/>
        <v>-4.979000000000009</v>
      </c>
    </row>
    <row r="1926" spans="1:16" x14ac:dyDescent="0.35">
      <c r="A1926" s="9" t="s">
        <v>470</v>
      </c>
      <c r="B1926" s="2">
        <v>165.24</v>
      </c>
      <c r="C1926" s="2">
        <v>167.81</v>
      </c>
      <c r="D1926" s="2">
        <v>164.77</v>
      </c>
      <c r="E1926" s="2">
        <v>167.16</v>
      </c>
      <c r="F1926" s="2">
        <v>6956452</v>
      </c>
      <c r="G1926" s="2" t="s">
        <v>563</v>
      </c>
      <c r="H1926" s="2" t="s">
        <v>564</v>
      </c>
      <c r="I1926" s="2" t="s">
        <v>565</v>
      </c>
      <c r="J1926" s="3">
        <v>0.78400000000000003</v>
      </c>
      <c r="K1926" s="2" t="s">
        <v>471</v>
      </c>
      <c r="L1926" s="2">
        <v>2024</v>
      </c>
      <c r="M1926" s="2" t="s">
        <v>205</v>
      </c>
      <c r="N1926" s="2" t="s">
        <v>21</v>
      </c>
      <c r="O1926">
        <f t="shared" si="60"/>
        <v>3.039999999999992</v>
      </c>
      <c r="P1926">
        <f t="shared" si="61"/>
        <v>-4.1950000000000092</v>
      </c>
    </row>
    <row r="1927" spans="1:16" x14ac:dyDescent="0.35">
      <c r="A1927" s="9" t="s">
        <v>472</v>
      </c>
      <c r="B1927" s="2">
        <v>167.81</v>
      </c>
      <c r="C1927" s="2">
        <v>168.85</v>
      </c>
      <c r="D1927" s="2">
        <v>166.04</v>
      </c>
      <c r="E1927" s="2">
        <v>167.36</v>
      </c>
      <c r="F1927" s="2">
        <v>6939132</v>
      </c>
      <c r="G1927" s="2" t="s">
        <v>563</v>
      </c>
      <c r="H1927" s="2" t="s">
        <v>564</v>
      </c>
      <c r="I1927" s="2" t="s">
        <v>565</v>
      </c>
      <c r="J1927" s="3">
        <v>0.12</v>
      </c>
      <c r="K1927" s="2" t="s">
        <v>471</v>
      </c>
      <c r="L1927" s="2">
        <v>2024</v>
      </c>
      <c r="M1927" s="2" t="s">
        <v>205</v>
      </c>
      <c r="N1927" s="2" t="s">
        <v>21</v>
      </c>
      <c r="O1927">
        <f t="shared" si="60"/>
        <v>2.8100000000000023</v>
      </c>
      <c r="P1927">
        <f t="shared" si="61"/>
        <v>-4.0750000000000091</v>
      </c>
    </row>
    <row r="1928" spans="1:16" x14ac:dyDescent="0.35">
      <c r="A1928" s="9" t="s">
        <v>473</v>
      </c>
      <c r="B1928" s="2">
        <v>167.2</v>
      </c>
      <c r="C1928" s="2">
        <v>167.37</v>
      </c>
      <c r="D1928" s="2">
        <v>164.83</v>
      </c>
      <c r="E1928" s="2">
        <v>164.99</v>
      </c>
      <c r="F1928" s="2">
        <v>4600392</v>
      </c>
      <c r="G1928" s="2" t="s">
        <v>563</v>
      </c>
      <c r="H1928" s="2" t="s">
        <v>564</v>
      </c>
      <c r="I1928" s="2" t="s">
        <v>565</v>
      </c>
      <c r="J1928" s="4">
        <v>-1.4159999999999999</v>
      </c>
      <c r="K1928" s="2" t="s">
        <v>471</v>
      </c>
      <c r="L1928" s="2">
        <v>2024</v>
      </c>
      <c r="M1928" s="2" t="s">
        <v>205</v>
      </c>
      <c r="N1928" s="2" t="s">
        <v>23</v>
      </c>
      <c r="O1928">
        <f t="shared" si="60"/>
        <v>2.539999999999992</v>
      </c>
      <c r="P1928">
        <f t="shared" si="61"/>
        <v>-5.4910000000000085</v>
      </c>
    </row>
    <row r="1929" spans="1:16" x14ac:dyDescent="0.35">
      <c r="A1929" s="9" t="s">
        <v>474</v>
      </c>
      <c r="B1929" s="2">
        <v>165.18</v>
      </c>
      <c r="C1929" s="2">
        <v>165.94</v>
      </c>
      <c r="D1929" s="2">
        <v>164.12</v>
      </c>
      <c r="E1929" s="2">
        <v>164.38</v>
      </c>
      <c r="F1929" s="2">
        <v>6016884</v>
      </c>
      <c r="G1929" s="2" t="s">
        <v>563</v>
      </c>
      <c r="H1929" s="2" t="s">
        <v>564</v>
      </c>
      <c r="I1929" s="2" t="s">
        <v>565</v>
      </c>
      <c r="J1929" s="4">
        <v>-0.37</v>
      </c>
      <c r="K1929" s="2" t="s">
        <v>471</v>
      </c>
      <c r="L1929" s="2">
        <v>2024</v>
      </c>
      <c r="M1929" s="2" t="s">
        <v>205</v>
      </c>
      <c r="N1929" s="2" t="s">
        <v>23</v>
      </c>
      <c r="O1929">
        <f t="shared" si="60"/>
        <v>1.8199999999999932</v>
      </c>
      <c r="P1929">
        <f t="shared" si="61"/>
        <v>-5.8610000000000086</v>
      </c>
    </row>
    <row r="1930" spans="1:16" x14ac:dyDescent="0.35">
      <c r="A1930" s="9" t="s">
        <v>475</v>
      </c>
      <c r="B1930" s="2">
        <v>164.84</v>
      </c>
      <c r="C1930" s="2">
        <v>167.405</v>
      </c>
      <c r="D1930" s="2">
        <v>164.47</v>
      </c>
      <c r="E1930" s="2">
        <v>166.61</v>
      </c>
      <c r="F1930" s="2">
        <v>7538233</v>
      </c>
      <c r="G1930" s="2" t="s">
        <v>563</v>
      </c>
      <c r="H1930" s="2" t="s">
        <v>564</v>
      </c>
      <c r="I1930" s="2" t="s">
        <v>565</v>
      </c>
      <c r="J1930" s="3">
        <v>1.357</v>
      </c>
      <c r="K1930" s="2" t="s">
        <v>471</v>
      </c>
      <c r="L1930" s="2">
        <v>2024</v>
      </c>
      <c r="M1930" s="2" t="s">
        <v>205</v>
      </c>
      <c r="N1930" s="2" t="s">
        <v>21</v>
      </c>
      <c r="O1930">
        <f t="shared" si="60"/>
        <v>2.9350000000000023</v>
      </c>
      <c r="P1930">
        <f t="shared" si="61"/>
        <v>-4.5040000000000084</v>
      </c>
    </row>
    <row r="1931" spans="1:16" x14ac:dyDescent="0.35">
      <c r="A1931" s="9" t="s">
        <v>476</v>
      </c>
      <c r="B1931" s="2">
        <v>167.5</v>
      </c>
      <c r="C1931" s="2">
        <v>168.46</v>
      </c>
      <c r="D1931" s="2">
        <v>166.745</v>
      </c>
      <c r="E1931" s="2">
        <v>167.38</v>
      </c>
      <c r="F1931" s="2">
        <v>6559734</v>
      </c>
      <c r="G1931" s="2" t="s">
        <v>563</v>
      </c>
      <c r="H1931" s="2" t="s">
        <v>564</v>
      </c>
      <c r="I1931" s="2" t="s">
        <v>565</v>
      </c>
      <c r="J1931" s="3">
        <v>0.46200000000000002</v>
      </c>
      <c r="K1931" s="2" t="s">
        <v>471</v>
      </c>
      <c r="L1931" s="2">
        <v>2024</v>
      </c>
      <c r="M1931" s="2" t="s">
        <v>205</v>
      </c>
      <c r="N1931" s="2" t="s">
        <v>21</v>
      </c>
      <c r="O1931">
        <f t="shared" si="60"/>
        <v>1.7150000000000034</v>
      </c>
      <c r="P1931">
        <f t="shared" si="61"/>
        <v>-4.0420000000000087</v>
      </c>
    </row>
    <row r="1932" spans="1:16" x14ac:dyDescent="0.35">
      <c r="A1932" s="9" t="s">
        <v>477</v>
      </c>
      <c r="B1932" s="2">
        <v>166.79</v>
      </c>
      <c r="C1932" s="2">
        <v>166.79</v>
      </c>
      <c r="D1932" s="2">
        <v>164.09</v>
      </c>
      <c r="E1932" s="2">
        <v>164.82</v>
      </c>
      <c r="F1932" s="2">
        <v>5920165</v>
      </c>
      <c r="G1932" s="2" t="s">
        <v>563</v>
      </c>
      <c r="H1932" s="2" t="s">
        <v>564</v>
      </c>
      <c r="I1932" s="2" t="s">
        <v>565</v>
      </c>
      <c r="J1932" s="4">
        <v>-1.5289999999999999</v>
      </c>
      <c r="K1932" s="2" t="s">
        <v>471</v>
      </c>
      <c r="L1932" s="2">
        <v>2024</v>
      </c>
      <c r="M1932" s="2" t="s">
        <v>205</v>
      </c>
      <c r="N1932" s="2" t="s">
        <v>23</v>
      </c>
      <c r="O1932">
        <f t="shared" si="60"/>
        <v>2.6999999999999886</v>
      </c>
      <c r="P1932">
        <f t="shared" si="61"/>
        <v>-5.5710000000000086</v>
      </c>
    </row>
    <row r="1933" spans="1:16" x14ac:dyDescent="0.35">
      <c r="A1933" s="9" t="s">
        <v>478</v>
      </c>
      <c r="B1933" s="2">
        <v>164.2</v>
      </c>
      <c r="C1933" s="2">
        <v>165.1</v>
      </c>
      <c r="D1933" s="2">
        <v>162.71</v>
      </c>
      <c r="E1933" s="2">
        <v>164.64</v>
      </c>
      <c r="F1933" s="2">
        <v>4541046</v>
      </c>
      <c r="G1933" s="2" t="s">
        <v>563</v>
      </c>
      <c r="H1933" s="2" t="s">
        <v>564</v>
      </c>
      <c r="I1933" s="2" t="s">
        <v>565</v>
      </c>
      <c r="J1933" s="4">
        <v>-0.109</v>
      </c>
      <c r="K1933" s="2" t="s">
        <v>471</v>
      </c>
      <c r="L1933" s="2">
        <v>2024</v>
      </c>
      <c r="M1933" s="2" t="s">
        <v>205</v>
      </c>
      <c r="N1933" s="2" t="s">
        <v>23</v>
      </c>
      <c r="O1933">
        <f t="shared" si="60"/>
        <v>2.3899999999999864</v>
      </c>
      <c r="P1933">
        <f t="shared" si="61"/>
        <v>-5.6800000000000086</v>
      </c>
    </row>
    <row r="1934" spans="1:16" x14ac:dyDescent="0.35">
      <c r="A1934" s="9" t="s">
        <v>479</v>
      </c>
      <c r="B1934" s="2">
        <v>164.74</v>
      </c>
      <c r="C1934" s="2">
        <v>165.75</v>
      </c>
      <c r="D1934" s="2">
        <v>163.82</v>
      </c>
      <c r="E1934" s="2">
        <v>165.52</v>
      </c>
      <c r="F1934" s="2">
        <v>3693548</v>
      </c>
      <c r="G1934" s="2" t="s">
        <v>563</v>
      </c>
      <c r="H1934" s="2" t="s">
        <v>564</v>
      </c>
      <c r="I1934" s="2" t="s">
        <v>565</v>
      </c>
      <c r="J1934" s="3">
        <v>0.53400000000000003</v>
      </c>
      <c r="K1934" s="2" t="s">
        <v>471</v>
      </c>
      <c r="L1934" s="2">
        <v>2024</v>
      </c>
      <c r="M1934" s="2" t="s">
        <v>205</v>
      </c>
      <c r="N1934" s="2" t="s">
        <v>21</v>
      </c>
      <c r="O1934">
        <f t="shared" si="60"/>
        <v>1.9300000000000068</v>
      </c>
      <c r="P1934">
        <f t="shared" si="61"/>
        <v>-5.1460000000000088</v>
      </c>
    </row>
    <row r="1935" spans="1:16" x14ac:dyDescent="0.35">
      <c r="A1935" s="9" t="s">
        <v>480</v>
      </c>
      <c r="B1935" s="2">
        <v>166.36</v>
      </c>
      <c r="C1935" s="2">
        <v>167.25</v>
      </c>
      <c r="D1935" s="2">
        <v>165.78</v>
      </c>
      <c r="E1935" s="2">
        <v>166.99</v>
      </c>
      <c r="F1935" s="2">
        <v>5187887</v>
      </c>
      <c r="G1935" s="2" t="s">
        <v>563</v>
      </c>
      <c r="H1935" s="2" t="s">
        <v>564</v>
      </c>
      <c r="I1935" s="2" t="s">
        <v>565</v>
      </c>
      <c r="J1935" s="3">
        <v>0.88800000000000001</v>
      </c>
      <c r="K1935" s="2" t="s">
        <v>471</v>
      </c>
      <c r="L1935" s="2">
        <v>2024</v>
      </c>
      <c r="M1935" s="2" t="s">
        <v>205</v>
      </c>
      <c r="N1935" s="2" t="s">
        <v>21</v>
      </c>
      <c r="O1935">
        <f t="shared" si="60"/>
        <v>1.4699999999999989</v>
      </c>
      <c r="P1935">
        <f t="shared" si="61"/>
        <v>-4.2580000000000089</v>
      </c>
    </row>
    <row r="1936" spans="1:16" x14ac:dyDescent="0.35">
      <c r="A1936" s="9" t="s">
        <v>481</v>
      </c>
      <c r="B1936" s="2">
        <v>166.24</v>
      </c>
      <c r="C1936" s="2">
        <v>167.72</v>
      </c>
      <c r="D1936" s="2">
        <v>165.93</v>
      </c>
      <c r="E1936" s="2">
        <v>167.07</v>
      </c>
      <c r="F1936" s="2">
        <v>5066586</v>
      </c>
      <c r="G1936" s="2" t="s">
        <v>563</v>
      </c>
      <c r="H1936" s="2" t="s">
        <v>564</v>
      </c>
      <c r="I1936" s="2" t="s">
        <v>565</v>
      </c>
      <c r="J1936" s="3">
        <v>4.8000000000000001E-2</v>
      </c>
      <c r="K1936" s="2" t="s">
        <v>471</v>
      </c>
      <c r="L1936" s="2">
        <v>2024</v>
      </c>
      <c r="M1936" s="2" t="s">
        <v>205</v>
      </c>
      <c r="N1936" s="2" t="s">
        <v>21</v>
      </c>
      <c r="O1936">
        <f t="shared" si="60"/>
        <v>1.789999999999992</v>
      </c>
      <c r="P1936">
        <f t="shared" si="61"/>
        <v>-4.2100000000000088</v>
      </c>
    </row>
    <row r="1937" spans="1:16" x14ac:dyDescent="0.35">
      <c r="A1937" s="9" t="s">
        <v>482</v>
      </c>
      <c r="B1937" s="2">
        <v>166.63</v>
      </c>
      <c r="C1937" s="2">
        <v>168.35</v>
      </c>
      <c r="D1937" s="2">
        <v>165.74</v>
      </c>
      <c r="E1937" s="2">
        <v>166.15</v>
      </c>
      <c r="F1937" s="2">
        <v>4722765</v>
      </c>
      <c r="G1937" s="2" t="s">
        <v>563</v>
      </c>
      <c r="H1937" s="2" t="s">
        <v>564</v>
      </c>
      <c r="I1937" s="2" t="s">
        <v>565</v>
      </c>
      <c r="J1937" s="4">
        <v>-0.55100000000000005</v>
      </c>
      <c r="K1937" s="2" t="s">
        <v>471</v>
      </c>
      <c r="L1937" s="2">
        <v>2024</v>
      </c>
      <c r="M1937" s="2" t="s">
        <v>205</v>
      </c>
      <c r="N1937" s="2" t="s">
        <v>23</v>
      </c>
      <c r="O1937">
        <f t="shared" si="60"/>
        <v>2.6099999999999852</v>
      </c>
      <c r="P1937">
        <f t="shared" si="61"/>
        <v>-4.761000000000009</v>
      </c>
    </row>
    <row r="1938" spans="1:16" x14ac:dyDescent="0.35">
      <c r="A1938" s="9" t="s">
        <v>483</v>
      </c>
      <c r="B1938" s="2">
        <v>166.23</v>
      </c>
      <c r="C1938" s="2">
        <v>166.37</v>
      </c>
      <c r="D1938" s="2">
        <v>164.42</v>
      </c>
      <c r="E1938" s="2">
        <v>164.82</v>
      </c>
      <c r="F1938" s="2">
        <v>4956119</v>
      </c>
      <c r="G1938" s="2" t="s">
        <v>563</v>
      </c>
      <c r="H1938" s="2" t="s">
        <v>564</v>
      </c>
      <c r="I1938" s="2" t="s">
        <v>565</v>
      </c>
      <c r="J1938" s="4">
        <v>-0.8</v>
      </c>
      <c r="K1938" s="2" t="s">
        <v>471</v>
      </c>
      <c r="L1938" s="2">
        <v>2024</v>
      </c>
      <c r="M1938" s="2" t="s">
        <v>205</v>
      </c>
      <c r="N1938" s="2" t="s">
        <v>23</v>
      </c>
      <c r="O1938">
        <f t="shared" si="60"/>
        <v>1.9500000000000171</v>
      </c>
      <c r="P1938">
        <f t="shared" si="61"/>
        <v>-5.5610000000000088</v>
      </c>
    </row>
    <row r="1939" spans="1:16" x14ac:dyDescent="0.35">
      <c r="A1939" s="9" t="s">
        <v>484</v>
      </c>
      <c r="B1939" s="2">
        <v>164.3</v>
      </c>
      <c r="C1939" s="2">
        <v>164.87</v>
      </c>
      <c r="D1939" s="2">
        <v>163.55000000000001</v>
      </c>
      <c r="E1939" s="2">
        <v>164.16</v>
      </c>
      <c r="F1939" s="2">
        <v>11838967</v>
      </c>
      <c r="G1939" s="2" t="s">
        <v>563</v>
      </c>
      <c r="H1939" s="2" t="s">
        <v>564</v>
      </c>
      <c r="I1939" s="2" t="s">
        <v>565</v>
      </c>
      <c r="J1939" s="4">
        <v>-0.4</v>
      </c>
      <c r="K1939" s="2" t="s">
        <v>471</v>
      </c>
      <c r="L1939" s="2">
        <v>2024</v>
      </c>
      <c r="M1939" s="2" t="s">
        <v>205</v>
      </c>
      <c r="N1939" s="2" t="s">
        <v>23</v>
      </c>
      <c r="O1939">
        <f t="shared" si="60"/>
        <v>1.3199999999999932</v>
      </c>
      <c r="P1939">
        <f t="shared" si="61"/>
        <v>-5.9610000000000092</v>
      </c>
    </row>
    <row r="1940" spans="1:16" x14ac:dyDescent="0.35">
      <c r="A1940" s="9" t="s">
        <v>485</v>
      </c>
      <c r="B1940" s="2">
        <v>164.4</v>
      </c>
      <c r="C1940" s="2">
        <v>164.5</v>
      </c>
      <c r="D1940" s="2">
        <v>162.72</v>
      </c>
      <c r="E1940" s="2">
        <v>163.22</v>
      </c>
      <c r="F1940" s="2">
        <v>4671645</v>
      </c>
      <c r="G1940" s="2" t="s">
        <v>563</v>
      </c>
      <c r="H1940" s="2" t="s">
        <v>564</v>
      </c>
      <c r="I1940" s="2" t="s">
        <v>565</v>
      </c>
      <c r="J1940" s="4">
        <v>-0.57299999999999995</v>
      </c>
      <c r="K1940" s="2" t="s">
        <v>471</v>
      </c>
      <c r="L1940" s="2">
        <v>2024</v>
      </c>
      <c r="M1940" s="2" t="s">
        <v>205</v>
      </c>
      <c r="N1940" s="2" t="s">
        <v>23</v>
      </c>
      <c r="O1940">
        <f t="shared" si="60"/>
        <v>1.7800000000000011</v>
      </c>
      <c r="P1940">
        <f t="shared" si="61"/>
        <v>-6.5340000000000096</v>
      </c>
    </row>
    <row r="1941" spans="1:16" x14ac:dyDescent="0.35">
      <c r="A1941" s="9" t="s">
        <v>486</v>
      </c>
      <c r="B1941" s="2">
        <v>162.79</v>
      </c>
      <c r="C1941" s="2">
        <v>163.49</v>
      </c>
      <c r="D1941" s="2">
        <v>161.55000000000001</v>
      </c>
      <c r="E1941" s="2">
        <v>162.78</v>
      </c>
      <c r="F1941" s="2">
        <v>6041561</v>
      </c>
      <c r="G1941" s="2" t="s">
        <v>563</v>
      </c>
      <c r="H1941" s="2" t="s">
        <v>564</v>
      </c>
      <c r="I1941" s="2" t="s">
        <v>565</v>
      </c>
      <c r="J1941" s="4">
        <v>-0.27</v>
      </c>
      <c r="K1941" s="2" t="s">
        <v>471</v>
      </c>
      <c r="L1941" s="2">
        <v>2024</v>
      </c>
      <c r="M1941" s="2" t="s">
        <v>205</v>
      </c>
      <c r="N1941" s="2" t="s">
        <v>23</v>
      </c>
      <c r="O1941">
        <f t="shared" si="60"/>
        <v>1.9399999999999977</v>
      </c>
      <c r="P1941">
        <f t="shared" si="61"/>
        <v>-6.8040000000000092</v>
      </c>
    </row>
    <row r="1942" spans="1:16" x14ac:dyDescent="0.35">
      <c r="A1942" s="9" t="s">
        <v>487</v>
      </c>
      <c r="B1942" s="2">
        <v>163</v>
      </c>
      <c r="C1942" s="2">
        <v>163.315</v>
      </c>
      <c r="D1942" s="2">
        <v>160.36000000000001</v>
      </c>
      <c r="E1942" s="2">
        <v>160.6</v>
      </c>
      <c r="F1942" s="2">
        <v>5420011</v>
      </c>
      <c r="G1942" s="2" t="s">
        <v>563</v>
      </c>
      <c r="H1942" s="2" t="s">
        <v>564</v>
      </c>
      <c r="I1942" s="2" t="s">
        <v>565</v>
      </c>
      <c r="J1942" s="4">
        <v>-1.339</v>
      </c>
      <c r="K1942" s="2" t="s">
        <v>471</v>
      </c>
      <c r="L1942" s="2">
        <v>2024</v>
      </c>
      <c r="M1942" s="2" t="s">
        <v>205</v>
      </c>
      <c r="N1942" s="2" t="s">
        <v>23</v>
      </c>
      <c r="O1942">
        <f t="shared" si="60"/>
        <v>2.9549999999999841</v>
      </c>
      <c r="P1942">
        <f t="shared" si="61"/>
        <v>-8.1430000000000096</v>
      </c>
    </row>
    <row r="1943" spans="1:16" x14ac:dyDescent="0.35">
      <c r="A1943" s="9" t="s">
        <v>488</v>
      </c>
      <c r="B1943" s="2">
        <v>160.24</v>
      </c>
      <c r="C1943" s="2">
        <v>161.54</v>
      </c>
      <c r="D1943" s="2">
        <v>160.02000000000001</v>
      </c>
      <c r="E1943" s="2">
        <v>161.38999999999999</v>
      </c>
      <c r="F1943" s="2">
        <v>6122231</v>
      </c>
      <c r="G1943" s="2" t="s">
        <v>563</v>
      </c>
      <c r="H1943" s="2" t="s">
        <v>564</v>
      </c>
      <c r="I1943" s="2" t="s">
        <v>565</v>
      </c>
      <c r="J1943" s="3">
        <v>0.49199999999999999</v>
      </c>
      <c r="K1943" s="2" t="s">
        <v>471</v>
      </c>
      <c r="L1943" s="2">
        <v>2024</v>
      </c>
      <c r="M1943" s="2" t="s">
        <v>205</v>
      </c>
      <c r="N1943" s="2" t="s">
        <v>21</v>
      </c>
      <c r="O1943">
        <f t="shared" si="60"/>
        <v>1.5199999999999818</v>
      </c>
      <c r="P1943">
        <f t="shared" si="61"/>
        <v>-7.6510000000000096</v>
      </c>
    </row>
    <row r="1944" spans="1:16" x14ac:dyDescent="0.35">
      <c r="A1944" s="9" t="s">
        <v>489</v>
      </c>
      <c r="B1944" s="2">
        <v>162</v>
      </c>
      <c r="C1944" s="2">
        <v>163.43</v>
      </c>
      <c r="D1944" s="2">
        <v>161.34</v>
      </c>
      <c r="E1944" s="2">
        <v>161.4</v>
      </c>
      <c r="F1944" s="2">
        <v>7553905</v>
      </c>
      <c r="G1944" s="2" t="s">
        <v>563</v>
      </c>
      <c r="H1944" s="2" t="s">
        <v>564</v>
      </c>
      <c r="I1944" s="2" t="s">
        <v>565</v>
      </c>
      <c r="J1944" s="3">
        <v>6.0000000000000001E-3</v>
      </c>
      <c r="K1944" s="2" t="s">
        <v>471</v>
      </c>
      <c r="L1944" s="2">
        <v>2024</v>
      </c>
      <c r="M1944" s="2" t="s">
        <v>205</v>
      </c>
      <c r="N1944" s="2" t="s">
        <v>21</v>
      </c>
      <c r="O1944">
        <f t="shared" si="60"/>
        <v>2.0900000000000034</v>
      </c>
      <c r="P1944">
        <f t="shared" si="61"/>
        <v>-7.6450000000000093</v>
      </c>
    </row>
    <row r="1945" spans="1:16" x14ac:dyDescent="0.35">
      <c r="A1945" s="9" t="s">
        <v>490</v>
      </c>
      <c r="B1945" s="2">
        <v>161.41999999999999</v>
      </c>
      <c r="C1945" s="2">
        <v>162.18</v>
      </c>
      <c r="D1945" s="2">
        <v>160.68</v>
      </c>
      <c r="E1945" s="2">
        <v>162.06</v>
      </c>
      <c r="F1945" s="2">
        <v>6010407</v>
      </c>
      <c r="G1945" s="2" t="s">
        <v>563</v>
      </c>
      <c r="H1945" s="2" t="s">
        <v>564</v>
      </c>
      <c r="I1945" s="2" t="s">
        <v>565</v>
      </c>
      <c r="J1945" s="3">
        <v>0.40899999999999997</v>
      </c>
      <c r="K1945" s="2" t="s">
        <v>471</v>
      </c>
      <c r="L1945" s="2">
        <v>2024</v>
      </c>
      <c r="M1945" s="2" t="s">
        <v>205</v>
      </c>
      <c r="N1945" s="2" t="s">
        <v>21</v>
      </c>
      <c r="O1945">
        <f t="shared" si="60"/>
        <v>1.5</v>
      </c>
      <c r="P1945">
        <f t="shared" si="61"/>
        <v>-7.2360000000000095</v>
      </c>
    </row>
    <row r="1946" spans="1:16" x14ac:dyDescent="0.35">
      <c r="A1946" s="9" t="s">
        <v>491</v>
      </c>
      <c r="B1946" s="2">
        <v>162.43</v>
      </c>
      <c r="C1946" s="2">
        <v>162.75</v>
      </c>
      <c r="D1946" s="2">
        <v>161.18</v>
      </c>
      <c r="E1946" s="2">
        <v>161.99</v>
      </c>
      <c r="F1946" s="2">
        <v>4408019</v>
      </c>
      <c r="G1946" s="2" t="s">
        <v>563</v>
      </c>
      <c r="H1946" s="2" t="s">
        <v>564</v>
      </c>
      <c r="I1946" s="2" t="s">
        <v>565</v>
      </c>
      <c r="J1946" s="4">
        <v>-4.2999999999999997E-2</v>
      </c>
      <c r="K1946" s="2" t="s">
        <v>492</v>
      </c>
      <c r="L1946" s="2">
        <v>2024</v>
      </c>
      <c r="M1946" s="2" t="s">
        <v>227</v>
      </c>
      <c r="N1946" s="2" t="s">
        <v>23</v>
      </c>
      <c r="O1946">
        <f t="shared" si="60"/>
        <v>1.5699999999999932</v>
      </c>
      <c r="P1946">
        <f t="shared" si="61"/>
        <v>-7.2790000000000097</v>
      </c>
    </row>
    <row r="1947" spans="1:16" x14ac:dyDescent="0.35">
      <c r="A1947" s="9" t="s">
        <v>493</v>
      </c>
      <c r="B1947" s="2">
        <v>161.51</v>
      </c>
      <c r="C1947" s="2">
        <v>162.12</v>
      </c>
      <c r="D1947" s="2">
        <v>160.65</v>
      </c>
      <c r="E1947" s="2">
        <v>161.16999999999999</v>
      </c>
      <c r="F1947" s="2">
        <v>4684472</v>
      </c>
      <c r="G1947" s="2" t="s">
        <v>563</v>
      </c>
      <c r="H1947" s="2" t="s">
        <v>564</v>
      </c>
      <c r="I1947" s="2" t="s">
        <v>565</v>
      </c>
      <c r="J1947" s="4">
        <v>-0.50600000000000001</v>
      </c>
      <c r="K1947" s="2" t="s">
        <v>492</v>
      </c>
      <c r="L1947" s="2">
        <v>2024</v>
      </c>
      <c r="M1947" s="2" t="s">
        <v>227</v>
      </c>
      <c r="N1947" s="2" t="s">
        <v>23</v>
      </c>
      <c r="O1947">
        <f t="shared" si="60"/>
        <v>1.4699999999999989</v>
      </c>
      <c r="P1947">
        <f t="shared" si="61"/>
        <v>-7.7850000000000099</v>
      </c>
    </row>
    <row r="1948" spans="1:16" x14ac:dyDescent="0.35">
      <c r="A1948" s="9" t="s">
        <v>494</v>
      </c>
      <c r="B1948" s="2">
        <v>160.78</v>
      </c>
      <c r="C1948" s="2">
        <v>161.44</v>
      </c>
      <c r="D1948" s="2">
        <v>160.22</v>
      </c>
      <c r="E1948" s="2">
        <v>160.5</v>
      </c>
      <c r="F1948" s="2">
        <v>4791223</v>
      </c>
      <c r="G1948" s="2" t="s">
        <v>563</v>
      </c>
      <c r="H1948" s="2" t="s">
        <v>564</v>
      </c>
      <c r="I1948" s="2" t="s">
        <v>565</v>
      </c>
      <c r="J1948" s="4">
        <v>-0.41599999999999998</v>
      </c>
      <c r="K1948" s="2" t="s">
        <v>492</v>
      </c>
      <c r="L1948" s="2">
        <v>2024</v>
      </c>
      <c r="M1948" s="2" t="s">
        <v>227</v>
      </c>
      <c r="N1948" s="2" t="s">
        <v>23</v>
      </c>
      <c r="O1948">
        <f t="shared" si="60"/>
        <v>1.2199999999999989</v>
      </c>
      <c r="P1948">
        <f t="shared" si="61"/>
        <v>-8.2010000000000094</v>
      </c>
    </row>
    <row r="1949" spans="1:16" x14ac:dyDescent="0.35">
      <c r="A1949" s="9" t="s">
        <v>495</v>
      </c>
      <c r="B1949" s="2">
        <v>159.63</v>
      </c>
      <c r="C1949" s="2">
        <v>160.5</v>
      </c>
      <c r="D1949" s="2">
        <v>158.77500000000001</v>
      </c>
      <c r="E1949" s="2">
        <v>160.29</v>
      </c>
      <c r="F1949" s="2">
        <v>5331694</v>
      </c>
      <c r="G1949" s="2" t="s">
        <v>563</v>
      </c>
      <c r="H1949" s="2" t="s">
        <v>564</v>
      </c>
      <c r="I1949" s="2" t="s">
        <v>565</v>
      </c>
      <c r="J1949" s="4">
        <v>-0.13100000000000001</v>
      </c>
      <c r="K1949" s="2" t="s">
        <v>492</v>
      </c>
      <c r="L1949" s="2">
        <v>2024</v>
      </c>
      <c r="M1949" s="2" t="s">
        <v>227</v>
      </c>
      <c r="N1949" s="2" t="s">
        <v>23</v>
      </c>
      <c r="O1949">
        <f t="shared" si="60"/>
        <v>1.7249999999999943</v>
      </c>
      <c r="P1949">
        <f t="shared" si="61"/>
        <v>-8.3320000000000096</v>
      </c>
    </row>
    <row r="1950" spans="1:16" x14ac:dyDescent="0.35">
      <c r="A1950" s="9" t="s">
        <v>496</v>
      </c>
      <c r="B1950" s="2">
        <v>160.25</v>
      </c>
      <c r="C1950" s="2">
        <v>160.86000000000001</v>
      </c>
      <c r="D1950" s="2">
        <v>159.22</v>
      </c>
      <c r="E1950" s="2">
        <v>159.53</v>
      </c>
      <c r="F1950" s="2">
        <v>4265971</v>
      </c>
      <c r="G1950" s="2" t="s">
        <v>563</v>
      </c>
      <c r="H1950" s="2" t="s">
        <v>564</v>
      </c>
      <c r="I1950" s="2" t="s">
        <v>565</v>
      </c>
      <c r="J1950" s="4">
        <v>-0.47399999999999998</v>
      </c>
      <c r="K1950" s="2" t="s">
        <v>492</v>
      </c>
      <c r="L1950" s="2">
        <v>2024</v>
      </c>
      <c r="M1950" s="2" t="s">
        <v>227</v>
      </c>
      <c r="N1950" s="2" t="s">
        <v>23</v>
      </c>
      <c r="O1950">
        <f t="shared" si="60"/>
        <v>1.6400000000000148</v>
      </c>
      <c r="P1950">
        <f t="shared" si="61"/>
        <v>-8.8060000000000098</v>
      </c>
    </row>
    <row r="1951" spans="1:16" x14ac:dyDescent="0.35">
      <c r="A1951" s="9" t="s">
        <v>497</v>
      </c>
      <c r="B1951" s="2">
        <v>159.49</v>
      </c>
      <c r="C1951" s="2">
        <v>160.245</v>
      </c>
      <c r="D1951" s="2">
        <v>158.94999999999999</v>
      </c>
      <c r="E1951" s="2">
        <v>159.69</v>
      </c>
      <c r="F1951" s="2">
        <v>4766250</v>
      </c>
      <c r="G1951" s="2" t="s">
        <v>563</v>
      </c>
      <c r="H1951" s="2" t="s">
        <v>564</v>
      </c>
      <c r="I1951" s="2" t="s">
        <v>565</v>
      </c>
      <c r="J1951" s="3">
        <v>0.1</v>
      </c>
      <c r="K1951" s="2" t="s">
        <v>492</v>
      </c>
      <c r="L1951" s="2">
        <v>2024</v>
      </c>
      <c r="M1951" s="2" t="s">
        <v>227</v>
      </c>
      <c r="N1951" s="2" t="s">
        <v>21</v>
      </c>
      <c r="O1951">
        <f t="shared" si="60"/>
        <v>1.2950000000000159</v>
      </c>
      <c r="P1951">
        <f t="shared" si="61"/>
        <v>-8.7060000000000102</v>
      </c>
    </row>
    <row r="1952" spans="1:16" x14ac:dyDescent="0.35">
      <c r="A1952" s="9" t="s">
        <v>498</v>
      </c>
      <c r="B1952" s="2">
        <v>159.91999999999999</v>
      </c>
      <c r="C1952" s="2">
        <v>161.215</v>
      </c>
      <c r="D1952" s="2">
        <v>159.51</v>
      </c>
      <c r="E1952" s="2">
        <v>160.65</v>
      </c>
      <c r="F1952" s="2">
        <v>6047269</v>
      </c>
      <c r="G1952" s="2" t="s">
        <v>563</v>
      </c>
      <c r="H1952" s="2" t="s">
        <v>564</v>
      </c>
      <c r="I1952" s="2" t="s">
        <v>565</v>
      </c>
      <c r="J1952" s="3">
        <v>0.60099999999999998</v>
      </c>
      <c r="K1952" s="2" t="s">
        <v>492</v>
      </c>
      <c r="L1952" s="2">
        <v>2024</v>
      </c>
      <c r="M1952" s="2" t="s">
        <v>227</v>
      </c>
      <c r="N1952" s="2" t="s">
        <v>21</v>
      </c>
      <c r="O1952">
        <f t="shared" si="60"/>
        <v>1.7050000000000125</v>
      </c>
      <c r="P1952">
        <f t="shared" si="61"/>
        <v>-8.1050000000000111</v>
      </c>
    </row>
    <row r="1953" spans="1:16" x14ac:dyDescent="0.35">
      <c r="A1953" s="9" t="s">
        <v>499</v>
      </c>
      <c r="B1953" s="2">
        <v>161.36000000000001</v>
      </c>
      <c r="C1953" s="2">
        <v>161.38999999999999</v>
      </c>
      <c r="D1953" s="2">
        <v>159.995</v>
      </c>
      <c r="E1953" s="2">
        <v>160.51</v>
      </c>
      <c r="F1953" s="2">
        <v>4793889</v>
      </c>
      <c r="G1953" s="2" t="s">
        <v>563</v>
      </c>
      <c r="H1953" s="2" t="s">
        <v>564</v>
      </c>
      <c r="I1953" s="2" t="s">
        <v>565</v>
      </c>
      <c r="J1953" s="4">
        <v>-8.6999999999999994E-2</v>
      </c>
      <c r="K1953" s="2" t="s">
        <v>492</v>
      </c>
      <c r="L1953" s="2">
        <v>2024</v>
      </c>
      <c r="M1953" s="2" t="s">
        <v>227</v>
      </c>
      <c r="N1953" s="2" t="s">
        <v>23</v>
      </c>
      <c r="O1953">
        <f t="shared" si="60"/>
        <v>1.3949999999999818</v>
      </c>
      <c r="P1953">
        <f t="shared" si="61"/>
        <v>-8.1920000000000108</v>
      </c>
    </row>
    <row r="1954" spans="1:16" x14ac:dyDescent="0.35">
      <c r="A1954" s="9" t="s">
        <v>500</v>
      </c>
      <c r="B1954" s="2">
        <v>162.18</v>
      </c>
      <c r="C1954" s="2">
        <v>162.66</v>
      </c>
      <c r="D1954" s="2">
        <v>161.19999999999999</v>
      </c>
      <c r="E1954" s="2">
        <v>161.46</v>
      </c>
      <c r="F1954" s="2">
        <v>5253459</v>
      </c>
      <c r="G1954" s="2" t="s">
        <v>563</v>
      </c>
      <c r="H1954" s="2" t="s">
        <v>564</v>
      </c>
      <c r="I1954" s="2" t="s">
        <v>565</v>
      </c>
      <c r="J1954" s="3">
        <v>0.59199999999999997</v>
      </c>
      <c r="K1954" s="2" t="s">
        <v>492</v>
      </c>
      <c r="L1954" s="2">
        <v>2024</v>
      </c>
      <c r="M1954" s="2" t="s">
        <v>227</v>
      </c>
      <c r="N1954" s="2" t="s">
        <v>21</v>
      </c>
      <c r="O1954">
        <f t="shared" si="60"/>
        <v>1.460000000000008</v>
      </c>
      <c r="P1954">
        <f t="shared" si="61"/>
        <v>-7.6000000000000112</v>
      </c>
    </row>
    <row r="1955" spans="1:16" x14ac:dyDescent="0.35">
      <c r="A1955" s="9" t="s">
        <v>501</v>
      </c>
      <c r="B1955" s="2">
        <v>161.4</v>
      </c>
      <c r="C1955" s="2">
        <v>162.13999999999999</v>
      </c>
      <c r="D1955" s="2">
        <v>160.9</v>
      </c>
      <c r="E1955" s="2">
        <v>161.6</v>
      </c>
      <c r="F1955" s="2">
        <v>5963961</v>
      </c>
      <c r="G1955" s="2" t="s">
        <v>563</v>
      </c>
      <c r="H1955" s="2" t="s">
        <v>564</v>
      </c>
      <c r="I1955" s="2" t="s">
        <v>565</v>
      </c>
      <c r="J1955" s="3">
        <v>8.6999999999999994E-2</v>
      </c>
      <c r="K1955" s="2" t="s">
        <v>492</v>
      </c>
      <c r="L1955" s="2">
        <v>2024</v>
      </c>
      <c r="M1955" s="2" t="s">
        <v>227</v>
      </c>
      <c r="N1955" s="2" t="s">
        <v>21</v>
      </c>
      <c r="O1955">
        <f t="shared" si="60"/>
        <v>1.2399999999999807</v>
      </c>
      <c r="P1955">
        <f t="shared" si="61"/>
        <v>-7.5130000000000114</v>
      </c>
    </row>
    <row r="1956" spans="1:16" x14ac:dyDescent="0.35">
      <c r="A1956" s="9" t="s">
        <v>502</v>
      </c>
      <c r="B1956" s="2">
        <v>160</v>
      </c>
      <c r="C1956" s="2">
        <v>166.75</v>
      </c>
      <c r="D1956" s="2">
        <v>159</v>
      </c>
      <c r="E1956" s="2">
        <v>164.1</v>
      </c>
      <c r="F1956" s="2">
        <v>10547966</v>
      </c>
      <c r="G1956" s="2" t="s">
        <v>563</v>
      </c>
      <c r="H1956" s="2" t="s">
        <v>564</v>
      </c>
      <c r="I1956" s="2" t="s">
        <v>565</v>
      </c>
      <c r="J1956" s="3">
        <v>1.5469999999999999</v>
      </c>
      <c r="K1956" s="2" t="s">
        <v>492</v>
      </c>
      <c r="L1956" s="2">
        <v>2024</v>
      </c>
      <c r="M1956" s="2" t="s">
        <v>227</v>
      </c>
      <c r="N1956" s="2" t="s">
        <v>21</v>
      </c>
      <c r="O1956">
        <f t="shared" si="60"/>
        <v>7.75</v>
      </c>
      <c r="P1956">
        <f t="shared" si="61"/>
        <v>-5.9660000000000117</v>
      </c>
    </row>
    <row r="1957" spans="1:16" x14ac:dyDescent="0.35">
      <c r="A1957" s="9" t="s">
        <v>503</v>
      </c>
      <c r="B1957" s="2">
        <v>164</v>
      </c>
      <c r="C1957" s="2">
        <v>164.99</v>
      </c>
      <c r="D1957" s="2">
        <v>162.63999999999999</v>
      </c>
      <c r="E1957" s="2">
        <v>164.28</v>
      </c>
      <c r="F1957" s="2">
        <v>5982291</v>
      </c>
      <c r="G1957" s="2" t="s">
        <v>563</v>
      </c>
      <c r="H1957" s="2" t="s">
        <v>564</v>
      </c>
      <c r="I1957" s="2" t="s">
        <v>565</v>
      </c>
      <c r="J1957" s="3">
        <v>0.11</v>
      </c>
      <c r="K1957" s="2" t="s">
        <v>492</v>
      </c>
      <c r="L1957" s="2">
        <v>2024</v>
      </c>
      <c r="M1957" s="2" t="s">
        <v>227</v>
      </c>
      <c r="N1957" s="2" t="s">
        <v>21</v>
      </c>
      <c r="O1957">
        <f t="shared" si="60"/>
        <v>2.3500000000000227</v>
      </c>
      <c r="P1957">
        <f t="shared" si="61"/>
        <v>-5.8560000000000114</v>
      </c>
    </row>
    <row r="1958" spans="1:16" x14ac:dyDescent="0.35">
      <c r="A1958" s="9" t="s">
        <v>504</v>
      </c>
      <c r="B1958" s="2">
        <v>164.26</v>
      </c>
      <c r="C1958" s="2">
        <v>165</v>
      </c>
      <c r="D1958" s="2">
        <v>163.63</v>
      </c>
      <c r="E1958" s="2">
        <v>164.47</v>
      </c>
      <c r="F1958" s="2">
        <v>4798238</v>
      </c>
      <c r="G1958" s="2" t="s">
        <v>563</v>
      </c>
      <c r="H1958" s="2" t="s">
        <v>564</v>
      </c>
      <c r="I1958" s="2" t="s">
        <v>565</v>
      </c>
      <c r="J1958" s="3">
        <v>0.11600000000000001</v>
      </c>
      <c r="K1958" s="2" t="s">
        <v>492</v>
      </c>
      <c r="L1958" s="2">
        <v>2024</v>
      </c>
      <c r="M1958" s="2" t="s">
        <v>227</v>
      </c>
      <c r="N1958" s="2" t="s">
        <v>21</v>
      </c>
      <c r="O1958">
        <f t="shared" si="60"/>
        <v>1.3700000000000045</v>
      </c>
      <c r="P1958">
        <f t="shared" si="61"/>
        <v>-5.7400000000000118</v>
      </c>
    </row>
    <row r="1959" spans="1:16" x14ac:dyDescent="0.35">
      <c r="A1959" s="9" t="s">
        <v>505</v>
      </c>
      <c r="B1959" s="2">
        <v>164.89</v>
      </c>
      <c r="C1959" s="2">
        <v>165.29</v>
      </c>
      <c r="D1959" s="2">
        <v>163.93</v>
      </c>
      <c r="E1959" s="2">
        <v>165.12</v>
      </c>
      <c r="F1959" s="2">
        <v>5908012</v>
      </c>
      <c r="G1959" s="2" t="s">
        <v>563</v>
      </c>
      <c r="H1959" s="2" t="s">
        <v>564</v>
      </c>
      <c r="I1959" s="2" t="s">
        <v>565</v>
      </c>
      <c r="J1959" s="3">
        <v>0.39500000000000002</v>
      </c>
      <c r="K1959" s="2" t="s">
        <v>492</v>
      </c>
      <c r="L1959" s="2">
        <v>2024</v>
      </c>
      <c r="M1959" s="2" t="s">
        <v>227</v>
      </c>
      <c r="N1959" s="2" t="s">
        <v>21</v>
      </c>
      <c r="O1959">
        <f t="shared" si="60"/>
        <v>1.3599999999999852</v>
      </c>
      <c r="P1959">
        <f t="shared" si="61"/>
        <v>-5.3450000000000113</v>
      </c>
    </row>
    <row r="1960" spans="1:16" x14ac:dyDescent="0.35">
      <c r="A1960" s="9" t="s">
        <v>506</v>
      </c>
      <c r="B1960" s="2">
        <v>165.1</v>
      </c>
      <c r="C1960" s="2">
        <v>165.25</v>
      </c>
      <c r="D1960" s="2">
        <v>162.31</v>
      </c>
      <c r="E1960" s="2">
        <v>162.83000000000001</v>
      </c>
      <c r="F1960" s="2">
        <v>6082736</v>
      </c>
      <c r="G1960" s="2" t="s">
        <v>563</v>
      </c>
      <c r="H1960" s="2" t="s">
        <v>564</v>
      </c>
      <c r="I1960" s="2" t="s">
        <v>565</v>
      </c>
      <c r="J1960" s="4">
        <v>-1.387</v>
      </c>
      <c r="K1960" s="2" t="s">
        <v>492</v>
      </c>
      <c r="L1960" s="2">
        <v>2024</v>
      </c>
      <c r="M1960" s="2" t="s">
        <v>227</v>
      </c>
      <c r="N1960" s="2" t="s">
        <v>23</v>
      </c>
      <c r="O1960">
        <f t="shared" si="60"/>
        <v>2.9399999999999977</v>
      </c>
      <c r="P1960">
        <f t="shared" si="61"/>
        <v>-6.7320000000000118</v>
      </c>
    </row>
    <row r="1961" spans="1:16" x14ac:dyDescent="0.35">
      <c r="A1961" s="9" t="s">
        <v>507</v>
      </c>
      <c r="B1961" s="2">
        <v>162.32</v>
      </c>
      <c r="C1961" s="2">
        <v>163.72999999999999</v>
      </c>
      <c r="D1961" s="2">
        <v>161.9</v>
      </c>
      <c r="E1961" s="2">
        <v>163.44999999999999</v>
      </c>
      <c r="F1961" s="2">
        <v>5680612</v>
      </c>
      <c r="G1961" s="2" t="s">
        <v>563</v>
      </c>
      <c r="H1961" s="2" t="s">
        <v>564</v>
      </c>
      <c r="I1961" s="2" t="s">
        <v>565</v>
      </c>
      <c r="J1961" s="3">
        <v>0.38100000000000001</v>
      </c>
      <c r="K1961" s="2" t="s">
        <v>492</v>
      </c>
      <c r="L1961" s="2">
        <v>2024</v>
      </c>
      <c r="M1961" s="2" t="s">
        <v>227</v>
      </c>
      <c r="N1961" s="2" t="s">
        <v>21</v>
      </c>
      <c r="O1961">
        <f t="shared" si="60"/>
        <v>1.8299999999999841</v>
      </c>
      <c r="P1961">
        <f t="shared" si="61"/>
        <v>-6.3510000000000115</v>
      </c>
    </row>
    <row r="1962" spans="1:16" x14ac:dyDescent="0.35">
      <c r="A1962" s="9" t="s">
        <v>508</v>
      </c>
      <c r="B1962" s="2">
        <v>162.82</v>
      </c>
      <c r="C1962" s="2">
        <v>166</v>
      </c>
      <c r="D1962" s="2">
        <v>162.41999999999999</v>
      </c>
      <c r="E1962" s="2">
        <v>165.86</v>
      </c>
      <c r="F1962" s="2">
        <v>7442026</v>
      </c>
      <c r="G1962" s="2" t="s">
        <v>563</v>
      </c>
      <c r="H1962" s="2" t="s">
        <v>564</v>
      </c>
      <c r="I1962" s="2" t="s">
        <v>565</v>
      </c>
      <c r="J1962" s="3">
        <v>1.474</v>
      </c>
      <c r="K1962" s="2" t="s">
        <v>492</v>
      </c>
      <c r="L1962" s="2">
        <v>2024</v>
      </c>
      <c r="M1962" s="2" t="s">
        <v>227</v>
      </c>
      <c r="N1962" s="2" t="s">
        <v>21</v>
      </c>
      <c r="O1962">
        <f t="shared" si="60"/>
        <v>3.5800000000000125</v>
      </c>
      <c r="P1962">
        <f t="shared" si="61"/>
        <v>-4.8770000000000113</v>
      </c>
    </row>
    <row r="1963" spans="1:16" x14ac:dyDescent="0.35">
      <c r="A1963" s="9" t="s">
        <v>509</v>
      </c>
      <c r="B1963" s="2">
        <v>165</v>
      </c>
      <c r="C1963" s="2">
        <v>165.51</v>
      </c>
      <c r="D1963" s="2">
        <v>163.34</v>
      </c>
      <c r="E1963" s="2">
        <v>163.66999999999999</v>
      </c>
      <c r="F1963" s="2">
        <v>5386525</v>
      </c>
      <c r="G1963" s="2" t="s">
        <v>563</v>
      </c>
      <c r="H1963" s="2" t="s">
        <v>564</v>
      </c>
      <c r="I1963" s="2" t="s">
        <v>565</v>
      </c>
      <c r="J1963" s="4">
        <v>-1.32</v>
      </c>
      <c r="K1963" s="2" t="s">
        <v>492</v>
      </c>
      <c r="L1963" s="2">
        <v>2024</v>
      </c>
      <c r="M1963" s="2" t="s">
        <v>227</v>
      </c>
      <c r="N1963" s="2" t="s">
        <v>23</v>
      </c>
      <c r="O1963">
        <f t="shared" si="60"/>
        <v>2.1699999999999875</v>
      </c>
      <c r="P1963">
        <f t="shared" si="61"/>
        <v>-6.1970000000000116</v>
      </c>
    </row>
    <row r="1964" spans="1:16" x14ac:dyDescent="0.35">
      <c r="A1964" s="9" t="s">
        <v>510</v>
      </c>
      <c r="B1964" s="2">
        <v>163.68</v>
      </c>
      <c r="C1964" s="2">
        <v>163.92</v>
      </c>
      <c r="D1964" s="2">
        <v>160.61000000000001</v>
      </c>
      <c r="E1964" s="2">
        <v>160.88</v>
      </c>
      <c r="F1964" s="2">
        <v>6400449</v>
      </c>
      <c r="G1964" s="2" t="s">
        <v>563</v>
      </c>
      <c r="H1964" s="2" t="s">
        <v>564</v>
      </c>
      <c r="I1964" s="2" t="s">
        <v>565</v>
      </c>
      <c r="J1964" s="4">
        <v>-1.7050000000000001</v>
      </c>
      <c r="K1964" s="2" t="s">
        <v>492</v>
      </c>
      <c r="L1964" s="2">
        <v>2024</v>
      </c>
      <c r="M1964" s="2" t="s">
        <v>227</v>
      </c>
      <c r="N1964" s="2" t="s">
        <v>23</v>
      </c>
      <c r="O1964">
        <f t="shared" si="60"/>
        <v>3.3099999999999739</v>
      </c>
      <c r="P1964">
        <f t="shared" si="61"/>
        <v>-7.9020000000000117</v>
      </c>
    </row>
    <row r="1965" spans="1:16" x14ac:dyDescent="0.35">
      <c r="A1965" s="9" t="s">
        <v>511</v>
      </c>
      <c r="B1965" s="2">
        <v>161.13</v>
      </c>
      <c r="C1965" s="2">
        <v>161.97</v>
      </c>
      <c r="D1965" s="2">
        <v>161</v>
      </c>
      <c r="E1965" s="2">
        <v>161.6</v>
      </c>
      <c r="F1965" s="2">
        <v>4842653</v>
      </c>
      <c r="G1965" s="2" t="s">
        <v>563</v>
      </c>
      <c r="H1965" s="2" t="s">
        <v>564</v>
      </c>
      <c r="I1965" s="2" t="s">
        <v>565</v>
      </c>
      <c r="J1965" s="3">
        <v>0.44800000000000001</v>
      </c>
      <c r="K1965" s="2" t="s">
        <v>492</v>
      </c>
      <c r="L1965" s="2">
        <v>2024</v>
      </c>
      <c r="M1965" s="2" t="s">
        <v>227</v>
      </c>
      <c r="N1965" s="2" t="s">
        <v>21</v>
      </c>
      <c r="O1965">
        <f t="shared" si="60"/>
        <v>0.96999999999999886</v>
      </c>
      <c r="P1965">
        <f t="shared" si="61"/>
        <v>-7.4540000000000113</v>
      </c>
    </row>
    <row r="1966" spans="1:16" x14ac:dyDescent="0.35">
      <c r="A1966" s="9" t="s">
        <v>512</v>
      </c>
      <c r="B1966" s="2">
        <v>161.46</v>
      </c>
      <c r="C1966" s="2">
        <v>162.16999999999999</v>
      </c>
      <c r="D1966" s="2">
        <v>160.06</v>
      </c>
      <c r="E1966" s="2">
        <v>160.09</v>
      </c>
      <c r="F1966" s="2">
        <v>5216879</v>
      </c>
      <c r="G1966" s="2" t="s">
        <v>563</v>
      </c>
      <c r="H1966" s="2" t="s">
        <v>564</v>
      </c>
      <c r="I1966" s="2" t="s">
        <v>565</v>
      </c>
      <c r="J1966" s="4">
        <v>-0.93400000000000005</v>
      </c>
      <c r="K1966" s="2" t="s">
        <v>492</v>
      </c>
      <c r="L1966" s="2">
        <v>2024</v>
      </c>
      <c r="M1966" s="2" t="s">
        <v>227</v>
      </c>
      <c r="N1966" s="2" t="s">
        <v>23</v>
      </c>
      <c r="O1966">
        <f t="shared" si="60"/>
        <v>2.1099999999999852</v>
      </c>
      <c r="P1966">
        <f t="shared" si="61"/>
        <v>-8.3880000000000106</v>
      </c>
    </row>
    <row r="1967" spans="1:16" x14ac:dyDescent="0.35">
      <c r="A1967" s="9" t="s">
        <v>513</v>
      </c>
      <c r="B1967" s="2">
        <v>159.44999999999999</v>
      </c>
      <c r="C1967" s="2">
        <v>161.28</v>
      </c>
      <c r="D1967" s="2">
        <v>159.03</v>
      </c>
      <c r="E1967" s="2">
        <v>160.61000000000001</v>
      </c>
      <c r="F1967" s="2">
        <v>5820530</v>
      </c>
      <c r="G1967" s="2" t="s">
        <v>563</v>
      </c>
      <c r="H1967" s="2" t="s">
        <v>564</v>
      </c>
      <c r="I1967" s="2" t="s">
        <v>565</v>
      </c>
      <c r="J1967" s="3">
        <v>0.32500000000000001</v>
      </c>
      <c r="K1967" s="2" t="s">
        <v>492</v>
      </c>
      <c r="L1967" s="2">
        <v>2024</v>
      </c>
      <c r="M1967" s="2" t="s">
        <v>227</v>
      </c>
      <c r="N1967" s="2" t="s">
        <v>21</v>
      </c>
      <c r="O1967">
        <f t="shared" si="60"/>
        <v>2.25</v>
      </c>
      <c r="P1967">
        <f t="shared" si="61"/>
        <v>-8.0630000000000113</v>
      </c>
    </row>
    <row r="1968" spans="1:16" x14ac:dyDescent="0.35">
      <c r="A1968" s="9" t="s">
        <v>514</v>
      </c>
      <c r="B1968" s="2">
        <v>159.99</v>
      </c>
      <c r="C1968" s="2">
        <v>160.87</v>
      </c>
      <c r="D1968" s="2">
        <v>159.46</v>
      </c>
      <c r="E1968" s="2">
        <v>159.86000000000001</v>
      </c>
      <c r="F1968" s="2">
        <v>8613860</v>
      </c>
      <c r="G1968" s="2" t="s">
        <v>563</v>
      </c>
      <c r="H1968" s="2" t="s">
        <v>564</v>
      </c>
      <c r="I1968" s="2" t="s">
        <v>565</v>
      </c>
      <c r="J1968" s="4">
        <v>-0.46700000000000003</v>
      </c>
      <c r="K1968" s="2" t="s">
        <v>492</v>
      </c>
      <c r="L1968" s="2">
        <v>2024</v>
      </c>
      <c r="M1968" s="2" t="s">
        <v>227</v>
      </c>
      <c r="N1968" s="2" t="s">
        <v>23</v>
      </c>
      <c r="O1968">
        <f t="shared" si="60"/>
        <v>1.4099999999999966</v>
      </c>
      <c r="P1968">
        <f t="shared" si="61"/>
        <v>-8.5300000000000118</v>
      </c>
    </row>
    <row r="1969" spans="1:16" x14ac:dyDescent="0.35">
      <c r="A1969" s="9" t="s">
        <v>515</v>
      </c>
      <c r="B1969" s="2">
        <v>160.58000000000001</v>
      </c>
      <c r="C1969" s="2">
        <v>161.06</v>
      </c>
      <c r="D1969" s="2">
        <v>159.88</v>
      </c>
      <c r="E1969" s="2">
        <v>160.13</v>
      </c>
      <c r="F1969" s="2">
        <v>5256652</v>
      </c>
      <c r="G1969" s="2" t="s">
        <v>563</v>
      </c>
      <c r="H1969" s="2" t="s">
        <v>564</v>
      </c>
      <c r="I1969" s="2" t="s">
        <v>565</v>
      </c>
      <c r="J1969" s="3">
        <v>0.16900000000000001</v>
      </c>
      <c r="K1969" s="2" t="s">
        <v>516</v>
      </c>
      <c r="L1969" s="2">
        <v>2024</v>
      </c>
      <c r="M1969" s="2" t="s">
        <v>251</v>
      </c>
      <c r="N1969" s="2" t="s">
        <v>21</v>
      </c>
      <c r="O1969">
        <f t="shared" si="60"/>
        <v>1.1800000000000068</v>
      </c>
      <c r="P1969">
        <f t="shared" si="61"/>
        <v>-8.3610000000000113</v>
      </c>
    </row>
    <row r="1970" spans="1:16" x14ac:dyDescent="0.35">
      <c r="A1970" s="9" t="s">
        <v>517</v>
      </c>
      <c r="B1970" s="2">
        <v>159.91999999999999</v>
      </c>
      <c r="C1970" s="2">
        <v>160.28</v>
      </c>
      <c r="D1970" s="2">
        <v>158.07</v>
      </c>
      <c r="E1970" s="2">
        <v>158.24</v>
      </c>
      <c r="F1970" s="2">
        <v>4644011</v>
      </c>
      <c r="G1970" s="2" t="s">
        <v>563</v>
      </c>
      <c r="H1970" s="2" t="s">
        <v>564</v>
      </c>
      <c r="I1970" s="2" t="s">
        <v>565</v>
      </c>
      <c r="J1970" s="4">
        <v>-1.18</v>
      </c>
      <c r="K1970" s="2" t="s">
        <v>516</v>
      </c>
      <c r="L1970" s="2">
        <v>2024</v>
      </c>
      <c r="M1970" s="2" t="s">
        <v>251</v>
      </c>
      <c r="N1970" s="2" t="s">
        <v>23</v>
      </c>
      <c r="O1970">
        <f t="shared" si="60"/>
        <v>2.210000000000008</v>
      </c>
      <c r="P1970">
        <f t="shared" si="61"/>
        <v>-9.541000000000011</v>
      </c>
    </row>
    <row r="1971" spans="1:16" x14ac:dyDescent="0.35">
      <c r="A1971" s="9" t="s">
        <v>518</v>
      </c>
      <c r="B1971" s="2">
        <v>157.66999999999999</v>
      </c>
      <c r="C1971" s="2">
        <v>158.59</v>
      </c>
      <c r="D1971" s="2">
        <v>156.35</v>
      </c>
      <c r="E1971" s="2">
        <v>158.35</v>
      </c>
      <c r="F1971" s="2">
        <v>6547074</v>
      </c>
      <c r="G1971" s="2" t="s">
        <v>563</v>
      </c>
      <c r="H1971" s="2" t="s">
        <v>564</v>
      </c>
      <c r="I1971" s="2" t="s">
        <v>565</v>
      </c>
      <c r="J1971" s="3">
        <v>7.0000000000000007E-2</v>
      </c>
      <c r="K1971" s="2" t="s">
        <v>516</v>
      </c>
      <c r="L1971" s="2">
        <v>2024</v>
      </c>
      <c r="M1971" s="2" t="s">
        <v>251</v>
      </c>
      <c r="N1971" s="2" t="s">
        <v>21</v>
      </c>
      <c r="O1971">
        <f t="shared" si="60"/>
        <v>2.2400000000000091</v>
      </c>
      <c r="P1971">
        <f t="shared" si="61"/>
        <v>-9.4710000000000107</v>
      </c>
    </row>
    <row r="1972" spans="1:16" x14ac:dyDescent="0.35">
      <c r="A1972" s="9" t="s">
        <v>519</v>
      </c>
      <c r="B1972" s="2">
        <v>159.44</v>
      </c>
      <c r="C1972" s="2">
        <v>160.85</v>
      </c>
      <c r="D1972" s="2">
        <v>157.35499999999999</v>
      </c>
      <c r="E1972" s="2">
        <v>157.88</v>
      </c>
      <c r="F1972" s="2">
        <v>8926601</v>
      </c>
      <c r="G1972" s="2" t="s">
        <v>563</v>
      </c>
      <c r="H1972" s="2" t="s">
        <v>564</v>
      </c>
      <c r="I1972" s="2" t="s">
        <v>565</v>
      </c>
      <c r="J1972" s="4">
        <v>-0.29699999999999999</v>
      </c>
      <c r="K1972" s="2" t="s">
        <v>516</v>
      </c>
      <c r="L1972" s="2">
        <v>2024</v>
      </c>
      <c r="M1972" s="2" t="s">
        <v>251</v>
      </c>
      <c r="N1972" s="2" t="s">
        <v>23</v>
      </c>
      <c r="O1972">
        <f t="shared" si="60"/>
        <v>3.4950000000000045</v>
      </c>
      <c r="P1972">
        <f t="shared" si="61"/>
        <v>-9.7680000000000113</v>
      </c>
    </row>
    <row r="1973" spans="1:16" x14ac:dyDescent="0.35">
      <c r="A1973" s="9" t="s">
        <v>520</v>
      </c>
      <c r="B1973" s="2">
        <v>158.47</v>
      </c>
      <c r="C1973" s="2">
        <v>158.75</v>
      </c>
      <c r="D1973" s="2">
        <v>156.51</v>
      </c>
      <c r="E1973" s="2">
        <v>156.72999999999999</v>
      </c>
      <c r="F1973" s="2">
        <v>7522812</v>
      </c>
      <c r="G1973" s="2" t="s">
        <v>563</v>
      </c>
      <c r="H1973" s="2" t="s">
        <v>564</v>
      </c>
      <c r="I1973" s="2" t="s">
        <v>565</v>
      </c>
      <c r="J1973" s="4">
        <v>-0.72799999999999998</v>
      </c>
      <c r="K1973" s="2" t="s">
        <v>516</v>
      </c>
      <c r="L1973" s="2">
        <v>2024</v>
      </c>
      <c r="M1973" s="2" t="s">
        <v>251</v>
      </c>
      <c r="N1973" s="2" t="s">
        <v>23</v>
      </c>
      <c r="O1973">
        <f t="shared" si="60"/>
        <v>2.2400000000000091</v>
      </c>
      <c r="P1973">
        <f t="shared" si="61"/>
        <v>-10.496000000000011</v>
      </c>
    </row>
    <row r="1974" spans="1:16" x14ac:dyDescent="0.35">
      <c r="A1974" s="9" t="s">
        <v>521</v>
      </c>
      <c r="B1974" s="2">
        <v>157</v>
      </c>
      <c r="C1974" s="2">
        <v>157.08000000000001</v>
      </c>
      <c r="D1974" s="2">
        <v>155.41</v>
      </c>
      <c r="E1974" s="2">
        <v>155.47</v>
      </c>
      <c r="F1974" s="2">
        <v>8926134</v>
      </c>
      <c r="G1974" s="2" t="s">
        <v>563</v>
      </c>
      <c r="H1974" s="2" t="s">
        <v>564</v>
      </c>
      <c r="I1974" s="2" t="s">
        <v>565</v>
      </c>
      <c r="J1974" s="4">
        <v>-0.80400000000000005</v>
      </c>
      <c r="K1974" s="2" t="s">
        <v>516</v>
      </c>
      <c r="L1974" s="2">
        <v>2024</v>
      </c>
      <c r="M1974" s="2" t="s">
        <v>251</v>
      </c>
      <c r="N1974" s="2" t="s">
        <v>23</v>
      </c>
      <c r="O1974">
        <f t="shared" si="60"/>
        <v>1.6700000000000159</v>
      </c>
      <c r="P1974">
        <f t="shared" si="61"/>
        <v>-11.300000000000011</v>
      </c>
    </row>
    <row r="1975" spans="1:16" x14ac:dyDescent="0.35">
      <c r="A1975" s="9" t="s">
        <v>522</v>
      </c>
      <c r="B1975" s="2">
        <v>155.62</v>
      </c>
      <c r="C1975" s="2">
        <v>157.58000000000001</v>
      </c>
      <c r="D1975" s="2">
        <v>154.91</v>
      </c>
      <c r="E1975" s="2">
        <v>155.04</v>
      </c>
      <c r="F1975" s="2">
        <v>7146759</v>
      </c>
      <c r="G1975" s="2" t="s">
        <v>563</v>
      </c>
      <c r="H1975" s="2" t="s">
        <v>564</v>
      </c>
      <c r="I1975" s="2" t="s">
        <v>565</v>
      </c>
      <c r="J1975" s="4">
        <v>-0.27700000000000002</v>
      </c>
      <c r="K1975" s="2" t="s">
        <v>516</v>
      </c>
      <c r="L1975" s="2">
        <v>2024</v>
      </c>
      <c r="M1975" s="2" t="s">
        <v>251</v>
      </c>
      <c r="N1975" s="2" t="s">
        <v>23</v>
      </c>
      <c r="O1975">
        <f t="shared" si="60"/>
        <v>2.6700000000000159</v>
      </c>
      <c r="P1975">
        <f t="shared" si="61"/>
        <v>-11.577000000000011</v>
      </c>
    </row>
    <row r="1976" spans="1:16" x14ac:dyDescent="0.35">
      <c r="A1976" s="9" t="s">
        <v>523</v>
      </c>
      <c r="B1976" s="2">
        <v>154.50700000000001</v>
      </c>
      <c r="C1976" s="2">
        <v>155.04</v>
      </c>
      <c r="D1976" s="2">
        <v>152.37</v>
      </c>
      <c r="E1976" s="2">
        <v>152.63999999999999</v>
      </c>
      <c r="F1976" s="2">
        <v>7181408</v>
      </c>
      <c r="G1976" s="2" t="s">
        <v>563</v>
      </c>
      <c r="H1976" s="2" t="s">
        <v>564</v>
      </c>
      <c r="I1976" s="2" t="s">
        <v>565</v>
      </c>
      <c r="J1976" s="4">
        <v>-1.548</v>
      </c>
      <c r="K1976" s="2" t="s">
        <v>516</v>
      </c>
      <c r="L1976" s="2">
        <v>2024</v>
      </c>
      <c r="M1976" s="2" t="s">
        <v>251</v>
      </c>
      <c r="N1976" s="2" t="s">
        <v>23</v>
      </c>
      <c r="O1976">
        <f t="shared" si="60"/>
        <v>2.6699999999999875</v>
      </c>
      <c r="P1976">
        <f t="shared" si="61"/>
        <v>-13.125000000000011</v>
      </c>
    </row>
    <row r="1977" spans="1:16" x14ac:dyDescent="0.35">
      <c r="A1977" s="9" t="s">
        <v>524</v>
      </c>
      <c r="B1977" s="2">
        <v>152.495</v>
      </c>
      <c r="C1977" s="2">
        <v>153.51</v>
      </c>
      <c r="D1977" s="2">
        <v>151.42400000000001</v>
      </c>
      <c r="E1977" s="2">
        <v>153.24</v>
      </c>
      <c r="F1977" s="2">
        <v>7162233</v>
      </c>
      <c r="G1977" s="2" t="s">
        <v>563</v>
      </c>
      <c r="H1977" s="2" t="s">
        <v>564</v>
      </c>
      <c r="I1977" s="2" t="s">
        <v>565</v>
      </c>
      <c r="J1977" s="3">
        <v>0.39300000000000002</v>
      </c>
      <c r="K1977" s="2" t="s">
        <v>516</v>
      </c>
      <c r="L1977" s="2">
        <v>2024</v>
      </c>
      <c r="M1977" s="2" t="s">
        <v>251</v>
      </c>
      <c r="N1977" s="2" t="s">
        <v>21</v>
      </c>
      <c r="O1977">
        <f t="shared" si="60"/>
        <v>2.0859999999999843</v>
      </c>
      <c r="P1977">
        <f t="shared" si="61"/>
        <v>-12.73200000000001</v>
      </c>
    </row>
    <row r="1978" spans="1:16" x14ac:dyDescent="0.35">
      <c r="A1978" s="9" t="s">
        <v>525</v>
      </c>
      <c r="B1978" s="2">
        <v>153.25</v>
      </c>
      <c r="C1978" s="2">
        <v>153.59200000000001</v>
      </c>
      <c r="D1978" s="2">
        <v>150.76</v>
      </c>
      <c r="E1978" s="2">
        <v>151.87</v>
      </c>
      <c r="F1978" s="2">
        <v>7716385</v>
      </c>
      <c r="G1978" s="2" t="s">
        <v>563</v>
      </c>
      <c r="H1978" s="2" t="s">
        <v>564</v>
      </c>
      <c r="I1978" s="2" t="s">
        <v>565</v>
      </c>
      <c r="J1978" s="4">
        <v>-0.89400000000000002</v>
      </c>
      <c r="K1978" s="2" t="s">
        <v>516</v>
      </c>
      <c r="L1978" s="2">
        <v>2024</v>
      </c>
      <c r="M1978" s="2" t="s">
        <v>251</v>
      </c>
      <c r="N1978" s="2" t="s">
        <v>23</v>
      </c>
      <c r="O1978">
        <f t="shared" si="60"/>
        <v>2.8320000000000221</v>
      </c>
      <c r="P1978">
        <f t="shared" si="61"/>
        <v>-13.62600000000001</v>
      </c>
    </row>
    <row r="1979" spans="1:16" x14ac:dyDescent="0.35">
      <c r="A1979" s="9" t="s">
        <v>526</v>
      </c>
      <c r="B1979" s="2">
        <v>151.30000000000001</v>
      </c>
      <c r="C1979" s="2">
        <v>154.43</v>
      </c>
      <c r="D1979" s="2">
        <v>150.9</v>
      </c>
      <c r="E1979" s="2">
        <v>154</v>
      </c>
      <c r="F1979" s="2">
        <v>11328515</v>
      </c>
      <c r="G1979" s="2" t="s">
        <v>563</v>
      </c>
      <c r="H1979" s="2" t="s">
        <v>564</v>
      </c>
      <c r="I1979" s="2" t="s">
        <v>565</v>
      </c>
      <c r="J1979" s="3">
        <v>1.403</v>
      </c>
      <c r="K1979" s="2" t="s">
        <v>516</v>
      </c>
      <c r="L1979" s="2">
        <v>2024</v>
      </c>
      <c r="M1979" s="2" t="s">
        <v>251</v>
      </c>
      <c r="N1979" s="2" t="s">
        <v>21</v>
      </c>
      <c r="O1979">
        <f t="shared" si="60"/>
        <v>3.5300000000000011</v>
      </c>
      <c r="P1979">
        <f t="shared" si="61"/>
        <v>-12.22300000000001</v>
      </c>
    </row>
    <row r="1980" spans="1:16" x14ac:dyDescent="0.35">
      <c r="A1980" s="9" t="s">
        <v>527</v>
      </c>
      <c r="B1980" s="2">
        <v>152.97999999999999</v>
      </c>
      <c r="C1980" s="2">
        <v>155.33000000000001</v>
      </c>
      <c r="D1980" s="2">
        <v>152.33000000000001</v>
      </c>
      <c r="E1980" s="2">
        <v>154.77000000000001</v>
      </c>
      <c r="F1980" s="2">
        <v>7514177</v>
      </c>
      <c r="G1980" s="2" t="s">
        <v>563</v>
      </c>
      <c r="H1980" s="2" t="s">
        <v>564</v>
      </c>
      <c r="I1980" s="2" t="s">
        <v>565</v>
      </c>
      <c r="J1980" s="3">
        <v>0.5</v>
      </c>
      <c r="K1980" s="2" t="s">
        <v>516</v>
      </c>
      <c r="L1980" s="2">
        <v>2024</v>
      </c>
      <c r="M1980" s="2" t="s">
        <v>251</v>
      </c>
      <c r="N1980" s="2" t="s">
        <v>21</v>
      </c>
      <c r="O1980">
        <f t="shared" si="60"/>
        <v>3</v>
      </c>
      <c r="P1980">
        <f t="shared" si="61"/>
        <v>-11.72300000000001</v>
      </c>
    </row>
    <row r="1981" spans="1:16" x14ac:dyDescent="0.35">
      <c r="A1981" s="9" t="s">
        <v>528</v>
      </c>
      <c r="B1981" s="2">
        <v>153.94499999999999</v>
      </c>
      <c r="C1981" s="2">
        <v>153.99</v>
      </c>
      <c r="D1981" s="2">
        <v>152.05000000000001</v>
      </c>
      <c r="E1981" s="2">
        <v>153</v>
      </c>
      <c r="F1981" s="2">
        <v>8233678</v>
      </c>
      <c r="G1981" s="2" t="s">
        <v>563</v>
      </c>
      <c r="H1981" s="2" t="s">
        <v>564</v>
      </c>
      <c r="I1981" s="2" t="s">
        <v>565</v>
      </c>
      <c r="J1981" s="4">
        <v>-1.1439999999999999</v>
      </c>
      <c r="K1981" s="2" t="s">
        <v>516</v>
      </c>
      <c r="L1981" s="2">
        <v>2024</v>
      </c>
      <c r="M1981" s="2" t="s">
        <v>251</v>
      </c>
      <c r="N1981" s="2" t="s">
        <v>23</v>
      </c>
      <c r="O1981">
        <f t="shared" si="60"/>
        <v>1.9399999999999977</v>
      </c>
      <c r="P1981">
        <f t="shared" si="61"/>
        <v>-12.86700000000001</v>
      </c>
    </row>
    <row r="1982" spans="1:16" x14ac:dyDescent="0.35">
      <c r="A1982" s="9" t="s">
        <v>529</v>
      </c>
      <c r="B1982" s="2">
        <v>153.13999999999999</v>
      </c>
      <c r="C1982" s="2">
        <v>153.25</v>
      </c>
      <c r="D1982" s="2">
        <v>151.81</v>
      </c>
      <c r="E1982" s="2">
        <v>153.11000000000001</v>
      </c>
      <c r="F1982" s="2">
        <v>9061274</v>
      </c>
      <c r="G1982" s="2" t="s">
        <v>563</v>
      </c>
      <c r="H1982" s="2" t="s">
        <v>564</v>
      </c>
      <c r="I1982" s="2" t="s">
        <v>565</v>
      </c>
      <c r="J1982" s="3">
        <v>7.1999999999999995E-2</v>
      </c>
      <c r="K1982" s="2" t="s">
        <v>516</v>
      </c>
      <c r="L1982" s="2">
        <v>2024</v>
      </c>
      <c r="M1982" s="2" t="s">
        <v>251</v>
      </c>
      <c r="N1982" s="2" t="s">
        <v>21</v>
      </c>
      <c r="O1982">
        <f t="shared" si="60"/>
        <v>1.4399999999999977</v>
      </c>
      <c r="P1982">
        <f t="shared" si="61"/>
        <v>-12.795000000000011</v>
      </c>
    </row>
    <row r="1983" spans="1:16" x14ac:dyDescent="0.35">
      <c r="A1983" s="9" t="s">
        <v>530</v>
      </c>
      <c r="B1983" s="2">
        <v>153.6</v>
      </c>
      <c r="C1983" s="2">
        <v>156.06</v>
      </c>
      <c r="D1983" s="2">
        <v>152.81</v>
      </c>
      <c r="E1983" s="2">
        <v>155.5</v>
      </c>
      <c r="F1983" s="2">
        <v>10141056</v>
      </c>
      <c r="G1983" s="2" t="s">
        <v>563</v>
      </c>
      <c r="H1983" s="2" t="s">
        <v>564</v>
      </c>
      <c r="I1983" s="2" t="s">
        <v>565</v>
      </c>
      <c r="J1983" s="3">
        <v>1.5609999999999999</v>
      </c>
      <c r="K1983" s="2" t="s">
        <v>516</v>
      </c>
      <c r="L1983" s="2">
        <v>2024</v>
      </c>
      <c r="M1983" s="2" t="s">
        <v>251</v>
      </c>
      <c r="N1983" s="2" t="s">
        <v>21</v>
      </c>
      <c r="O1983">
        <f t="shared" si="60"/>
        <v>3.25</v>
      </c>
      <c r="P1983">
        <f t="shared" si="61"/>
        <v>-11.234000000000011</v>
      </c>
    </row>
    <row r="1984" spans="1:16" x14ac:dyDescent="0.35">
      <c r="A1984" s="9" t="s">
        <v>531</v>
      </c>
      <c r="B1984" s="2">
        <v>155.9</v>
      </c>
      <c r="C1984" s="2">
        <v>157.11500000000001</v>
      </c>
      <c r="D1984" s="2">
        <v>154.11000000000001</v>
      </c>
      <c r="E1984" s="2">
        <v>155.16999999999999</v>
      </c>
      <c r="F1984" s="2">
        <v>8265961</v>
      </c>
      <c r="G1984" s="2" t="s">
        <v>563</v>
      </c>
      <c r="H1984" s="2" t="s">
        <v>564</v>
      </c>
      <c r="I1984" s="2" t="s">
        <v>565</v>
      </c>
      <c r="J1984" s="4">
        <v>-0.21199999999999999</v>
      </c>
      <c r="K1984" s="2" t="s">
        <v>516</v>
      </c>
      <c r="L1984" s="2">
        <v>2024</v>
      </c>
      <c r="M1984" s="2" t="s">
        <v>251</v>
      </c>
      <c r="N1984" s="2" t="s">
        <v>23</v>
      </c>
      <c r="O1984">
        <f t="shared" si="60"/>
        <v>3.0049999999999955</v>
      </c>
      <c r="P1984">
        <f t="shared" si="61"/>
        <v>-11.44600000000001</v>
      </c>
    </row>
    <row r="1985" spans="1:16" x14ac:dyDescent="0.35">
      <c r="A1985" s="9" t="s">
        <v>532</v>
      </c>
      <c r="B1985" s="2">
        <v>155.16999999999999</v>
      </c>
      <c r="C1985" s="2">
        <v>157.035</v>
      </c>
      <c r="D1985" s="2">
        <v>155.13999999999999</v>
      </c>
      <c r="E1985" s="2">
        <v>155.78</v>
      </c>
      <c r="F1985" s="2">
        <v>12256242</v>
      </c>
      <c r="G1985" s="2" t="s">
        <v>563</v>
      </c>
      <c r="H1985" s="2" t="s">
        <v>564</v>
      </c>
      <c r="I1985" s="2" t="s">
        <v>565</v>
      </c>
      <c r="J1985" s="3">
        <v>0.39300000000000002</v>
      </c>
      <c r="K1985" s="2" t="s">
        <v>516</v>
      </c>
      <c r="L1985" s="2">
        <v>2024</v>
      </c>
      <c r="M1985" s="2" t="s">
        <v>251</v>
      </c>
      <c r="N1985" s="2" t="s">
        <v>21</v>
      </c>
      <c r="O1985">
        <f t="shared" si="60"/>
        <v>1.8950000000000102</v>
      </c>
      <c r="P1985">
        <f t="shared" si="61"/>
        <v>-11.05300000000001</v>
      </c>
    </row>
    <row r="1986" spans="1:16" x14ac:dyDescent="0.35">
      <c r="A1986" s="9" t="s">
        <v>533</v>
      </c>
      <c r="B1986" s="2">
        <v>155.185</v>
      </c>
      <c r="C1986" s="2">
        <v>155.25</v>
      </c>
      <c r="D1986" s="2">
        <v>153.16</v>
      </c>
      <c r="E1986" s="2">
        <v>154.52000000000001</v>
      </c>
      <c r="F1986" s="2">
        <v>5683499</v>
      </c>
      <c r="G1986" s="2" t="s">
        <v>563</v>
      </c>
      <c r="H1986" s="2" t="s">
        <v>564</v>
      </c>
      <c r="I1986" s="2" t="s">
        <v>565</v>
      </c>
      <c r="J1986" s="4">
        <v>-0.80900000000000005</v>
      </c>
      <c r="K1986" s="2" t="s">
        <v>516</v>
      </c>
      <c r="L1986" s="2">
        <v>2024</v>
      </c>
      <c r="M1986" s="2" t="s">
        <v>251</v>
      </c>
      <c r="N1986" s="2" t="s">
        <v>23</v>
      </c>
      <c r="O1986">
        <f t="shared" si="60"/>
        <v>2.0900000000000034</v>
      </c>
      <c r="P1986">
        <f t="shared" si="61"/>
        <v>-11.862000000000009</v>
      </c>
    </row>
    <row r="1987" spans="1:16" x14ac:dyDescent="0.35">
      <c r="A1987" s="9" t="s">
        <v>534</v>
      </c>
      <c r="B1987" s="2">
        <v>154.61000000000001</v>
      </c>
      <c r="C1987" s="2">
        <v>156.63</v>
      </c>
      <c r="D1987" s="2">
        <v>154.6</v>
      </c>
      <c r="E1987" s="2">
        <v>155.4</v>
      </c>
      <c r="F1987" s="2">
        <v>4140444</v>
      </c>
      <c r="G1987" s="2" t="s">
        <v>563</v>
      </c>
      <c r="H1987" s="2" t="s">
        <v>564</v>
      </c>
      <c r="I1987" s="2" t="s">
        <v>565</v>
      </c>
      <c r="J1987" s="3">
        <v>0.56999999999999995</v>
      </c>
      <c r="K1987" s="2" t="s">
        <v>516</v>
      </c>
      <c r="L1987" s="2">
        <v>2024</v>
      </c>
      <c r="M1987" s="2" t="s">
        <v>251</v>
      </c>
      <c r="N1987" s="2" t="s">
        <v>21</v>
      </c>
      <c r="O1987">
        <f t="shared" ref="O1987:O2050" si="62">C1987-D1987</f>
        <v>2.0300000000000011</v>
      </c>
      <c r="P1987">
        <f t="shared" si="61"/>
        <v>-11.292000000000009</v>
      </c>
    </row>
    <row r="1988" spans="1:16" x14ac:dyDescent="0.35">
      <c r="A1988" s="9" t="s">
        <v>535</v>
      </c>
      <c r="B1988" s="2">
        <v>154.16900000000001</v>
      </c>
      <c r="C1988" s="2">
        <v>155.66999999999999</v>
      </c>
      <c r="D1988" s="2">
        <v>154.16900000000001</v>
      </c>
      <c r="E1988" s="2">
        <v>155.01</v>
      </c>
      <c r="F1988" s="2">
        <v>5687821</v>
      </c>
      <c r="G1988" s="2" t="s">
        <v>563</v>
      </c>
      <c r="H1988" s="2" t="s">
        <v>564</v>
      </c>
      <c r="I1988" s="2" t="s">
        <v>565</v>
      </c>
      <c r="J1988" s="4">
        <v>-0.251</v>
      </c>
      <c r="K1988" s="2" t="s">
        <v>516</v>
      </c>
      <c r="L1988" s="2">
        <v>2024</v>
      </c>
      <c r="M1988" s="2" t="s">
        <v>251</v>
      </c>
      <c r="N1988" s="2" t="s">
        <v>23</v>
      </c>
      <c r="O1988">
        <f t="shared" si="62"/>
        <v>1.5009999999999764</v>
      </c>
      <c r="P1988">
        <f t="shared" ref="P1988:P2051" si="63">IF(G1988=G1987, P1987+J1988, J1988)</f>
        <v>-11.543000000000008</v>
      </c>
    </row>
    <row r="1989" spans="1:16" x14ac:dyDescent="0.35">
      <c r="A1989" s="9" t="s">
        <v>536</v>
      </c>
      <c r="B1989" s="2">
        <v>154.86000000000001</v>
      </c>
      <c r="C1989" s="2">
        <v>155</v>
      </c>
      <c r="D1989" s="2">
        <v>153.92599999999999</v>
      </c>
      <c r="E1989" s="2">
        <v>154.80000000000001</v>
      </c>
      <c r="F1989" s="2">
        <v>6946494</v>
      </c>
      <c r="G1989" s="2" t="s">
        <v>563</v>
      </c>
      <c r="H1989" s="2" t="s">
        <v>564</v>
      </c>
      <c r="I1989" s="2" t="s">
        <v>565</v>
      </c>
      <c r="J1989" s="4">
        <v>-0.13500000000000001</v>
      </c>
      <c r="K1989" s="2" t="s">
        <v>537</v>
      </c>
      <c r="L1989" s="2">
        <v>2024</v>
      </c>
      <c r="M1989" s="2" t="s">
        <v>274</v>
      </c>
      <c r="N1989" s="2" t="s">
        <v>23</v>
      </c>
      <c r="O1989">
        <f t="shared" si="62"/>
        <v>1.0740000000000123</v>
      </c>
      <c r="P1989">
        <f t="shared" si="63"/>
        <v>-11.678000000000008</v>
      </c>
    </row>
    <row r="1990" spans="1:16" x14ac:dyDescent="0.35">
      <c r="A1990" s="9" t="s">
        <v>538</v>
      </c>
      <c r="B1990" s="2">
        <v>154.44999999999999</v>
      </c>
      <c r="C1990" s="2">
        <v>154.80000000000001</v>
      </c>
      <c r="D1990" s="2">
        <v>152.30500000000001</v>
      </c>
      <c r="E1990" s="2">
        <v>152.36000000000001</v>
      </c>
      <c r="F1990" s="2">
        <v>8674415</v>
      </c>
      <c r="G1990" s="2" t="s">
        <v>563</v>
      </c>
      <c r="H1990" s="2" t="s">
        <v>564</v>
      </c>
      <c r="I1990" s="2" t="s">
        <v>565</v>
      </c>
      <c r="J1990" s="4">
        <v>-1.5760000000000001</v>
      </c>
      <c r="K1990" s="2" t="s">
        <v>537</v>
      </c>
      <c r="L1990" s="2">
        <v>2024</v>
      </c>
      <c r="M1990" s="2" t="s">
        <v>274</v>
      </c>
      <c r="N1990" s="2" t="s">
        <v>23</v>
      </c>
      <c r="O1990">
        <f t="shared" si="62"/>
        <v>2.4950000000000045</v>
      </c>
      <c r="P1990">
        <f t="shared" si="63"/>
        <v>-13.254000000000008</v>
      </c>
    </row>
    <row r="1991" spans="1:16" x14ac:dyDescent="0.35">
      <c r="A1991" s="9" t="s">
        <v>539</v>
      </c>
      <c r="B1991" s="2">
        <v>151.16999999999999</v>
      </c>
      <c r="C1991" s="2">
        <v>151.56</v>
      </c>
      <c r="D1991" s="2">
        <v>149.75</v>
      </c>
      <c r="E1991" s="2">
        <v>150.47</v>
      </c>
      <c r="F1991" s="2">
        <v>10333110</v>
      </c>
      <c r="G1991" s="2" t="s">
        <v>563</v>
      </c>
      <c r="H1991" s="2" t="s">
        <v>564</v>
      </c>
      <c r="I1991" s="2" t="s">
        <v>565</v>
      </c>
      <c r="J1991" s="4">
        <v>-1.24</v>
      </c>
      <c r="K1991" s="2" t="s">
        <v>537</v>
      </c>
      <c r="L1991" s="2">
        <v>2024</v>
      </c>
      <c r="M1991" s="2" t="s">
        <v>274</v>
      </c>
      <c r="N1991" s="2" t="s">
        <v>23</v>
      </c>
      <c r="O1991">
        <f t="shared" si="62"/>
        <v>1.8100000000000023</v>
      </c>
      <c r="P1991">
        <f t="shared" si="63"/>
        <v>-14.494000000000009</v>
      </c>
    </row>
    <row r="1992" spans="1:16" x14ac:dyDescent="0.35">
      <c r="A1992" s="9" t="s">
        <v>540</v>
      </c>
      <c r="B1992" s="2">
        <v>150</v>
      </c>
      <c r="C1992" s="2">
        <v>150.38</v>
      </c>
      <c r="D1992" s="2">
        <v>148.94999999999999</v>
      </c>
      <c r="E1992" s="2">
        <v>149.52000000000001</v>
      </c>
      <c r="F1992" s="2">
        <v>7898098</v>
      </c>
      <c r="G1992" s="2" t="s">
        <v>563</v>
      </c>
      <c r="H1992" s="2" t="s">
        <v>564</v>
      </c>
      <c r="I1992" s="2" t="s">
        <v>565</v>
      </c>
      <c r="J1992" s="4">
        <v>-0.63100000000000001</v>
      </c>
      <c r="K1992" s="2" t="s">
        <v>537</v>
      </c>
      <c r="L1992" s="2">
        <v>2024</v>
      </c>
      <c r="M1992" s="2" t="s">
        <v>274</v>
      </c>
      <c r="N1992" s="2" t="s">
        <v>23</v>
      </c>
      <c r="O1992">
        <f t="shared" si="62"/>
        <v>1.4300000000000068</v>
      </c>
      <c r="P1992">
        <f t="shared" si="63"/>
        <v>-15.125000000000009</v>
      </c>
    </row>
    <row r="1993" spans="1:16" x14ac:dyDescent="0.35">
      <c r="A1993" s="9" t="s">
        <v>541</v>
      </c>
      <c r="B1993" s="2">
        <v>149.38999999999999</v>
      </c>
      <c r="C1993" s="2">
        <v>150.05000000000001</v>
      </c>
      <c r="D1993" s="2">
        <v>148.38</v>
      </c>
      <c r="E1993" s="2">
        <v>149.31</v>
      </c>
      <c r="F1993" s="2">
        <v>8389611</v>
      </c>
      <c r="G1993" s="2" t="s">
        <v>563</v>
      </c>
      <c r="H1993" s="2" t="s">
        <v>564</v>
      </c>
      <c r="I1993" s="2" t="s">
        <v>565</v>
      </c>
      <c r="J1993" s="4">
        <v>-0.14000000000000001</v>
      </c>
      <c r="K1993" s="2" t="s">
        <v>537</v>
      </c>
      <c r="L1993" s="2">
        <v>2024</v>
      </c>
      <c r="M1993" s="2" t="s">
        <v>274</v>
      </c>
      <c r="N1993" s="2" t="s">
        <v>23</v>
      </c>
      <c r="O1993">
        <f t="shared" si="62"/>
        <v>1.6700000000000159</v>
      </c>
      <c r="P1993">
        <f t="shared" si="63"/>
        <v>-15.265000000000009</v>
      </c>
    </row>
    <row r="1994" spans="1:16" x14ac:dyDescent="0.35">
      <c r="A1994" s="9" t="s">
        <v>542</v>
      </c>
      <c r="B1994" s="2">
        <v>149.29</v>
      </c>
      <c r="C1994" s="2">
        <v>150.88999999999999</v>
      </c>
      <c r="D1994" s="2">
        <v>148.44</v>
      </c>
      <c r="E1994" s="2">
        <v>149.6</v>
      </c>
      <c r="F1994" s="2">
        <v>8410303</v>
      </c>
      <c r="G1994" s="2" t="s">
        <v>563</v>
      </c>
      <c r="H1994" s="2" t="s">
        <v>564</v>
      </c>
      <c r="I1994" s="2" t="s">
        <v>565</v>
      </c>
      <c r="J1994" s="3">
        <v>0.19400000000000001</v>
      </c>
      <c r="K1994" s="2" t="s">
        <v>537</v>
      </c>
      <c r="L1994" s="2">
        <v>2024</v>
      </c>
      <c r="M1994" s="2" t="s">
        <v>274</v>
      </c>
      <c r="N1994" s="2" t="s">
        <v>21</v>
      </c>
      <c r="O1994">
        <f t="shared" si="62"/>
        <v>2.4499999999999886</v>
      </c>
      <c r="P1994">
        <f t="shared" si="63"/>
        <v>-15.071000000000009</v>
      </c>
    </row>
    <row r="1995" spans="1:16" x14ac:dyDescent="0.35">
      <c r="A1995" s="9" t="s">
        <v>543</v>
      </c>
      <c r="B1995" s="2">
        <v>149.88999999999999</v>
      </c>
      <c r="C1995" s="2">
        <v>150.83000000000001</v>
      </c>
      <c r="D1995" s="2">
        <v>148.33000000000001</v>
      </c>
      <c r="E1995" s="2">
        <v>149.22999999999999</v>
      </c>
      <c r="F1995" s="2">
        <v>9398671</v>
      </c>
      <c r="G1995" s="2" t="s">
        <v>563</v>
      </c>
      <c r="H1995" s="2" t="s">
        <v>564</v>
      </c>
      <c r="I1995" s="2" t="s">
        <v>565</v>
      </c>
      <c r="J1995" s="4">
        <v>-0.247</v>
      </c>
      <c r="K1995" s="2" t="s">
        <v>537</v>
      </c>
      <c r="L1995" s="2">
        <v>2024</v>
      </c>
      <c r="M1995" s="2" t="s">
        <v>274</v>
      </c>
      <c r="N1995" s="2" t="s">
        <v>23</v>
      </c>
      <c r="O1995">
        <f t="shared" si="62"/>
        <v>2.5</v>
      </c>
      <c r="P1995">
        <f t="shared" si="63"/>
        <v>-15.318000000000008</v>
      </c>
    </row>
    <row r="1996" spans="1:16" x14ac:dyDescent="0.35">
      <c r="A1996" s="9" t="s">
        <v>544</v>
      </c>
      <c r="B1996" s="2">
        <v>148.5</v>
      </c>
      <c r="C1996" s="2">
        <v>148.5</v>
      </c>
      <c r="D1996" s="2">
        <v>146.37</v>
      </c>
      <c r="E1996" s="2">
        <v>146.63999999999999</v>
      </c>
      <c r="F1996" s="2">
        <v>13446656</v>
      </c>
      <c r="G1996" s="2" t="s">
        <v>563</v>
      </c>
      <c r="H1996" s="2" t="s">
        <v>564</v>
      </c>
      <c r="I1996" s="2" t="s">
        <v>565</v>
      </c>
      <c r="J1996" s="4">
        <v>-1.736</v>
      </c>
      <c r="K1996" s="2" t="s">
        <v>537</v>
      </c>
      <c r="L1996" s="2">
        <v>2024</v>
      </c>
      <c r="M1996" s="2" t="s">
        <v>274</v>
      </c>
      <c r="N1996" s="2" t="s">
        <v>23</v>
      </c>
      <c r="O1996">
        <f t="shared" si="62"/>
        <v>2.1299999999999955</v>
      </c>
      <c r="P1996">
        <f t="shared" si="63"/>
        <v>-17.054000000000009</v>
      </c>
    </row>
    <row r="1997" spans="1:16" x14ac:dyDescent="0.35">
      <c r="A1997" s="9" t="s">
        <v>545</v>
      </c>
      <c r="B1997" s="2">
        <v>147.13999999999999</v>
      </c>
      <c r="C1997" s="2">
        <v>147.77000000000001</v>
      </c>
      <c r="D1997" s="2">
        <v>146.01</v>
      </c>
      <c r="E1997" s="2">
        <v>146.24</v>
      </c>
      <c r="F1997" s="2">
        <v>6176269</v>
      </c>
      <c r="G1997" s="2" t="s">
        <v>563</v>
      </c>
      <c r="H1997" s="2" t="s">
        <v>564</v>
      </c>
      <c r="I1997" s="2" t="s">
        <v>565</v>
      </c>
      <c r="J1997" s="4">
        <v>-0.27300000000000002</v>
      </c>
      <c r="K1997" s="2" t="s">
        <v>537</v>
      </c>
      <c r="L1997" s="2">
        <v>2024</v>
      </c>
      <c r="M1997" s="2" t="s">
        <v>274</v>
      </c>
      <c r="N1997" s="2" t="s">
        <v>23</v>
      </c>
      <c r="O1997">
        <f t="shared" si="62"/>
        <v>1.7600000000000193</v>
      </c>
      <c r="P1997">
        <f t="shared" si="63"/>
        <v>-17.327000000000009</v>
      </c>
    </row>
    <row r="1998" spans="1:16" x14ac:dyDescent="0.35">
      <c r="A1998" s="9" t="s">
        <v>546</v>
      </c>
      <c r="B1998" s="2">
        <v>145.69999999999999</v>
      </c>
      <c r="C1998" s="2">
        <v>146.93</v>
      </c>
      <c r="D1998" s="2">
        <v>145.04</v>
      </c>
      <c r="E1998" s="2">
        <v>146.62</v>
      </c>
      <c r="F1998" s="2">
        <v>8324900</v>
      </c>
      <c r="G1998" s="2" t="s">
        <v>563</v>
      </c>
      <c r="H1998" s="2" t="s">
        <v>564</v>
      </c>
      <c r="I1998" s="2" t="s">
        <v>565</v>
      </c>
      <c r="J1998" s="3">
        <v>0.26</v>
      </c>
      <c r="K1998" s="2" t="s">
        <v>537</v>
      </c>
      <c r="L1998" s="2">
        <v>2024</v>
      </c>
      <c r="M1998" s="2" t="s">
        <v>274</v>
      </c>
      <c r="N1998" s="2" t="s">
        <v>21</v>
      </c>
      <c r="O1998">
        <f t="shared" si="62"/>
        <v>1.8900000000000148</v>
      </c>
      <c r="P1998">
        <f t="shared" si="63"/>
        <v>-17.067000000000007</v>
      </c>
    </row>
    <row r="1999" spans="1:16" x14ac:dyDescent="0.35">
      <c r="A1999" s="9" t="s">
        <v>547</v>
      </c>
      <c r="B1999" s="2">
        <v>146.80000000000001</v>
      </c>
      <c r="C1999" s="2">
        <v>147.25</v>
      </c>
      <c r="D1999" s="2">
        <v>143.52000000000001</v>
      </c>
      <c r="E1999" s="2">
        <v>143.85</v>
      </c>
      <c r="F1999" s="2">
        <v>8732378</v>
      </c>
      <c r="G1999" s="2" t="s">
        <v>563</v>
      </c>
      <c r="H1999" s="2" t="s">
        <v>564</v>
      </c>
      <c r="I1999" s="2" t="s">
        <v>565</v>
      </c>
      <c r="J1999" s="4">
        <v>-1.889</v>
      </c>
      <c r="K1999" s="2" t="s">
        <v>537</v>
      </c>
      <c r="L1999" s="2">
        <v>2024</v>
      </c>
      <c r="M1999" s="2" t="s">
        <v>274</v>
      </c>
      <c r="N1999" s="2" t="s">
        <v>23</v>
      </c>
      <c r="O1999">
        <f t="shared" si="62"/>
        <v>3.7299999999999898</v>
      </c>
      <c r="P1999">
        <f t="shared" si="63"/>
        <v>-18.956000000000007</v>
      </c>
    </row>
    <row r="2000" spans="1:16" x14ac:dyDescent="0.35">
      <c r="A2000" s="9" t="s">
        <v>548</v>
      </c>
      <c r="B2000" s="2">
        <v>143.84</v>
      </c>
      <c r="C2000" s="2">
        <v>146.66</v>
      </c>
      <c r="D2000" s="2">
        <v>143.71</v>
      </c>
      <c r="E2000" s="2">
        <v>146.41</v>
      </c>
      <c r="F2000" s="2">
        <v>10342958</v>
      </c>
      <c r="G2000" s="2" t="s">
        <v>563</v>
      </c>
      <c r="H2000" s="2" t="s">
        <v>564</v>
      </c>
      <c r="I2000" s="2" t="s">
        <v>565</v>
      </c>
      <c r="J2000" s="3">
        <v>1.78</v>
      </c>
      <c r="K2000" s="2" t="s">
        <v>537</v>
      </c>
      <c r="L2000" s="2">
        <v>2024</v>
      </c>
      <c r="M2000" s="2" t="s">
        <v>274</v>
      </c>
      <c r="N2000" s="2" t="s">
        <v>21</v>
      </c>
      <c r="O2000">
        <f t="shared" si="62"/>
        <v>2.9499999999999886</v>
      </c>
      <c r="P2000">
        <f t="shared" si="63"/>
        <v>-17.176000000000005</v>
      </c>
    </row>
    <row r="2001" spans="1:16" x14ac:dyDescent="0.35">
      <c r="A2001" s="9" t="s">
        <v>549</v>
      </c>
      <c r="B2001" s="2">
        <v>145.678</v>
      </c>
      <c r="C2001" s="2">
        <v>146.74</v>
      </c>
      <c r="D2001" s="2">
        <v>144.66999999999999</v>
      </c>
      <c r="E2001" s="2">
        <v>144.75</v>
      </c>
      <c r="F2001" s="2">
        <v>9336094</v>
      </c>
      <c r="G2001" s="2" t="s">
        <v>563</v>
      </c>
      <c r="H2001" s="2" t="s">
        <v>564</v>
      </c>
      <c r="I2001" s="2" t="s">
        <v>565</v>
      </c>
      <c r="J2001" s="4">
        <v>-1.1339999999999999</v>
      </c>
      <c r="K2001" s="2" t="s">
        <v>537</v>
      </c>
      <c r="L2001" s="2">
        <v>2024</v>
      </c>
      <c r="M2001" s="2" t="s">
        <v>274</v>
      </c>
      <c r="N2001" s="2" t="s">
        <v>23</v>
      </c>
      <c r="O2001">
        <f t="shared" si="62"/>
        <v>2.0700000000000216</v>
      </c>
      <c r="P2001">
        <f t="shared" si="63"/>
        <v>-18.310000000000006</v>
      </c>
    </row>
    <row r="2002" spans="1:16" x14ac:dyDescent="0.35">
      <c r="A2002" s="9" t="s">
        <v>550</v>
      </c>
      <c r="B2002" s="2">
        <v>144.27000000000001</v>
      </c>
      <c r="C2002" s="2">
        <v>145.22</v>
      </c>
      <c r="D2002" s="2">
        <v>143.37</v>
      </c>
      <c r="E2002" s="2">
        <v>143.58000000000001</v>
      </c>
      <c r="F2002" s="2">
        <v>9516653</v>
      </c>
      <c r="G2002" s="2" t="s">
        <v>563</v>
      </c>
      <c r="H2002" s="2" t="s">
        <v>564</v>
      </c>
      <c r="I2002" s="2" t="s">
        <v>565</v>
      </c>
      <c r="J2002" s="4">
        <v>-0.80800000000000005</v>
      </c>
      <c r="K2002" s="2" t="s">
        <v>537</v>
      </c>
      <c r="L2002" s="2">
        <v>2024</v>
      </c>
      <c r="M2002" s="2" t="s">
        <v>274</v>
      </c>
      <c r="N2002" s="2" t="s">
        <v>23</v>
      </c>
      <c r="O2002">
        <f t="shared" si="62"/>
        <v>1.8499999999999943</v>
      </c>
      <c r="P2002">
        <f t="shared" si="63"/>
        <v>-19.118000000000006</v>
      </c>
    </row>
    <row r="2003" spans="1:16" x14ac:dyDescent="0.35">
      <c r="A2003" s="9" t="s">
        <v>551</v>
      </c>
      <c r="B2003" s="2">
        <v>142.75399999999999</v>
      </c>
      <c r="C2003" s="2">
        <v>145.47</v>
      </c>
      <c r="D2003" s="2">
        <v>142.75</v>
      </c>
      <c r="E2003" s="2">
        <v>144.47</v>
      </c>
      <c r="F2003" s="2">
        <v>17702755</v>
      </c>
      <c r="G2003" s="2" t="s">
        <v>563</v>
      </c>
      <c r="H2003" s="2" t="s">
        <v>564</v>
      </c>
      <c r="I2003" s="2" t="s">
        <v>565</v>
      </c>
      <c r="J2003" s="3">
        <v>0.62</v>
      </c>
      <c r="K2003" s="2" t="s">
        <v>537</v>
      </c>
      <c r="L2003" s="2">
        <v>2024</v>
      </c>
      <c r="M2003" s="2" t="s">
        <v>274</v>
      </c>
      <c r="N2003" s="2" t="s">
        <v>21</v>
      </c>
      <c r="O2003">
        <f t="shared" si="62"/>
        <v>2.7199999999999989</v>
      </c>
      <c r="P2003">
        <f t="shared" si="63"/>
        <v>-18.498000000000005</v>
      </c>
    </row>
    <row r="2004" spans="1:16" x14ac:dyDescent="0.35">
      <c r="A2004" s="9" t="s">
        <v>552</v>
      </c>
      <c r="B2004" s="2">
        <v>144.31</v>
      </c>
      <c r="C2004" s="2">
        <v>145.33000000000001</v>
      </c>
      <c r="D2004" s="2">
        <v>143.44999999999999</v>
      </c>
      <c r="E2004" s="2">
        <v>145.27000000000001</v>
      </c>
      <c r="F2004" s="2">
        <v>8720824</v>
      </c>
      <c r="G2004" s="2" t="s">
        <v>563</v>
      </c>
      <c r="H2004" s="2" t="s">
        <v>564</v>
      </c>
      <c r="I2004" s="2" t="s">
        <v>565</v>
      </c>
      <c r="J2004" s="3">
        <v>0.55400000000000005</v>
      </c>
      <c r="K2004" s="2" t="s">
        <v>537</v>
      </c>
      <c r="L2004" s="2">
        <v>2024</v>
      </c>
      <c r="M2004" s="2" t="s">
        <v>274</v>
      </c>
      <c r="N2004" s="2" t="s">
        <v>21</v>
      </c>
      <c r="O2004">
        <f t="shared" si="62"/>
        <v>1.8800000000000239</v>
      </c>
      <c r="P2004">
        <f t="shared" si="63"/>
        <v>-17.944000000000006</v>
      </c>
    </row>
    <row r="2005" spans="1:16" x14ac:dyDescent="0.35">
      <c r="A2005" s="9" t="s">
        <v>553</v>
      </c>
      <c r="B2005" s="2">
        <v>145.01</v>
      </c>
      <c r="C2005" s="2">
        <v>145.85</v>
      </c>
      <c r="D2005" s="2">
        <v>144.333</v>
      </c>
      <c r="E2005" s="2">
        <v>145.85</v>
      </c>
      <c r="F2005" s="2">
        <v>3164071</v>
      </c>
      <c r="G2005" s="2" t="s">
        <v>563</v>
      </c>
      <c r="H2005" s="2" t="s">
        <v>564</v>
      </c>
      <c r="I2005" s="2" t="s">
        <v>565</v>
      </c>
      <c r="J2005" s="3">
        <v>0.39900000000000002</v>
      </c>
      <c r="K2005" s="2" t="s">
        <v>537</v>
      </c>
      <c r="L2005" s="2">
        <v>2024</v>
      </c>
      <c r="M2005" s="2" t="s">
        <v>274</v>
      </c>
      <c r="N2005" s="2" t="s">
        <v>21</v>
      </c>
      <c r="O2005">
        <f t="shared" si="62"/>
        <v>1.5169999999999959</v>
      </c>
      <c r="P2005">
        <f t="shared" si="63"/>
        <v>-17.545000000000005</v>
      </c>
    </row>
    <row r="2006" spans="1:16" x14ac:dyDescent="0.35">
      <c r="A2006" s="9" t="s">
        <v>554</v>
      </c>
      <c r="B2006" s="2">
        <v>145.55000000000001</v>
      </c>
      <c r="C2006" s="2">
        <v>146.37</v>
      </c>
      <c r="D2006" s="2">
        <v>145.09</v>
      </c>
      <c r="E2006" s="2">
        <v>145.58000000000001</v>
      </c>
      <c r="F2006" s="2">
        <v>4656981</v>
      </c>
      <c r="G2006" s="2" t="s">
        <v>563</v>
      </c>
      <c r="H2006" s="2" t="s">
        <v>564</v>
      </c>
      <c r="I2006" s="2" t="s">
        <v>565</v>
      </c>
      <c r="J2006" s="4">
        <v>-0.185</v>
      </c>
      <c r="K2006" s="2" t="s">
        <v>537</v>
      </c>
      <c r="L2006" s="2">
        <v>2024</v>
      </c>
      <c r="M2006" s="2" t="s">
        <v>274</v>
      </c>
      <c r="N2006" s="2" t="s">
        <v>23</v>
      </c>
      <c r="O2006">
        <f t="shared" si="62"/>
        <v>1.2800000000000011</v>
      </c>
      <c r="P2006">
        <f t="shared" si="63"/>
        <v>-17.730000000000004</v>
      </c>
    </row>
    <row r="2007" spans="1:16" x14ac:dyDescent="0.35">
      <c r="A2007" s="9" t="s">
        <v>555</v>
      </c>
      <c r="B2007" s="2">
        <v>144.80000000000001</v>
      </c>
      <c r="C2007" s="2">
        <v>146.6</v>
      </c>
      <c r="D2007" s="2">
        <v>144.68</v>
      </c>
      <c r="E2007" s="2">
        <v>145.05000000000001</v>
      </c>
      <c r="F2007" s="2">
        <v>5588306</v>
      </c>
      <c r="G2007" s="2" t="s">
        <v>563</v>
      </c>
      <c r="H2007" s="2" t="s">
        <v>564</v>
      </c>
      <c r="I2007" s="2" t="s">
        <v>565</v>
      </c>
      <c r="J2007" s="4">
        <v>-0.36399999999999999</v>
      </c>
      <c r="K2007" s="2" t="s">
        <v>537</v>
      </c>
      <c r="L2007" s="2">
        <v>2024</v>
      </c>
      <c r="M2007" s="2" t="s">
        <v>274</v>
      </c>
      <c r="N2007" s="2" t="s">
        <v>23</v>
      </c>
      <c r="O2007">
        <f t="shared" si="62"/>
        <v>1.9199999999999875</v>
      </c>
      <c r="P2007">
        <f t="shared" si="63"/>
        <v>-18.094000000000005</v>
      </c>
    </row>
    <row r="2008" spans="1:16" x14ac:dyDescent="0.35">
      <c r="A2008" s="9" t="s">
        <v>556</v>
      </c>
      <c r="B2008" s="2">
        <v>144.80000000000001</v>
      </c>
      <c r="C2008" s="2">
        <v>144.88</v>
      </c>
      <c r="D2008" s="2">
        <v>142.94999999999999</v>
      </c>
      <c r="E2008" s="2">
        <v>143.34</v>
      </c>
      <c r="F2008" s="2">
        <v>6268692</v>
      </c>
      <c r="G2008" s="2" t="s">
        <v>563</v>
      </c>
      <c r="H2008" s="2" t="s">
        <v>564</v>
      </c>
      <c r="I2008" s="2" t="s">
        <v>565</v>
      </c>
      <c r="J2008" s="4">
        <v>-1.179</v>
      </c>
      <c r="K2008" s="2" t="s">
        <v>537</v>
      </c>
      <c r="L2008" s="2">
        <v>2024</v>
      </c>
      <c r="M2008" s="2" t="s">
        <v>274</v>
      </c>
      <c r="N2008" s="2" t="s">
        <v>23</v>
      </c>
      <c r="O2008">
        <f t="shared" si="62"/>
        <v>1.9300000000000068</v>
      </c>
      <c r="P2008">
        <f t="shared" si="63"/>
        <v>-19.273000000000003</v>
      </c>
    </row>
    <row r="2009" spans="1:16" x14ac:dyDescent="0.35">
      <c r="A2009" s="9" t="s">
        <v>557</v>
      </c>
      <c r="B2009" s="2">
        <v>143.67500000000001</v>
      </c>
      <c r="C2009" s="2">
        <v>144.66999999999999</v>
      </c>
      <c r="D2009" s="2">
        <v>143.31</v>
      </c>
      <c r="E2009" s="2">
        <v>144.62</v>
      </c>
      <c r="F2009" s="2">
        <v>5811401</v>
      </c>
      <c r="G2009" s="2" t="s">
        <v>563</v>
      </c>
      <c r="H2009" s="2" t="s">
        <v>564</v>
      </c>
      <c r="I2009" s="2" t="s">
        <v>565</v>
      </c>
      <c r="J2009" s="3">
        <v>0.89300000000000002</v>
      </c>
      <c r="K2009" s="2" t="s">
        <v>537</v>
      </c>
      <c r="L2009" s="2">
        <v>2024</v>
      </c>
      <c r="M2009" s="2" t="s">
        <v>274</v>
      </c>
      <c r="N2009" s="2" t="s">
        <v>21</v>
      </c>
      <c r="O2009">
        <f t="shared" si="62"/>
        <v>1.3599999999999852</v>
      </c>
      <c r="P2009">
        <f t="shared" si="63"/>
        <v>-18.380000000000003</v>
      </c>
    </row>
    <row r="2010" spans="1:16" x14ac:dyDescent="0.35">
      <c r="A2010" s="9" t="s">
        <v>14</v>
      </c>
      <c r="B2010" s="2">
        <v>135.24</v>
      </c>
      <c r="C2010" s="2">
        <v>136.74</v>
      </c>
      <c r="D2010" s="2">
        <v>133.88999999999999</v>
      </c>
      <c r="E2010" s="2">
        <v>135.12</v>
      </c>
      <c r="F2010" s="2">
        <v>11054778</v>
      </c>
      <c r="G2010" s="2" t="s">
        <v>566</v>
      </c>
      <c r="H2010" s="2" t="s">
        <v>567</v>
      </c>
      <c r="I2010" s="2" t="s">
        <v>568</v>
      </c>
      <c r="J2010" s="2"/>
      <c r="K2010" s="2" t="s">
        <v>18</v>
      </c>
      <c r="L2010" s="2">
        <v>2023</v>
      </c>
      <c r="M2010" s="2" t="s">
        <v>19</v>
      </c>
      <c r="N2010" s="2"/>
      <c r="O2010">
        <f t="shared" si="62"/>
        <v>2.8500000000000227</v>
      </c>
      <c r="P2010">
        <f t="shared" si="63"/>
        <v>0</v>
      </c>
    </row>
    <row r="2011" spans="1:16" x14ac:dyDescent="0.35">
      <c r="A2011" s="9" t="s">
        <v>20</v>
      </c>
      <c r="B2011" s="2">
        <v>135.99</v>
      </c>
      <c r="C2011" s="2">
        <v>137.68</v>
      </c>
      <c r="D2011" s="2">
        <v>135.57</v>
      </c>
      <c r="E2011" s="2">
        <v>136.38</v>
      </c>
      <c r="F2011" s="2">
        <v>11687643</v>
      </c>
      <c r="G2011" s="2" t="s">
        <v>566</v>
      </c>
      <c r="H2011" s="2" t="s">
        <v>567</v>
      </c>
      <c r="I2011" s="2" t="s">
        <v>568</v>
      </c>
      <c r="J2011" s="3">
        <v>0.93300000000000005</v>
      </c>
      <c r="K2011" s="2" t="s">
        <v>18</v>
      </c>
      <c r="L2011" s="2">
        <v>2023</v>
      </c>
      <c r="M2011" s="2" t="s">
        <v>19</v>
      </c>
      <c r="N2011" s="2" t="s">
        <v>21</v>
      </c>
      <c r="O2011">
        <f t="shared" si="62"/>
        <v>2.1100000000000136</v>
      </c>
      <c r="P2011">
        <f t="shared" si="63"/>
        <v>0.93300000000000005</v>
      </c>
    </row>
    <row r="2012" spans="1:16" x14ac:dyDescent="0.35">
      <c r="A2012" s="9" t="s">
        <v>22</v>
      </c>
      <c r="B2012" s="2">
        <v>135.66</v>
      </c>
      <c r="C2012" s="2">
        <v>135.71</v>
      </c>
      <c r="D2012" s="2">
        <v>133.69999999999999</v>
      </c>
      <c r="E2012" s="2">
        <v>135.35</v>
      </c>
      <c r="F2012" s="2">
        <v>8381265</v>
      </c>
      <c r="G2012" s="2" t="s">
        <v>566</v>
      </c>
      <c r="H2012" s="2" t="s">
        <v>567</v>
      </c>
      <c r="I2012" s="2" t="s">
        <v>568</v>
      </c>
      <c r="J2012" s="4">
        <v>-0.755</v>
      </c>
      <c r="K2012" s="2" t="s">
        <v>18</v>
      </c>
      <c r="L2012" s="2">
        <v>2023</v>
      </c>
      <c r="M2012" s="2" t="s">
        <v>19</v>
      </c>
      <c r="N2012" s="2" t="s">
        <v>23</v>
      </c>
      <c r="O2012">
        <f t="shared" si="62"/>
        <v>2.0100000000000193</v>
      </c>
      <c r="P2012">
        <f t="shared" si="63"/>
        <v>0.17800000000000005</v>
      </c>
    </row>
    <row r="2013" spans="1:16" x14ac:dyDescent="0.35">
      <c r="A2013" s="9" t="s">
        <v>24</v>
      </c>
      <c r="B2013" s="2">
        <v>136.125</v>
      </c>
      <c r="C2013" s="2">
        <v>138.38</v>
      </c>
      <c r="D2013" s="2">
        <v>134.49</v>
      </c>
      <c r="E2013" s="2">
        <v>137.94</v>
      </c>
      <c r="F2013" s="2">
        <v>10029076</v>
      </c>
      <c r="G2013" s="2" t="s">
        <v>566</v>
      </c>
      <c r="H2013" s="2" t="s">
        <v>567</v>
      </c>
      <c r="I2013" s="2" t="s">
        <v>568</v>
      </c>
      <c r="J2013" s="3">
        <v>1.9139999999999999</v>
      </c>
      <c r="K2013" s="2" t="s">
        <v>18</v>
      </c>
      <c r="L2013" s="2">
        <v>2023</v>
      </c>
      <c r="M2013" s="2" t="s">
        <v>19</v>
      </c>
      <c r="N2013" s="2" t="s">
        <v>21</v>
      </c>
      <c r="O2013">
        <f t="shared" si="62"/>
        <v>3.8899999999999864</v>
      </c>
      <c r="P2013">
        <f t="shared" si="63"/>
        <v>2.0920000000000001</v>
      </c>
    </row>
    <row r="2014" spans="1:16" x14ac:dyDescent="0.35">
      <c r="A2014" s="9" t="s">
        <v>25</v>
      </c>
      <c r="B2014" s="2">
        <v>138.6</v>
      </c>
      <c r="C2014" s="2">
        <v>138.88</v>
      </c>
      <c r="D2014" s="2">
        <v>136.88</v>
      </c>
      <c r="E2014" s="2">
        <v>137.37</v>
      </c>
      <c r="F2014" s="2">
        <v>8482297</v>
      </c>
      <c r="G2014" s="2" t="s">
        <v>566</v>
      </c>
      <c r="H2014" s="2" t="s">
        <v>567</v>
      </c>
      <c r="I2014" s="2" t="s">
        <v>568</v>
      </c>
      <c r="J2014" s="4">
        <v>-0.41299999999999998</v>
      </c>
      <c r="K2014" s="2" t="s">
        <v>18</v>
      </c>
      <c r="L2014" s="2">
        <v>2023</v>
      </c>
      <c r="M2014" s="2" t="s">
        <v>19</v>
      </c>
      <c r="N2014" s="2" t="s">
        <v>23</v>
      </c>
      <c r="O2014">
        <f t="shared" si="62"/>
        <v>2</v>
      </c>
      <c r="P2014">
        <f t="shared" si="63"/>
        <v>1.679</v>
      </c>
    </row>
    <row r="2015" spans="1:16" x14ac:dyDescent="0.35">
      <c r="A2015" s="9" t="s">
        <v>26</v>
      </c>
      <c r="B2015" s="2">
        <v>137.79</v>
      </c>
      <c r="C2015" s="2">
        <v>138.72</v>
      </c>
      <c r="D2015" s="2">
        <v>137.31</v>
      </c>
      <c r="E2015" s="2">
        <v>138.6</v>
      </c>
      <c r="F2015" s="2">
        <v>9048665</v>
      </c>
      <c r="G2015" s="2" t="s">
        <v>566</v>
      </c>
      <c r="H2015" s="2" t="s">
        <v>567</v>
      </c>
      <c r="I2015" s="2" t="s">
        <v>568</v>
      </c>
      <c r="J2015" s="3">
        <v>0.89500000000000002</v>
      </c>
      <c r="K2015" s="2" t="s">
        <v>18</v>
      </c>
      <c r="L2015" s="2">
        <v>2023</v>
      </c>
      <c r="M2015" s="2" t="s">
        <v>19</v>
      </c>
      <c r="N2015" s="2" t="s">
        <v>21</v>
      </c>
      <c r="O2015">
        <f t="shared" si="62"/>
        <v>1.4099999999999966</v>
      </c>
      <c r="P2015">
        <f t="shared" si="63"/>
        <v>2.5739999999999998</v>
      </c>
    </row>
    <row r="2016" spans="1:16" x14ac:dyDescent="0.35">
      <c r="A2016" s="9" t="s">
        <v>27</v>
      </c>
      <c r="B2016" s="2">
        <v>138.9</v>
      </c>
      <c r="C2016" s="2">
        <v>139.75</v>
      </c>
      <c r="D2016" s="2">
        <v>138.1</v>
      </c>
      <c r="E2016" s="2">
        <v>139.63</v>
      </c>
      <c r="F2016" s="2">
        <v>8703698</v>
      </c>
      <c r="G2016" s="2" t="s">
        <v>566</v>
      </c>
      <c r="H2016" s="2" t="s">
        <v>567</v>
      </c>
      <c r="I2016" s="2" t="s">
        <v>568</v>
      </c>
      <c r="J2016" s="3">
        <v>0.74299999999999999</v>
      </c>
      <c r="K2016" s="2" t="s">
        <v>18</v>
      </c>
      <c r="L2016" s="2">
        <v>2023</v>
      </c>
      <c r="M2016" s="2" t="s">
        <v>19</v>
      </c>
      <c r="N2016" s="2" t="s">
        <v>21</v>
      </c>
      <c r="O2016">
        <f t="shared" si="62"/>
        <v>1.6500000000000057</v>
      </c>
      <c r="P2016">
        <f t="shared" si="63"/>
        <v>3.3169999999999997</v>
      </c>
    </row>
    <row r="2017" spans="1:16" x14ac:dyDescent="0.35">
      <c r="A2017" s="9" t="s">
        <v>28</v>
      </c>
      <c r="B2017" s="2">
        <v>140</v>
      </c>
      <c r="C2017" s="2">
        <v>140.86000000000001</v>
      </c>
      <c r="D2017" s="2">
        <v>139.22</v>
      </c>
      <c r="E2017" s="2">
        <v>139.49</v>
      </c>
      <c r="F2017" s="2">
        <v>11001666</v>
      </c>
      <c r="G2017" s="2" t="s">
        <v>566</v>
      </c>
      <c r="H2017" s="2" t="s">
        <v>567</v>
      </c>
      <c r="I2017" s="2" t="s">
        <v>568</v>
      </c>
      <c r="J2017" s="4">
        <v>-0.1</v>
      </c>
      <c r="K2017" s="2" t="s">
        <v>18</v>
      </c>
      <c r="L2017" s="2">
        <v>2023</v>
      </c>
      <c r="M2017" s="2" t="s">
        <v>19</v>
      </c>
      <c r="N2017" s="2" t="s">
        <v>23</v>
      </c>
      <c r="O2017">
        <f t="shared" si="62"/>
        <v>1.6400000000000148</v>
      </c>
      <c r="P2017">
        <f t="shared" si="63"/>
        <v>3.2169999999999996</v>
      </c>
    </row>
    <row r="2018" spans="1:16" x14ac:dyDescent="0.35">
      <c r="A2018" s="9" t="s">
        <v>29</v>
      </c>
      <c r="B2018" s="2">
        <v>135.6</v>
      </c>
      <c r="C2018" s="2">
        <v>143.49</v>
      </c>
      <c r="D2018" s="2">
        <v>134.80000000000001</v>
      </c>
      <c r="E2018" s="2">
        <v>143.01</v>
      </c>
      <c r="F2018" s="2">
        <v>20200047</v>
      </c>
      <c r="G2018" s="2" t="s">
        <v>566</v>
      </c>
      <c r="H2018" s="2" t="s">
        <v>567</v>
      </c>
      <c r="I2018" s="2" t="s">
        <v>568</v>
      </c>
      <c r="J2018" s="3">
        <v>2.5230000000000001</v>
      </c>
      <c r="K2018" s="2" t="s">
        <v>18</v>
      </c>
      <c r="L2018" s="2">
        <v>2023</v>
      </c>
      <c r="M2018" s="2" t="s">
        <v>19</v>
      </c>
      <c r="N2018" s="2" t="s">
        <v>21</v>
      </c>
      <c r="O2018">
        <f t="shared" si="62"/>
        <v>8.6899999999999977</v>
      </c>
      <c r="P2018">
        <f t="shared" si="63"/>
        <v>5.74</v>
      </c>
    </row>
    <row r="2019" spans="1:16" x14ac:dyDescent="0.35">
      <c r="A2019" s="9" t="s">
        <v>30</v>
      </c>
      <c r="B2019" s="2">
        <v>141.16999999999999</v>
      </c>
      <c r="C2019" s="2">
        <v>141.54</v>
      </c>
      <c r="D2019" s="2">
        <v>139.22499999999999</v>
      </c>
      <c r="E2019" s="2">
        <v>140.80000000000001</v>
      </c>
      <c r="F2019" s="2">
        <v>14292881</v>
      </c>
      <c r="G2019" s="2" t="s">
        <v>566</v>
      </c>
      <c r="H2019" s="2" t="s">
        <v>567</v>
      </c>
      <c r="I2019" s="2" t="s">
        <v>568</v>
      </c>
      <c r="J2019" s="4">
        <v>-1.5449999999999999</v>
      </c>
      <c r="K2019" s="2" t="s">
        <v>18</v>
      </c>
      <c r="L2019" s="2">
        <v>2023</v>
      </c>
      <c r="M2019" s="2" t="s">
        <v>19</v>
      </c>
      <c r="N2019" s="2" t="s">
        <v>23</v>
      </c>
      <c r="O2019">
        <f t="shared" si="62"/>
        <v>2.3149999999999977</v>
      </c>
      <c r="P2019">
        <f t="shared" si="63"/>
        <v>4.1950000000000003</v>
      </c>
    </row>
    <row r="2020" spans="1:16" x14ac:dyDescent="0.35">
      <c r="A2020" s="9" t="s">
        <v>31</v>
      </c>
      <c r="B2020" s="2">
        <v>138.91999999999999</v>
      </c>
      <c r="C2020" s="2">
        <v>140.72999999999999</v>
      </c>
      <c r="D2020" s="2">
        <v>136.41</v>
      </c>
      <c r="E2020" s="2">
        <v>136.57</v>
      </c>
      <c r="F2020" s="2">
        <v>13392601</v>
      </c>
      <c r="G2020" s="2" t="s">
        <v>566</v>
      </c>
      <c r="H2020" s="2" t="s">
        <v>567</v>
      </c>
      <c r="I2020" s="2" t="s">
        <v>568</v>
      </c>
      <c r="J2020" s="4">
        <v>-3.004</v>
      </c>
      <c r="K2020" s="2" t="s">
        <v>18</v>
      </c>
      <c r="L2020" s="2">
        <v>2023</v>
      </c>
      <c r="M2020" s="2" t="s">
        <v>19</v>
      </c>
      <c r="N2020" s="2" t="s">
        <v>23</v>
      </c>
      <c r="O2020">
        <f t="shared" si="62"/>
        <v>4.3199999999999932</v>
      </c>
      <c r="P2020">
        <f t="shared" si="63"/>
        <v>1.1910000000000003</v>
      </c>
    </row>
    <row r="2021" spans="1:16" x14ac:dyDescent="0.35">
      <c r="A2021" s="9" t="s">
        <v>32</v>
      </c>
      <c r="B2021" s="2">
        <v>135.32</v>
      </c>
      <c r="C2021" s="2">
        <v>135.9</v>
      </c>
      <c r="D2021" s="2">
        <v>133.59</v>
      </c>
      <c r="E2021" s="2">
        <v>134.75</v>
      </c>
      <c r="F2021" s="2">
        <v>13303371</v>
      </c>
      <c r="G2021" s="2" t="s">
        <v>566</v>
      </c>
      <c r="H2021" s="2" t="s">
        <v>567</v>
      </c>
      <c r="I2021" s="2" t="s">
        <v>568</v>
      </c>
      <c r="J2021" s="4">
        <v>-1.333</v>
      </c>
      <c r="K2021" s="2" t="s">
        <v>18</v>
      </c>
      <c r="L2021" s="2">
        <v>2023</v>
      </c>
      <c r="M2021" s="2" t="s">
        <v>19</v>
      </c>
      <c r="N2021" s="2" t="s">
        <v>23</v>
      </c>
      <c r="O2021">
        <f t="shared" si="62"/>
        <v>2.3100000000000023</v>
      </c>
      <c r="P2021">
        <f t="shared" si="63"/>
        <v>-0.14199999999999968</v>
      </c>
    </row>
    <row r="2022" spans="1:16" x14ac:dyDescent="0.35">
      <c r="A2022" s="9" t="s">
        <v>33</v>
      </c>
      <c r="B2022" s="2">
        <v>135.16</v>
      </c>
      <c r="C2022" s="2">
        <v>135.49</v>
      </c>
      <c r="D2022" s="2">
        <v>133.55000000000001</v>
      </c>
      <c r="E2022" s="2">
        <v>135.08000000000001</v>
      </c>
      <c r="F2022" s="2">
        <v>13092492</v>
      </c>
      <c r="G2022" s="2" t="s">
        <v>566</v>
      </c>
      <c r="H2022" s="2" t="s">
        <v>567</v>
      </c>
      <c r="I2022" s="2" t="s">
        <v>568</v>
      </c>
      <c r="J2022" s="3">
        <v>0.245</v>
      </c>
      <c r="K2022" s="2" t="s">
        <v>18</v>
      </c>
      <c r="L2022" s="2">
        <v>2023</v>
      </c>
      <c r="M2022" s="2" t="s">
        <v>19</v>
      </c>
      <c r="N2022" s="2" t="s">
        <v>21</v>
      </c>
      <c r="O2022">
        <f t="shared" si="62"/>
        <v>1.9399999999999977</v>
      </c>
      <c r="P2022">
        <f t="shared" si="63"/>
        <v>0.10300000000000031</v>
      </c>
    </row>
    <row r="2023" spans="1:16" x14ac:dyDescent="0.35">
      <c r="A2023" s="9" t="s">
        <v>34</v>
      </c>
      <c r="B2023" s="2">
        <v>135.11500000000001</v>
      </c>
      <c r="C2023" s="2">
        <v>137.96</v>
      </c>
      <c r="D2023" s="2">
        <v>134.82</v>
      </c>
      <c r="E2023" s="2">
        <v>137.27000000000001</v>
      </c>
      <c r="F2023" s="2">
        <v>10487128</v>
      </c>
      <c r="G2023" s="2" t="s">
        <v>566</v>
      </c>
      <c r="H2023" s="2" t="s">
        <v>567</v>
      </c>
      <c r="I2023" s="2" t="s">
        <v>568</v>
      </c>
      <c r="J2023" s="3">
        <v>1.621</v>
      </c>
      <c r="K2023" s="2" t="s">
        <v>18</v>
      </c>
      <c r="L2023" s="2">
        <v>2023</v>
      </c>
      <c r="M2023" s="2" t="s">
        <v>19</v>
      </c>
      <c r="N2023" s="2" t="s">
        <v>21</v>
      </c>
      <c r="O2023">
        <f t="shared" si="62"/>
        <v>3.1400000000000148</v>
      </c>
      <c r="P2023">
        <f t="shared" si="63"/>
        <v>1.7240000000000002</v>
      </c>
    </row>
    <row r="2024" spans="1:16" x14ac:dyDescent="0.35">
      <c r="A2024" s="9" t="s">
        <v>35</v>
      </c>
      <c r="B2024" s="2">
        <v>140.29</v>
      </c>
      <c r="C2024" s="2">
        <v>140.29</v>
      </c>
      <c r="D2024" s="2">
        <v>135</v>
      </c>
      <c r="E2024" s="2">
        <v>138.44999999999999</v>
      </c>
      <c r="F2024" s="2">
        <v>6944991</v>
      </c>
      <c r="G2024" s="2" t="s">
        <v>566</v>
      </c>
      <c r="H2024" s="2" t="s">
        <v>567</v>
      </c>
      <c r="I2024" s="2" t="s">
        <v>568</v>
      </c>
      <c r="J2024" s="3">
        <v>0.86</v>
      </c>
      <c r="K2024" s="2" t="s">
        <v>18</v>
      </c>
      <c r="L2024" s="2">
        <v>2023</v>
      </c>
      <c r="M2024" s="2" t="s">
        <v>19</v>
      </c>
      <c r="N2024" s="2" t="s">
        <v>21</v>
      </c>
      <c r="O2024">
        <f t="shared" si="62"/>
        <v>5.289999999999992</v>
      </c>
      <c r="P2024">
        <f t="shared" si="63"/>
        <v>2.5840000000000001</v>
      </c>
    </row>
    <row r="2025" spans="1:16" x14ac:dyDescent="0.35">
      <c r="A2025" s="9" t="s">
        <v>36</v>
      </c>
      <c r="B2025" s="2">
        <v>138.05000000000001</v>
      </c>
      <c r="C2025" s="2">
        <v>139.12</v>
      </c>
      <c r="D2025" s="2">
        <v>137.25</v>
      </c>
      <c r="E2025" s="2">
        <v>139.12</v>
      </c>
      <c r="F2025" s="2">
        <v>8967007</v>
      </c>
      <c r="G2025" s="2" t="s">
        <v>566</v>
      </c>
      <c r="H2025" s="2" t="s">
        <v>567</v>
      </c>
      <c r="I2025" s="2" t="s">
        <v>568</v>
      </c>
      <c r="J2025" s="3">
        <v>0.48399999999999999</v>
      </c>
      <c r="K2025" s="2" t="s">
        <v>18</v>
      </c>
      <c r="L2025" s="2">
        <v>2023</v>
      </c>
      <c r="M2025" s="2" t="s">
        <v>19</v>
      </c>
      <c r="N2025" s="2" t="s">
        <v>21</v>
      </c>
      <c r="O2025">
        <f t="shared" si="62"/>
        <v>1.8700000000000045</v>
      </c>
      <c r="P2025">
        <f t="shared" si="63"/>
        <v>3.0680000000000001</v>
      </c>
    </row>
    <row r="2026" spans="1:16" x14ac:dyDescent="0.35">
      <c r="A2026" s="9" t="s">
        <v>37</v>
      </c>
      <c r="B2026" s="2">
        <v>139.41999999999999</v>
      </c>
      <c r="C2026" s="2">
        <v>140.06</v>
      </c>
      <c r="D2026" s="2">
        <v>138.36000000000001</v>
      </c>
      <c r="E2026" s="2">
        <v>139.97999999999999</v>
      </c>
      <c r="F2026" s="2">
        <v>7487631</v>
      </c>
      <c r="G2026" s="2" t="s">
        <v>566</v>
      </c>
      <c r="H2026" s="2" t="s">
        <v>567</v>
      </c>
      <c r="I2026" s="2" t="s">
        <v>568</v>
      </c>
      <c r="J2026" s="3">
        <v>0.61799999999999999</v>
      </c>
      <c r="K2026" s="2" t="s">
        <v>18</v>
      </c>
      <c r="L2026" s="2">
        <v>2023</v>
      </c>
      <c r="M2026" s="2" t="s">
        <v>19</v>
      </c>
      <c r="N2026" s="2" t="s">
        <v>21</v>
      </c>
      <c r="O2026">
        <f t="shared" si="62"/>
        <v>1.6999999999999886</v>
      </c>
      <c r="P2026">
        <f t="shared" si="63"/>
        <v>3.6859999999999999</v>
      </c>
    </row>
    <row r="2027" spans="1:16" x14ac:dyDescent="0.35">
      <c r="A2027" s="9" t="s">
        <v>38</v>
      </c>
      <c r="B2027" s="2">
        <v>140.61000000000001</v>
      </c>
      <c r="C2027" s="2">
        <v>141.255</v>
      </c>
      <c r="D2027" s="2">
        <v>139.75</v>
      </c>
      <c r="E2027" s="2">
        <v>140.32</v>
      </c>
      <c r="F2027" s="2">
        <v>7489946</v>
      </c>
      <c r="G2027" s="2" t="s">
        <v>566</v>
      </c>
      <c r="H2027" s="2" t="s">
        <v>567</v>
      </c>
      <c r="I2027" s="2" t="s">
        <v>568</v>
      </c>
      <c r="J2027" s="3">
        <v>0.24299999999999999</v>
      </c>
      <c r="K2027" s="2" t="s">
        <v>18</v>
      </c>
      <c r="L2027" s="2">
        <v>2023</v>
      </c>
      <c r="M2027" s="2" t="s">
        <v>19</v>
      </c>
      <c r="N2027" s="2" t="s">
        <v>21</v>
      </c>
      <c r="O2027">
        <f t="shared" si="62"/>
        <v>1.5049999999999955</v>
      </c>
      <c r="P2027">
        <f t="shared" si="63"/>
        <v>3.9289999999999998</v>
      </c>
    </row>
    <row r="2028" spans="1:16" x14ac:dyDescent="0.35">
      <c r="A2028" s="9" t="s">
        <v>39</v>
      </c>
      <c r="B2028" s="2">
        <v>139.22999999999999</v>
      </c>
      <c r="C2028" s="2">
        <v>140.09</v>
      </c>
      <c r="D2028" s="2">
        <v>138.91</v>
      </c>
      <c r="E2028" s="2">
        <v>139.13</v>
      </c>
      <c r="F2028" s="2">
        <v>6729255</v>
      </c>
      <c r="G2028" s="2" t="s">
        <v>566</v>
      </c>
      <c r="H2028" s="2" t="s">
        <v>567</v>
      </c>
      <c r="I2028" s="2" t="s">
        <v>568</v>
      </c>
      <c r="J2028" s="4">
        <v>-0.84799999999999998</v>
      </c>
      <c r="K2028" s="2" t="s">
        <v>18</v>
      </c>
      <c r="L2028" s="2">
        <v>2023</v>
      </c>
      <c r="M2028" s="2" t="s">
        <v>19</v>
      </c>
      <c r="N2028" s="2" t="s">
        <v>23</v>
      </c>
      <c r="O2028">
        <f t="shared" si="62"/>
        <v>1.1800000000000068</v>
      </c>
      <c r="P2028">
        <f t="shared" si="63"/>
        <v>3.081</v>
      </c>
    </row>
    <row r="2029" spans="1:16" x14ac:dyDescent="0.35">
      <c r="A2029" s="9" t="s">
        <v>40</v>
      </c>
      <c r="B2029" s="2">
        <v>139.88</v>
      </c>
      <c r="C2029" s="2">
        <v>140.07</v>
      </c>
      <c r="D2029" s="2">
        <v>138.25</v>
      </c>
      <c r="E2029" s="2">
        <v>139.96</v>
      </c>
      <c r="F2029" s="2">
        <v>9188738</v>
      </c>
      <c r="G2029" s="2" t="s">
        <v>566</v>
      </c>
      <c r="H2029" s="2" t="s">
        <v>567</v>
      </c>
      <c r="I2029" s="2" t="s">
        <v>568</v>
      </c>
      <c r="J2029" s="3">
        <v>0.59699999999999998</v>
      </c>
      <c r="K2029" s="2" t="s">
        <v>18</v>
      </c>
      <c r="L2029" s="2">
        <v>2023</v>
      </c>
      <c r="M2029" s="2" t="s">
        <v>19</v>
      </c>
      <c r="N2029" s="2" t="s">
        <v>21</v>
      </c>
      <c r="O2029">
        <f t="shared" si="62"/>
        <v>1.8199999999999932</v>
      </c>
      <c r="P2029">
        <f t="shared" si="63"/>
        <v>3.6779999999999999</v>
      </c>
    </row>
    <row r="2030" spans="1:16" x14ac:dyDescent="0.35">
      <c r="A2030" s="9" t="s">
        <v>41</v>
      </c>
      <c r="B2030" s="2">
        <v>138.21</v>
      </c>
      <c r="C2030" s="2">
        <v>140.875</v>
      </c>
      <c r="D2030" s="2">
        <v>138.12</v>
      </c>
      <c r="E2030" s="2">
        <v>139.59</v>
      </c>
      <c r="F2030" s="2">
        <v>8841846</v>
      </c>
      <c r="G2030" s="2" t="s">
        <v>566</v>
      </c>
      <c r="H2030" s="2" t="s">
        <v>567</v>
      </c>
      <c r="I2030" s="2" t="s">
        <v>568</v>
      </c>
      <c r="J2030" s="4">
        <v>-0.26400000000000001</v>
      </c>
      <c r="K2030" s="2" t="s">
        <v>42</v>
      </c>
      <c r="L2030" s="2">
        <v>2023</v>
      </c>
      <c r="M2030" s="2" t="s">
        <v>43</v>
      </c>
      <c r="N2030" s="2" t="s">
        <v>23</v>
      </c>
      <c r="O2030">
        <f t="shared" si="62"/>
        <v>2.7549999999999955</v>
      </c>
      <c r="P2030">
        <f t="shared" si="63"/>
        <v>3.4139999999999997</v>
      </c>
    </row>
    <row r="2031" spans="1:16" x14ac:dyDescent="0.35">
      <c r="A2031" s="9" t="s">
        <v>44</v>
      </c>
      <c r="B2031" s="2">
        <v>140</v>
      </c>
      <c r="C2031" s="2">
        <v>140.46</v>
      </c>
      <c r="D2031" s="2">
        <v>138</v>
      </c>
      <c r="E2031" s="2">
        <v>138.94</v>
      </c>
      <c r="F2031" s="2">
        <v>11822064</v>
      </c>
      <c r="G2031" s="2" t="s">
        <v>566</v>
      </c>
      <c r="H2031" s="2" t="s">
        <v>567</v>
      </c>
      <c r="I2031" s="2" t="s">
        <v>568</v>
      </c>
      <c r="J2031" s="4">
        <v>-0.46600000000000003</v>
      </c>
      <c r="K2031" s="2" t="s">
        <v>42</v>
      </c>
      <c r="L2031" s="2">
        <v>2023</v>
      </c>
      <c r="M2031" s="2" t="s">
        <v>43</v>
      </c>
      <c r="N2031" s="2" t="s">
        <v>23</v>
      </c>
      <c r="O2031">
        <f t="shared" si="62"/>
        <v>2.460000000000008</v>
      </c>
      <c r="P2031">
        <f t="shared" si="63"/>
        <v>2.9479999999999995</v>
      </c>
    </row>
    <row r="2032" spans="1:16" x14ac:dyDescent="0.35">
      <c r="A2032" s="9" t="s">
        <v>45</v>
      </c>
      <c r="B2032" s="2">
        <v>138.18</v>
      </c>
      <c r="C2032" s="2">
        <v>142.33000000000001</v>
      </c>
      <c r="D2032" s="2">
        <v>138.13</v>
      </c>
      <c r="E2032" s="2">
        <v>141.09</v>
      </c>
      <c r="F2032" s="2">
        <v>11501232</v>
      </c>
      <c r="G2032" s="2" t="s">
        <v>566</v>
      </c>
      <c r="H2032" s="2" t="s">
        <v>567</v>
      </c>
      <c r="I2032" s="2" t="s">
        <v>568</v>
      </c>
      <c r="J2032" s="3">
        <v>1.5469999999999999</v>
      </c>
      <c r="K2032" s="2" t="s">
        <v>42</v>
      </c>
      <c r="L2032" s="2">
        <v>2023</v>
      </c>
      <c r="M2032" s="2" t="s">
        <v>43</v>
      </c>
      <c r="N2032" s="2" t="s">
        <v>21</v>
      </c>
      <c r="O2032">
        <f t="shared" si="62"/>
        <v>4.2000000000000171</v>
      </c>
      <c r="P2032">
        <f t="shared" si="63"/>
        <v>4.4949999999999992</v>
      </c>
    </row>
    <row r="2033" spans="1:16" x14ac:dyDescent="0.35">
      <c r="A2033" s="9" t="s">
        <v>46</v>
      </c>
      <c r="B2033" s="2">
        <v>140.22999999999999</v>
      </c>
      <c r="C2033" s="2">
        <v>142.24</v>
      </c>
      <c r="D2033" s="2">
        <v>140.03100000000001</v>
      </c>
      <c r="E2033" s="2">
        <v>141.91999999999999</v>
      </c>
      <c r="F2033" s="2">
        <v>8406231</v>
      </c>
      <c r="G2033" s="2" t="s">
        <v>566</v>
      </c>
      <c r="H2033" s="2" t="s">
        <v>567</v>
      </c>
      <c r="I2033" s="2" t="s">
        <v>568</v>
      </c>
      <c r="J2033" s="3">
        <v>0.58799999999999997</v>
      </c>
      <c r="K2033" s="2" t="s">
        <v>42</v>
      </c>
      <c r="L2033" s="2">
        <v>2023</v>
      </c>
      <c r="M2033" s="2" t="s">
        <v>43</v>
      </c>
      <c r="N2033" s="2" t="s">
        <v>21</v>
      </c>
      <c r="O2033">
        <f t="shared" si="62"/>
        <v>2.2090000000000032</v>
      </c>
      <c r="P2033">
        <f t="shared" si="63"/>
        <v>5.0829999999999993</v>
      </c>
    </row>
    <row r="2034" spans="1:16" x14ac:dyDescent="0.35">
      <c r="A2034" s="9" t="s">
        <v>47</v>
      </c>
      <c r="B2034" s="2">
        <v>141.38</v>
      </c>
      <c r="C2034" s="2">
        <v>144.34</v>
      </c>
      <c r="D2034" s="2">
        <v>141.18</v>
      </c>
      <c r="E2034" s="2">
        <v>143.65</v>
      </c>
      <c r="F2034" s="2">
        <v>10447888</v>
      </c>
      <c r="G2034" s="2" t="s">
        <v>566</v>
      </c>
      <c r="H2034" s="2" t="s">
        <v>567</v>
      </c>
      <c r="I2034" s="2" t="s">
        <v>568</v>
      </c>
      <c r="J2034" s="3">
        <v>1.2190000000000001</v>
      </c>
      <c r="K2034" s="2" t="s">
        <v>42</v>
      </c>
      <c r="L2034" s="2">
        <v>2023</v>
      </c>
      <c r="M2034" s="2" t="s">
        <v>43</v>
      </c>
      <c r="N2034" s="2" t="s">
        <v>21</v>
      </c>
      <c r="O2034">
        <f t="shared" si="62"/>
        <v>3.1599999999999966</v>
      </c>
      <c r="P2034">
        <f t="shared" si="63"/>
        <v>6.3019999999999996</v>
      </c>
    </row>
    <row r="2035" spans="1:16" x14ac:dyDescent="0.35">
      <c r="A2035" s="9" t="s">
        <v>48</v>
      </c>
      <c r="B2035" s="2">
        <v>142.65</v>
      </c>
      <c r="C2035" s="2">
        <v>144.04</v>
      </c>
      <c r="D2035" s="2">
        <v>142.27600000000001</v>
      </c>
      <c r="E2035" s="2">
        <v>142.63999999999999</v>
      </c>
      <c r="F2035" s="2">
        <v>6957965</v>
      </c>
      <c r="G2035" s="2" t="s">
        <v>566</v>
      </c>
      <c r="H2035" s="2" t="s">
        <v>567</v>
      </c>
      <c r="I2035" s="2" t="s">
        <v>568</v>
      </c>
      <c r="J2035" s="4">
        <v>-0.70299999999999996</v>
      </c>
      <c r="K2035" s="2" t="s">
        <v>42</v>
      </c>
      <c r="L2035" s="2">
        <v>2023</v>
      </c>
      <c r="M2035" s="2" t="s">
        <v>43</v>
      </c>
      <c r="N2035" s="2" t="s">
        <v>23</v>
      </c>
      <c r="O2035">
        <f t="shared" si="62"/>
        <v>1.7639999999999816</v>
      </c>
      <c r="P2035">
        <f t="shared" si="63"/>
        <v>5.5989999999999993</v>
      </c>
    </row>
    <row r="2036" spans="1:16" x14ac:dyDescent="0.35">
      <c r="A2036" s="9" t="s">
        <v>49</v>
      </c>
      <c r="B2036" s="2">
        <v>143.12</v>
      </c>
      <c r="C2036" s="2">
        <v>143.34</v>
      </c>
      <c r="D2036" s="2">
        <v>139.87</v>
      </c>
      <c r="E2036" s="2">
        <v>140.41999999999999</v>
      </c>
      <c r="F2036" s="2">
        <v>6443109</v>
      </c>
      <c r="G2036" s="2" t="s">
        <v>566</v>
      </c>
      <c r="H2036" s="2" t="s">
        <v>567</v>
      </c>
      <c r="I2036" s="2" t="s">
        <v>568</v>
      </c>
      <c r="J2036" s="4">
        <v>-1.556</v>
      </c>
      <c r="K2036" s="2" t="s">
        <v>42</v>
      </c>
      <c r="L2036" s="2">
        <v>2023</v>
      </c>
      <c r="M2036" s="2" t="s">
        <v>43</v>
      </c>
      <c r="N2036" s="2" t="s">
        <v>23</v>
      </c>
      <c r="O2036">
        <f t="shared" si="62"/>
        <v>3.4699999999999989</v>
      </c>
      <c r="P2036">
        <f t="shared" si="63"/>
        <v>4.0429999999999993</v>
      </c>
    </row>
    <row r="2037" spans="1:16" x14ac:dyDescent="0.35">
      <c r="A2037" s="9" t="s">
        <v>50</v>
      </c>
      <c r="B2037" s="2">
        <v>139.78</v>
      </c>
      <c r="C2037" s="2">
        <v>141.28</v>
      </c>
      <c r="D2037" s="2">
        <v>138.59</v>
      </c>
      <c r="E2037" s="2">
        <v>141.04</v>
      </c>
      <c r="F2037" s="2">
        <v>6582853</v>
      </c>
      <c r="G2037" s="2" t="s">
        <v>566</v>
      </c>
      <c r="H2037" s="2" t="s">
        <v>567</v>
      </c>
      <c r="I2037" s="2" t="s">
        <v>568</v>
      </c>
      <c r="J2037" s="3">
        <v>0.442</v>
      </c>
      <c r="K2037" s="2" t="s">
        <v>42</v>
      </c>
      <c r="L2037" s="2">
        <v>2023</v>
      </c>
      <c r="M2037" s="2" t="s">
        <v>43</v>
      </c>
      <c r="N2037" s="2" t="s">
        <v>21</v>
      </c>
      <c r="O2037">
        <f t="shared" si="62"/>
        <v>2.6899999999999977</v>
      </c>
      <c r="P2037">
        <f t="shared" si="63"/>
        <v>4.4849999999999994</v>
      </c>
    </row>
    <row r="2038" spans="1:16" x14ac:dyDescent="0.35">
      <c r="A2038" s="9" t="s">
        <v>51</v>
      </c>
      <c r="B2038" s="2">
        <v>141.30000000000001</v>
      </c>
      <c r="C2038" s="2">
        <v>142.72999999999999</v>
      </c>
      <c r="D2038" s="2">
        <v>140.74</v>
      </c>
      <c r="E2038" s="2">
        <v>142.57</v>
      </c>
      <c r="F2038" s="2">
        <v>7134607</v>
      </c>
      <c r="G2038" s="2" t="s">
        <v>566</v>
      </c>
      <c r="H2038" s="2" t="s">
        <v>567</v>
      </c>
      <c r="I2038" s="2" t="s">
        <v>568</v>
      </c>
      <c r="J2038" s="3">
        <v>1.085</v>
      </c>
      <c r="K2038" s="2" t="s">
        <v>42</v>
      </c>
      <c r="L2038" s="2">
        <v>2023</v>
      </c>
      <c r="M2038" s="2" t="s">
        <v>43</v>
      </c>
      <c r="N2038" s="2" t="s">
        <v>21</v>
      </c>
      <c r="O2038">
        <f t="shared" si="62"/>
        <v>1.9899999999999807</v>
      </c>
      <c r="P2038">
        <f t="shared" si="63"/>
        <v>5.5699999999999994</v>
      </c>
    </row>
    <row r="2039" spans="1:16" x14ac:dyDescent="0.35">
      <c r="A2039" s="9" t="s">
        <v>52</v>
      </c>
      <c r="B2039" s="2">
        <v>142.5</v>
      </c>
      <c r="C2039" s="2">
        <v>143.81</v>
      </c>
      <c r="D2039" s="2">
        <v>141.595</v>
      </c>
      <c r="E2039" s="2">
        <v>143.19999999999999</v>
      </c>
      <c r="F2039" s="2">
        <v>9249399</v>
      </c>
      <c r="G2039" s="2" t="s">
        <v>566</v>
      </c>
      <c r="H2039" s="2" t="s">
        <v>567</v>
      </c>
      <c r="I2039" s="2" t="s">
        <v>568</v>
      </c>
      <c r="J2039" s="3">
        <v>0.442</v>
      </c>
      <c r="K2039" s="2" t="s">
        <v>42</v>
      </c>
      <c r="L2039" s="2">
        <v>2023</v>
      </c>
      <c r="M2039" s="2" t="s">
        <v>43</v>
      </c>
      <c r="N2039" s="2" t="s">
        <v>21</v>
      </c>
      <c r="O2039">
        <f t="shared" si="62"/>
        <v>2.2150000000000034</v>
      </c>
      <c r="P2039">
        <f t="shared" si="63"/>
        <v>6.0119999999999996</v>
      </c>
    </row>
    <row r="2040" spans="1:16" x14ac:dyDescent="0.35">
      <c r="A2040" s="9" t="s">
        <v>53</v>
      </c>
      <c r="B2040" s="2">
        <v>141.61000000000001</v>
      </c>
      <c r="C2040" s="2">
        <v>143.88999999999999</v>
      </c>
      <c r="D2040" s="2">
        <v>141.30000000000001</v>
      </c>
      <c r="E2040" s="2">
        <v>143.80000000000001</v>
      </c>
      <c r="F2040" s="2">
        <v>6731172</v>
      </c>
      <c r="G2040" s="2" t="s">
        <v>566</v>
      </c>
      <c r="H2040" s="2" t="s">
        <v>567</v>
      </c>
      <c r="I2040" s="2" t="s">
        <v>568</v>
      </c>
      <c r="J2040" s="3">
        <v>0.41899999999999998</v>
      </c>
      <c r="K2040" s="2" t="s">
        <v>42</v>
      </c>
      <c r="L2040" s="2">
        <v>2023</v>
      </c>
      <c r="M2040" s="2" t="s">
        <v>43</v>
      </c>
      <c r="N2040" s="2" t="s">
        <v>21</v>
      </c>
      <c r="O2040">
        <f t="shared" si="62"/>
        <v>2.589999999999975</v>
      </c>
      <c r="P2040">
        <f t="shared" si="63"/>
        <v>6.4309999999999992</v>
      </c>
    </row>
    <row r="2041" spans="1:16" x14ac:dyDescent="0.35">
      <c r="A2041" s="9" t="s">
        <v>54</v>
      </c>
      <c r="B2041" s="2">
        <v>142.91</v>
      </c>
      <c r="C2041" s="2">
        <v>143.38999999999999</v>
      </c>
      <c r="D2041" s="2">
        <v>141.67599999999999</v>
      </c>
      <c r="E2041" s="2">
        <v>141.82</v>
      </c>
      <c r="F2041" s="2">
        <v>8165306</v>
      </c>
      <c r="G2041" s="2" t="s">
        <v>566</v>
      </c>
      <c r="H2041" s="2" t="s">
        <v>567</v>
      </c>
      <c r="I2041" s="2" t="s">
        <v>568</v>
      </c>
      <c r="J2041" s="4">
        <v>-1.377</v>
      </c>
      <c r="K2041" s="2" t="s">
        <v>42</v>
      </c>
      <c r="L2041" s="2">
        <v>2023</v>
      </c>
      <c r="M2041" s="2" t="s">
        <v>43</v>
      </c>
      <c r="N2041" s="2" t="s">
        <v>23</v>
      </c>
      <c r="O2041">
        <f t="shared" si="62"/>
        <v>1.7139999999999986</v>
      </c>
      <c r="P2041">
        <f t="shared" si="63"/>
        <v>5.0539999999999994</v>
      </c>
    </row>
    <row r="2042" spans="1:16" x14ac:dyDescent="0.35">
      <c r="A2042" s="9" t="s">
        <v>55</v>
      </c>
      <c r="B2042" s="2">
        <v>140.97999999999999</v>
      </c>
      <c r="C2042" s="2">
        <v>142.83000000000001</v>
      </c>
      <c r="D2042" s="2">
        <v>140.07</v>
      </c>
      <c r="E2042" s="2">
        <v>142.24</v>
      </c>
      <c r="F2042" s="2">
        <v>7948829</v>
      </c>
      <c r="G2042" s="2" t="s">
        <v>566</v>
      </c>
      <c r="H2042" s="2" t="s">
        <v>567</v>
      </c>
      <c r="I2042" s="2" t="s">
        <v>568</v>
      </c>
      <c r="J2042" s="3">
        <v>0.29599999999999999</v>
      </c>
      <c r="K2042" s="2" t="s">
        <v>42</v>
      </c>
      <c r="L2042" s="2">
        <v>2023</v>
      </c>
      <c r="M2042" s="2" t="s">
        <v>43</v>
      </c>
      <c r="N2042" s="2" t="s">
        <v>21</v>
      </c>
      <c r="O2042">
        <f t="shared" si="62"/>
        <v>2.7600000000000193</v>
      </c>
      <c r="P2042">
        <f t="shared" si="63"/>
        <v>5.35</v>
      </c>
    </row>
    <row r="2043" spans="1:16" x14ac:dyDescent="0.35">
      <c r="A2043" s="9" t="s">
        <v>56</v>
      </c>
      <c r="B2043" s="2">
        <v>140.69</v>
      </c>
      <c r="C2043" s="2">
        <v>141.34</v>
      </c>
      <c r="D2043" s="2">
        <v>138.75</v>
      </c>
      <c r="E2043" s="2">
        <v>139.63</v>
      </c>
      <c r="F2043" s="2">
        <v>9996283</v>
      </c>
      <c r="G2043" s="2" t="s">
        <v>566</v>
      </c>
      <c r="H2043" s="2" t="s">
        <v>567</v>
      </c>
      <c r="I2043" s="2" t="s">
        <v>568</v>
      </c>
      <c r="J2043" s="4">
        <v>-1.835</v>
      </c>
      <c r="K2043" s="2" t="s">
        <v>42</v>
      </c>
      <c r="L2043" s="2">
        <v>2023</v>
      </c>
      <c r="M2043" s="2" t="s">
        <v>43</v>
      </c>
      <c r="N2043" s="2" t="s">
        <v>23</v>
      </c>
      <c r="O2043">
        <f t="shared" si="62"/>
        <v>2.5900000000000034</v>
      </c>
      <c r="P2043">
        <f t="shared" si="63"/>
        <v>3.5149999999999997</v>
      </c>
    </row>
    <row r="2044" spans="1:16" x14ac:dyDescent="0.35">
      <c r="A2044" s="9" t="s">
        <v>57</v>
      </c>
      <c r="B2044" s="2">
        <v>138.91999999999999</v>
      </c>
      <c r="C2044" s="2">
        <v>139.43</v>
      </c>
      <c r="D2044" s="2">
        <v>137.435</v>
      </c>
      <c r="E2044" s="2">
        <v>138.56</v>
      </c>
      <c r="F2044" s="2">
        <v>11107501</v>
      </c>
      <c r="G2044" s="2" t="s">
        <v>566</v>
      </c>
      <c r="H2044" s="2" t="s">
        <v>567</v>
      </c>
      <c r="I2044" s="2" t="s">
        <v>568</v>
      </c>
      <c r="J2044" s="4">
        <v>-0.76600000000000001</v>
      </c>
      <c r="K2044" s="2" t="s">
        <v>42</v>
      </c>
      <c r="L2044" s="2">
        <v>2023</v>
      </c>
      <c r="M2044" s="2" t="s">
        <v>43</v>
      </c>
      <c r="N2044" s="2" t="s">
        <v>23</v>
      </c>
      <c r="O2044">
        <f t="shared" si="62"/>
        <v>1.9950000000000045</v>
      </c>
      <c r="P2044">
        <f t="shared" si="63"/>
        <v>2.7489999999999997</v>
      </c>
    </row>
    <row r="2045" spans="1:16" x14ac:dyDescent="0.35">
      <c r="A2045" s="9" t="s">
        <v>58</v>
      </c>
      <c r="B2045" s="2">
        <v>138.72999999999999</v>
      </c>
      <c r="C2045" s="2">
        <v>140.16999999999999</v>
      </c>
      <c r="D2045" s="2">
        <v>137.94</v>
      </c>
      <c r="E2045" s="2">
        <v>139.66999999999999</v>
      </c>
      <c r="F2045" s="2">
        <v>8068010</v>
      </c>
      <c r="G2045" s="2" t="s">
        <v>566</v>
      </c>
      <c r="H2045" s="2" t="s">
        <v>567</v>
      </c>
      <c r="I2045" s="2" t="s">
        <v>568</v>
      </c>
      <c r="J2045" s="3">
        <v>0.80100000000000005</v>
      </c>
      <c r="K2045" s="2" t="s">
        <v>42</v>
      </c>
      <c r="L2045" s="2">
        <v>2023</v>
      </c>
      <c r="M2045" s="2" t="s">
        <v>43</v>
      </c>
      <c r="N2045" s="2" t="s">
        <v>21</v>
      </c>
      <c r="O2045">
        <f t="shared" si="62"/>
        <v>2.2299999999999898</v>
      </c>
      <c r="P2045">
        <f t="shared" si="63"/>
        <v>3.55</v>
      </c>
    </row>
    <row r="2046" spans="1:16" x14ac:dyDescent="0.35">
      <c r="A2046" s="9" t="s">
        <v>59</v>
      </c>
      <c r="B2046" s="2">
        <v>139.11000000000001</v>
      </c>
      <c r="C2046" s="2">
        <v>141.36000000000001</v>
      </c>
      <c r="D2046" s="2">
        <v>138.93</v>
      </c>
      <c r="E2046" s="2">
        <v>140.93</v>
      </c>
      <c r="F2046" s="2">
        <v>9126888</v>
      </c>
      <c r="G2046" s="2" t="s">
        <v>566</v>
      </c>
      <c r="H2046" s="2" t="s">
        <v>567</v>
      </c>
      <c r="I2046" s="2" t="s">
        <v>568</v>
      </c>
      <c r="J2046" s="3">
        <v>0.90200000000000002</v>
      </c>
      <c r="K2046" s="2" t="s">
        <v>42</v>
      </c>
      <c r="L2046" s="2">
        <v>2023</v>
      </c>
      <c r="M2046" s="2" t="s">
        <v>43</v>
      </c>
      <c r="N2046" s="2" t="s">
        <v>21</v>
      </c>
      <c r="O2046">
        <f t="shared" si="62"/>
        <v>2.4300000000000068</v>
      </c>
      <c r="P2046">
        <f t="shared" si="63"/>
        <v>4.452</v>
      </c>
    </row>
    <row r="2047" spans="1:16" x14ac:dyDescent="0.35">
      <c r="A2047" s="9" t="s">
        <v>60</v>
      </c>
      <c r="B2047" s="2">
        <v>142.11000000000001</v>
      </c>
      <c r="C2047" s="2">
        <v>143.31</v>
      </c>
      <c r="D2047" s="2">
        <v>141.72</v>
      </c>
      <c r="E2047" s="2">
        <v>142.16</v>
      </c>
      <c r="F2047" s="2">
        <v>10014654</v>
      </c>
      <c r="G2047" s="2" t="s">
        <v>566</v>
      </c>
      <c r="H2047" s="2" t="s">
        <v>567</v>
      </c>
      <c r="I2047" s="2" t="s">
        <v>568</v>
      </c>
      <c r="J2047" s="3">
        <v>0.873</v>
      </c>
      <c r="K2047" s="2" t="s">
        <v>42</v>
      </c>
      <c r="L2047" s="2">
        <v>2023</v>
      </c>
      <c r="M2047" s="2" t="s">
        <v>43</v>
      </c>
      <c r="N2047" s="2" t="s">
        <v>21</v>
      </c>
      <c r="O2047">
        <f t="shared" si="62"/>
        <v>1.5900000000000034</v>
      </c>
      <c r="P2047">
        <f t="shared" si="63"/>
        <v>5.3250000000000002</v>
      </c>
    </row>
    <row r="2048" spans="1:16" x14ac:dyDescent="0.35">
      <c r="A2048" s="9" t="s">
        <v>61</v>
      </c>
      <c r="B2048" s="2">
        <v>142.94</v>
      </c>
      <c r="C2048" s="2">
        <v>143.76</v>
      </c>
      <c r="D2048" s="2">
        <v>141.9</v>
      </c>
      <c r="E2048" s="2">
        <v>143.35</v>
      </c>
      <c r="F2048" s="2">
        <v>11019757</v>
      </c>
      <c r="G2048" s="2" t="s">
        <v>566</v>
      </c>
      <c r="H2048" s="2" t="s">
        <v>567</v>
      </c>
      <c r="I2048" s="2" t="s">
        <v>568</v>
      </c>
      <c r="J2048" s="3">
        <v>0.83699999999999997</v>
      </c>
      <c r="K2048" s="2" t="s">
        <v>42</v>
      </c>
      <c r="L2048" s="2">
        <v>2023</v>
      </c>
      <c r="M2048" s="2" t="s">
        <v>43</v>
      </c>
      <c r="N2048" s="2" t="s">
        <v>21</v>
      </c>
      <c r="O2048">
        <f t="shared" si="62"/>
        <v>1.8599999999999852</v>
      </c>
      <c r="P2048">
        <f t="shared" si="63"/>
        <v>6.1619999999999999</v>
      </c>
    </row>
    <row r="2049" spans="1:16" x14ac:dyDescent="0.35">
      <c r="A2049" s="9" t="s">
        <v>62</v>
      </c>
      <c r="B2049" s="2">
        <v>142.1</v>
      </c>
      <c r="C2049" s="2">
        <v>143.458</v>
      </c>
      <c r="D2049" s="2">
        <v>141.80000000000001</v>
      </c>
      <c r="E2049" s="2">
        <v>142.55000000000001</v>
      </c>
      <c r="F2049" s="2">
        <v>7139155</v>
      </c>
      <c r="G2049" s="2" t="s">
        <v>566</v>
      </c>
      <c r="H2049" s="2" t="s">
        <v>567</v>
      </c>
      <c r="I2049" s="2" t="s">
        <v>568</v>
      </c>
      <c r="J2049" s="4">
        <v>-0.55800000000000005</v>
      </c>
      <c r="K2049" s="2" t="s">
        <v>63</v>
      </c>
      <c r="L2049" s="2">
        <v>2023</v>
      </c>
      <c r="M2049" s="2" t="s">
        <v>64</v>
      </c>
      <c r="N2049" s="2" t="s">
        <v>23</v>
      </c>
      <c r="O2049">
        <f t="shared" si="62"/>
        <v>1.657999999999987</v>
      </c>
      <c r="P2049">
        <f t="shared" si="63"/>
        <v>5.6040000000000001</v>
      </c>
    </row>
    <row r="2050" spans="1:16" x14ac:dyDescent="0.35">
      <c r="A2050" s="9" t="s">
        <v>65</v>
      </c>
      <c r="B2050" s="2">
        <v>142.24</v>
      </c>
      <c r="C2050" s="2">
        <v>142.43</v>
      </c>
      <c r="D2050" s="2">
        <v>139.54</v>
      </c>
      <c r="E2050" s="2">
        <v>141.07</v>
      </c>
      <c r="F2050" s="2">
        <v>11107549</v>
      </c>
      <c r="G2050" s="2" t="s">
        <v>566</v>
      </c>
      <c r="H2050" s="2" t="s">
        <v>567</v>
      </c>
      <c r="I2050" s="2" t="s">
        <v>568</v>
      </c>
      <c r="J2050" s="4">
        <v>-1.038</v>
      </c>
      <c r="K2050" s="2" t="s">
        <v>63</v>
      </c>
      <c r="L2050" s="2">
        <v>2023</v>
      </c>
      <c r="M2050" s="2" t="s">
        <v>64</v>
      </c>
      <c r="N2050" s="2" t="s">
        <v>23</v>
      </c>
      <c r="O2050">
        <f t="shared" si="62"/>
        <v>2.8900000000000148</v>
      </c>
      <c r="P2050">
        <f t="shared" si="63"/>
        <v>4.5659999999999998</v>
      </c>
    </row>
    <row r="2051" spans="1:16" x14ac:dyDescent="0.35">
      <c r="A2051" s="9" t="s">
        <v>66</v>
      </c>
      <c r="B2051" s="2">
        <v>141.51</v>
      </c>
      <c r="C2051" s="2">
        <v>143.74</v>
      </c>
      <c r="D2051" s="2">
        <v>141.08000000000001</v>
      </c>
      <c r="E2051" s="2">
        <v>143.66</v>
      </c>
      <c r="F2051" s="2">
        <v>9513063</v>
      </c>
      <c r="G2051" s="2" t="s">
        <v>566</v>
      </c>
      <c r="H2051" s="2" t="s">
        <v>567</v>
      </c>
      <c r="I2051" s="2" t="s">
        <v>568</v>
      </c>
      <c r="J2051" s="3">
        <v>1.8360000000000001</v>
      </c>
      <c r="K2051" s="2" t="s">
        <v>63</v>
      </c>
      <c r="L2051" s="2">
        <v>2023</v>
      </c>
      <c r="M2051" s="2" t="s">
        <v>64</v>
      </c>
      <c r="N2051" s="2" t="s">
        <v>21</v>
      </c>
      <c r="O2051">
        <f t="shared" ref="O2051:O2114" si="64">C2051-D2051</f>
        <v>2.6599999999999966</v>
      </c>
      <c r="P2051">
        <f t="shared" si="63"/>
        <v>6.4020000000000001</v>
      </c>
    </row>
    <row r="2052" spans="1:16" x14ac:dyDescent="0.35">
      <c r="A2052" s="9" t="s">
        <v>67</v>
      </c>
      <c r="B2052" s="2">
        <v>143.44</v>
      </c>
      <c r="C2052" s="2">
        <v>144.04</v>
      </c>
      <c r="D2052" s="2">
        <v>142.66</v>
      </c>
      <c r="E2052" s="2">
        <v>142.82</v>
      </c>
      <c r="F2052" s="2">
        <v>9261255</v>
      </c>
      <c r="G2052" s="2" t="s">
        <v>566</v>
      </c>
      <c r="H2052" s="2" t="s">
        <v>567</v>
      </c>
      <c r="I2052" s="2" t="s">
        <v>568</v>
      </c>
      <c r="J2052" s="4">
        <v>-0.58499999999999996</v>
      </c>
      <c r="K2052" s="2" t="s">
        <v>63</v>
      </c>
      <c r="L2052" s="2">
        <v>2023</v>
      </c>
      <c r="M2052" s="2" t="s">
        <v>64</v>
      </c>
      <c r="N2052" s="2" t="s">
        <v>23</v>
      </c>
      <c r="O2052">
        <f t="shared" si="64"/>
        <v>1.3799999999999955</v>
      </c>
      <c r="P2052">
        <f t="shared" ref="P2052:P2115" si="65">IF(G2052=G2051, P2051+J2052, J2052)</f>
        <v>5.8170000000000002</v>
      </c>
    </row>
    <row r="2053" spans="1:16" x14ac:dyDescent="0.35">
      <c r="A2053" s="9" t="s">
        <v>68</v>
      </c>
      <c r="B2053" s="2">
        <v>142.01</v>
      </c>
      <c r="C2053" s="2">
        <v>142.31</v>
      </c>
      <c r="D2053" s="2">
        <v>137.81</v>
      </c>
      <c r="E2053" s="2">
        <v>138.62</v>
      </c>
      <c r="F2053" s="2">
        <v>11747620</v>
      </c>
      <c r="G2053" s="2" t="s">
        <v>566</v>
      </c>
      <c r="H2053" s="2" t="s">
        <v>567</v>
      </c>
      <c r="I2053" s="2" t="s">
        <v>568</v>
      </c>
      <c r="J2053" s="4">
        <v>-2.9409999999999998</v>
      </c>
      <c r="K2053" s="2" t="s">
        <v>63</v>
      </c>
      <c r="L2053" s="2">
        <v>2023</v>
      </c>
      <c r="M2053" s="2" t="s">
        <v>64</v>
      </c>
      <c r="N2053" s="2" t="s">
        <v>23</v>
      </c>
      <c r="O2053">
        <f t="shared" si="64"/>
        <v>4.5</v>
      </c>
      <c r="P2053">
        <f t="shared" si="65"/>
        <v>2.8760000000000003</v>
      </c>
    </row>
    <row r="2054" spans="1:16" x14ac:dyDescent="0.35">
      <c r="A2054" s="9" t="s">
        <v>69</v>
      </c>
      <c r="B2054" s="2">
        <v>138</v>
      </c>
      <c r="C2054" s="2">
        <v>138.59</v>
      </c>
      <c r="D2054" s="2">
        <v>136.88499999999999</v>
      </c>
      <c r="E2054" s="2">
        <v>137.80000000000001</v>
      </c>
      <c r="F2054" s="2">
        <v>10002548</v>
      </c>
      <c r="G2054" s="2" t="s">
        <v>566</v>
      </c>
      <c r="H2054" s="2" t="s">
        <v>567</v>
      </c>
      <c r="I2054" s="2" t="s">
        <v>568</v>
      </c>
      <c r="J2054" s="4">
        <v>-0.59199999999999997</v>
      </c>
      <c r="K2054" s="2" t="s">
        <v>63</v>
      </c>
      <c r="L2054" s="2">
        <v>2023</v>
      </c>
      <c r="M2054" s="2" t="s">
        <v>64</v>
      </c>
      <c r="N2054" s="2" t="s">
        <v>23</v>
      </c>
      <c r="O2054">
        <f t="shared" si="64"/>
        <v>1.7050000000000125</v>
      </c>
      <c r="P2054">
        <f t="shared" si="65"/>
        <v>2.2840000000000003</v>
      </c>
    </row>
    <row r="2055" spans="1:16" x14ac:dyDescent="0.35">
      <c r="A2055" s="9" t="s">
        <v>70</v>
      </c>
      <c r="B2055" s="2">
        <v>136.76</v>
      </c>
      <c r="C2055" s="2">
        <v>137.35</v>
      </c>
      <c r="D2055" s="2">
        <v>129.215</v>
      </c>
      <c r="E2055" s="2">
        <v>130.34</v>
      </c>
      <c r="F2055" s="2">
        <v>25888097</v>
      </c>
      <c r="G2055" s="2" t="s">
        <v>566</v>
      </c>
      <c r="H2055" s="2" t="s">
        <v>567</v>
      </c>
      <c r="I2055" s="2" t="s">
        <v>568</v>
      </c>
      <c r="J2055" s="4">
        <v>-5.4139999999999997</v>
      </c>
      <c r="K2055" s="2" t="s">
        <v>63</v>
      </c>
      <c r="L2055" s="2">
        <v>2023</v>
      </c>
      <c r="M2055" s="2" t="s">
        <v>64</v>
      </c>
      <c r="N2055" s="2" t="s">
        <v>23</v>
      </c>
      <c r="O2055">
        <f t="shared" si="64"/>
        <v>8.1349999999999909</v>
      </c>
      <c r="P2055">
        <f t="shared" si="65"/>
        <v>-3.1299999999999994</v>
      </c>
    </row>
    <row r="2056" spans="1:16" x14ac:dyDescent="0.35">
      <c r="A2056" s="9" t="s">
        <v>71</v>
      </c>
      <c r="B2056" s="2">
        <v>128.96</v>
      </c>
      <c r="C2056" s="2">
        <v>135.26</v>
      </c>
      <c r="D2056" s="2">
        <v>127.82</v>
      </c>
      <c r="E2056" s="2">
        <v>133.65</v>
      </c>
      <c r="F2056" s="2">
        <v>37599655</v>
      </c>
      <c r="G2056" s="2" t="s">
        <v>566</v>
      </c>
      <c r="H2056" s="2" t="s">
        <v>567</v>
      </c>
      <c r="I2056" s="2" t="s">
        <v>568</v>
      </c>
      <c r="J2056" s="3">
        <v>2.54</v>
      </c>
      <c r="K2056" s="2" t="s">
        <v>63</v>
      </c>
      <c r="L2056" s="2">
        <v>2023</v>
      </c>
      <c r="M2056" s="2" t="s">
        <v>64</v>
      </c>
      <c r="N2056" s="2" t="s">
        <v>21</v>
      </c>
      <c r="O2056">
        <f t="shared" si="64"/>
        <v>7.4399999999999977</v>
      </c>
      <c r="P2056">
        <f t="shared" si="65"/>
        <v>-0.58999999999999941</v>
      </c>
    </row>
    <row r="2057" spans="1:16" x14ac:dyDescent="0.35">
      <c r="A2057" s="9" t="s">
        <v>72</v>
      </c>
      <c r="B2057" s="2">
        <v>131.21</v>
      </c>
      <c r="C2057" s="2">
        <v>133.88</v>
      </c>
      <c r="D2057" s="2">
        <v>129.41</v>
      </c>
      <c r="E2057" s="2">
        <v>131.25</v>
      </c>
      <c r="F2057" s="2">
        <v>42901132</v>
      </c>
      <c r="G2057" s="2" t="s">
        <v>566</v>
      </c>
      <c r="H2057" s="2" t="s">
        <v>567</v>
      </c>
      <c r="I2057" s="2" t="s">
        <v>568</v>
      </c>
      <c r="J2057" s="4">
        <v>-1.796</v>
      </c>
      <c r="K2057" s="2" t="s">
        <v>63</v>
      </c>
      <c r="L2057" s="2">
        <v>2023</v>
      </c>
      <c r="M2057" s="2" t="s">
        <v>64</v>
      </c>
      <c r="N2057" s="2" t="s">
        <v>23</v>
      </c>
      <c r="O2057">
        <f t="shared" si="64"/>
        <v>4.4699999999999989</v>
      </c>
      <c r="P2057">
        <f t="shared" si="65"/>
        <v>-2.3859999999999992</v>
      </c>
    </row>
    <row r="2058" spans="1:16" x14ac:dyDescent="0.35">
      <c r="A2058" s="9" t="s">
        <v>73</v>
      </c>
      <c r="B2058" s="2">
        <v>135.28</v>
      </c>
      <c r="C2058" s="2">
        <v>135.53</v>
      </c>
      <c r="D2058" s="2">
        <v>131.29</v>
      </c>
      <c r="E2058" s="2">
        <v>134.62</v>
      </c>
      <c r="F2058" s="2">
        <v>29648116</v>
      </c>
      <c r="G2058" s="2" t="s">
        <v>566</v>
      </c>
      <c r="H2058" s="2" t="s">
        <v>567</v>
      </c>
      <c r="I2058" s="2" t="s">
        <v>568</v>
      </c>
      <c r="J2058" s="3">
        <v>2.5680000000000001</v>
      </c>
      <c r="K2058" s="2" t="s">
        <v>63</v>
      </c>
      <c r="L2058" s="2">
        <v>2023</v>
      </c>
      <c r="M2058" s="2" t="s">
        <v>64</v>
      </c>
      <c r="N2058" s="2" t="s">
        <v>21</v>
      </c>
      <c r="O2058">
        <f t="shared" si="64"/>
        <v>4.2400000000000091</v>
      </c>
      <c r="P2058">
        <f t="shared" si="65"/>
        <v>0.18200000000000083</v>
      </c>
    </row>
    <row r="2059" spans="1:16" x14ac:dyDescent="0.35">
      <c r="A2059" s="9" t="s">
        <v>74</v>
      </c>
      <c r="B2059" s="2">
        <v>130.97999999999999</v>
      </c>
      <c r="C2059" s="2">
        <v>130.99</v>
      </c>
      <c r="D2059" s="2">
        <v>126.73</v>
      </c>
      <c r="E2059" s="2">
        <v>128.26</v>
      </c>
      <c r="F2059" s="2">
        <v>34280607</v>
      </c>
      <c r="G2059" s="2" t="s">
        <v>566</v>
      </c>
      <c r="H2059" s="2" t="s">
        <v>567</v>
      </c>
      <c r="I2059" s="2" t="s">
        <v>568</v>
      </c>
      <c r="J2059" s="4">
        <v>-4.7240000000000002</v>
      </c>
      <c r="K2059" s="2" t="s">
        <v>63</v>
      </c>
      <c r="L2059" s="2">
        <v>2023</v>
      </c>
      <c r="M2059" s="2" t="s">
        <v>64</v>
      </c>
      <c r="N2059" s="2" t="s">
        <v>23</v>
      </c>
      <c r="O2059">
        <f t="shared" si="64"/>
        <v>4.2600000000000051</v>
      </c>
      <c r="P2059">
        <f t="shared" si="65"/>
        <v>-4.5419999999999998</v>
      </c>
    </row>
    <row r="2060" spans="1:16" x14ac:dyDescent="0.35">
      <c r="A2060" s="9" t="s">
        <v>75</v>
      </c>
      <c r="B2060" s="2">
        <v>128.01</v>
      </c>
      <c r="C2060" s="2">
        <v>131.94999999999999</v>
      </c>
      <c r="D2060" s="2">
        <v>126.02</v>
      </c>
      <c r="E2060" s="2">
        <v>130.75</v>
      </c>
      <c r="F2060" s="2">
        <v>24570587</v>
      </c>
      <c r="G2060" s="2" t="s">
        <v>566</v>
      </c>
      <c r="H2060" s="2" t="s">
        <v>567</v>
      </c>
      <c r="I2060" s="2" t="s">
        <v>568</v>
      </c>
      <c r="J2060" s="3">
        <v>1.9410000000000001</v>
      </c>
      <c r="K2060" s="2" t="s">
        <v>63</v>
      </c>
      <c r="L2060" s="2">
        <v>2023</v>
      </c>
      <c r="M2060" s="2" t="s">
        <v>64</v>
      </c>
      <c r="N2060" s="2" t="s">
        <v>21</v>
      </c>
      <c r="O2060">
        <f t="shared" si="64"/>
        <v>5.9299999999999926</v>
      </c>
      <c r="P2060">
        <f t="shared" si="65"/>
        <v>-2.601</v>
      </c>
    </row>
    <row r="2061" spans="1:16" x14ac:dyDescent="0.35">
      <c r="A2061" s="9" t="s">
        <v>76</v>
      </c>
      <c r="B2061" s="2">
        <v>128.38</v>
      </c>
      <c r="C2061" s="2">
        <v>128.47999999999999</v>
      </c>
      <c r="D2061" s="2">
        <v>125.45</v>
      </c>
      <c r="E2061" s="2">
        <v>125.81</v>
      </c>
      <c r="F2061" s="2">
        <v>38395982</v>
      </c>
      <c r="G2061" s="2" t="s">
        <v>566</v>
      </c>
      <c r="H2061" s="2" t="s">
        <v>567</v>
      </c>
      <c r="I2061" s="2" t="s">
        <v>568</v>
      </c>
      <c r="J2061" s="4">
        <v>-3.778</v>
      </c>
      <c r="K2061" s="2" t="s">
        <v>63</v>
      </c>
      <c r="L2061" s="2">
        <v>2023</v>
      </c>
      <c r="M2061" s="2" t="s">
        <v>64</v>
      </c>
      <c r="N2061" s="2" t="s">
        <v>23</v>
      </c>
      <c r="O2061">
        <f t="shared" si="64"/>
        <v>3.0299999999999869</v>
      </c>
      <c r="P2061">
        <f t="shared" si="65"/>
        <v>-6.3789999999999996</v>
      </c>
    </row>
    <row r="2062" spans="1:16" x14ac:dyDescent="0.35">
      <c r="A2062" s="9" t="s">
        <v>77</v>
      </c>
      <c r="B2062" s="2">
        <v>126.99</v>
      </c>
      <c r="C2062" s="2">
        <v>129.47</v>
      </c>
      <c r="D2062" s="2">
        <v>126.01</v>
      </c>
      <c r="E2062" s="2">
        <v>127.14</v>
      </c>
      <c r="F2062" s="2">
        <v>22875505</v>
      </c>
      <c r="G2062" s="2" t="s">
        <v>566</v>
      </c>
      <c r="H2062" s="2" t="s">
        <v>567</v>
      </c>
      <c r="I2062" s="2" t="s">
        <v>568</v>
      </c>
      <c r="J2062" s="3">
        <v>1.0569999999999999</v>
      </c>
      <c r="K2062" s="2" t="s">
        <v>63</v>
      </c>
      <c r="L2062" s="2">
        <v>2023</v>
      </c>
      <c r="M2062" s="2" t="s">
        <v>64</v>
      </c>
      <c r="N2062" s="2" t="s">
        <v>21</v>
      </c>
      <c r="O2062">
        <f t="shared" si="64"/>
        <v>3.4599999999999937</v>
      </c>
      <c r="P2062">
        <f t="shared" si="65"/>
        <v>-5.3219999999999992</v>
      </c>
    </row>
    <row r="2063" spans="1:16" x14ac:dyDescent="0.35">
      <c r="A2063" s="9" t="s">
        <v>78</v>
      </c>
      <c r="B2063" s="2">
        <v>130.59</v>
      </c>
      <c r="C2063" s="2">
        <v>131.72999999999999</v>
      </c>
      <c r="D2063" s="2">
        <v>130.19</v>
      </c>
      <c r="E2063" s="2">
        <v>130.55000000000001</v>
      </c>
      <c r="F2063" s="2">
        <v>17807808</v>
      </c>
      <c r="G2063" s="2" t="s">
        <v>566</v>
      </c>
      <c r="H2063" s="2" t="s">
        <v>567</v>
      </c>
      <c r="I2063" s="2" t="s">
        <v>568</v>
      </c>
      <c r="J2063" s="3">
        <v>2.6819999999999999</v>
      </c>
      <c r="K2063" s="2" t="s">
        <v>63</v>
      </c>
      <c r="L2063" s="2">
        <v>2023</v>
      </c>
      <c r="M2063" s="2" t="s">
        <v>64</v>
      </c>
      <c r="N2063" s="2" t="s">
        <v>21</v>
      </c>
      <c r="O2063">
        <f t="shared" si="64"/>
        <v>1.539999999999992</v>
      </c>
      <c r="P2063">
        <f t="shared" si="65"/>
        <v>-2.6399999999999992</v>
      </c>
    </row>
    <row r="2064" spans="1:16" x14ac:dyDescent="0.35">
      <c r="A2064" s="9" t="s">
        <v>79</v>
      </c>
      <c r="B2064" s="2">
        <v>130.56</v>
      </c>
      <c r="C2064" s="2">
        <v>130.655</v>
      </c>
      <c r="D2064" s="2">
        <v>127.08</v>
      </c>
      <c r="E2064" s="2">
        <v>127.18</v>
      </c>
      <c r="F2064" s="2">
        <v>17250168</v>
      </c>
      <c r="G2064" s="2" t="s">
        <v>566</v>
      </c>
      <c r="H2064" s="2" t="s">
        <v>567</v>
      </c>
      <c r="I2064" s="2" t="s">
        <v>568</v>
      </c>
      <c r="J2064" s="4">
        <v>-2.581</v>
      </c>
      <c r="K2064" s="2" t="s">
        <v>63</v>
      </c>
      <c r="L2064" s="2">
        <v>2023</v>
      </c>
      <c r="M2064" s="2" t="s">
        <v>64</v>
      </c>
      <c r="N2064" s="2" t="s">
        <v>23</v>
      </c>
      <c r="O2064">
        <f t="shared" si="64"/>
        <v>3.5750000000000028</v>
      </c>
      <c r="P2064">
        <f t="shared" si="65"/>
        <v>-5.2209999999999992</v>
      </c>
    </row>
    <row r="2065" spans="1:16" x14ac:dyDescent="0.35">
      <c r="A2065" s="9" t="s">
        <v>80</v>
      </c>
      <c r="B2065" s="2">
        <v>127.9</v>
      </c>
      <c r="C2065" s="2">
        <v>129.53</v>
      </c>
      <c r="D2065" s="2">
        <v>126.02</v>
      </c>
      <c r="E2065" s="2">
        <v>126.84</v>
      </c>
      <c r="F2065" s="2">
        <v>16677640</v>
      </c>
      <c r="G2065" s="2" t="s">
        <v>566</v>
      </c>
      <c r="H2065" s="2" t="s">
        <v>567</v>
      </c>
      <c r="I2065" s="2" t="s">
        <v>568</v>
      </c>
      <c r="J2065" s="4">
        <v>-0.26700000000000002</v>
      </c>
      <c r="K2065" s="2" t="s">
        <v>63</v>
      </c>
      <c r="L2065" s="2">
        <v>2023</v>
      </c>
      <c r="M2065" s="2" t="s">
        <v>64</v>
      </c>
      <c r="N2065" s="2" t="s">
        <v>23</v>
      </c>
      <c r="O2065">
        <f t="shared" si="64"/>
        <v>3.5100000000000051</v>
      </c>
      <c r="P2065">
        <f t="shared" si="65"/>
        <v>-5.4879999999999995</v>
      </c>
    </row>
    <row r="2066" spans="1:16" x14ac:dyDescent="0.35">
      <c r="A2066" s="9" t="s">
        <v>81</v>
      </c>
      <c r="B2066" s="2">
        <v>125.63</v>
      </c>
      <c r="C2066" s="2">
        <v>125.68</v>
      </c>
      <c r="D2066" s="2">
        <v>123.11</v>
      </c>
      <c r="E2066" s="2">
        <v>124.91</v>
      </c>
      <c r="F2066" s="2">
        <v>22326916</v>
      </c>
      <c r="G2066" s="2" t="s">
        <v>566</v>
      </c>
      <c r="H2066" s="2" t="s">
        <v>567</v>
      </c>
      <c r="I2066" s="2" t="s">
        <v>568</v>
      </c>
      <c r="J2066" s="4">
        <v>-1.522</v>
      </c>
      <c r="K2066" s="2" t="s">
        <v>63</v>
      </c>
      <c r="L2066" s="2">
        <v>2023</v>
      </c>
      <c r="M2066" s="2" t="s">
        <v>64</v>
      </c>
      <c r="N2066" s="2" t="s">
        <v>23</v>
      </c>
      <c r="O2066">
        <f t="shared" si="64"/>
        <v>2.5700000000000074</v>
      </c>
      <c r="P2066">
        <f t="shared" si="65"/>
        <v>-7.01</v>
      </c>
    </row>
    <row r="2067" spans="1:16" x14ac:dyDescent="0.35">
      <c r="A2067" s="9" t="s">
        <v>82</v>
      </c>
      <c r="B2067" s="2">
        <v>126.79</v>
      </c>
      <c r="C2067" s="2">
        <v>129.38</v>
      </c>
      <c r="D2067" s="2">
        <v>126.29</v>
      </c>
      <c r="E2067" s="2">
        <v>128.49</v>
      </c>
      <c r="F2067" s="2">
        <v>18853935</v>
      </c>
      <c r="G2067" s="2" t="s">
        <v>566</v>
      </c>
      <c r="H2067" s="2" t="s">
        <v>567</v>
      </c>
      <c r="I2067" s="2" t="s">
        <v>568</v>
      </c>
      <c r="J2067" s="3">
        <v>2.8660000000000001</v>
      </c>
      <c r="K2067" s="2" t="s">
        <v>63</v>
      </c>
      <c r="L2067" s="2">
        <v>2023</v>
      </c>
      <c r="M2067" s="2" t="s">
        <v>64</v>
      </c>
      <c r="N2067" s="2" t="s">
        <v>21</v>
      </c>
      <c r="O2067">
        <f t="shared" si="64"/>
        <v>3.0899999999999892</v>
      </c>
      <c r="P2067">
        <f t="shared" si="65"/>
        <v>-4.1440000000000001</v>
      </c>
    </row>
    <row r="2068" spans="1:16" x14ac:dyDescent="0.35">
      <c r="A2068" s="9" t="s">
        <v>83</v>
      </c>
      <c r="B2068" s="2">
        <v>128.71</v>
      </c>
      <c r="C2068" s="2">
        <v>129.34200000000001</v>
      </c>
      <c r="D2068" s="2">
        <v>127.744</v>
      </c>
      <c r="E2068" s="2">
        <v>128.88</v>
      </c>
      <c r="F2068" s="2">
        <v>10820466</v>
      </c>
      <c r="G2068" s="2" t="s">
        <v>566</v>
      </c>
      <c r="H2068" s="2" t="s">
        <v>567</v>
      </c>
      <c r="I2068" s="2" t="s">
        <v>568</v>
      </c>
      <c r="J2068" s="3">
        <v>0.30399999999999999</v>
      </c>
      <c r="K2068" s="2" t="s">
        <v>63</v>
      </c>
      <c r="L2068" s="2">
        <v>2023</v>
      </c>
      <c r="M2068" s="2" t="s">
        <v>64</v>
      </c>
      <c r="N2068" s="2" t="s">
        <v>21</v>
      </c>
      <c r="O2068">
        <f t="shared" si="64"/>
        <v>1.5980000000000132</v>
      </c>
      <c r="P2068">
        <f t="shared" si="65"/>
        <v>-3.8400000000000003</v>
      </c>
    </row>
    <row r="2069" spans="1:16" x14ac:dyDescent="0.35">
      <c r="A2069" s="9" t="s">
        <v>84</v>
      </c>
      <c r="B2069" s="2">
        <v>130.1</v>
      </c>
      <c r="C2069" s="2">
        <v>130.22</v>
      </c>
      <c r="D2069" s="2">
        <v>127.77</v>
      </c>
      <c r="E2069" s="2">
        <v>129.13999999999999</v>
      </c>
      <c r="F2069" s="2">
        <v>14595260</v>
      </c>
      <c r="G2069" s="2" t="s">
        <v>566</v>
      </c>
      <c r="H2069" s="2" t="s">
        <v>567</v>
      </c>
      <c r="I2069" s="2" t="s">
        <v>568</v>
      </c>
      <c r="J2069" s="3">
        <v>0.20200000000000001</v>
      </c>
      <c r="K2069" s="2" t="s">
        <v>63</v>
      </c>
      <c r="L2069" s="2">
        <v>2023</v>
      </c>
      <c r="M2069" s="2" t="s">
        <v>64</v>
      </c>
      <c r="N2069" s="2" t="s">
        <v>21</v>
      </c>
      <c r="O2069">
        <f t="shared" si="64"/>
        <v>2.4500000000000028</v>
      </c>
      <c r="P2069">
        <f t="shared" si="65"/>
        <v>-3.6380000000000003</v>
      </c>
    </row>
    <row r="2070" spans="1:16" x14ac:dyDescent="0.35">
      <c r="A2070" s="9" t="s">
        <v>85</v>
      </c>
      <c r="B2070" s="2">
        <v>129.94999999999999</v>
      </c>
      <c r="C2070" s="2">
        <v>130.12</v>
      </c>
      <c r="D2070" s="2">
        <v>127.65</v>
      </c>
      <c r="E2070" s="2">
        <v>128.75</v>
      </c>
      <c r="F2070" s="2">
        <v>12134675</v>
      </c>
      <c r="G2070" s="2" t="s">
        <v>566</v>
      </c>
      <c r="H2070" s="2" t="s">
        <v>567</v>
      </c>
      <c r="I2070" s="2" t="s">
        <v>568</v>
      </c>
      <c r="J2070" s="4">
        <v>-0.30199999999999999</v>
      </c>
      <c r="K2070" s="2" t="s">
        <v>63</v>
      </c>
      <c r="L2070" s="2">
        <v>2023</v>
      </c>
      <c r="M2070" s="2" t="s">
        <v>64</v>
      </c>
      <c r="N2070" s="2" t="s">
        <v>23</v>
      </c>
      <c r="O2070">
        <f t="shared" si="64"/>
        <v>2.4699999999999989</v>
      </c>
      <c r="P2070">
        <f t="shared" si="65"/>
        <v>-3.9400000000000004</v>
      </c>
    </row>
    <row r="2071" spans="1:16" x14ac:dyDescent="0.35">
      <c r="A2071" s="9" t="s">
        <v>86</v>
      </c>
      <c r="B2071" s="2">
        <v>129.66</v>
      </c>
      <c r="C2071" s="2">
        <v>130.34</v>
      </c>
      <c r="D2071" s="2">
        <v>128.851</v>
      </c>
      <c r="E2071" s="2">
        <v>130.31</v>
      </c>
      <c r="F2071" s="2">
        <v>13105215</v>
      </c>
      <c r="G2071" s="2" t="s">
        <v>566</v>
      </c>
      <c r="H2071" s="2" t="s">
        <v>567</v>
      </c>
      <c r="I2071" s="2" t="s">
        <v>568</v>
      </c>
      <c r="J2071" s="3">
        <v>1.212</v>
      </c>
      <c r="K2071" s="2" t="s">
        <v>63</v>
      </c>
      <c r="L2071" s="2">
        <v>2023</v>
      </c>
      <c r="M2071" s="2" t="s">
        <v>64</v>
      </c>
      <c r="N2071" s="2" t="s">
        <v>21</v>
      </c>
      <c r="O2071">
        <f t="shared" si="64"/>
        <v>1.4890000000000043</v>
      </c>
      <c r="P2071">
        <f t="shared" si="65"/>
        <v>-2.7280000000000006</v>
      </c>
    </row>
    <row r="2072" spans="1:16" x14ac:dyDescent="0.35">
      <c r="A2072" s="9" t="s">
        <v>87</v>
      </c>
      <c r="B2072" s="2">
        <v>129.91</v>
      </c>
      <c r="C2072" s="2">
        <v>131.44</v>
      </c>
      <c r="D2072" s="2">
        <v>129.41</v>
      </c>
      <c r="E2072" s="2">
        <v>130.16</v>
      </c>
      <c r="F2072" s="2">
        <v>11775388</v>
      </c>
      <c r="G2072" s="2" t="s">
        <v>566</v>
      </c>
      <c r="H2072" s="2" t="s">
        <v>567</v>
      </c>
      <c r="I2072" s="2" t="s">
        <v>568</v>
      </c>
      <c r="J2072" s="4">
        <v>-0.115</v>
      </c>
      <c r="K2072" s="2" t="s">
        <v>88</v>
      </c>
      <c r="L2072" s="2">
        <v>2023</v>
      </c>
      <c r="M2072" s="2" t="s">
        <v>89</v>
      </c>
      <c r="N2072" s="2" t="s">
        <v>23</v>
      </c>
      <c r="O2072">
        <f t="shared" si="64"/>
        <v>2.0300000000000011</v>
      </c>
      <c r="P2072">
        <f t="shared" si="65"/>
        <v>-2.8430000000000009</v>
      </c>
    </row>
    <row r="2073" spans="1:16" x14ac:dyDescent="0.35">
      <c r="A2073" s="9" t="s">
        <v>90</v>
      </c>
      <c r="B2073" s="2">
        <v>130.5</v>
      </c>
      <c r="C2073" s="2">
        <v>130.59</v>
      </c>
      <c r="D2073" s="2">
        <v>127.41</v>
      </c>
      <c r="E2073" s="2">
        <v>128.41999999999999</v>
      </c>
      <c r="F2073" s="2">
        <v>11579916</v>
      </c>
      <c r="G2073" s="2" t="s">
        <v>566</v>
      </c>
      <c r="H2073" s="2" t="s">
        <v>567</v>
      </c>
      <c r="I2073" s="2" t="s">
        <v>568</v>
      </c>
      <c r="J2073" s="4">
        <v>-1.337</v>
      </c>
      <c r="K2073" s="2" t="s">
        <v>88</v>
      </c>
      <c r="L2073" s="2">
        <v>2023</v>
      </c>
      <c r="M2073" s="2" t="s">
        <v>89</v>
      </c>
      <c r="N2073" s="2" t="s">
        <v>23</v>
      </c>
      <c r="O2073">
        <f t="shared" si="64"/>
        <v>3.1800000000000068</v>
      </c>
      <c r="P2073">
        <f t="shared" si="65"/>
        <v>-4.1800000000000006</v>
      </c>
    </row>
    <row r="2074" spans="1:16" x14ac:dyDescent="0.35">
      <c r="A2074" s="9" t="s">
        <v>91</v>
      </c>
      <c r="B2074" s="2">
        <v>126.8</v>
      </c>
      <c r="C2074" s="2">
        <v>128.15</v>
      </c>
      <c r="D2074" s="2">
        <v>126.46</v>
      </c>
      <c r="E2074" s="2">
        <v>127.61</v>
      </c>
      <c r="F2074" s="2">
        <v>9614692</v>
      </c>
      <c r="G2074" s="2" t="s">
        <v>566</v>
      </c>
      <c r="H2074" s="2" t="s">
        <v>567</v>
      </c>
      <c r="I2074" s="2" t="s">
        <v>568</v>
      </c>
      <c r="J2074" s="4">
        <v>-0.63100000000000001</v>
      </c>
      <c r="K2074" s="2" t="s">
        <v>88</v>
      </c>
      <c r="L2074" s="2">
        <v>2023</v>
      </c>
      <c r="M2074" s="2" t="s">
        <v>89</v>
      </c>
      <c r="N2074" s="2" t="s">
        <v>23</v>
      </c>
      <c r="O2074">
        <f t="shared" si="64"/>
        <v>1.6900000000000119</v>
      </c>
      <c r="P2074">
        <f t="shared" si="65"/>
        <v>-4.8110000000000008</v>
      </c>
    </row>
    <row r="2075" spans="1:16" x14ac:dyDescent="0.35">
      <c r="A2075" s="9" t="s">
        <v>92</v>
      </c>
      <c r="B2075" s="2">
        <v>127</v>
      </c>
      <c r="C2075" s="2">
        <v>128.08000000000001</v>
      </c>
      <c r="D2075" s="2">
        <v>126.855</v>
      </c>
      <c r="E2075" s="2">
        <v>127.47</v>
      </c>
      <c r="F2075" s="2">
        <v>8760220</v>
      </c>
      <c r="G2075" s="2" t="s">
        <v>566</v>
      </c>
      <c r="H2075" s="2" t="s">
        <v>567</v>
      </c>
      <c r="I2075" s="2" t="s">
        <v>568</v>
      </c>
      <c r="J2075" s="4">
        <v>-0.11</v>
      </c>
      <c r="K2075" s="2" t="s">
        <v>88</v>
      </c>
      <c r="L2075" s="2">
        <v>2023</v>
      </c>
      <c r="M2075" s="2" t="s">
        <v>89</v>
      </c>
      <c r="N2075" s="2" t="s">
        <v>23</v>
      </c>
      <c r="O2075">
        <f t="shared" si="64"/>
        <v>1.2250000000000085</v>
      </c>
      <c r="P2075">
        <f t="shared" si="65"/>
        <v>-4.9210000000000012</v>
      </c>
    </row>
    <row r="2076" spans="1:16" x14ac:dyDescent="0.35">
      <c r="A2076" s="9" t="s">
        <v>93</v>
      </c>
      <c r="B2076" s="2">
        <v>126.54</v>
      </c>
      <c r="C2076" s="2">
        <v>128.22999999999999</v>
      </c>
      <c r="D2076" s="2">
        <v>126.22</v>
      </c>
      <c r="E2076" s="2">
        <v>127.89</v>
      </c>
      <c r="F2076" s="2">
        <v>9477292</v>
      </c>
      <c r="G2076" s="2" t="s">
        <v>566</v>
      </c>
      <c r="H2076" s="2" t="s">
        <v>567</v>
      </c>
      <c r="I2076" s="2" t="s">
        <v>568</v>
      </c>
      <c r="J2076" s="3">
        <v>0.32900000000000001</v>
      </c>
      <c r="K2076" s="2" t="s">
        <v>88</v>
      </c>
      <c r="L2076" s="2">
        <v>2023</v>
      </c>
      <c r="M2076" s="2" t="s">
        <v>89</v>
      </c>
      <c r="N2076" s="2" t="s">
        <v>21</v>
      </c>
      <c r="O2076">
        <f t="shared" si="64"/>
        <v>2.0099999999999909</v>
      </c>
      <c r="P2076">
        <f t="shared" si="65"/>
        <v>-4.5920000000000014</v>
      </c>
    </row>
    <row r="2077" spans="1:16" x14ac:dyDescent="0.35">
      <c r="A2077" s="9" t="s">
        <v>94</v>
      </c>
      <c r="B2077" s="2">
        <v>128.30000000000001</v>
      </c>
      <c r="C2077" s="2">
        <v>128.94</v>
      </c>
      <c r="D2077" s="2">
        <v>127.54</v>
      </c>
      <c r="E2077" s="2">
        <v>128.52000000000001</v>
      </c>
      <c r="F2077" s="2">
        <v>10516267</v>
      </c>
      <c r="G2077" s="2" t="s">
        <v>566</v>
      </c>
      <c r="H2077" s="2" t="s">
        <v>567</v>
      </c>
      <c r="I2077" s="2" t="s">
        <v>568</v>
      </c>
      <c r="J2077" s="3">
        <v>0.49299999999999999</v>
      </c>
      <c r="K2077" s="2" t="s">
        <v>88</v>
      </c>
      <c r="L2077" s="2">
        <v>2023</v>
      </c>
      <c r="M2077" s="2" t="s">
        <v>89</v>
      </c>
      <c r="N2077" s="2" t="s">
        <v>21</v>
      </c>
      <c r="O2077">
        <f t="shared" si="64"/>
        <v>1.3999999999999915</v>
      </c>
      <c r="P2077">
        <f t="shared" si="65"/>
        <v>-4.0990000000000011</v>
      </c>
    </row>
    <row r="2078" spans="1:16" x14ac:dyDescent="0.35">
      <c r="A2078" s="9" t="s">
        <v>95</v>
      </c>
      <c r="B2078" s="2">
        <v>129.18</v>
      </c>
      <c r="C2078" s="2">
        <v>130.43</v>
      </c>
      <c r="D2078" s="2">
        <v>128.06</v>
      </c>
      <c r="E2078" s="2">
        <v>128.5</v>
      </c>
      <c r="F2078" s="2">
        <v>11820995</v>
      </c>
      <c r="G2078" s="2" t="s">
        <v>566</v>
      </c>
      <c r="H2078" s="2" t="s">
        <v>567</v>
      </c>
      <c r="I2078" s="2" t="s">
        <v>568</v>
      </c>
      <c r="J2078" s="4">
        <v>-1.6E-2</v>
      </c>
      <c r="K2078" s="2" t="s">
        <v>88</v>
      </c>
      <c r="L2078" s="2">
        <v>2023</v>
      </c>
      <c r="M2078" s="2" t="s">
        <v>89</v>
      </c>
      <c r="N2078" s="2" t="s">
        <v>23</v>
      </c>
      <c r="O2078">
        <f t="shared" si="64"/>
        <v>2.3700000000000045</v>
      </c>
      <c r="P2078">
        <f t="shared" si="65"/>
        <v>-4.1150000000000011</v>
      </c>
    </row>
    <row r="2079" spans="1:16" x14ac:dyDescent="0.35">
      <c r="A2079" s="9" t="s">
        <v>96</v>
      </c>
      <c r="B2079" s="2">
        <v>128.46</v>
      </c>
      <c r="C2079" s="2">
        <v>129.04</v>
      </c>
      <c r="D2079" s="2">
        <v>126.83</v>
      </c>
      <c r="E2079" s="2">
        <v>128.99</v>
      </c>
      <c r="F2079" s="2">
        <v>12450242</v>
      </c>
      <c r="G2079" s="2" t="s">
        <v>566</v>
      </c>
      <c r="H2079" s="2" t="s">
        <v>567</v>
      </c>
      <c r="I2079" s="2" t="s">
        <v>568</v>
      </c>
      <c r="J2079" s="3">
        <v>0.38100000000000001</v>
      </c>
      <c r="K2079" s="2" t="s">
        <v>88</v>
      </c>
      <c r="L2079" s="2">
        <v>2023</v>
      </c>
      <c r="M2079" s="2" t="s">
        <v>89</v>
      </c>
      <c r="N2079" s="2" t="s">
        <v>21</v>
      </c>
      <c r="O2079">
        <f t="shared" si="64"/>
        <v>2.2099999999999937</v>
      </c>
      <c r="P2079">
        <f t="shared" si="65"/>
        <v>-3.7340000000000009</v>
      </c>
    </row>
    <row r="2080" spans="1:16" x14ac:dyDescent="0.35">
      <c r="A2080" s="9" t="s">
        <v>97</v>
      </c>
      <c r="B2080" s="2">
        <v>135.15</v>
      </c>
      <c r="C2080" s="2">
        <v>139.12</v>
      </c>
      <c r="D2080" s="2">
        <v>134.9</v>
      </c>
      <c r="E2080" s="2">
        <v>138.72999999999999</v>
      </c>
      <c r="F2080" s="2">
        <v>43931328</v>
      </c>
      <c r="G2080" s="2" t="s">
        <v>566</v>
      </c>
      <c r="H2080" s="2" t="s">
        <v>567</v>
      </c>
      <c r="I2080" s="2" t="s">
        <v>568</v>
      </c>
      <c r="J2080" s="3">
        <v>7.5510000000000002</v>
      </c>
      <c r="K2080" s="2" t="s">
        <v>88</v>
      </c>
      <c r="L2080" s="2">
        <v>2023</v>
      </c>
      <c r="M2080" s="2" t="s">
        <v>89</v>
      </c>
      <c r="N2080" s="2" t="s">
        <v>21</v>
      </c>
      <c r="O2080">
        <f t="shared" si="64"/>
        <v>4.2199999999999989</v>
      </c>
      <c r="P2080">
        <f t="shared" si="65"/>
        <v>3.8169999999999993</v>
      </c>
    </row>
    <row r="2081" spans="1:16" x14ac:dyDescent="0.35">
      <c r="A2081" s="9" t="s">
        <v>98</v>
      </c>
      <c r="B2081" s="2">
        <v>139.94999999999999</v>
      </c>
      <c r="C2081" s="2">
        <v>140.06</v>
      </c>
      <c r="D2081" s="2">
        <v>137.66</v>
      </c>
      <c r="E2081" s="2">
        <v>139.83000000000001</v>
      </c>
      <c r="F2081" s="2">
        <v>16050486</v>
      </c>
      <c r="G2081" s="2" t="s">
        <v>566</v>
      </c>
      <c r="H2081" s="2" t="s">
        <v>567</v>
      </c>
      <c r="I2081" s="2" t="s">
        <v>568</v>
      </c>
      <c r="J2081" s="3">
        <v>0.79300000000000004</v>
      </c>
      <c r="K2081" s="2" t="s">
        <v>88</v>
      </c>
      <c r="L2081" s="2">
        <v>2023</v>
      </c>
      <c r="M2081" s="2" t="s">
        <v>89</v>
      </c>
      <c r="N2081" s="2" t="s">
        <v>21</v>
      </c>
      <c r="O2081">
        <f t="shared" si="64"/>
        <v>2.4000000000000057</v>
      </c>
      <c r="P2081">
        <f t="shared" si="65"/>
        <v>4.6099999999999994</v>
      </c>
    </row>
    <row r="2082" spans="1:16" x14ac:dyDescent="0.35">
      <c r="A2082" s="9" t="s">
        <v>99</v>
      </c>
      <c r="B2082" s="2">
        <v>140.27000000000001</v>
      </c>
      <c r="C2082" s="2">
        <v>141.78</v>
      </c>
      <c r="D2082" s="2">
        <v>139.03</v>
      </c>
      <c r="E2082" s="2">
        <v>141.4</v>
      </c>
      <c r="F2082" s="2">
        <v>13760139</v>
      </c>
      <c r="G2082" s="2" t="s">
        <v>566</v>
      </c>
      <c r="H2082" s="2" t="s">
        <v>567</v>
      </c>
      <c r="I2082" s="2" t="s">
        <v>568</v>
      </c>
      <c r="J2082" s="3">
        <v>1.123</v>
      </c>
      <c r="K2082" s="2" t="s">
        <v>88</v>
      </c>
      <c r="L2082" s="2">
        <v>2023</v>
      </c>
      <c r="M2082" s="2" t="s">
        <v>89</v>
      </c>
      <c r="N2082" s="2" t="s">
        <v>21</v>
      </c>
      <c r="O2082">
        <f t="shared" si="64"/>
        <v>2.75</v>
      </c>
      <c r="P2082">
        <f t="shared" si="65"/>
        <v>5.7329999999999997</v>
      </c>
    </row>
    <row r="2083" spans="1:16" x14ac:dyDescent="0.35">
      <c r="A2083" s="9" t="s">
        <v>100</v>
      </c>
      <c r="B2083" s="2">
        <v>141.22999999999999</v>
      </c>
      <c r="C2083" s="2">
        <v>141.5</v>
      </c>
      <c r="D2083" s="2">
        <v>140.4</v>
      </c>
      <c r="E2083" s="2">
        <v>141.22</v>
      </c>
      <c r="F2083" s="2">
        <v>9158112</v>
      </c>
      <c r="G2083" s="2" t="s">
        <v>566</v>
      </c>
      <c r="H2083" s="2" t="s">
        <v>567</v>
      </c>
      <c r="I2083" s="2" t="s">
        <v>568</v>
      </c>
      <c r="J2083" s="4">
        <v>-0.127</v>
      </c>
      <c r="K2083" s="2" t="s">
        <v>88</v>
      </c>
      <c r="L2083" s="2">
        <v>2023</v>
      </c>
      <c r="M2083" s="2" t="s">
        <v>89</v>
      </c>
      <c r="N2083" s="2" t="s">
        <v>23</v>
      </c>
      <c r="O2083">
        <f t="shared" si="64"/>
        <v>1.0999999999999943</v>
      </c>
      <c r="P2083">
        <f t="shared" si="65"/>
        <v>5.6059999999999999</v>
      </c>
    </row>
    <row r="2084" spans="1:16" x14ac:dyDescent="0.35">
      <c r="A2084" s="9" t="s">
        <v>101</v>
      </c>
      <c r="B2084" s="2">
        <v>139.91</v>
      </c>
      <c r="C2084" s="2">
        <v>141.43</v>
      </c>
      <c r="D2084" s="2">
        <v>139.84</v>
      </c>
      <c r="E2084" s="2">
        <v>140.81</v>
      </c>
      <c r="F2084" s="2">
        <v>10586245</v>
      </c>
      <c r="G2084" s="2" t="s">
        <v>566</v>
      </c>
      <c r="H2084" s="2" t="s">
        <v>567</v>
      </c>
      <c r="I2084" s="2" t="s">
        <v>568</v>
      </c>
      <c r="J2084" s="4">
        <v>-0.28999999999999998</v>
      </c>
      <c r="K2084" s="2" t="s">
        <v>88</v>
      </c>
      <c r="L2084" s="2">
        <v>2023</v>
      </c>
      <c r="M2084" s="2" t="s">
        <v>89</v>
      </c>
      <c r="N2084" s="2" t="s">
        <v>23</v>
      </c>
      <c r="O2084">
        <f t="shared" si="64"/>
        <v>1.5900000000000034</v>
      </c>
      <c r="P2084">
        <f t="shared" si="65"/>
        <v>5.3159999999999998</v>
      </c>
    </row>
    <row r="2085" spans="1:16" x14ac:dyDescent="0.35">
      <c r="A2085" s="9" t="s">
        <v>102</v>
      </c>
      <c r="B2085" s="2">
        <v>139.74</v>
      </c>
      <c r="C2085" s="2">
        <v>141.11000000000001</v>
      </c>
      <c r="D2085" s="2">
        <v>138.78</v>
      </c>
      <c r="E2085" s="2">
        <v>140.54</v>
      </c>
      <c r="F2085" s="2">
        <v>11842537</v>
      </c>
      <c r="G2085" s="2" t="s">
        <v>566</v>
      </c>
      <c r="H2085" s="2" t="s">
        <v>567</v>
      </c>
      <c r="I2085" s="2" t="s">
        <v>568</v>
      </c>
      <c r="J2085" s="4">
        <v>-0.192</v>
      </c>
      <c r="K2085" s="2" t="s">
        <v>88</v>
      </c>
      <c r="L2085" s="2">
        <v>2023</v>
      </c>
      <c r="M2085" s="2" t="s">
        <v>89</v>
      </c>
      <c r="N2085" s="2" t="s">
        <v>23</v>
      </c>
      <c r="O2085">
        <f t="shared" si="64"/>
        <v>2.3300000000000125</v>
      </c>
      <c r="P2085">
        <f t="shared" si="65"/>
        <v>5.1239999999999997</v>
      </c>
    </row>
    <row r="2086" spans="1:16" x14ac:dyDescent="0.35">
      <c r="A2086" s="9" t="s">
        <v>103</v>
      </c>
      <c r="B2086" s="2">
        <v>140.45500000000001</v>
      </c>
      <c r="C2086" s="2">
        <v>141.1</v>
      </c>
      <c r="D2086" s="2">
        <v>140.04</v>
      </c>
      <c r="E2086" s="2">
        <v>140.72999999999999</v>
      </c>
      <c r="F2086" s="2">
        <v>7567666</v>
      </c>
      <c r="G2086" s="2" t="s">
        <v>566</v>
      </c>
      <c r="H2086" s="2" t="s">
        <v>567</v>
      </c>
      <c r="I2086" s="2" t="s">
        <v>568</v>
      </c>
      <c r="J2086" s="3">
        <v>0.13500000000000001</v>
      </c>
      <c r="K2086" s="2" t="s">
        <v>88</v>
      </c>
      <c r="L2086" s="2">
        <v>2023</v>
      </c>
      <c r="M2086" s="2" t="s">
        <v>89</v>
      </c>
      <c r="N2086" s="2" t="s">
        <v>21</v>
      </c>
      <c r="O2086">
        <f t="shared" si="64"/>
        <v>1.0600000000000023</v>
      </c>
      <c r="P2086">
        <f t="shared" si="65"/>
        <v>5.2589999999999995</v>
      </c>
    </row>
    <row r="2087" spans="1:16" x14ac:dyDescent="0.35">
      <c r="A2087" s="9" t="s">
        <v>104</v>
      </c>
      <c r="B2087" s="2">
        <v>139.6</v>
      </c>
      <c r="C2087" s="2">
        <v>139.96</v>
      </c>
      <c r="D2087" s="2">
        <v>137.625</v>
      </c>
      <c r="E2087" s="2">
        <v>137.66999999999999</v>
      </c>
      <c r="F2087" s="2">
        <v>10629325</v>
      </c>
      <c r="G2087" s="2" t="s">
        <v>566</v>
      </c>
      <c r="H2087" s="2" t="s">
        <v>567</v>
      </c>
      <c r="I2087" s="2" t="s">
        <v>568</v>
      </c>
      <c r="J2087" s="4">
        <v>-2.1739999999999999</v>
      </c>
      <c r="K2087" s="2" t="s">
        <v>88</v>
      </c>
      <c r="L2087" s="2">
        <v>2023</v>
      </c>
      <c r="M2087" s="2" t="s">
        <v>89</v>
      </c>
      <c r="N2087" s="2" t="s">
        <v>23</v>
      </c>
      <c r="O2087">
        <f t="shared" si="64"/>
        <v>2.335000000000008</v>
      </c>
      <c r="P2087">
        <f t="shared" si="65"/>
        <v>3.0849999999999995</v>
      </c>
    </row>
    <row r="2088" spans="1:16" x14ac:dyDescent="0.35">
      <c r="A2088" s="9" t="s">
        <v>105</v>
      </c>
      <c r="B2088" s="2">
        <v>137.62</v>
      </c>
      <c r="C2088" s="2">
        <v>137.809</v>
      </c>
      <c r="D2088" s="2">
        <v>134</v>
      </c>
      <c r="E2088" s="2">
        <v>135.22999999999999</v>
      </c>
      <c r="F2088" s="2">
        <v>14416145</v>
      </c>
      <c r="G2088" s="2" t="s">
        <v>566</v>
      </c>
      <c r="H2088" s="2" t="s">
        <v>567</v>
      </c>
      <c r="I2088" s="2" t="s">
        <v>568</v>
      </c>
      <c r="J2088" s="4">
        <v>-1.772</v>
      </c>
      <c r="K2088" s="2" t="s">
        <v>88</v>
      </c>
      <c r="L2088" s="2">
        <v>2023</v>
      </c>
      <c r="M2088" s="2" t="s">
        <v>89</v>
      </c>
      <c r="N2088" s="2" t="s">
        <v>23</v>
      </c>
      <c r="O2088">
        <f t="shared" si="64"/>
        <v>3.8089999999999975</v>
      </c>
      <c r="P2088">
        <f t="shared" si="65"/>
        <v>1.3129999999999995</v>
      </c>
    </row>
    <row r="2089" spans="1:16" x14ac:dyDescent="0.35">
      <c r="A2089" s="9" t="s">
        <v>106</v>
      </c>
      <c r="B2089" s="2">
        <v>136</v>
      </c>
      <c r="C2089" s="2">
        <v>137.91</v>
      </c>
      <c r="D2089" s="2">
        <v>135.66</v>
      </c>
      <c r="E2089" s="2">
        <v>137.05000000000001</v>
      </c>
      <c r="F2089" s="2">
        <v>9041092</v>
      </c>
      <c r="G2089" s="2" t="s">
        <v>566</v>
      </c>
      <c r="H2089" s="2" t="s">
        <v>567</v>
      </c>
      <c r="I2089" s="2" t="s">
        <v>568</v>
      </c>
      <c r="J2089" s="3">
        <v>1.3460000000000001</v>
      </c>
      <c r="K2089" s="2" t="s">
        <v>88</v>
      </c>
      <c r="L2089" s="2">
        <v>2023</v>
      </c>
      <c r="M2089" s="2" t="s">
        <v>89</v>
      </c>
      <c r="N2089" s="2" t="s">
        <v>21</v>
      </c>
      <c r="O2089">
        <f t="shared" si="64"/>
        <v>2.25</v>
      </c>
      <c r="P2089">
        <f t="shared" si="65"/>
        <v>2.6589999999999998</v>
      </c>
    </row>
    <row r="2090" spans="1:16" x14ac:dyDescent="0.35">
      <c r="A2090" s="9" t="s">
        <v>107</v>
      </c>
      <c r="B2090" s="2">
        <v>136.56</v>
      </c>
      <c r="C2090" s="2">
        <v>138.32</v>
      </c>
      <c r="D2090" s="2">
        <v>135.66999999999999</v>
      </c>
      <c r="E2090" s="2">
        <v>138.24</v>
      </c>
      <c r="F2090" s="2">
        <v>9887262</v>
      </c>
      <c r="G2090" s="2" t="s">
        <v>566</v>
      </c>
      <c r="H2090" s="2" t="s">
        <v>567</v>
      </c>
      <c r="I2090" s="2" t="s">
        <v>568</v>
      </c>
      <c r="J2090" s="3">
        <v>0.86799999999999999</v>
      </c>
      <c r="K2090" s="2" t="s">
        <v>88</v>
      </c>
      <c r="L2090" s="2">
        <v>2023</v>
      </c>
      <c r="M2090" s="2" t="s">
        <v>89</v>
      </c>
      <c r="N2090" s="2" t="s">
        <v>21</v>
      </c>
      <c r="O2090">
        <f t="shared" si="64"/>
        <v>2.6500000000000057</v>
      </c>
      <c r="P2090">
        <f t="shared" si="65"/>
        <v>3.5269999999999997</v>
      </c>
    </row>
    <row r="2091" spans="1:16" x14ac:dyDescent="0.35">
      <c r="A2091" s="9" t="s">
        <v>108</v>
      </c>
      <c r="B2091" s="2">
        <v>142.26</v>
      </c>
      <c r="C2091" s="2">
        <v>143.37</v>
      </c>
      <c r="D2091" s="2">
        <v>140.83000000000001</v>
      </c>
      <c r="E2091" s="2">
        <v>141.19999999999999</v>
      </c>
      <c r="F2091" s="2">
        <v>20415762</v>
      </c>
      <c r="G2091" s="2" t="s">
        <v>566</v>
      </c>
      <c r="H2091" s="2" t="s">
        <v>567</v>
      </c>
      <c r="I2091" s="2" t="s">
        <v>568</v>
      </c>
      <c r="J2091" s="3">
        <v>2.141</v>
      </c>
      <c r="K2091" s="2" t="s">
        <v>109</v>
      </c>
      <c r="L2091" s="2">
        <v>2023</v>
      </c>
      <c r="M2091" s="2" t="s">
        <v>110</v>
      </c>
      <c r="N2091" s="2" t="s">
        <v>21</v>
      </c>
      <c r="O2091">
        <f t="shared" si="64"/>
        <v>2.539999999999992</v>
      </c>
      <c r="P2091">
        <f t="shared" si="65"/>
        <v>5.6679999999999993</v>
      </c>
    </row>
    <row r="2092" spans="1:16" x14ac:dyDescent="0.35">
      <c r="A2092" s="9" t="s">
        <v>111</v>
      </c>
      <c r="B2092" s="2">
        <v>141.4</v>
      </c>
      <c r="C2092" s="2">
        <v>142.41</v>
      </c>
      <c r="D2092" s="2">
        <v>138.43</v>
      </c>
      <c r="E2092" s="2">
        <v>138.91999999999999</v>
      </c>
      <c r="F2092" s="2">
        <v>14113447</v>
      </c>
      <c r="G2092" s="2" t="s">
        <v>566</v>
      </c>
      <c r="H2092" s="2" t="s">
        <v>567</v>
      </c>
      <c r="I2092" s="2" t="s">
        <v>568</v>
      </c>
      <c r="J2092" s="4">
        <v>-1.615</v>
      </c>
      <c r="K2092" s="2" t="s">
        <v>109</v>
      </c>
      <c r="L2092" s="2">
        <v>2023</v>
      </c>
      <c r="M2092" s="2" t="s">
        <v>110</v>
      </c>
      <c r="N2092" s="2" t="s">
        <v>23</v>
      </c>
      <c r="O2092">
        <f t="shared" si="64"/>
        <v>3.9799999999999898</v>
      </c>
      <c r="P2092">
        <f t="shared" si="65"/>
        <v>4.052999999999999</v>
      </c>
    </row>
    <row r="2093" spans="1:16" x14ac:dyDescent="0.35">
      <c r="A2093" s="9" t="s">
        <v>112</v>
      </c>
      <c r="B2093" s="2">
        <v>138.44</v>
      </c>
      <c r="C2093" s="2">
        <v>138.66900000000001</v>
      </c>
      <c r="D2093" s="2">
        <v>135.76</v>
      </c>
      <c r="E2093" s="2">
        <v>135.97999999999999</v>
      </c>
      <c r="F2093" s="2">
        <v>12930906</v>
      </c>
      <c r="G2093" s="2" t="s">
        <v>566</v>
      </c>
      <c r="H2093" s="2" t="s">
        <v>567</v>
      </c>
      <c r="I2093" s="2" t="s">
        <v>568</v>
      </c>
      <c r="J2093" s="4">
        <v>-2.1160000000000001</v>
      </c>
      <c r="K2093" s="2" t="s">
        <v>109</v>
      </c>
      <c r="L2093" s="2">
        <v>2023</v>
      </c>
      <c r="M2093" s="2" t="s">
        <v>110</v>
      </c>
      <c r="N2093" s="2" t="s">
        <v>23</v>
      </c>
      <c r="O2093">
        <f t="shared" si="64"/>
        <v>2.9090000000000202</v>
      </c>
      <c r="P2093">
        <f t="shared" si="65"/>
        <v>1.9369999999999989</v>
      </c>
    </row>
    <row r="2094" spans="1:16" x14ac:dyDescent="0.35">
      <c r="A2094" s="9" t="s">
        <v>113</v>
      </c>
      <c r="B2094" s="2">
        <v>134.96</v>
      </c>
      <c r="C2094" s="2">
        <v>135.72</v>
      </c>
      <c r="D2094" s="2">
        <v>131.81</v>
      </c>
      <c r="E2094" s="2">
        <v>134.12</v>
      </c>
      <c r="F2094" s="2">
        <v>17089164</v>
      </c>
      <c r="G2094" s="2" t="s">
        <v>566</v>
      </c>
      <c r="H2094" s="2" t="s">
        <v>567</v>
      </c>
      <c r="I2094" s="2" t="s">
        <v>568</v>
      </c>
      <c r="J2094" s="4">
        <v>-1.3680000000000001</v>
      </c>
      <c r="K2094" s="2" t="s">
        <v>109</v>
      </c>
      <c r="L2094" s="2">
        <v>2023</v>
      </c>
      <c r="M2094" s="2" t="s">
        <v>110</v>
      </c>
      <c r="N2094" s="2" t="s">
        <v>23</v>
      </c>
      <c r="O2094">
        <f t="shared" si="64"/>
        <v>3.9099999999999966</v>
      </c>
      <c r="P2094">
        <f t="shared" si="65"/>
        <v>0.56899999999999884</v>
      </c>
    </row>
    <row r="2095" spans="1:16" x14ac:dyDescent="0.35">
      <c r="A2095" s="9" t="s">
        <v>114</v>
      </c>
      <c r="B2095" s="2">
        <v>136.44</v>
      </c>
      <c r="C2095" s="2">
        <v>137.88</v>
      </c>
      <c r="D2095" s="2">
        <v>135.91200000000001</v>
      </c>
      <c r="E2095" s="2">
        <v>136.74</v>
      </c>
      <c r="F2095" s="2">
        <v>11261394</v>
      </c>
      <c r="G2095" s="2" t="s">
        <v>566</v>
      </c>
      <c r="H2095" s="2" t="s">
        <v>567</v>
      </c>
      <c r="I2095" s="2" t="s">
        <v>568</v>
      </c>
      <c r="J2095" s="3">
        <v>1.9530000000000001</v>
      </c>
      <c r="K2095" s="2" t="s">
        <v>109</v>
      </c>
      <c r="L2095" s="2">
        <v>2023</v>
      </c>
      <c r="M2095" s="2" t="s">
        <v>110</v>
      </c>
      <c r="N2095" s="2" t="s">
        <v>21</v>
      </c>
      <c r="O2095">
        <f t="shared" si="64"/>
        <v>1.9679999999999893</v>
      </c>
      <c r="P2095">
        <f t="shared" si="65"/>
        <v>2.5219999999999989</v>
      </c>
    </row>
    <row r="2096" spans="1:16" x14ac:dyDescent="0.35">
      <c r="A2096" s="9" t="s">
        <v>115</v>
      </c>
      <c r="B2096" s="2">
        <v>137.49</v>
      </c>
      <c r="C2096" s="2">
        <v>137.97</v>
      </c>
      <c r="D2096" s="2">
        <v>136.47499999999999</v>
      </c>
      <c r="E2096" s="2">
        <v>137.07</v>
      </c>
      <c r="F2096" s="2">
        <v>7484872</v>
      </c>
      <c r="G2096" s="2" t="s">
        <v>566</v>
      </c>
      <c r="H2096" s="2" t="s">
        <v>567</v>
      </c>
      <c r="I2096" s="2" t="s">
        <v>568</v>
      </c>
      <c r="J2096" s="3">
        <v>0.24099999999999999</v>
      </c>
      <c r="K2096" s="2" t="s">
        <v>109</v>
      </c>
      <c r="L2096" s="2">
        <v>2023</v>
      </c>
      <c r="M2096" s="2" t="s">
        <v>110</v>
      </c>
      <c r="N2096" s="2" t="s">
        <v>21</v>
      </c>
      <c r="O2096">
        <f t="shared" si="64"/>
        <v>1.4950000000000045</v>
      </c>
      <c r="P2096">
        <f t="shared" si="65"/>
        <v>2.762999999999999</v>
      </c>
    </row>
    <row r="2097" spans="1:16" x14ac:dyDescent="0.35">
      <c r="A2097" s="9" t="s">
        <v>116</v>
      </c>
      <c r="B2097" s="2">
        <v>135.93</v>
      </c>
      <c r="C2097" s="2">
        <v>136.94999999999999</v>
      </c>
      <c r="D2097" s="2">
        <v>135.21</v>
      </c>
      <c r="E2097" s="2">
        <v>136.41</v>
      </c>
      <c r="F2097" s="2">
        <v>7343573</v>
      </c>
      <c r="G2097" s="2" t="s">
        <v>566</v>
      </c>
      <c r="H2097" s="2" t="s">
        <v>567</v>
      </c>
      <c r="I2097" s="2" t="s">
        <v>568</v>
      </c>
      <c r="J2097" s="4">
        <v>-0.48199999999999998</v>
      </c>
      <c r="K2097" s="2" t="s">
        <v>109</v>
      </c>
      <c r="L2097" s="2">
        <v>2023</v>
      </c>
      <c r="M2097" s="2" t="s">
        <v>110</v>
      </c>
      <c r="N2097" s="2" t="s">
        <v>23</v>
      </c>
      <c r="O2097">
        <f t="shared" si="64"/>
        <v>1.7399999999999807</v>
      </c>
      <c r="P2097">
        <f t="shared" si="65"/>
        <v>2.2809999999999988</v>
      </c>
    </row>
    <row r="2098" spans="1:16" x14ac:dyDescent="0.35">
      <c r="A2098" s="9" t="s">
        <v>117</v>
      </c>
      <c r="B2098" s="2">
        <v>137.94999999999999</v>
      </c>
      <c r="C2098" s="2">
        <v>138.06</v>
      </c>
      <c r="D2098" s="2">
        <v>134.87</v>
      </c>
      <c r="E2098" s="2">
        <v>136.47999999999999</v>
      </c>
      <c r="F2098" s="2">
        <v>8133416</v>
      </c>
      <c r="G2098" s="2" t="s">
        <v>566</v>
      </c>
      <c r="H2098" s="2" t="s">
        <v>567</v>
      </c>
      <c r="I2098" s="2" t="s">
        <v>568</v>
      </c>
      <c r="J2098" s="3">
        <v>5.0999999999999997E-2</v>
      </c>
      <c r="K2098" s="2" t="s">
        <v>109</v>
      </c>
      <c r="L2098" s="2">
        <v>2023</v>
      </c>
      <c r="M2098" s="2" t="s">
        <v>110</v>
      </c>
      <c r="N2098" s="2" t="s">
        <v>21</v>
      </c>
      <c r="O2098">
        <f t="shared" si="64"/>
        <v>3.1899999999999977</v>
      </c>
      <c r="P2098">
        <f t="shared" si="65"/>
        <v>2.331999999999999</v>
      </c>
    </row>
    <row r="2099" spans="1:16" x14ac:dyDescent="0.35">
      <c r="A2099" s="9" t="s">
        <v>118</v>
      </c>
      <c r="B2099" s="2">
        <v>135</v>
      </c>
      <c r="C2099" s="2">
        <v>136.81</v>
      </c>
      <c r="D2099" s="2">
        <v>134.9</v>
      </c>
      <c r="E2099" s="2">
        <v>136.05000000000001</v>
      </c>
      <c r="F2099" s="2">
        <v>7057277</v>
      </c>
      <c r="G2099" s="2" t="s">
        <v>566</v>
      </c>
      <c r="H2099" s="2" t="s">
        <v>567</v>
      </c>
      <c r="I2099" s="2" t="s">
        <v>568</v>
      </c>
      <c r="J2099" s="4">
        <v>-0.315</v>
      </c>
      <c r="K2099" s="2" t="s">
        <v>109</v>
      </c>
      <c r="L2099" s="2">
        <v>2023</v>
      </c>
      <c r="M2099" s="2" t="s">
        <v>110</v>
      </c>
      <c r="N2099" s="2" t="s">
        <v>23</v>
      </c>
      <c r="O2099">
        <f t="shared" si="64"/>
        <v>1.9099999999999966</v>
      </c>
      <c r="P2099">
        <f t="shared" si="65"/>
        <v>2.016999999999999</v>
      </c>
    </row>
    <row r="2100" spans="1:16" x14ac:dyDescent="0.35">
      <c r="A2100" s="9" t="s">
        <v>119</v>
      </c>
      <c r="B2100" s="2">
        <v>136.82</v>
      </c>
      <c r="C2100" s="2">
        <v>136.99</v>
      </c>
      <c r="D2100" s="2">
        <v>133.13</v>
      </c>
      <c r="E2100" s="2">
        <v>134.1</v>
      </c>
      <c r="F2100" s="2">
        <v>9988598</v>
      </c>
      <c r="G2100" s="2" t="s">
        <v>566</v>
      </c>
      <c r="H2100" s="2" t="s">
        <v>567</v>
      </c>
      <c r="I2100" s="2" t="s">
        <v>568</v>
      </c>
      <c r="J2100" s="4">
        <v>-1.4330000000000001</v>
      </c>
      <c r="K2100" s="2" t="s">
        <v>109</v>
      </c>
      <c r="L2100" s="2">
        <v>2023</v>
      </c>
      <c r="M2100" s="2" t="s">
        <v>110</v>
      </c>
      <c r="N2100" s="2" t="s">
        <v>23</v>
      </c>
      <c r="O2100">
        <f t="shared" si="64"/>
        <v>3.8600000000000136</v>
      </c>
      <c r="P2100">
        <f t="shared" si="65"/>
        <v>0.58399999999999896</v>
      </c>
    </row>
    <row r="2101" spans="1:16" x14ac:dyDescent="0.35">
      <c r="A2101" s="9" t="s">
        <v>120</v>
      </c>
      <c r="B2101" s="2">
        <v>134.27000000000001</v>
      </c>
      <c r="C2101" s="2">
        <v>135.66999999999999</v>
      </c>
      <c r="D2101" s="2">
        <v>133.96</v>
      </c>
      <c r="E2101" s="2">
        <v>135.22999999999999</v>
      </c>
      <c r="F2101" s="2">
        <v>7639451</v>
      </c>
      <c r="G2101" s="2" t="s">
        <v>566</v>
      </c>
      <c r="H2101" s="2" t="s">
        <v>567</v>
      </c>
      <c r="I2101" s="2" t="s">
        <v>568</v>
      </c>
      <c r="J2101" s="3">
        <v>0.84299999999999997</v>
      </c>
      <c r="K2101" s="2" t="s">
        <v>109</v>
      </c>
      <c r="L2101" s="2">
        <v>2023</v>
      </c>
      <c r="M2101" s="2" t="s">
        <v>110</v>
      </c>
      <c r="N2101" s="2" t="s">
        <v>21</v>
      </c>
      <c r="O2101">
        <f t="shared" si="64"/>
        <v>1.7099999999999795</v>
      </c>
      <c r="P2101">
        <f t="shared" si="65"/>
        <v>1.4269999999999989</v>
      </c>
    </row>
    <row r="2102" spans="1:16" x14ac:dyDescent="0.35">
      <c r="A2102" s="9" t="s">
        <v>121</v>
      </c>
      <c r="B2102" s="2">
        <v>135.46</v>
      </c>
      <c r="C2102" s="2">
        <v>135.93799999999999</v>
      </c>
      <c r="D2102" s="2">
        <v>133.96</v>
      </c>
      <c r="E2102" s="2">
        <v>134.32</v>
      </c>
      <c r="F2102" s="2">
        <v>6483267</v>
      </c>
      <c r="G2102" s="2" t="s">
        <v>566</v>
      </c>
      <c r="H2102" s="2" t="s">
        <v>567</v>
      </c>
      <c r="I2102" s="2" t="s">
        <v>568</v>
      </c>
      <c r="J2102" s="4">
        <v>-0.67300000000000004</v>
      </c>
      <c r="K2102" s="2" t="s">
        <v>109</v>
      </c>
      <c r="L2102" s="2">
        <v>2023</v>
      </c>
      <c r="M2102" s="2" t="s">
        <v>110</v>
      </c>
      <c r="N2102" s="2" t="s">
        <v>23</v>
      </c>
      <c r="O2102">
        <f t="shared" si="64"/>
        <v>1.9779999999999802</v>
      </c>
      <c r="P2102">
        <f t="shared" si="65"/>
        <v>0.75399999999999889</v>
      </c>
    </row>
    <row r="2103" spans="1:16" x14ac:dyDescent="0.35">
      <c r="A2103" s="9" t="s">
        <v>123</v>
      </c>
      <c r="B2103" s="2">
        <v>135.9</v>
      </c>
      <c r="C2103" s="2">
        <v>138.59</v>
      </c>
      <c r="D2103" s="2">
        <v>135.46</v>
      </c>
      <c r="E2103" s="2">
        <v>138.44999999999999</v>
      </c>
      <c r="F2103" s="2">
        <v>12711522</v>
      </c>
      <c r="G2103" s="2" t="s">
        <v>566</v>
      </c>
      <c r="H2103" s="2" t="s">
        <v>567</v>
      </c>
      <c r="I2103" s="2" t="s">
        <v>568</v>
      </c>
      <c r="J2103" s="3">
        <v>3.0750000000000002</v>
      </c>
      <c r="K2103" s="2" t="s">
        <v>109</v>
      </c>
      <c r="L2103" s="2">
        <v>2023</v>
      </c>
      <c r="M2103" s="2" t="s">
        <v>110</v>
      </c>
      <c r="N2103" s="2" t="s">
        <v>21</v>
      </c>
      <c r="O2103">
        <f t="shared" si="64"/>
        <v>3.1299999999999955</v>
      </c>
      <c r="P2103">
        <f t="shared" si="65"/>
        <v>3.8289999999999988</v>
      </c>
    </row>
    <row r="2104" spans="1:16" x14ac:dyDescent="0.35">
      <c r="A2104" s="9" t="s">
        <v>124</v>
      </c>
      <c r="B2104" s="2">
        <v>138.27000000000001</v>
      </c>
      <c r="C2104" s="2">
        <v>139.72999999999999</v>
      </c>
      <c r="D2104" s="2">
        <v>137.76</v>
      </c>
      <c r="E2104" s="2">
        <v>139.5</v>
      </c>
      <c r="F2104" s="2">
        <v>10999607</v>
      </c>
      <c r="G2104" s="2" t="s">
        <v>566</v>
      </c>
      <c r="H2104" s="2" t="s">
        <v>567</v>
      </c>
      <c r="I2104" s="2" t="s">
        <v>568</v>
      </c>
      <c r="J2104" s="3">
        <v>0.75800000000000001</v>
      </c>
      <c r="K2104" s="2" t="s">
        <v>109</v>
      </c>
      <c r="L2104" s="2">
        <v>2023</v>
      </c>
      <c r="M2104" s="2" t="s">
        <v>110</v>
      </c>
      <c r="N2104" s="2" t="s">
        <v>21</v>
      </c>
      <c r="O2104">
        <f t="shared" si="64"/>
        <v>1.9699999999999989</v>
      </c>
      <c r="P2104">
        <f t="shared" si="65"/>
        <v>4.5869999999999989</v>
      </c>
    </row>
    <row r="2105" spans="1:16" x14ac:dyDescent="0.35">
      <c r="A2105" s="9" t="s">
        <v>125</v>
      </c>
      <c r="B2105" s="2">
        <v>139.79</v>
      </c>
      <c r="C2105" s="2">
        <v>140.49</v>
      </c>
      <c r="D2105" s="2">
        <v>138.125</v>
      </c>
      <c r="E2105" s="2">
        <v>139.18</v>
      </c>
      <c r="F2105" s="2">
        <v>13492239</v>
      </c>
      <c r="G2105" s="2" t="s">
        <v>566</v>
      </c>
      <c r="H2105" s="2" t="s">
        <v>567</v>
      </c>
      <c r="I2105" s="2" t="s">
        <v>568</v>
      </c>
      <c r="J2105" s="4">
        <v>-0.22900000000000001</v>
      </c>
      <c r="K2105" s="2" t="s">
        <v>109</v>
      </c>
      <c r="L2105" s="2">
        <v>2023</v>
      </c>
      <c r="M2105" s="2" t="s">
        <v>110</v>
      </c>
      <c r="N2105" s="2" t="s">
        <v>23</v>
      </c>
      <c r="O2105">
        <f t="shared" si="64"/>
        <v>2.3650000000000091</v>
      </c>
      <c r="P2105">
        <f t="shared" si="65"/>
        <v>4.3579999999999988</v>
      </c>
    </row>
    <row r="2106" spans="1:16" x14ac:dyDescent="0.35">
      <c r="A2106" s="9" t="s">
        <v>126</v>
      </c>
      <c r="B2106" s="2">
        <v>141</v>
      </c>
      <c r="C2106" s="2">
        <v>141.63999999999999</v>
      </c>
      <c r="D2106" s="2">
        <v>137.66</v>
      </c>
      <c r="E2106" s="2">
        <v>138.03</v>
      </c>
      <c r="F2106" s="2">
        <v>11402476</v>
      </c>
      <c r="G2106" s="2" t="s">
        <v>566</v>
      </c>
      <c r="H2106" s="2" t="s">
        <v>567</v>
      </c>
      <c r="I2106" s="2" t="s">
        <v>568</v>
      </c>
      <c r="J2106" s="4">
        <v>-0.82599999999999996</v>
      </c>
      <c r="K2106" s="2" t="s">
        <v>109</v>
      </c>
      <c r="L2106" s="2">
        <v>2023</v>
      </c>
      <c r="M2106" s="2" t="s">
        <v>110</v>
      </c>
      <c r="N2106" s="2" t="s">
        <v>23</v>
      </c>
      <c r="O2106">
        <f t="shared" si="64"/>
        <v>3.9799999999999898</v>
      </c>
      <c r="P2106">
        <f t="shared" si="65"/>
        <v>3.5319999999999987</v>
      </c>
    </row>
    <row r="2107" spans="1:16" x14ac:dyDescent="0.35">
      <c r="A2107" s="9" t="s">
        <v>127</v>
      </c>
      <c r="B2107" s="2">
        <v>137.54</v>
      </c>
      <c r="C2107" s="2">
        <v>139.03</v>
      </c>
      <c r="D2107" s="2">
        <v>136.45500000000001</v>
      </c>
      <c r="E2107" s="2">
        <v>136.59</v>
      </c>
      <c r="F2107" s="2">
        <v>9514897</v>
      </c>
      <c r="G2107" s="2" t="s">
        <v>566</v>
      </c>
      <c r="H2107" s="2" t="s">
        <v>567</v>
      </c>
      <c r="I2107" s="2" t="s">
        <v>568</v>
      </c>
      <c r="J2107" s="4">
        <v>-1.0429999999999999</v>
      </c>
      <c r="K2107" s="2" t="s">
        <v>109</v>
      </c>
      <c r="L2107" s="2">
        <v>2023</v>
      </c>
      <c r="M2107" s="2" t="s">
        <v>110</v>
      </c>
      <c r="N2107" s="2" t="s">
        <v>23</v>
      </c>
      <c r="O2107">
        <f t="shared" si="64"/>
        <v>2.5749999999999886</v>
      </c>
      <c r="P2107">
        <f t="shared" si="65"/>
        <v>2.488999999999999</v>
      </c>
    </row>
    <row r="2108" spans="1:16" x14ac:dyDescent="0.35">
      <c r="A2108" s="9" t="s">
        <v>128</v>
      </c>
      <c r="B2108" s="2">
        <v>135.4</v>
      </c>
      <c r="C2108" s="2">
        <v>136.35</v>
      </c>
      <c r="D2108" s="2">
        <v>135.08000000000001</v>
      </c>
      <c r="E2108" s="2">
        <v>135.34</v>
      </c>
      <c r="F2108" s="2">
        <v>8577997</v>
      </c>
      <c r="G2108" s="2" t="s">
        <v>566</v>
      </c>
      <c r="H2108" s="2" t="s">
        <v>567</v>
      </c>
      <c r="I2108" s="2" t="s">
        <v>568</v>
      </c>
      <c r="J2108" s="4">
        <v>-0.91500000000000004</v>
      </c>
      <c r="K2108" s="2" t="s">
        <v>109</v>
      </c>
      <c r="L2108" s="2">
        <v>2023</v>
      </c>
      <c r="M2108" s="2" t="s">
        <v>110</v>
      </c>
      <c r="N2108" s="2" t="s">
        <v>23</v>
      </c>
      <c r="O2108">
        <f t="shared" si="64"/>
        <v>1.2699999999999818</v>
      </c>
      <c r="P2108">
        <f t="shared" si="65"/>
        <v>1.573999999999999</v>
      </c>
    </row>
    <row r="2109" spans="1:16" x14ac:dyDescent="0.35">
      <c r="A2109" s="9" t="s">
        <v>129</v>
      </c>
      <c r="B2109" s="2">
        <v>134.82</v>
      </c>
      <c r="C2109" s="2">
        <v>136.27000000000001</v>
      </c>
      <c r="D2109" s="2">
        <v>134.58000000000001</v>
      </c>
      <c r="E2109" s="2">
        <v>135.66999999999999</v>
      </c>
      <c r="F2109" s="2">
        <v>8472505</v>
      </c>
      <c r="G2109" s="2" t="s">
        <v>566</v>
      </c>
      <c r="H2109" s="2" t="s">
        <v>567</v>
      </c>
      <c r="I2109" s="2" t="s">
        <v>568</v>
      </c>
      <c r="J2109" s="3">
        <v>0.24399999999999999</v>
      </c>
      <c r="K2109" s="2" t="s">
        <v>109</v>
      </c>
      <c r="L2109" s="2">
        <v>2023</v>
      </c>
      <c r="M2109" s="2" t="s">
        <v>110</v>
      </c>
      <c r="N2109" s="2" t="s">
        <v>21</v>
      </c>
      <c r="O2109">
        <f t="shared" si="64"/>
        <v>1.6899999999999977</v>
      </c>
      <c r="P2109">
        <f t="shared" si="65"/>
        <v>1.817999999999999</v>
      </c>
    </row>
    <row r="2110" spans="1:16" x14ac:dyDescent="0.35">
      <c r="A2110" s="9" t="s">
        <v>130</v>
      </c>
      <c r="B2110" s="2">
        <v>136.11000000000001</v>
      </c>
      <c r="C2110" s="2">
        <v>137.6</v>
      </c>
      <c r="D2110" s="2">
        <v>135.63</v>
      </c>
      <c r="E2110" s="2">
        <v>136.94</v>
      </c>
      <c r="F2110" s="2">
        <v>8579941</v>
      </c>
      <c r="G2110" s="2" t="s">
        <v>566</v>
      </c>
      <c r="H2110" s="2" t="s">
        <v>567</v>
      </c>
      <c r="I2110" s="2" t="s">
        <v>568</v>
      </c>
      <c r="J2110" s="3">
        <v>0.93600000000000005</v>
      </c>
      <c r="K2110" s="2" t="s">
        <v>109</v>
      </c>
      <c r="L2110" s="2">
        <v>2023</v>
      </c>
      <c r="M2110" s="2" t="s">
        <v>110</v>
      </c>
      <c r="N2110" s="2" t="s">
        <v>21</v>
      </c>
      <c r="O2110">
        <f t="shared" si="64"/>
        <v>1.9699999999999989</v>
      </c>
      <c r="P2110">
        <f t="shared" si="65"/>
        <v>2.7539999999999991</v>
      </c>
    </row>
    <row r="2111" spans="1:16" x14ac:dyDescent="0.35">
      <c r="A2111" s="9" t="s">
        <v>131</v>
      </c>
      <c r="B2111" s="2">
        <v>136.80000000000001</v>
      </c>
      <c r="C2111" s="2">
        <v>137.72</v>
      </c>
      <c r="D2111" s="2">
        <v>136.02000000000001</v>
      </c>
      <c r="E2111" s="2">
        <v>137.46</v>
      </c>
      <c r="F2111" s="2">
        <v>7399867</v>
      </c>
      <c r="G2111" s="2" t="s">
        <v>566</v>
      </c>
      <c r="H2111" s="2" t="s">
        <v>567</v>
      </c>
      <c r="I2111" s="2" t="s">
        <v>568</v>
      </c>
      <c r="J2111" s="3">
        <v>0.38</v>
      </c>
      <c r="K2111" s="2" t="s">
        <v>109</v>
      </c>
      <c r="L2111" s="2">
        <v>2023</v>
      </c>
      <c r="M2111" s="2" t="s">
        <v>110</v>
      </c>
      <c r="N2111" s="2" t="s">
        <v>21</v>
      </c>
      <c r="O2111">
        <f t="shared" si="64"/>
        <v>1.6999999999999886</v>
      </c>
      <c r="P2111">
        <f t="shared" si="65"/>
        <v>3.133999999999999</v>
      </c>
    </row>
    <row r="2112" spans="1:16" x14ac:dyDescent="0.35">
      <c r="A2112" s="9" t="s">
        <v>132</v>
      </c>
      <c r="B2112" s="2">
        <v>136.72999999999999</v>
      </c>
      <c r="C2112" s="2">
        <v>136.84</v>
      </c>
      <c r="D2112" s="2">
        <v>134.404</v>
      </c>
      <c r="E2112" s="2">
        <v>135.71</v>
      </c>
      <c r="F2112" s="2">
        <v>14219906</v>
      </c>
      <c r="G2112" s="2" t="s">
        <v>566</v>
      </c>
      <c r="H2112" s="2" t="s">
        <v>567</v>
      </c>
      <c r="I2112" s="2" t="s">
        <v>568</v>
      </c>
      <c r="J2112" s="4">
        <v>-1.2729999999999999</v>
      </c>
      <c r="K2112" s="2" t="s">
        <v>109</v>
      </c>
      <c r="L2112" s="2">
        <v>2023</v>
      </c>
      <c r="M2112" s="2" t="s">
        <v>110</v>
      </c>
      <c r="N2112" s="2" t="s">
        <v>23</v>
      </c>
      <c r="O2112">
        <f t="shared" si="64"/>
        <v>2.436000000000007</v>
      </c>
      <c r="P2112">
        <f t="shared" si="65"/>
        <v>1.8609999999999991</v>
      </c>
    </row>
    <row r="2113" spans="1:16" x14ac:dyDescent="0.35">
      <c r="A2113" s="9" t="s">
        <v>133</v>
      </c>
      <c r="B2113" s="2">
        <v>136.52000000000001</v>
      </c>
      <c r="C2113" s="2">
        <v>138.22999999999999</v>
      </c>
      <c r="D2113" s="2">
        <v>135.44499999999999</v>
      </c>
      <c r="E2113" s="2">
        <v>137.58000000000001</v>
      </c>
      <c r="F2113" s="2">
        <v>12248094</v>
      </c>
      <c r="G2113" s="2" t="s">
        <v>566</v>
      </c>
      <c r="H2113" s="2" t="s">
        <v>567</v>
      </c>
      <c r="I2113" s="2" t="s">
        <v>568</v>
      </c>
      <c r="J2113" s="3">
        <v>1.3779999999999999</v>
      </c>
      <c r="K2113" s="2" t="s">
        <v>134</v>
      </c>
      <c r="L2113" s="2">
        <v>2023</v>
      </c>
      <c r="M2113" s="2" t="s">
        <v>135</v>
      </c>
      <c r="N2113" s="2" t="s">
        <v>21</v>
      </c>
      <c r="O2113">
        <f t="shared" si="64"/>
        <v>2.7849999999999966</v>
      </c>
      <c r="P2113">
        <f t="shared" si="65"/>
        <v>3.238999999999999</v>
      </c>
    </row>
    <row r="2114" spans="1:16" x14ac:dyDescent="0.35">
      <c r="A2114" s="9" t="s">
        <v>136</v>
      </c>
      <c r="B2114" s="2">
        <v>139.56</v>
      </c>
      <c r="C2114" s="2">
        <v>141.47999999999999</v>
      </c>
      <c r="D2114" s="2">
        <v>139.34</v>
      </c>
      <c r="E2114" s="2">
        <v>140.47</v>
      </c>
      <c r="F2114" s="2">
        <v>12922471</v>
      </c>
      <c r="G2114" s="2" t="s">
        <v>566</v>
      </c>
      <c r="H2114" s="2" t="s">
        <v>567</v>
      </c>
      <c r="I2114" s="2" t="s">
        <v>568</v>
      </c>
      <c r="J2114" s="3">
        <v>2.101</v>
      </c>
      <c r="K2114" s="2" t="s">
        <v>134</v>
      </c>
      <c r="L2114" s="2">
        <v>2023</v>
      </c>
      <c r="M2114" s="2" t="s">
        <v>135</v>
      </c>
      <c r="N2114" s="2" t="s">
        <v>21</v>
      </c>
      <c r="O2114">
        <f t="shared" si="64"/>
        <v>2.1399999999999864</v>
      </c>
      <c r="P2114">
        <f t="shared" si="65"/>
        <v>5.339999999999999</v>
      </c>
    </row>
    <row r="2115" spans="1:16" x14ac:dyDescent="0.35">
      <c r="A2115" s="9" t="s">
        <v>137</v>
      </c>
      <c r="B2115" s="2">
        <v>140.11000000000001</v>
      </c>
      <c r="C2115" s="2">
        <v>140.11000000000001</v>
      </c>
      <c r="D2115" s="2">
        <v>138.13</v>
      </c>
      <c r="E2115" s="2">
        <v>139.09</v>
      </c>
      <c r="F2115" s="2">
        <v>8511902</v>
      </c>
      <c r="G2115" s="2" t="s">
        <v>566</v>
      </c>
      <c r="H2115" s="2" t="s">
        <v>567</v>
      </c>
      <c r="I2115" s="2" t="s">
        <v>568</v>
      </c>
      <c r="J2115" s="4">
        <v>-0.98199999999999998</v>
      </c>
      <c r="K2115" s="2" t="s">
        <v>134</v>
      </c>
      <c r="L2115" s="2">
        <v>2023</v>
      </c>
      <c r="M2115" s="2" t="s">
        <v>135</v>
      </c>
      <c r="N2115" s="2" t="s">
        <v>23</v>
      </c>
      <c r="O2115">
        <f t="shared" ref="O2115:O2178" si="66">C2115-D2115</f>
        <v>1.9800000000000182</v>
      </c>
      <c r="P2115">
        <f t="shared" si="65"/>
        <v>4.3579999999999988</v>
      </c>
    </row>
    <row r="2116" spans="1:16" x14ac:dyDescent="0.35">
      <c r="A2116" s="9" t="s">
        <v>138</v>
      </c>
      <c r="B2116" s="2">
        <v>138.68</v>
      </c>
      <c r="C2116" s="2">
        <v>140.1</v>
      </c>
      <c r="D2116" s="2">
        <v>138.20699999999999</v>
      </c>
      <c r="E2116" s="2">
        <v>139.34</v>
      </c>
      <c r="F2116" s="2">
        <v>9329541</v>
      </c>
      <c r="G2116" s="2" t="s">
        <v>566</v>
      </c>
      <c r="H2116" s="2" t="s">
        <v>567</v>
      </c>
      <c r="I2116" s="2" t="s">
        <v>568</v>
      </c>
      <c r="J2116" s="3">
        <v>0.18</v>
      </c>
      <c r="K2116" s="2" t="s">
        <v>134</v>
      </c>
      <c r="L2116" s="2">
        <v>2023</v>
      </c>
      <c r="M2116" s="2" t="s">
        <v>135</v>
      </c>
      <c r="N2116" s="2" t="s">
        <v>21</v>
      </c>
      <c r="O2116">
        <f t="shared" si="66"/>
        <v>1.8930000000000007</v>
      </c>
      <c r="P2116">
        <f t="shared" ref="P2116:P2179" si="67">IF(G2116=G2115, P2115+J2116, J2116)</f>
        <v>4.5379999999999985</v>
      </c>
    </row>
    <row r="2117" spans="1:16" x14ac:dyDescent="0.35">
      <c r="A2117" s="9" t="s">
        <v>139</v>
      </c>
      <c r="B2117" s="2">
        <v>139.55000000000001</v>
      </c>
      <c r="C2117" s="2">
        <v>141.27000000000001</v>
      </c>
      <c r="D2117" s="2">
        <v>138.83000000000001</v>
      </c>
      <c r="E2117" s="2">
        <v>140.69</v>
      </c>
      <c r="F2117" s="2">
        <v>9281389</v>
      </c>
      <c r="G2117" s="2" t="s">
        <v>566</v>
      </c>
      <c r="H2117" s="2" t="s">
        <v>567</v>
      </c>
      <c r="I2117" s="2" t="s">
        <v>568</v>
      </c>
      <c r="J2117" s="3">
        <v>0.96899999999999997</v>
      </c>
      <c r="K2117" s="2" t="s">
        <v>134</v>
      </c>
      <c r="L2117" s="2">
        <v>2023</v>
      </c>
      <c r="M2117" s="2" t="s">
        <v>135</v>
      </c>
      <c r="N2117" s="2" t="s">
        <v>21</v>
      </c>
      <c r="O2117">
        <f t="shared" si="66"/>
        <v>2.4399999999999977</v>
      </c>
      <c r="P2117">
        <f t="shared" si="67"/>
        <v>5.5069999999999988</v>
      </c>
    </row>
    <row r="2118" spans="1:16" x14ac:dyDescent="0.35">
      <c r="A2118" s="9" t="s">
        <v>140</v>
      </c>
      <c r="B2118" s="2">
        <v>140.66999999999999</v>
      </c>
      <c r="C2118" s="2">
        <v>140.88999999999999</v>
      </c>
      <c r="D2118" s="2">
        <v>139.48099999999999</v>
      </c>
      <c r="E2118" s="2">
        <v>140.72999999999999</v>
      </c>
      <c r="F2118" s="2">
        <v>7370043</v>
      </c>
      <c r="G2118" s="2" t="s">
        <v>566</v>
      </c>
      <c r="H2118" s="2" t="s">
        <v>567</v>
      </c>
      <c r="I2118" s="2" t="s">
        <v>568</v>
      </c>
      <c r="J2118" s="3">
        <v>2.8000000000000001E-2</v>
      </c>
      <c r="K2118" s="2" t="s">
        <v>134</v>
      </c>
      <c r="L2118" s="2">
        <v>2023</v>
      </c>
      <c r="M2118" s="2" t="s">
        <v>135</v>
      </c>
      <c r="N2118" s="2" t="s">
        <v>21</v>
      </c>
      <c r="O2118">
        <f t="shared" si="66"/>
        <v>1.4089999999999918</v>
      </c>
      <c r="P2118">
        <f t="shared" si="67"/>
        <v>5.5349999999999984</v>
      </c>
    </row>
    <row r="2119" spans="1:16" x14ac:dyDescent="0.35">
      <c r="A2119" s="9" t="s">
        <v>141</v>
      </c>
      <c r="B2119" s="2">
        <v>140.35</v>
      </c>
      <c r="C2119" s="2">
        <v>141.80000000000001</v>
      </c>
      <c r="D2119" s="2">
        <v>140.21</v>
      </c>
      <c r="E2119" s="2">
        <v>141.01</v>
      </c>
      <c r="F2119" s="2">
        <v>7253946</v>
      </c>
      <c r="G2119" s="2" t="s">
        <v>566</v>
      </c>
      <c r="H2119" s="2" t="s">
        <v>567</v>
      </c>
      <c r="I2119" s="2" t="s">
        <v>568</v>
      </c>
      <c r="J2119" s="3">
        <v>0.19900000000000001</v>
      </c>
      <c r="K2119" s="2" t="s">
        <v>134</v>
      </c>
      <c r="L2119" s="2">
        <v>2023</v>
      </c>
      <c r="M2119" s="2" t="s">
        <v>135</v>
      </c>
      <c r="N2119" s="2" t="s">
        <v>21</v>
      </c>
      <c r="O2119">
        <f t="shared" si="66"/>
        <v>1.5900000000000034</v>
      </c>
      <c r="P2119">
        <f t="shared" si="67"/>
        <v>5.7339999999999982</v>
      </c>
    </row>
    <row r="2120" spans="1:16" x14ac:dyDescent="0.35">
      <c r="A2120" s="9" t="s">
        <v>142</v>
      </c>
      <c r="B2120" s="2">
        <v>141.07</v>
      </c>
      <c r="C2120" s="2">
        <v>141.32</v>
      </c>
      <c r="D2120" s="2">
        <v>139.76</v>
      </c>
      <c r="E2120" s="2">
        <v>141</v>
      </c>
      <c r="F2120" s="2">
        <v>7600196</v>
      </c>
      <c r="G2120" s="2" t="s">
        <v>566</v>
      </c>
      <c r="H2120" s="2" t="s">
        <v>567</v>
      </c>
      <c r="I2120" s="2" t="s">
        <v>568</v>
      </c>
      <c r="J2120" s="4">
        <v>-7.0000000000000001E-3</v>
      </c>
      <c r="K2120" s="2" t="s">
        <v>134</v>
      </c>
      <c r="L2120" s="2">
        <v>2023</v>
      </c>
      <c r="M2120" s="2" t="s">
        <v>135</v>
      </c>
      <c r="N2120" s="2" t="s">
        <v>23</v>
      </c>
      <c r="O2120">
        <f t="shared" si="66"/>
        <v>1.5600000000000023</v>
      </c>
      <c r="P2120">
        <f t="shared" si="67"/>
        <v>5.7269999999999985</v>
      </c>
    </row>
    <row r="2121" spans="1:16" x14ac:dyDescent="0.35">
      <c r="A2121" s="9" t="s">
        <v>143</v>
      </c>
      <c r="B2121" s="2">
        <v>140.47999999999999</v>
      </c>
      <c r="C2121" s="2">
        <v>142.87</v>
      </c>
      <c r="D2121" s="2">
        <v>140.13999999999999</v>
      </c>
      <c r="E2121" s="2">
        <v>142.02000000000001</v>
      </c>
      <c r="F2121" s="2">
        <v>7701567</v>
      </c>
      <c r="G2121" s="2" t="s">
        <v>566</v>
      </c>
      <c r="H2121" s="2" t="s">
        <v>567</v>
      </c>
      <c r="I2121" s="2" t="s">
        <v>568</v>
      </c>
      <c r="J2121" s="3">
        <v>0.72299999999999998</v>
      </c>
      <c r="K2121" s="2" t="s">
        <v>134</v>
      </c>
      <c r="L2121" s="2">
        <v>2023</v>
      </c>
      <c r="M2121" s="2" t="s">
        <v>135</v>
      </c>
      <c r="N2121" s="2" t="s">
        <v>21</v>
      </c>
      <c r="O2121">
        <f t="shared" si="66"/>
        <v>2.7300000000000182</v>
      </c>
      <c r="P2121">
        <f t="shared" si="67"/>
        <v>6.4499999999999984</v>
      </c>
    </row>
    <row r="2122" spans="1:16" x14ac:dyDescent="0.35">
      <c r="A2122" s="9" t="s">
        <v>144</v>
      </c>
      <c r="B2122" s="2">
        <v>143</v>
      </c>
      <c r="C2122" s="2">
        <v>143.61000000000001</v>
      </c>
      <c r="D2122" s="2">
        <v>140.69999999999999</v>
      </c>
      <c r="E2122" s="2">
        <v>141.49</v>
      </c>
      <c r="F2122" s="2">
        <v>9068729</v>
      </c>
      <c r="G2122" s="2" t="s">
        <v>566</v>
      </c>
      <c r="H2122" s="2" t="s">
        <v>567</v>
      </c>
      <c r="I2122" s="2" t="s">
        <v>568</v>
      </c>
      <c r="J2122" s="4">
        <v>-0.373</v>
      </c>
      <c r="K2122" s="2" t="s">
        <v>134</v>
      </c>
      <c r="L2122" s="2">
        <v>2023</v>
      </c>
      <c r="M2122" s="2" t="s">
        <v>135</v>
      </c>
      <c r="N2122" s="2" t="s">
        <v>23</v>
      </c>
      <c r="O2122">
        <f t="shared" si="66"/>
        <v>2.910000000000025</v>
      </c>
      <c r="P2122">
        <f t="shared" si="67"/>
        <v>6.0769999999999982</v>
      </c>
    </row>
    <row r="2123" spans="1:16" x14ac:dyDescent="0.35">
      <c r="A2123" s="9" t="s">
        <v>145</v>
      </c>
      <c r="B2123" s="2">
        <v>140.59</v>
      </c>
      <c r="C2123" s="2">
        <v>143.4</v>
      </c>
      <c r="D2123" s="2">
        <v>140.03</v>
      </c>
      <c r="E2123" s="2">
        <v>143.09</v>
      </c>
      <c r="F2123" s="2">
        <v>9343096</v>
      </c>
      <c r="G2123" s="2" t="s">
        <v>566</v>
      </c>
      <c r="H2123" s="2" t="s">
        <v>567</v>
      </c>
      <c r="I2123" s="2" t="s">
        <v>568</v>
      </c>
      <c r="J2123" s="3">
        <v>1.131</v>
      </c>
      <c r="K2123" s="2" t="s">
        <v>134</v>
      </c>
      <c r="L2123" s="2">
        <v>2023</v>
      </c>
      <c r="M2123" s="2" t="s">
        <v>135</v>
      </c>
      <c r="N2123" s="2" t="s">
        <v>21</v>
      </c>
      <c r="O2123">
        <f t="shared" si="66"/>
        <v>3.3700000000000045</v>
      </c>
      <c r="P2123">
        <f t="shared" si="67"/>
        <v>7.2079999999999984</v>
      </c>
    </row>
    <row r="2124" spans="1:16" x14ac:dyDescent="0.35">
      <c r="A2124" s="9" t="s">
        <v>146</v>
      </c>
      <c r="B2124" s="2">
        <v>143.05000000000001</v>
      </c>
      <c r="C2124" s="2">
        <v>143.965</v>
      </c>
      <c r="D2124" s="2">
        <v>142.5</v>
      </c>
      <c r="E2124" s="2">
        <v>143.26</v>
      </c>
      <c r="F2124" s="2">
        <v>13813512</v>
      </c>
      <c r="G2124" s="2" t="s">
        <v>566</v>
      </c>
      <c r="H2124" s="2" t="s">
        <v>567</v>
      </c>
      <c r="I2124" s="2" t="s">
        <v>568</v>
      </c>
      <c r="J2124" s="3">
        <v>0.11899999999999999</v>
      </c>
      <c r="K2124" s="2" t="s">
        <v>134</v>
      </c>
      <c r="L2124" s="2">
        <v>2023</v>
      </c>
      <c r="M2124" s="2" t="s">
        <v>135</v>
      </c>
      <c r="N2124" s="2" t="s">
        <v>21</v>
      </c>
      <c r="O2124">
        <f t="shared" si="66"/>
        <v>1.4650000000000034</v>
      </c>
      <c r="P2124">
        <f t="shared" si="67"/>
        <v>7.3269999999999982</v>
      </c>
    </row>
    <row r="2125" spans="1:16" x14ac:dyDescent="0.35">
      <c r="A2125" s="9" t="s">
        <v>147</v>
      </c>
      <c r="B2125" s="2">
        <v>142.61000000000001</v>
      </c>
      <c r="C2125" s="2">
        <v>143</v>
      </c>
      <c r="D2125" s="2">
        <v>141.04</v>
      </c>
      <c r="E2125" s="2">
        <v>142.53</v>
      </c>
      <c r="F2125" s="2">
        <v>8431008</v>
      </c>
      <c r="G2125" s="2" t="s">
        <v>566</v>
      </c>
      <c r="H2125" s="2" t="s">
        <v>567</v>
      </c>
      <c r="I2125" s="2" t="s">
        <v>568</v>
      </c>
      <c r="J2125" s="4">
        <v>-0.51</v>
      </c>
      <c r="K2125" s="2" t="s">
        <v>134</v>
      </c>
      <c r="L2125" s="2">
        <v>2023</v>
      </c>
      <c r="M2125" s="2" t="s">
        <v>135</v>
      </c>
      <c r="N2125" s="2" t="s">
        <v>23</v>
      </c>
      <c r="O2125">
        <f t="shared" si="66"/>
        <v>1.960000000000008</v>
      </c>
      <c r="P2125">
        <f t="shared" si="67"/>
        <v>6.8169999999999984</v>
      </c>
    </row>
    <row r="2126" spans="1:16" x14ac:dyDescent="0.35">
      <c r="A2126" s="9" t="s">
        <v>148</v>
      </c>
      <c r="B2126" s="2">
        <v>142.9</v>
      </c>
      <c r="C2126" s="2">
        <v>144.02000000000001</v>
      </c>
      <c r="D2126" s="2">
        <v>141.691</v>
      </c>
      <c r="E2126" s="2">
        <v>142.32</v>
      </c>
      <c r="F2126" s="2">
        <v>9926459</v>
      </c>
      <c r="G2126" s="2" t="s">
        <v>566</v>
      </c>
      <c r="H2126" s="2" t="s">
        <v>567</v>
      </c>
      <c r="I2126" s="2" t="s">
        <v>568</v>
      </c>
      <c r="J2126" s="4">
        <v>-0.14699999999999999</v>
      </c>
      <c r="K2126" s="2" t="s">
        <v>134</v>
      </c>
      <c r="L2126" s="2">
        <v>2023</v>
      </c>
      <c r="M2126" s="2" t="s">
        <v>135</v>
      </c>
      <c r="N2126" s="2" t="s">
        <v>23</v>
      </c>
      <c r="O2126">
        <f t="shared" si="66"/>
        <v>2.3290000000000077</v>
      </c>
      <c r="P2126">
        <f t="shared" si="67"/>
        <v>6.6699999999999982</v>
      </c>
    </row>
    <row r="2127" spans="1:16" x14ac:dyDescent="0.35">
      <c r="A2127" s="9" t="s">
        <v>149</v>
      </c>
      <c r="B2127" s="2">
        <v>142.31</v>
      </c>
      <c r="C2127" s="2">
        <v>142.6</v>
      </c>
      <c r="D2127" s="2">
        <v>138.94999999999999</v>
      </c>
      <c r="E2127" s="2">
        <v>139.58000000000001</v>
      </c>
      <c r="F2127" s="2">
        <v>10076325</v>
      </c>
      <c r="G2127" s="2" t="s">
        <v>566</v>
      </c>
      <c r="H2127" s="2" t="s">
        <v>567</v>
      </c>
      <c r="I2127" s="2" t="s">
        <v>568</v>
      </c>
      <c r="J2127" s="4">
        <v>-1.925</v>
      </c>
      <c r="K2127" s="2" t="s">
        <v>134</v>
      </c>
      <c r="L2127" s="2">
        <v>2023</v>
      </c>
      <c r="M2127" s="2" t="s">
        <v>135</v>
      </c>
      <c r="N2127" s="2" t="s">
        <v>23</v>
      </c>
      <c r="O2127">
        <f t="shared" si="66"/>
        <v>3.6500000000000057</v>
      </c>
      <c r="P2127">
        <f t="shared" si="67"/>
        <v>4.7449999999999983</v>
      </c>
    </row>
    <row r="2128" spans="1:16" x14ac:dyDescent="0.35">
      <c r="A2128" s="9" t="s">
        <v>150</v>
      </c>
      <c r="B2128" s="2">
        <v>138.54</v>
      </c>
      <c r="C2128" s="2">
        <v>139.18</v>
      </c>
      <c r="D2128" s="2">
        <v>137.62</v>
      </c>
      <c r="E2128" s="2">
        <v>138.85</v>
      </c>
      <c r="F2128" s="2">
        <v>9919539</v>
      </c>
      <c r="G2128" s="2" t="s">
        <v>566</v>
      </c>
      <c r="H2128" s="2" t="s">
        <v>567</v>
      </c>
      <c r="I2128" s="2" t="s">
        <v>568</v>
      </c>
      <c r="J2128" s="4">
        <v>-0.52300000000000002</v>
      </c>
      <c r="K2128" s="2" t="s">
        <v>134</v>
      </c>
      <c r="L2128" s="2">
        <v>2023</v>
      </c>
      <c r="M2128" s="2" t="s">
        <v>135</v>
      </c>
      <c r="N2128" s="2" t="s">
        <v>23</v>
      </c>
      <c r="O2128">
        <f t="shared" si="66"/>
        <v>1.5600000000000023</v>
      </c>
      <c r="P2128">
        <f t="shared" si="67"/>
        <v>4.2219999999999986</v>
      </c>
    </row>
    <row r="2129" spans="1:16" x14ac:dyDescent="0.35">
      <c r="A2129" s="9" t="s">
        <v>151</v>
      </c>
      <c r="B2129" s="2">
        <v>138.87</v>
      </c>
      <c r="C2129" s="2">
        <v>140.01</v>
      </c>
      <c r="D2129" s="2">
        <v>137.69</v>
      </c>
      <c r="E2129" s="2">
        <v>139.19</v>
      </c>
      <c r="F2129" s="2">
        <v>8429727</v>
      </c>
      <c r="G2129" s="2" t="s">
        <v>566</v>
      </c>
      <c r="H2129" s="2" t="s">
        <v>567</v>
      </c>
      <c r="I2129" s="2" t="s">
        <v>568</v>
      </c>
      <c r="J2129" s="3">
        <v>0.245</v>
      </c>
      <c r="K2129" s="2" t="s">
        <v>134</v>
      </c>
      <c r="L2129" s="2">
        <v>2023</v>
      </c>
      <c r="M2129" s="2" t="s">
        <v>135</v>
      </c>
      <c r="N2129" s="2" t="s">
        <v>21</v>
      </c>
      <c r="O2129">
        <f t="shared" si="66"/>
        <v>2.3199999999999932</v>
      </c>
      <c r="P2129">
        <f t="shared" si="67"/>
        <v>4.4669999999999987</v>
      </c>
    </row>
    <row r="2130" spans="1:16" x14ac:dyDescent="0.35">
      <c r="A2130" s="9" t="s">
        <v>152</v>
      </c>
      <c r="B2130" s="2">
        <v>139</v>
      </c>
      <c r="C2130" s="2">
        <v>139.84</v>
      </c>
      <c r="D2130" s="2">
        <v>138.54</v>
      </c>
      <c r="E2130" s="2">
        <v>139.19999999999999</v>
      </c>
      <c r="F2130" s="2">
        <v>8154024</v>
      </c>
      <c r="G2130" s="2" t="s">
        <v>566</v>
      </c>
      <c r="H2130" s="2" t="s">
        <v>567</v>
      </c>
      <c r="I2130" s="2" t="s">
        <v>568</v>
      </c>
      <c r="J2130" s="3">
        <v>7.0000000000000001E-3</v>
      </c>
      <c r="K2130" s="2" t="s">
        <v>134</v>
      </c>
      <c r="L2130" s="2">
        <v>2023</v>
      </c>
      <c r="M2130" s="2" t="s">
        <v>135</v>
      </c>
      <c r="N2130" s="2" t="s">
        <v>21</v>
      </c>
      <c r="O2130">
        <f t="shared" si="66"/>
        <v>1.3000000000000114</v>
      </c>
      <c r="P2130">
        <f t="shared" si="67"/>
        <v>4.4739999999999984</v>
      </c>
    </row>
    <row r="2131" spans="1:16" x14ac:dyDescent="0.35">
      <c r="A2131" s="9" t="s">
        <v>153</v>
      </c>
      <c r="B2131" s="2">
        <v>139.16</v>
      </c>
      <c r="C2131" s="2">
        <v>139.21</v>
      </c>
      <c r="D2131" s="2">
        <v>137.96</v>
      </c>
      <c r="E2131" s="2">
        <v>138.59</v>
      </c>
      <c r="F2131" s="2">
        <v>7558644</v>
      </c>
      <c r="G2131" s="2" t="s">
        <v>566</v>
      </c>
      <c r="H2131" s="2" t="s">
        <v>567</v>
      </c>
      <c r="I2131" s="2" t="s">
        <v>568</v>
      </c>
      <c r="J2131" s="4">
        <v>-0.438</v>
      </c>
      <c r="K2131" s="2" t="s">
        <v>134</v>
      </c>
      <c r="L2131" s="2">
        <v>2023</v>
      </c>
      <c r="M2131" s="2" t="s">
        <v>135</v>
      </c>
      <c r="N2131" s="2" t="s">
        <v>23</v>
      </c>
      <c r="O2131">
        <f t="shared" si="66"/>
        <v>1.25</v>
      </c>
      <c r="P2131">
        <f t="shared" si="67"/>
        <v>4.0359999999999987</v>
      </c>
    </row>
    <row r="2132" spans="1:16" x14ac:dyDescent="0.35">
      <c r="A2132" s="9" t="s">
        <v>154</v>
      </c>
      <c r="B2132" s="2">
        <v>140.07</v>
      </c>
      <c r="C2132" s="2">
        <v>143.56</v>
      </c>
      <c r="D2132" s="2">
        <v>139.85</v>
      </c>
      <c r="E2132" s="2">
        <v>143.43</v>
      </c>
      <c r="F2132" s="2">
        <v>15423230</v>
      </c>
      <c r="G2132" s="2" t="s">
        <v>566</v>
      </c>
      <c r="H2132" s="2" t="s">
        <v>567</v>
      </c>
      <c r="I2132" s="2" t="s">
        <v>568</v>
      </c>
      <c r="J2132" s="3">
        <v>3.492</v>
      </c>
      <c r="K2132" s="2" t="s">
        <v>134</v>
      </c>
      <c r="L2132" s="2">
        <v>2023</v>
      </c>
      <c r="M2132" s="2" t="s">
        <v>135</v>
      </c>
      <c r="N2132" s="2" t="s">
        <v>21</v>
      </c>
      <c r="O2132">
        <f t="shared" si="66"/>
        <v>3.710000000000008</v>
      </c>
      <c r="P2132">
        <f t="shared" si="67"/>
        <v>7.5279999999999987</v>
      </c>
    </row>
    <row r="2133" spans="1:16" x14ac:dyDescent="0.35">
      <c r="A2133" s="9" t="s">
        <v>155</v>
      </c>
      <c r="B2133" s="2">
        <v>144.6</v>
      </c>
      <c r="C2133" s="2">
        <v>146</v>
      </c>
      <c r="D2133" s="2">
        <v>143.66</v>
      </c>
      <c r="E2133" s="2">
        <v>145.44</v>
      </c>
      <c r="F2133" s="2">
        <v>14212816</v>
      </c>
      <c r="G2133" s="2" t="s">
        <v>566</v>
      </c>
      <c r="H2133" s="2" t="s">
        <v>567</v>
      </c>
      <c r="I2133" s="2" t="s">
        <v>568</v>
      </c>
      <c r="J2133" s="3">
        <v>1.401</v>
      </c>
      <c r="K2133" s="2" t="s">
        <v>134</v>
      </c>
      <c r="L2133" s="2">
        <v>2023</v>
      </c>
      <c r="M2133" s="2" t="s">
        <v>135</v>
      </c>
      <c r="N2133" s="2" t="s">
        <v>21</v>
      </c>
      <c r="O2133">
        <f t="shared" si="66"/>
        <v>2.3400000000000034</v>
      </c>
      <c r="P2133">
        <f t="shared" si="67"/>
        <v>8.9289999999999985</v>
      </c>
    </row>
    <row r="2134" spans="1:16" x14ac:dyDescent="0.35">
      <c r="A2134" s="9" t="s">
        <v>156</v>
      </c>
      <c r="B2134" s="2">
        <v>146.19</v>
      </c>
      <c r="C2134" s="2">
        <v>147.47999999999999</v>
      </c>
      <c r="D2134" s="2">
        <v>146</v>
      </c>
      <c r="E2134" s="2">
        <v>146.61000000000001</v>
      </c>
      <c r="F2134" s="2">
        <v>8021622</v>
      </c>
      <c r="G2134" s="2" t="s">
        <v>566</v>
      </c>
      <c r="H2134" s="2" t="s">
        <v>567</v>
      </c>
      <c r="I2134" s="2" t="s">
        <v>568</v>
      </c>
      <c r="J2134" s="3">
        <v>0.80400000000000005</v>
      </c>
      <c r="K2134" s="2" t="s">
        <v>157</v>
      </c>
      <c r="L2134" s="2">
        <v>2023</v>
      </c>
      <c r="M2134" s="2" t="s">
        <v>158</v>
      </c>
      <c r="N2134" s="2" t="s">
        <v>21</v>
      </c>
      <c r="O2134">
        <f t="shared" si="66"/>
        <v>1.4799999999999898</v>
      </c>
      <c r="P2134">
        <f t="shared" si="67"/>
        <v>9.7329999999999988</v>
      </c>
    </row>
    <row r="2135" spans="1:16" x14ac:dyDescent="0.35">
      <c r="A2135" s="9" t="s">
        <v>159</v>
      </c>
      <c r="B2135" s="2">
        <v>144.94</v>
      </c>
      <c r="C2135" s="2">
        <v>145.43</v>
      </c>
      <c r="D2135" s="2">
        <v>144.36000000000001</v>
      </c>
      <c r="E2135" s="2">
        <v>144.63999999999999</v>
      </c>
      <c r="F2135" s="2">
        <v>8935519</v>
      </c>
      <c r="G2135" s="2" t="s">
        <v>566</v>
      </c>
      <c r="H2135" s="2" t="s">
        <v>567</v>
      </c>
      <c r="I2135" s="2" t="s">
        <v>568</v>
      </c>
      <c r="J2135" s="4">
        <v>-1.3440000000000001</v>
      </c>
      <c r="K2135" s="2" t="s">
        <v>157</v>
      </c>
      <c r="L2135" s="2">
        <v>2023</v>
      </c>
      <c r="M2135" s="2" t="s">
        <v>158</v>
      </c>
      <c r="N2135" s="2" t="s">
        <v>23</v>
      </c>
      <c r="O2135">
        <f t="shared" si="66"/>
        <v>1.0699999999999932</v>
      </c>
      <c r="P2135">
        <f t="shared" si="67"/>
        <v>8.3889999999999993</v>
      </c>
    </row>
    <row r="2136" spans="1:16" x14ac:dyDescent="0.35">
      <c r="A2136" s="9" t="s">
        <v>160</v>
      </c>
      <c r="B2136" s="2">
        <v>143.02000000000001</v>
      </c>
      <c r="C2136" s="2">
        <v>143.38999999999999</v>
      </c>
      <c r="D2136" s="2">
        <v>141.44</v>
      </c>
      <c r="E2136" s="2">
        <v>143.21</v>
      </c>
      <c r="F2136" s="2">
        <v>9714100</v>
      </c>
      <c r="G2136" s="2" t="s">
        <v>566</v>
      </c>
      <c r="H2136" s="2" t="s">
        <v>567</v>
      </c>
      <c r="I2136" s="2" t="s">
        <v>568</v>
      </c>
      <c r="J2136" s="4">
        <v>-0.98899999999999999</v>
      </c>
      <c r="K2136" s="2" t="s">
        <v>157</v>
      </c>
      <c r="L2136" s="2">
        <v>2023</v>
      </c>
      <c r="M2136" s="2" t="s">
        <v>158</v>
      </c>
      <c r="N2136" s="2" t="s">
        <v>23</v>
      </c>
      <c r="O2136">
        <f t="shared" si="66"/>
        <v>1.9499999999999886</v>
      </c>
      <c r="P2136">
        <f t="shared" si="67"/>
        <v>7.3999999999999995</v>
      </c>
    </row>
    <row r="2137" spans="1:16" x14ac:dyDescent="0.35">
      <c r="A2137" s="9" t="s">
        <v>161</v>
      </c>
      <c r="B2137" s="2">
        <v>143.91</v>
      </c>
      <c r="C2137" s="2">
        <v>145.84399999999999</v>
      </c>
      <c r="D2137" s="2">
        <v>143</v>
      </c>
      <c r="E2137" s="2">
        <v>144.34</v>
      </c>
      <c r="F2137" s="2">
        <v>8981456</v>
      </c>
      <c r="G2137" s="2" t="s">
        <v>566</v>
      </c>
      <c r="H2137" s="2" t="s">
        <v>567</v>
      </c>
      <c r="I2137" s="2" t="s">
        <v>568</v>
      </c>
      <c r="J2137" s="3">
        <v>0.78900000000000003</v>
      </c>
      <c r="K2137" s="2" t="s">
        <v>157</v>
      </c>
      <c r="L2137" s="2">
        <v>2023</v>
      </c>
      <c r="M2137" s="2" t="s">
        <v>158</v>
      </c>
      <c r="N2137" s="2" t="s">
        <v>21</v>
      </c>
      <c r="O2137">
        <f t="shared" si="66"/>
        <v>2.8439999999999941</v>
      </c>
      <c r="P2137">
        <f t="shared" si="67"/>
        <v>8.1890000000000001</v>
      </c>
    </row>
    <row r="2138" spans="1:16" x14ac:dyDescent="0.35">
      <c r="A2138" s="9" t="s">
        <v>162</v>
      </c>
      <c r="B2138" s="2">
        <v>144.5</v>
      </c>
      <c r="C2138" s="2">
        <v>145.99</v>
      </c>
      <c r="D2138" s="2">
        <v>144.5</v>
      </c>
      <c r="E2138" s="2">
        <v>145.15</v>
      </c>
      <c r="F2138" s="2">
        <v>9100060</v>
      </c>
      <c r="G2138" s="2" t="s">
        <v>566</v>
      </c>
      <c r="H2138" s="2" t="s">
        <v>567</v>
      </c>
      <c r="I2138" s="2" t="s">
        <v>568</v>
      </c>
      <c r="J2138" s="3">
        <v>0.56100000000000005</v>
      </c>
      <c r="K2138" s="2" t="s">
        <v>157</v>
      </c>
      <c r="L2138" s="2">
        <v>2023</v>
      </c>
      <c r="M2138" s="2" t="s">
        <v>158</v>
      </c>
      <c r="N2138" s="2" t="s">
        <v>21</v>
      </c>
      <c r="O2138">
        <f t="shared" si="66"/>
        <v>1.4900000000000091</v>
      </c>
      <c r="P2138">
        <f t="shared" si="67"/>
        <v>8.75</v>
      </c>
    </row>
    <row r="2139" spans="1:16" x14ac:dyDescent="0.35">
      <c r="A2139" s="9" t="s">
        <v>163</v>
      </c>
      <c r="B2139" s="2">
        <v>146.33500000000001</v>
      </c>
      <c r="C2139" s="2">
        <v>147.82</v>
      </c>
      <c r="D2139" s="2">
        <v>145.70500000000001</v>
      </c>
      <c r="E2139" s="2">
        <v>147.41999999999999</v>
      </c>
      <c r="F2139" s="2">
        <v>11265592</v>
      </c>
      <c r="G2139" s="2" t="s">
        <v>566</v>
      </c>
      <c r="H2139" s="2" t="s">
        <v>567</v>
      </c>
      <c r="I2139" s="2" t="s">
        <v>568</v>
      </c>
      <c r="J2139" s="3">
        <v>1.5640000000000001</v>
      </c>
      <c r="K2139" s="2" t="s">
        <v>157</v>
      </c>
      <c r="L2139" s="2">
        <v>2023</v>
      </c>
      <c r="M2139" s="2" t="s">
        <v>158</v>
      </c>
      <c r="N2139" s="2" t="s">
        <v>21</v>
      </c>
      <c r="O2139">
        <f t="shared" si="66"/>
        <v>2.1149999999999807</v>
      </c>
      <c r="P2139">
        <f t="shared" si="67"/>
        <v>10.314</v>
      </c>
    </row>
    <row r="2140" spans="1:16" x14ac:dyDescent="0.35">
      <c r="A2140" s="9" t="s">
        <v>164</v>
      </c>
      <c r="B2140" s="2">
        <v>147.44999999999999</v>
      </c>
      <c r="C2140" s="2">
        <v>149.87</v>
      </c>
      <c r="D2140" s="2">
        <v>147</v>
      </c>
      <c r="E2140" s="2">
        <v>148.15</v>
      </c>
      <c r="F2140" s="2">
        <v>11323228</v>
      </c>
      <c r="G2140" s="2" t="s">
        <v>566</v>
      </c>
      <c r="H2140" s="2" t="s">
        <v>567</v>
      </c>
      <c r="I2140" s="2" t="s">
        <v>568</v>
      </c>
      <c r="J2140" s="3">
        <v>0.495</v>
      </c>
      <c r="K2140" s="2" t="s">
        <v>157</v>
      </c>
      <c r="L2140" s="2">
        <v>2023</v>
      </c>
      <c r="M2140" s="2" t="s">
        <v>158</v>
      </c>
      <c r="N2140" s="2" t="s">
        <v>21</v>
      </c>
      <c r="O2140">
        <f t="shared" si="66"/>
        <v>2.8700000000000045</v>
      </c>
      <c r="P2140">
        <f t="shared" si="67"/>
        <v>10.808999999999999</v>
      </c>
    </row>
    <row r="2141" spans="1:16" x14ac:dyDescent="0.35">
      <c r="A2141" s="9" t="s">
        <v>165</v>
      </c>
      <c r="B2141" s="2">
        <v>148.69999999999999</v>
      </c>
      <c r="C2141" s="2">
        <v>149.37</v>
      </c>
      <c r="D2141" s="2">
        <v>147.75</v>
      </c>
      <c r="E2141" s="2">
        <v>148.87</v>
      </c>
      <c r="F2141" s="2">
        <v>11234925</v>
      </c>
      <c r="G2141" s="2" t="s">
        <v>566</v>
      </c>
      <c r="H2141" s="2" t="s">
        <v>567</v>
      </c>
      <c r="I2141" s="2" t="s">
        <v>568</v>
      </c>
      <c r="J2141" s="3">
        <v>0.48599999999999999</v>
      </c>
      <c r="K2141" s="2" t="s">
        <v>157</v>
      </c>
      <c r="L2141" s="2">
        <v>2023</v>
      </c>
      <c r="M2141" s="2" t="s">
        <v>158</v>
      </c>
      <c r="N2141" s="2" t="s">
        <v>21</v>
      </c>
      <c r="O2141">
        <f t="shared" si="66"/>
        <v>1.6200000000000045</v>
      </c>
      <c r="P2141">
        <f t="shared" si="67"/>
        <v>11.295</v>
      </c>
    </row>
    <row r="2142" spans="1:16" x14ac:dyDescent="0.35">
      <c r="A2142" s="9" t="s">
        <v>166</v>
      </c>
      <c r="B2142" s="2">
        <v>151.55000000000001</v>
      </c>
      <c r="C2142" s="2">
        <v>152.88999999999999</v>
      </c>
      <c r="D2142" s="2">
        <v>148.41</v>
      </c>
      <c r="E2142" s="2">
        <v>149.77000000000001</v>
      </c>
      <c r="F2142" s="2">
        <v>27028429</v>
      </c>
      <c r="G2142" s="2" t="s">
        <v>566</v>
      </c>
      <c r="H2142" s="2" t="s">
        <v>567</v>
      </c>
      <c r="I2142" s="2" t="s">
        <v>568</v>
      </c>
      <c r="J2142" s="3">
        <v>0.60499999999999998</v>
      </c>
      <c r="K2142" s="2" t="s">
        <v>157</v>
      </c>
      <c r="L2142" s="2">
        <v>2023</v>
      </c>
      <c r="M2142" s="2" t="s">
        <v>158</v>
      </c>
      <c r="N2142" s="2" t="s">
        <v>21</v>
      </c>
      <c r="O2142">
        <f t="shared" si="66"/>
        <v>4.4799999999999898</v>
      </c>
      <c r="P2142">
        <f t="shared" si="67"/>
        <v>11.9</v>
      </c>
    </row>
    <row r="2143" spans="1:16" x14ac:dyDescent="0.35">
      <c r="A2143" s="9" t="s">
        <v>167</v>
      </c>
      <c r="B2143" s="2">
        <v>150.35</v>
      </c>
      <c r="C2143" s="2">
        <v>153.75</v>
      </c>
      <c r="D2143" s="2">
        <v>150.35</v>
      </c>
      <c r="E2143" s="2">
        <v>153.38</v>
      </c>
      <c r="F2143" s="2">
        <v>17262394</v>
      </c>
      <c r="G2143" s="2" t="s">
        <v>566</v>
      </c>
      <c r="H2143" s="2" t="s">
        <v>567</v>
      </c>
      <c r="I2143" s="2" t="s">
        <v>568</v>
      </c>
      <c r="J2143" s="3">
        <v>2.41</v>
      </c>
      <c r="K2143" s="2" t="s">
        <v>157</v>
      </c>
      <c r="L2143" s="2">
        <v>2023</v>
      </c>
      <c r="M2143" s="2" t="s">
        <v>158</v>
      </c>
      <c r="N2143" s="2" t="s">
        <v>21</v>
      </c>
      <c r="O2143">
        <f t="shared" si="66"/>
        <v>3.4000000000000057</v>
      </c>
      <c r="P2143">
        <f t="shared" si="67"/>
        <v>14.31</v>
      </c>
    </row>
    <row r="2144" spans="1:16" x14ac:dyDescent="0.35">
      <c r="A2144" s="9" t="s">
        <v>168</v>
      </c>
      <c r="B2144" s="2">
        <v>153.38</v>
      </c>
      <c r="C2144" s="2">
        <v>154.4</v>
      </c>
      <c r="D2144" s="2">
        <v>152.82</v>
      </c>
      <c r="E2144" s="2">
        <v>153.66</v>
      </c>
      <c r="F2144" s="2">
        <v>13491725</v>
      </c>
      <c r="G2144" s="2" t="s">
        <v>566</v>
      </c>
      <c r="H2144" s="2" t="s">
        <v>567</v>
      </c>
      <c r="I2144" s="2" t="s">
        <v>568</v>
      </c>
      <c r="J2144" s="3">
        <v>0.183</v>
      </c>
      <c r="K2144" s="2" t="s">
        <v>157</v>
      </c>
      <c r="L2144" s="2">
        <v>2023</v>
      </c>
      <c r="M2144" s="2" t="s">
        <v>158</v>
      </c>
      <c r="N2144" s="2" t="s">
        <v>21</v>
      </c>
      <c r="O2144">
        <f t="shared" si="66"/>
        <v>1.5800000000000125</v>
      </c>
      <c r="P2144">
        <f t="shared" si="67"/>
        <v>14.493</v>
      </c>
    </row>
    <row r="2145" spans="1:16" x14ac:dyDescent="0.35">
      <c r="A2145" s="9" t="s">
        <v>169</v>
      </c>
      <c r="B2145" s="2">
        <v>152.75</v>
      </c>
      <c r="C2145" s="2">
        <v>155.20500000000001</v>
      </c>
      <c r="D2145" s="2">
        <v>152.22</v>
      </c>
      <c r="E2145" s="2">
        <v>154.25</v>
      </c>
      <c r="F2145" s="2">
        <v>12510000</v>
      </c>
      <c r="G2145" s="2" t="s">
        <v>566</v>
      </c>
      <c r="H2145" s="2" t="s">
        <v>567</v>
      </c>
      <c r="I2145" s="2" t="s">
        <v>568</v>
      </c>
      <c r="J2145" s="3">
        <v>0.38400000000000001</v>
      </c>
      <c r="K2145" s="2" t="s">
        <v>157</v>
      </c>
      <c r="L2145" s="2">
        <v>2023</v>
      </c>
      <c r="M2145" s="2" t="s">
        <v>158</v>
      </c>
      <c r="N2145" s="2" t="s">
        <v>21</v>
      </c>
      <c r="O2145">
        <f t="shared" si="66"/>
        <v>2.9850000000000136</v>
      </c>
      <c r="P2145">
        <f t="shared" si="67"/>
        <v>14.877000000000001</v>
      </c>
    </row>
    <row r="2146" spans="1:16" x14ac:dyDescent="0.35">
      <c r="A2146" s="9" t="s">
        <v>170</v>
      </c>
      <c r="B2146" s="2">
        <v>154.53</v>
      </c>
      <c r="C2146" s="2">
        <v>156.59</v>
      </c>
      <c r="D2146" s="2">
        <v>154.41</v>
      </c>
      <c r="E2146" s="2">
        <v>156.15</v>
      </c>
      <c r="F2146" s="2">
        <v>9935907</v>
      </c>
      <c r="G2146" s="2" t="s">
        <v>566</v>
      </c>
      <c r="H2146" s="2" t="s">
        <v>567</v>
      </c>
      <c r="I2146" s="2" t="s">
        <v>568</v>
      </c>
      <c r="J2146" s="3">
        <v>1.232</v>
      </c>
      <c r="K2146" s="2" t="s">
        <v>157</v>
      </c>
      <c r="L2146" s="2">
        <v>2023</v>
      </c>
      <c r="M2146" s="2" t="s">
        <v>158</v>
      </c>
      <c r="N2146" s="2" t="s">
        <v>21</v>
      </c>
      <c r="O2146">
        <f t="shared" si="66"/>
        <v>2.1800000000000068</v>
      </c>
      <c r="P2146">
        <f t="shared" si="67"/>
        <v>16.109000000000002</v>
      </c>
    </row>
    <row r="2147" spans="1:16" x14ac:dyDescent="0.35">
      <c r="A2147" s="9" t="s">
        <v>171</v>
      </c>
      <c r="B2147" s="2">
        <v>155.80000000000001</v>
      </c>
      <c r="C2147" s="2">
        <v>156.13999999999999</v>
      </c>
      <c r="D2147" s="2">
        <v>154.69</v>
      </c>
      <c r="E2147" s="2">
        <v>154.94999999999999</v>
      </c>
      <c r="F2147" s="2">
        <v>10636378</v>
      </c>
      <c r="G2147" s="2" t="s">
        <v>566</v>
      </c>
      <c r="H2147" s="2" t="s">
        <v>567</v>
      </c>
      <c r="I2147" s="2" t="s">
        <v>568</v>
      </c>
      <c r="J2147" s="4">
        <v>-0.76800000000000002</v>
      </c>
      <c r="K2147" s="2" t="s">
        <v>157</v>
      </c>
      <c r="L2147" s="2">
        <v>2023</v>
      </c>
      <c r="M2147" s="2" t="s">
        <v>158</v>
      </c>
      <c r="N2147" s="2" t="s">
        <v>23</v>
      </c>
      <c r="O2147">
        <f t="shared" si="66"/>
        <v>1.4499999999999886</v>
      </c>
      <c r="P2147">
        <f t="shared" si="67"/>
        <v>15.341000000000001</v>
      </c>
    </row>
    <row r="2148" spans="1:16" x14ac:dyDescent="0.35">
      <c r="A2148" s="9" t="s">
        <v>172</v>
      </c>
      <c r="B2148" s="2">
        <v>154.97</v>
      </c>
      <c r="C2148" s="2">
        <v>158.785</v>
      </c>
      <c r="D2148" s="2">
        <v>154.72999999999999</v>
      </c>
      <c r="E2148" s="2">
        <v>158</v>
      </c>
      <c r="F2148" s="2">
        <v>14381425</v>
      </c>
      <c r="G2148" s="2" t="s">
        <v>566</v>
      </c>
      <c r="H2148" s="2" t="s">
        <v>567</v>
      </c>
      <c r="I2148" s="2" t="s">
        <v>568</v>
      </c>
      <c r="J2148" s="3">
        <v>1.968</v>
      </c>
      <c r="K2148" s="2" t="s">
        <v>157</v>
      </c>
      <c r="L2148" s="2">
        <v>2023</v>
      </c>
      <c r="M2148" s="2" t="s">
        <v>158</v>
      </c>
      <c r="N2148" s="2" t="s">
        <v>21</v>
      </c>
      <c r="O2148">
        <f t="shared" si="66"/>
        <v>4.0550000000000068</v>
      </c>
      <c r="P2148">
        <f t="shared" si="67"/>
        <v>17.309000000000001</v>
      </c>
    </row>
    <row r="2149" spans="1:16" x14ac:dyDescent="0.35">
      <c r="A2149" s="9" t="s">
        <v>173</v>
      </c>
      <c r="B2149" s="2">
        <v>157.30000000000001</v>
      </c>
      <c r="C2149" s="2">
        <v>157.72</v>
      </c>
      <c r="D2149" s="2">
        <v>155.96</v>
      </c>
      <c r="E2149" s="2">
        <v>156.82</v>
      </c>
      <c r="F2149" s="2">
        <v>9944679</v>
      </c>
      <c r="G2149" s="2" t="s">
        <v>566</v>
      </c>
      <c r="H2149" s="2" t="s">
        <v>567</v>
      </c>
      <c r="I2149" s="2" t="s">
        <v>568</v>
      </c>
      <c r="J2149" s="4">
        <v>-0.747</v>
      </c>
      <c r="K2149" s="2" t="s">
        <v>157</v>
      </c>
      <c r="L2149" s="2">
        <v>2023</v>
      </c>
      <c r="M2149" s="2" t="s">
        <v>158</v>
      </c>
      <c r="N2149" s="2" t="s">
        <v>23</v>
      </c>
      <c r="O2149">
        <f t="shared" si="66"/>
        <v>1.7599999999999909</v>
      </c>
      <c r="P2149">
        <f t="shared" si="67"/>
        <v>16.562000000000001</v>
      </c>
    </row>
    <row r="2150" spans="1:16" x14ac:dyDescent="0.35">
      <c r="A2150" s="9" t="s">
        <v>174</v>
      </c>
      <c r="B2150" s="2">
        <v>156.71</v>
      </c>
      <c r="C2150" s="2">
        <v>158.25</v>
      </c>
      <c r="D2150" s="2">
        <v>156.27500000000001</v>
      </c>
      <c r="E2150" s="2">
        <v>157.76</v>
      </c>
      <c r="F2150" s="2">
        <v>8728593</v>
      </c>
      <c r="G2150" s="2" t="s">
        <v>566</v>
      </c>
      <c r="H2150" s="2" t="s">
        <v>567</v>
      </c>
      <c r="I2150" s="2" t="s">
        <v>568</v>
      </c>
      <c r="J2150" s="3">
        <v>0.59899999999999998</v>
      </c>
      <c r="K2150" s="2" t="s">
        <v>157</v>
      </c>
      <c r="L2150" s="2">
        <v>2023</v>
      </c>
      <c r="M2150" s="2" t="s">
        <v>158</v>
      </c>
      <c r="N2150" s="2" t="s">
        <v>21</v>
      </c>
      <c r="O2150">
        <f t="shared" si="66"/>
        <v>1.9749999999999943</v>
      </c>
      <c r="P2150">
        <f t="shared" si="67"/>
        <v>17.161000000000001</v>
      </c>
    </row>
    <row r="2151" spans="1:16" x14ac:dyDescent="0.35">
      <c r="A2151" s="9" t="s">
        <v>175</v>
      </c>
      <c r="B2151" s="2">
        <v>157.77000000000001</v>
      </c>
      <c r="C2151" s="2">
        <v>158.78</v>
      </c>
      <c r="D2151" s="2">
        <v>155.554</v>
      </c>
      <c r="E2151" s="2">
        <v>156.02000000000001</v>
      </c>
      <c r="F2151" s="2">
        <v>10778406</v>
      </c>
      <c r="G2151" s="2" t="s">
        <v>566</v>
      </c>
      <c r="H2151" s="2" t="s">
        <v>567</v>
      </c>
      <c r="I2151" s="2" t="s">
        <v>568</v>
      </c>
      <c r="J2151" s="4">
        <v>-1.103</v>
      </c>
      <c r="K2151" s="2" t="s">
        <v>157</v>
      </c>
      <c r="L2151" s="2">
        <v>2023</v>
      </c>
      <c r="M2151" s="2" t="s">
        <v>158</v>
      </c>
      <c r="N2151" s="2" t="s">
        <v>23</v>
      </c>
      <c r="O2151">
        <f t="shared" si="66"/>
        <v>3.2259999999999991</v>
      </c>
      <c r="P2151">
        <f t="shared" si="67"/>
        <v>16.058</v>
      </c>
    </row>
    <row r="2152" spans="1:16" x14ac:dyDescent="0.35">
      <c r="A2152" s="9" t="s">
        <v>176</v>
      </c>
      <c r="B2152" s="2">
        <v>157.28</v>
      </c>
      <c r="C2152" s="2">
        <v>157.6</v>
      </c>
      <c r="D2152" s="2">
        <v>156.44</v>
      </c>
      <c r="E2152" s="2">
        <v>156.91</v>
      </c>
      <c r="F2152" s="2">
        <v>9105974</v>
      </c>
      <c r="G2152" s="2" t="s">
        <v>566</v>
      </c>
      <c r="H2152" s="2" t="s">
        <v>567</v>
      </c>
      <c r="I2152" s="2" t="s">
        <v>568</v>
      </c>
      <c r="J2152" s="3">
        <v>0.56999999999999995</v>
      </c>
      <c r="K2152" s="2" t="s">
        <v>157</v>
      </c>
      <c r="L2152" s="2">
        <v>2023</v>
      </c>
      <c r="M2152" s="2" t="s">
        <v>158</v>
      </c>
      <c r="N2152" s="2" t="s">
        <v>21</v>
      </c>
      <c r="O2152">
        <f t="shared" si="66"/>
        <v>1.1599999999999966</v>
      </c>
      <c r="P2152">
        <f t="shared" si="67"/>
        <v>16.628</v>
      </c>
    </row>
    <row r="2153" spans="1:16" x14ac:dyDescent="0.35">
      <c r="A2153" s="9" t="s">
        <v>177</v>
      </c>
      <c r="B2153" s="2">
        <v>157.18</v>
      </c>
      <c r="C2153" s="2">
        <v>159.38</v>
      </c>
      <c r="D2153" s="2">
        <v>157.15100000000001</v>
      </c>
      <c r="E2153" s="2">
        <v>157.96</v>
      </c>
      <c r="F2153" s="2">
        <v>8894353</v>
      </c>
      <c r="G2153" s="2" t="s">
        <v>566</v>
      </c>
      <c r="H2153" s="2" t="s">
        <v>567</v>
      </c>
      <c r="I2153" s="2" t="s">
        <v>568</v>
      </c>
      <c r="J2153" s="3">
        <v>0.66900000000000004</v>
      </c>
      <c r="K2153" s="2" t="s">
        <v>157</v>
      </c>
      <c r="L2153" s="2">
        <v>2023</v>
      </c>
      <c r="M2153" s="2" t="s">
        <v>158</v>
      </c>
      <c r="N2153" s="2" t="s">
        <v>21</v>
      </c>
      <c r="O2153">
        <f t="shared" si="66"/>
        <v>2.228999999999985</v>
      </c>
      <c r="P2153">
        <f t="shared" si="67"/>
        <v>17.297000000000001</v>
      </c>
    </row>
    <row r="2154" spans="1:16" x14ac:dyDescent="0.35">
      <c r="A2154" s="9" t="s">
        <v>178</v>
      </c>
      <c r="B2154" s="2">
        <v>157.43</v>
      </c>
      <c r="C2154" s="2">
        <v>158</v>
      </c>
      <c r="D2154" s="2">
        <v>156.15</v>
      </c>
      <c r="E2154" s="2">
        <v>157.18</v>
      </c>
      <c r="F2154" s="2">
        <v>6855682</v>
      </c>
      <c r="G2154" s="2" t="s">
        <v>566</v>
      </c>
      <c r="H2154" s="2" t="s">
        <v>567</v>
      </c>
      <c r="I2154" s="2" t="s">
        <v>568</v>
      </c>
      <c r="J2154" s="4">
        <v>-0.49399999999999999</v>
      </c>
      <c r="K2154" s="2" t="s">
        <v>179</v>
      </c>
      <c r="L2154" s="2">
        <v>2023</v>
      </c>
      <c r="M2154" s="2" t="s">
        <v>180</v>
      </c>
      <c r="N2154" s="2" t="s">
        <v>23</v>
      </c>
      <c r="O2154">
        <f t="shared" si="66"/>
        <v>1.8499999999999943</v>
      </c>
      <c r="P2154">
        <f t="shared" si="67"/>
        <v>16.803000000000001</v>
      </c>
    </row>
    <row r="2155" spans="1:16" x14ac:dyDescent="0.35">
      <c r="A2155" s="9" t="s">
        <v>181</v>
      </c>
      <c r="B2155" s="2">
        <v>155.56</v>
      </c>
      <c r="C2155" s="2">
        <v>155.69</v>
      </c>
      <c r="D2155" s="2">
        <v>153.94</v>
      </c>
      <c r="E2155" s="2">
        <v>155.4</v>
      </c>
      <c r="F2155" s="2">
        <v>8303708</v>
      </c>
      <c r="G2155" s="2" t="s">
        <v>566</v>
      </c>
      <c r="H2155" s="2" t="s">
        <v>567</v>
      </c>
      <c r="I2155" s="2" t="s">
        <v>568</v>
      </c>
      <c r="J2155" s="4">
        <v>-1.1319999999999999</v>
      </c>
      <c r="K2155" s="2" t="s">
        <v>179</v>
      </c>
      <c r="L2155" s="2">
        <v>2023</v>
      </c>
      <c r="M2155" s="2" t="s">
        <v>180</v>
      </c>
      <c r="N2155" s="2" t="s">
        <v>23</v>
      </c>
      <c r="O2155">
        <f t="shared" si="66"/>
        <v>1.75</v>
      </c>
      <c r="P2155">
        <f t="shared" si="67"/>
        <v>15.671000000000001</v>
      </c>
    </row>
    <row r="2156" spans="1:16" x14ac:dyDescent="0.35">
      <c r="A2156" s="9" t="s">
        <v>182</v>
      </c>
      <c r="B2156" s="2">
        <v>155</v>
      </c>
      <c r="C2156" s="2">
        <v>156.91999999999999</v>
      </c>
      <c r="D2156" s="2">
        <v>154.35</v>
      </c>
      <c r="E2156" s="2">
        <v>156.35</v>
      </c>
      <c r="F2156" s="2">
        <v>6087542</v>
      </c>
      <c r="G2156" s="2" t="s">
        <v>566</v>
      </c>
      <c r="H2156" s="2" t="s">
        <v>567</v>
      </c>
      <c r="I2156" s="2" t="s">
        <v>568</v>
      </c>
      <c r="J2156" s="3">
        <v>0.61099999999999999</v>
      </c>
      <c r="K2156" s="2" t="s">
        <v>179</v>
      </c>
      <c r="L2156" s="2">
        <v>2023</v>
      </c>
      <c r="M2156" s="2" t="s">
        <v>180</v>
      </c>
      <c r="N2156" s="2" t="s">
        <v>21</v>
      </c>
      <c r="O2156">
        <f t="shared" si="66"/>
        <v>2.5699999999999932</v>
      </c>
      <c r="P2156">
        <f t="shared" si="67"/>
        <v>16.282</v>
      </c>
    </row>
    <row r="2157" spans="1:16" x14ac:dyDescent="0.35">
      <c r="A2157" s="9" t="s">
        <v>183</v>
      </c>
      <c r="B2157" s="2">
        <v>156.4</v>
      </c>
      <c r="C2157" s="2">
        <v>157.80000000000001</v>
      </c>
      <c r="D2157" s="2">
        <v>155.69499999999999</v>
      </c>
      <c r="E2157" s="2">
        <v>156.02000000000001</v>
      </c>
      <c r="F2157" s="2">
        <v>6209397</v>
      </c>
      <c r="G2157" s="2" t="s">
        <v>566</v>
      </c>
      <c r="H2157" s="2" t="s">
        <v>567</v>
      </c>
      <c r="I2157" s="2" t="s">
        <v>568</v>
      </c>
      <c r="J2157" s="4">
        <v>-0.21099999999999999</v>
      </c>
      <c r="K2157" s="2" t="s">
        <v>179</v>
      </c>
      <c r="L2157" s="2">
        <v>2023</v>
      </c>
      <c r="M2157" s="2" t="s">
        <v>180</v>
      </c>
      <c r="N2157" s="2" t="s">
        <v>23</v>
      </c>
      <c r="O2157">
        <f t="shared" si="66"/>
        <v>2.1050000000000182</v>
      </c>
      <c r="P2157">
        <f t="shared" si="67"/>
        <v>16.071000000000002</v>
      </c>
    </row>
    <row r="2158" spans="1:16" x14ac:dyDescent="0.35">
      <c r="A2158" s="9" t="s">
        <v>184</v>
      </c>
      <c r="B2158" s="2">
        <v>156.6</v>
      </c>
      <c r="C2158" s="2">
        <v>157.69999999999999</v>
      </c>
      <c r="D2158" s="2">
        <v>156.6</v>
      </c>
      <c r="E2158" s="2">
        <v>156.76</v>
      </c>
      <c r="F2158" s="2">
        <v>7251832</v>
      </c>
      <c r="G2158" s="2" t="s">
        <v>566</v>
      </c>
      <c r="H2158" s="2" t="s">
        <v>567</v>
      </c>
      <c r="I2158" s="2" t="s">
        <v>568</v>
      </c>
      <c r="J2158" s="3">
        <v>0.47399999999999998</v>
      </c>
      <c r="K2158" s="2" t="s">
        <v>179</v>
      </c>
      <c r="L2158" s="2">
        <v>2023</v>
      </c>
      <c r="M2158" s="2" t="s">
        <v>180</v>
      </c>
      <c r="N2158" s="2" t="s">
        <v>21</v>
      </c>
      <c r="O2158">
        <f t="shared" si="66"/>
        <v>1.0999999999999943</v>
      </c>
      <c r="P2158">
        <f t="shared" si="67"/>
        <v>16.545000000000002</v>
      </c>
    </row>
    <row r="2159" spans="1:16" x14ac:dyDescent="0.35">
      <c r="A2159" s="9" t="s">
        <v>185</v>
      </c>
      <c r="B2159" s="2">
        <v>154.32</v>
      </c>
      <c r="C2159" s="2">
        <v>155.97999999999999</v>
      </c>
      <c r="D2159" s="2">
        <v>152.59</v>
      </c>
      <c r="E2159" s="2">
        <v>155.88</v>
      </c>
      <c r="F2159" s="2">
        <v>8623379</v>
      </c>
      <c r="G2159" s="2" t="s">
        <v>566</v>
      </c>
      <c r="H2159" s="2" t="s">
        <v>567</v>
      </c>
      <c r="I2159" s="2" t="s">
        <v>568</v>
      </c>
      <c r="J2159" s="4">
        <v>-0.56100000000000005</v>
      </c>
      <c r="K2159" s="2" t="s">
        <v>179</v>
      </c>
      <c r="L2159" s="2">
        <v>2023</v>
      </c>
      <c r="M2159" s="2" t="s">
        <v>180</v>
      </c>
      <c r="N2159" s="2" t="s">
        <v>23</v>
      </c>
      <c r="O2159">
        <f t="shared" si="66"/>
        <v>3.3899999999999864</v>
      </c>
      <c r="P2159">
        <f t="shared" si="67"/>
        <v>15.984000000000002</v>
      </c>
    </row>
    <row r="2160" spans="1:16" x14ac:dyDescent="0.35">
      <c r="A2160" s="9" t="s">
        <v>186</v>
      </c>
      <c r="B2160" s="2">
        <v>155.32</v>
      </c>
      <c r="C2160" s="2">
        <v>155.52000000000001</v>
      </c>
      <c r="D2160" s="2">
        <v>153.47</v>
      </c>
      <c r="E2160" s="2">
        <v>153.79</v>
      </c>
      <c r="F2160" s="2">
        <v>6277813</v>
      </c>
      <c r="G2160" s="2" t="s">
        <v>566</v>
      </c>
      <c r="H2160" s="2" t="s">
        <v>567</v>
      </c>
      <c r="I2160" s="2" t="s">
        <v>568</v>
      </c>
      <c r="J2160" s="4">
        <v>-1.341</v>
      </c>
      <c r="K2160" s="2" t="s">
        <v>179</v>
      </c>
      <c r="L2160" s="2">
        <v>2023</v>
      </c>
      <c r="M2160" s="2" t="s">
        <v>180</v>
      </c>
      <c r="N2160" s="2" t="s">
        <v>23</v>
      </c>
      <c r="O2160">
        <f t="shared" si="66"/>
        <v>2.0500000000000114</v>
      </c>
      <c r="P2160">
        <f t="shared" si="67"/>
        <v>14.643000000000002</v>
      </c>
    </row>
    <row r="2161" spans="1:16" x14ac:dyDescent="0.35">
      <c r="A2161" s="9" t="s">
        <v>187</v>
      </c>
      <c r="B2161" s="2">
        <v>154.38</v>
      </c>
      <c r="C2161" s="2">
        <v>155.44</v>
      </c>
      <c r="D2161" s="2">
        <v>153.09</v>
      </c>
      <c r="E2161" s="2">
        <v>153.56</v>
      </c>
      <c r="F2161" s="2">
        <v>5995076</v>
      </c>
      <c r="G2161" s="2" t="s">
        <v>566</v>
      </c>
      <c r="H2161" s="2" t="s">
        <v>567</v>
      </c>
      <c r="I2161" s="2" t="s">
        <v>568</v>
      </c>
      <c r="J2161" s="4">
        <v>-0.15</v>
      </c>
      <c r="K2161" s="2" t="s">
        <v>179</v>
      </c>
      <c r="L2161" s="2">
        <v>2023</v>
      </c>
      <c r="M2161" s="2" t="s">
        <v>180</v>
      </c>
      <c r="N2161" s="2" t="s">
        <v>23</v>
      </c>
      <c r="O2161">
        <f t="shared" si="66"/>
        <v>2.3499999999999943</v>
      </c>
      <c r="P2161">
        <f t="shared" si="67"/>
        <v>14.493000000000002</v>
      </c>
    </row>
    <row r="2162" spans="1:16" x14ac:dyDescent="0.35">
      <c r="A2162" s="9" t="s">
        <v>188</v>
      </c>
      <c r="B2162" s="2">
        <v>153.03</v>
      </c>
      <c r="C2162" s="2">
        <v>154.52000000000001</v>
      </c>
      <c r="D2162" s="2">
        <v>152.63</v>
      </c>
      <c r="E2162" s="2">
        <v>154.44999999999999</v>
      </c>
      <c r="F2162" s="2">
        <v>5180690</v>
      </c>
      <c r="G2162" s="2" t="s">
        <v>566</v>
      </c>
      <c r="H2162" s="2" t="s">
        <v>567</v>
      </c>
      <c r="I2162" s="2" t="s">
        <v>568</v>
      </c>
      <c r="J2162" s="3">
        <v>0.57999999999999996</v>
      </c>
      <c r="K2162" s="2" t="s">
        <v>179</v>
      </c>
      <c r="L2162" s="2">
        <v>2023</v>
      </c>
      <c r="M2162" s="2" t="s">
        <v>180</v>
      </c>
      <c r="N2162" s="2" t="s">
        <v>21</v>
      </c>
      <c r="O2162">
        <f t="shared" si="66"/>
        <v>1.8900000000000148</v>
      </c>
      <c r="P2162">
        <f t="shared" si="67"/>
        <v>15.073000000000002</v>
      </c>
    </row>
    <row r="2163" spans="1:16" x14ac:dyDescent="0.35">
      <c r="A2163" s="9" t="s">
        <v>189</v>
      </c>
      <c r="B2163" s="2">
        <v>153.61000000000001</v>
      </c>
      <c r="C2163" s="2">
        <v>154.91800000000001</v>
      </c>
      <c r="D2163" s="2">
        <v>152.91999999999999</v>
      </c>
      <c r="E2163" s="2">
        <v>154.77000000000001</v>
      </c>
      <c r="F2163" s="2">
        <v>5044282</v>
      </c>
      <c r="G2163" s="2" t="s">
        <v>566</v>
      </c>
      <c r="H2163" s="2" t="s">
        <v>567</v>
      </c>
      <c r="I2163" s="2" t="s">
        <v>568</v>
      </c>
      <c r="J2163" s="3">
        <v>0.20699999999999999</v>
      </c>
      <c r="K2163" s="2" t="s">
        <v>179</v>
      </c>
      <c r="L2163" s="2">
        <v>2023</v>
      </c>
      <c r="M2163" s="2" t="s">
        <v>180</v>
      </c>
      <c r="N2163" s="2" t="s">
        <v>21</v>
      </c>
      <c r="O2163">
        <f t="shared" si="66"/>
        <v>1.9980000000000189</v>
      </c>
      <c r="P2163">
        <f t="shared" si="67"/>
        <v>15.280000000000003</v>
      </c>
    </row>
    <row r="2164" spans="1:16" x14ac:dyDescent="0.35">
      <c r="A2164" s="9" t="s">
        <v>190</v>
      </c>
      <c r="B2164" s="2">
        <v>152.85</v>
      </c>
      <c r="C2164" s="2">
        <v>153.26599999999999</v>
      </c>
      <c r="D2164" s="2">
        <v>150.22999999999999</v>
      </c>
      <c r="E2164" s="2">
        <v>150.83000000000001</v>
      </c>
      <c r="F2164" s="2">
        <v>10300303</v>
      </c>
      <c r="G2164" s="2" t="s">
        <v>566</v>
      </c>
      <c r="H2164" s="2" t="s">
        <v>567</v>
      </c>
      <c r="I2164" s="2" t="s">
        <v>568</v>
      </c>
      <c r="J2164" s="4">
        <v>-2.5459999999999998</v>
      </c>
      <c r="K2164" s="2" t="s">
        <v>179</v>
      </c>
      <c r="L2164" s="2">
        <v>2023</v>
      </c>
      <c r="M2164" s="2" t="s">
        <v>180</v>
      </c>
      <c r="N2164" s="2" t="s">
        <v>23</v>
      </c>
      <c r="O2164">
        <f t="shared" si="66"/>
        <v>3.0360000000000014</v>
      </c>
      <c r="P2164">
        <f t="shared" si="67"/>
        <v>12.734000000000004</v>
      </c>
    </row>
    <row r="2165" spans="1:16" x14ac:dyDescent="0.35">
      <c r="A2165" s="9" t="s">
        <v>191</v>
      </c>
      <c r="B2165" s="2">
        <v>150.6</v>
      </c>
      <c r="C2165" s="2">
        <v>150.96</v>
      </c>
      <c r="D2165" s="2">
        <v>149.68</v>
      </c>
      <c r="E2165" s="2">
        <v>150.19</v>
      </c>
      <c r="F2165" s="2">
        <v>6978235</v>
      </c>
      <c r="G2165" s="2" t="s">
        <v>566</v>
      </c>
      <c r="H2165" s="2" t="s">
        <v>567</v>
      </c>
      <c r="I2165" s="2" t="s">
        <v>568</v>
      </c>
      <c r="J2165" s="4">
        <v>-0.42399999999999999</v>
      </c>
      <c r="K2165" s="2" t="s">
        <v>179</v>
      </c>
      <c r="L2165" s="2">
        <v>2023</v>
      </c>
      <c r="M2165" s="2" t="s">
        <v>180</v>
      </c>
      <c r="N2165" s="2" t="s">
        <v>23</v>
      </c>
      <c r="O2165">
        <f t="shared" si="66"/>
        <v>1.2800000000000011</v>
      </c>
      <c r="P2165">
        <f t="shared" si="67"/>
        <v>12.310000000000004</v>
      </c>
    </row>
    <row r="2166" spans="1:16" x14ac:dyDescent="0.35">
      <c r="A2166" s="9" t="s">
        <v>192</v>
      </c>
      <c r="B2166" s="2">
        <v>150.88</v>
      </c>
      <c r="C2166" s="2">
        <v>151.262</v>
      </c>
      <c r="D2166" s="2">
        <v>148.4</v>
      </c>
      <c r="E2166" s="2">
        <v>148.63</v>
      </c>
      <c r="F2166" s="2">
        <v>9953912</v>
      </c>
      <c r="G2166" s="2" t="s">
        <v>566</v>
      </c>
      <c r="H2166" s="2" t="s">
        <v>567</v>
      </c>
      <c r="I2166" s="2" t="s">
        <v>568</v>
      </c>
      <c r="J2166" s="4">
        <v>-1.0389999999999999</v>
      </c>
      <c r="K2166" s="2" t="s">
        <v>179</v>
      </c>
      <c r="L2166" s="2">
        <v>2023</v>
      </c>
      <c r="M2166" s="2" t="s">
        <v>180</v>
      </c>
      <c r="N2166" s="2" t="s">
        <v>23</v>
      </c>
      <c r="O2166">
        <f t="shared" si="66"/>
        <v>2.8619999999999948</v>
      </c>
      <c r="P2166">
        <f t="shared" si="67"/>
        <v>11.271000000000004</v>
      </c>
    </row>
    <row r="2167" spans="1:16" x14ac:dyDescent="0.35">
      <c r="A2167" s="9" t="s">
        <v>193</v>
      </c>
      <c r="B2167" s="2">
        <v>147.65</v>
      </c>
      <c r="C2167" s="2">
        <v>149.5</v>
      </c>
      <c r="D2167" s="2">
        <v>147.44399999999999</v>
      </c>
      <c r="E2167" s="2">
        <v>148.97</v>
      </c>
      <c r="F2167" s="2">
        <v>8517460</v>
      </c>
      <c r="G2167" s="2" t="s">
        <v>566</v>
      </c>
      <c r="H2167" s="2" t="s">
        <v>567</v>
      </c>
      <c r="I2167" s="2" t="s">
        <v>568</v>
      </c>
      <c r="J2167" s="3">
        <v>0.22900000000000001</v>
      </c>
      <c r="K2167" s="2" t="s">
        <v>179</v>
      </c>
      <c r="L2167" s="2">
        <v>2023</v>
      </c>
      <c r="M2167" s="2" t="s">
        <v>180</v>
      </c>
      <c r="N2167" s="2" t="s">
        <v>21</v>
      </c>
      <c r="O2167">
        <f t="shared" si="66"/>
        <v>2.0560000000000116</v>
      </c>
      <c r="P2167">
        <f t="shared" si="67"/>
        <v>11.500000000000004</v>
      </c>
    </row>
    <row r="2168" spans="1:16" x14ac:dyDescent="0.35">
      <c r="A2168" s="9" t="s">
        <v>194</v>
      </c>
      <c r="B2168" s="2">
        <v>149.65</v>
      </c>
      <c r="C2168" s="2">
        <v>150.10499999999999</v>
      </c>
      <c r="D2168" s="2">
        <v>148.02000000000001</v>
      </c>
      <c r="E2168" s="2">
        <v>149.47999999999999</v>
      </c>
      <c r="F2168" s="2">
        <v>8327018</v>
      </c>
      <c r="G2168" s="2" t="s">
        <v>566</v>
      </c>
      <c r="H2168" s="2" t="s">
        <v>567</v>
      </c>
      <c r="I2168" s="2" t="s">
        <v>568</v>
      </c>
      <c r="J2168" s="3">
        <v>0.34200000000000003</v>
      </c>
      <c r="K2168" s="2" t="s">
        <v>179</v>
      </c>
      <c r="L2168" s="2">
        <v>2023</v>
      </c>
      <c r="M2168" s="2" t="s">
        <v>180</v>
      </c>
      <c r="N2168" s="2" t="s">
        <v>21</v>
      </c>
      <c r="O2168">
        <f t="shared" si="66"/>
        <v>2.0849999999999795</v>
      </c>
      <c r="P2168">
        <f t="shared" si="67"/>
        <v>11.842000000000004</v>
      </c>
    </row>
    <row r="2169" spans="1:16" x14ac:dyDescent="0.35">
      <c r="A2169" s="9" t="s">
        <v>195</v>
      </c>
      <c r="B2169" s="2">
        <v>149.26</v>
      </c>
      <c r="C2169" s="2">
        <v>149.63900000000001</v>
      </c>
      <c r="D2169" s="2">
        <v>145.85</v>
      </c>
      <c r="E2169" s="2">
        <v>146.38</v>
      </c>
      <c r="F2169" s="2">
        <v>9681972</v>
      </c>
      <c r="G2169" s="2" t="s">
        <v>566</v>
      </c>
      <c r="H2169" s="2" t="s">
        <v>567</v>
      </c>
      <c r="I2169" s="2" t="s">
        <v>568</v>
      </c>
      <c r="J2169" s="4">
        <v>-2.0739999999999998</v>
      </c>
      <c r="K2169" s="2" t="s">
        <v>179</v>
      </c>
      <c r="L2169" s="2">
        <v>2023</v>
      </c>
      <c r="M2169" s="2" t="s">
        <v>180</v>
      </c>
      <c r="N2169" s="2" t="s">
        <v>23</v>
      </c>
      <c r="O2169">
        <f t="shared" si="66"/>
        <v>3.7890000000000157</v>
      </c>
      <c r="P2169">
        <f t="shared" si="67"/>
        <v>9.7680000000000042</v>
      </c>
    </row>
    <row r="2170" spans="1:16" x14ac:dyDescent="0.35">
      <c r="A2170" s="9" t="s">
        <v>196</v>
      </c>
      <c r="B2170" s="2">
        <v>146.35</v>
      </c>
      <c r="C2170" s="2">
        <v>147.58500000000001</v>
      </c>
      <c r="D2170" s="2">
        <v>145.46</v>
      </c>
      <c r="E2170" s="2">
        <v>147.37</v>
      </c>
      <c r="F2170" s="2">
        <v>7858021</v>
      </c>
      <c r="G2170" s="2" t="s">
        <v>566</v>
      </c>
      <c r="H2170" s="2" t="s">
        <v>567</v>
      </c>
      <c r="I2170" s="2" t="s">
        <v>568</v>
      </c>
      <c r="J2170" s="3">
        <v>0.67600000000000005</v>
      </c>
      <c r="K2170" s="2" t="s">
        <v>179</v>
      </c>
      <c r="L2170" s="2">
        <v>2023</v>
      </c>
      <c r="M2170" s="2" t="s">
        <v>180</v>
      </c>
      <c r="N2170" s="2" t="s">
        <v>21</v>
      </c>
      <c r="O2170">
        <f t="shared" si="66"/>
        <v>2.125</v>
      </c>
      <c r="P2170">
        <f t="shared" si="67"/>
        <v>10.444000000000004</v>
      </c>
    </row>
    <row r="2171" spans="1:16" x14ac:dyDescent="0.35">
      <c r="A2171" s="9" t="s">
        <v>197</v>
      </c>
      <c r="B2171" s="2">
        <v>147.5</v>
      </c>
      <c r="C2171" s="2">
        <v>149.41</v>
      </c>
      <c r="D2171" s="2">
        <v>146.988</v>
      </c>
      <c r="E2171" s="2">
        <v>147.22999999999999</v>
      </c>
      <c r="F2171" s="2">
        <v>6534026</v>
      </c>
      <c r="G2171" s="2" t="s">
        <v>566</v>
      </c>
      <c r="H2171" s="2" t="s">
        <v>567</v>
      </c>
      <c r="I2171" s="2" t="s">
        <v>568</v>
      </c>
      <c r="J2171" s="4">
        <v>-9.5000000000000001E-2</v>
      </c>
      <c r="K2171" s="2" t="s">
        <v>179</v>
      </c>
      <c r="L2171" s="2">
        <v>2023</v>
      </c>
      <c r="M2171" s="2" t="s">
        <v>180</v>
      </c>
      <c r="N2171" s="2" t="s">
        <v>23</v>
      </c>
      <c r="O2171">
        <f t="shared" si="66"/>
        <v>2.421999999999997</v>
      </c>
      <c r="P2171">
        <f t="shared" si="67"/>
        <v>10.349000000000004</v>
      </c>
    </row>
    <row r="2172" spans="1:16" x14ac:dyDescent="0.35">
      <c r="A2172" s="9" t="s">
        <v>198</v>
      </c>
      <c r="B2172" s="2">
        <v>147.28</v>
      </c>
      <c r="C2172" s="2">
        <v>148.62</v>
      </c>
      <c r="D2172" s="2">
        <v>145.85</v>
      </c>
      <c r="E2172" s="2">
        <v>147.05000000000001</v>
      </c>
      <c r="F2172" s="2">
        <v>6695537</v>
      </c>
      <c r="G2172" s="2" t="s">
        <v>566</v>
      </c>
      <c r="H2172" s="2" t="s">
        <v>567</v>
      </c>
      <c r="I2172" s="2" t="s">
        <v>568</v>
      </c>
      <c r="J2172" s="4">
        <v>-0.122</v>
      </c>
      <c r="K2172" s="2" t="s">
        <v>179</v>
      </c>
      <c r="L2172" s="2">
        <v>2023</v>
      </c>
      <c r="M2172" s="2" t="s">
        <v>180</v>
      </c>
      <c r="N2172" s="2" t="s">
        <v>23</v>
      </c>
      <c r="O2172">
        <f t="shared" si="66"/>
        <v>2.7700000000000102</v>
      </c>
      <c r="P2172">
        <f t="shared" si="67"/>
        <v>10.227000000000004</v>
      </c>
    </row>
    <row r="2173" spans="1:16" x14ac:dyDescent="0.35">
      <c r="A2173" s="9" t="s">
        <v>199</v>
      </c>
      <c r="B2173" s="2">
        <v>147.57</v>
      </c>
      <c r="C2173" s="2">
        <v>148.61000000000001</v>
      </c>
      <c r="D2173" s="2">
        <v>147.13</v>
      </c>
      <c r="E2173" s="2">
        <v>147.56</v>
      </c>
      <c r="F2173" s="2">
        <v>5094201</v>
      </c>
      <c r="G2173" s="2" t="s">
        <v>566</v>
      </c>
      <c r="H2173" s="2" t="s">
        <v>567</v>
      </c>
      <c r="I2173" s="2" t="s">
        <v>568</v>
      </c>
      <c r="J2173" s="3">
        <v>0.34699999999999998</v>
      </c>
      <c r="K2173" s="2" t="s">
        <v>179</v>
      </c>
      <c r="L2173" s="2">
        <v>2023</v>
      </c>
      <c r="M2173" s="2" t="s">
        <v>180</v>
      </c>
      <c r="N2173" s="2" t="s">
        <v>21</v>
      </c>
      <c r="O2173">
        <f t="shared" si="66"/>
        <v>1.4800000000000182</v>
      </c>
      <c r="P2173">
        <f t="shared" si="67"/>
        <v>10.574000000000003</v>
      </c>
    </row>
    <row r="2174" spans="1:16" x14ac:dyDescent="0.35">
      <c r="A2174" s="9" t="s">
        <v>200</v>
      </c>
      <c r="B2174" s="2">
        <v>147.71</v>
      </c>
      <c r="C2174" s="2">
        <v>148.85</v>
      </c>
      <c r="D2174" s="2">
        <v>147.18</v>
      </c>
      <c r="E2174" s="2">
        <v>148.76</v>
      </c>
      <c r="F2174" s="2">
        <v>6336962</v>
      </c>
      <c r="G2174" s="2" t="s">
        <v>566</v>
      </c>
      <c r="H2174" s="2" t="s">
        <v>567</v>
      </c>
      <c r="I2174" s="2" t="s">
        <v>568</v>
      </c>
      <c r="J2174" s="3">
        <v>0.81299999999999994</v>
      </c>
      <c r="K2174" s="2" t="s">
        <v>179</v>
      </c>
      <c r="L2174" s="2">
        <v>2023</v>
      </c>
      <c r="M2174" s="2" t="s">
        <v>180</v>
      </c>
      <c r="N2174" s="2" t="s">
        <v>21</v>
      </c>
      <c r="O2174">
        <f t="shared" si="66"/>
        <v>1.6699999999999875</v>
      </c>
      <c r="P2174">
        <f t="shared" si="67"/>
        <v>11.387000000000004</v>
      </c>
    </row>
    <row r="2175" spans="1:16" x14ac:dyDescent="0.35">
      <c r="A2175" s="9" t="s">
        <v>201</v>
      </c>
      <c r="B2175" s="2">
        <v>148.62</v>
      </c>
      <c r="C2175" s="2">
        <v>149.15</v>
      </c>
      <c r="D2175" s="2">
        <v>147.19</v>
      </c>
      <c r="E2175" s="2">
        <v>148.16</v>
      </c>
      <c r="F2175" s="2">
        <v>6277318</v>
      </c>
      <c r="G2175" s="2" t="s">
        <v>566</v>
      </c>
      <c r="H2175" s="2" t="s">
        <v>567</v>
      </c>
      <c r="I2175" s="2" t="s">
        <v>568</v>
      </c>
      <c r="J2175" s="4">
        <v>-0.40300000000000002</v>
      </c>
      <c r="K2175" s="2" t="s">
        <v>179</v>
      </c>
      <c r="L2175" s="2">
        <v>2023</v>
      </c>
      <c r="M2175" s="2" t="s">
        <v>180</v>
      </c>
      <c r="N2175" s="2" t="s">
        <v>23</v>
      </c>
      <c r="O2175">
        <f t="shared" si="66"/>
        <v>1.960000000000008</v>
      </c>
      <c r="P2175">
        <f t="shared" si="67"/>
        <v>10.984000000000004</v>
      </c>
    </row>
    <row r="2176" spans="1:16" x14ac:dyDescent="0.35">
      <c r="A2176" s="9" t="s">
        <v>202</v>
      </c>
      <c r="B2176" s="2">
        <v>148.26</v>
      </c>
      <c r="C2176" s="2">
        <v>148.35</v>
      </c>
      <c r="D2176" s="2">
        <v>145.96</v>
      </c>
      <c r="E2176" s="2">
        <v>146.33000000000001</v>
      </c>
      <c r="F2176" s="2">
        <v>10933938</v>
      </c>
      <c r="G2176" s="2" t="s">
        <v>566</v>
      </c>
      <c r="H2176" s="2" t="s">
        <v>567</v>
      </c>
      <c r="I2176" s="2" t="s">
        <v>568</v>
      </c>
      <c r="J2176" s="4">
        <v>-1.2350000000000001</v>
      </c>
      <c r="K2176" s="2" t="s">
        <v>179</v>
      </c>
      <c r="L2176" s="2">
        <v>2023</v>
      </c>
      <c r="M2176" s="2" t="s">
        <v>180</v>
      </c>
      <c r="N2176" s="2" t="s">
        <v>23</v>
      </c>
      <c r="O2176">
        <f t="shared" si="66"/>
        <v>2.3899999999999864</v>
      </c>
      <c r="P2176">
        <f t="shared" si="67"/>
        <v>9.7490000000000041</v>
      </c>
    </row>
    <row r="2177" spans="1:16" x14ac:dyDescent="0.35">
      <c r="A2177" s="9" t="s">
        <v>203</v>
      </c>
      <c r="B2177" s="2">
        <v>146.09</v>
      </c>
      <c r="C2177" s="2">
        <v>148.08000000000001</v>
      </c>
      <c r="D2177" s="2">
        <v>145.69999999999999</v>
      </c>
      <c r="E2177" s="2">
        <v>146.82</v>
      </c>
      <c r="F2177" s="2">
        <v>7903496</v>
      </c>
      <c r="G2177" s="2" t="s">
        <v>566</v>
      </c>
      <c r="H2177" s="2" t="s">
        <v>567</v>
      </c>
      <c r="I2177" s="2" t="s">
        <v>568</v>
      </c>
      <c r="J2177" s="3">
        <v>0.33500000000000002</v>
      </c>
      <c r="K2177" s="2" t="s">
        <v>204</v>
      </c>
      <c r="L2177" s="2">
        <v>2023</v>
      </c>
      <c r="M2177" s="2" t="s">
        <v>205</v>
      </c>
      <c r="N2177" s="2" t="s">
        <v>21</v>
      </c>
      <c r="O2177">
        <f t="shared" si="66"/>
        <v>2.3800000000000239</v>
      </c>
      <c r="P2177">
        <f t="shared" si="67"/>
        <v>10.084000000000005</v>
      </c>
    </row>
    <row r="2178" spans="1:16" x14ac:dyDescent="0.35">
      <c r="A2178" s="9" t="s">
        <v>206</v>
      </c>
      <c r="B2178" s="2">
        <v>147.16</v>
      </c>
      <c r="C2178" s="2">
        <v>148.21</v>
      </c>
      <c r="D2178" s="2">
        <v>145.01</v>
      </c>
      <c r="E2178" s="2">
        <v>145.19999999999999</v>
      </c>
      <c r="F2178" s="2">
        <v>7854739</v>
      </c>
      <c r="G2178" s="2" t="s">
        <v>566</v>
      </c>
      <c r="H2178" s="2" t="s">
        <v>567</v>
      </c>
      <c r="I2178" s="2" t="s">
        <v>568</v>
      </c>
      <c r="J2178" s="4">
        <v>-1.103</v>
      </c>
      <c r="K2178" s="2" t="s">
        <v>204</v>
      </c>
      <c r="L2178" s="2">
        <v>2023</v>
      </c>
      <c r="M2178" s="2" t="s">
        <v>205</v>
      </c>
      <c r="N2178" s="2" t="s">
        <v>23</v>
      </c>
      <c r="O2178">
        <f t="shared" si="66"/>
        <v>3.2000000000000171</v>
      </c>
      <c r="P2178">
        <f t="shared" si="67"/>
        <v>8.9810000000000052</v>
      </c>
    </row>
    <row r="2179" spans="1:16" x14ac:dyDescent="0.35">
      <c r="A2179" s="9" t="s">
        <v>207</v>
      </c>
      <c r="B2179" s="2">
        <v>144.69999999999999</v>
      </c>
      <c r="C2179" s="2">
        <v>145.54</v>
      </c>
      <c r="D2179" s="2">
        <v>144.11000000000001</v>
      </c>
      <c r="E2179" s="2">
        <v>144.96</v>
      </c>
      <c r="F2179" s="2">
        <v>8629164</v>
      </c>
      <c r="G2179" s="2" t="s">
        <v>566</v>
      </c>
      <c r="H2179" s="2" t="s">
        <v>567</v>
      </c>
      <c r="I2179" s="2" t="s">
        <v>568</v>
      </c>
      <c r="J2179" s="4">
        <v>-0.16500000000000001</v>
      </c>
      <c r="K2179" s="2" t="s">
        <v>204</v>
      </c>
      <c r="L2179" s="2">
        <v>2023</v>
      </c>
      <c r="M2179" s="2" t="s">
        <v>205</v>
      </c>
      <c r="N2179" s="2" t="s">
        <v>23</v>
      </c>
      <c r="O2179">
        <f t="shared" ref="O2179:O2242" si="68">C2179-D2179</f>
        <v>1.4299999999999784</v>
      </c>
      <c r="P2179">
        <f t="shared" si="67"/>
        <v>8.8160000000000061</v>
      </c>
    </row>
    <row r="2180" spans="1:16" x14ac:dyDescent="0.35">
      <c r="A2180" s="9" t="s">
        <v>208</v>
      </c>
      <c r="B2180" s="2">
        <v>144.13</v>
      </c>
      <c r="C2180" s="2">
        <v>145.268</v>
      </c>
      <c r="D2180" s="2">
        <v>143.38999999999999</v>
      </c>
      <c r="E2180" s="2">
        <v>143.72</v>
      </c>
      <c r="F2180" s="2">
        <v>8373738</v>
      </c>
      <c r="G2180" s="2" t="s">
        <v>566</v>
      </c>
      <c r="H2180" s="2" t="s">
        <v>567</v>
      </c>
      <c r="I2180" s="2" t="s">
        <v>568</v>
      </c>
      <c r="J2180" s="4">
        <v>-0.85499999999999998</v>
      </c>
      <c r="K2180" s="2" t="s">
        <v>204</v>
      </c>
      <c r="L2180" s="2">
        <v>2023</v>
      </c>
      <c r="M2180" s="2" t="s">
        <v>205</v>
      </c>
      <c r="N2180" s="2" t="s">
        <v>23</v>
      </c>
      <c r="O2180">
        <f t="shared" si="68"/>
        <v>1.8780000000000143</v>
      </c>
      <c r="P2180">
        <f t="shared" ref="P2180:P2243" si="69">IF(G2180=G2179, P2179+J2180, J2180)</f>
        <v>7.9610000000000056</v>
      </c>
    </row>
    <row r="2181" spans="1:16" x14ac:dyDescent="0.35">
      <c r="A2181" s="9" t="s">
        <v>209</v>
      </c>
      <c r="B2181" s="2">
        <v>143.37</v>
      </c>
      <c r="C2181" s="2">
        <v>144.12</v>
      </c>
      <c r="D2181" s="2">
        <v>142.65</v>
      </c>
      <c r="E2181" s="2">
        <v>143.83000000000001</v>
      </c>
      <c r="F2181" s="2">
        <v>7110254</v>
      </c>
      <c r="G2181" s="2" t="s">
        <v>566</v>
      </c>
      <c r="H2181" s="2" t="s">
        <v>567</v>
      </c>
      <c r="I2181" s="2" t="s">
        <v>568</v>
      </c>
      <c r="J2181" s="3">
        <v>7.6999999999999999E-2</v>
      </c>
      <c r="K2181" s="2" t="s">
        <v>204</v>
      </c>
      <c r="L2181" s="2">
        <v>2023</v>
      </c>
      <c r="M2181" s="2" t="s">
        <v>205</v>
      </c>
      <c r="N2181" s="2" t="s">
        <v>21</v>
      </c>
      <c r="O2181">
        <f t="shared" si="68"/>
        <v>1.4699999999999989</v>
      </c>
      <c r="P2181">
        <f t="shared" si="69"/>
        <v>8.0380000000000056</v>
      </c>
    </row>
    <row r="2182" spans="1:16" x14ac:dyDescent="0.35">
      <c r="A2182" s="9" t="s">
        <v>210</v>
      </c>
      <c r="B2182" s="2">
        <v>144.75</v>
      </c>
      <c r="C2182" s="2">
        <v>145.05000000000001</v>
      </c>
      <c r="D2182" s="2">
        <v>143.69</v>
      </c>
      <c r="E2182" s="2">
        <v>144.46</v>
      </c>
      <c r="F2182" s="2">
        <v>6854220</v>
      </c>
      <c r="G2182" s="2" t="s">
        <v>566</v>
      </c>
      <c r="H2182" s="2" t="s">
        <v>567</v>
      </c>
      <c r="I2182" s="2" t="s">
        <v>568</v>
      </c>
      <c r="J2182" s="3">
        <v>0.438</v>
      </c>
      <c r="K2182" s="2" t="s">
        <v>204</v>
      </c>
      <c r="L2182" s="2">
        <v>2023</v>
      </c>
      <c r="M2182" s="2" t="s">
        <v>205</v>
      </c>
      <c r="N2182" s="2" t="s">
        <v>21</v>
      </c>
      <c r="O2182">
        <f t="shared" si="68"/>
        <v>1.3600000000000136</v>
      </c>
      <c r="P2182">
        <f t="shared" si="69"/>
        <v>8.4760000000000062</v>
      </c>
    </row>
    <row r="2183" spans="1:16" x14ac:dyDescent="0.35">
      <c r="A2183" s="9" t="s">
        <v>211</v>
      </c>
      <c r="B2183" s="2">
        <v>144.5</v>
      </c>
      <c r="C2183" s="2">
        <v>147.32</v>
      </c>
      <c r="D2183" s="2">
        <v>144.05000000000001</v>
      </c>
      <c r="E2183" s="2">
        <v>146.34</v>
      </c>
      <c r="F2183" s="2">
        <v>8363165</v>
      </c>
      <c r="G2183" s="2" t="s">
        <v>566</v>
      </c>
      <c r="H2183" s="2" t="s">
        <v>567</v>
      </c>
      <c r="I2183" s="2" t="s">
        <v>568</v>
      </c>
      <c r="J2183" s="3">
        <v>1.3009999999999999</v>
      </c>
      <c r="K2183" s="2" t="s">
        <v>204</v>
      </c>
      <c r="L2183" s="2">
        <v>2023</v>
      </c>
      <c r="M2183" s="2" t="s">
        <v>205</v>
      </c>
      <c r="N2183" s="2" t="s">
        <v>21</v>
      </c>
      <c r="O2183">
        <f t="shared" si="68"/>
        <v>3.2699999999999818</v>
      </c>
      <c r="P2183">
        <f t="shared" si="69"/>
        <v>9.7770000000000064</v>
      </c>
    </row>
    <row r="2184" spans="1:16" x14ac:dyDescent="0.35">
      <c r="A2184" s="9" t="s">
        <v>212</v>
      </c>
      <c r="B2184" s="2">
        <v>147.34</v>
      </c>
      <c r="C2184" s="2">
        <v>147.69999999999999</v>
      </c>
      <c r="D2184" s="2">
        <v>145.82</v>
      </c>
      <c r="E2184" s="2">
        <v>146.41</v>
      </c>
      <c r="F2184" s="2">
        <v>8325914</v>
      </c>
      <c r="G2184" s="2" t="s">
        <v>566</v>
      </c>
      <c r="H2184" s="2" t="s">
        <v>567</v>
      </c>
      <c r="I2184" s="2" t="s">
        <v>568</v>
      </c>
      <c r="J2184" s="3">
        <v>4.8000000000000001E-2</v>
      </c>
      <c r="K2184" s="2" t="s">
        <v>204</v>
      </c>
      <c r="L2184" s="2">
        <v>2023</v>
      </c>
      <c r="M2184" s="2" t="s">
        <v>205</v>
      </c>
      <c r="N2184" s="2" t="s">
        <v>21</v>
      </c>
      <c r="O2184">
        <f t="shared" si="68"/>
        <v>1.8799999999999955</v>
      </c>
      <c r="P2184">
        <f t="shared" si="69"/>
        <v>9.8250000000000064</v>
      </c>
    </row>
    <row r="2185" spans="1:16" x14ac:dyDescent="0.35">
      <c r="A2185" s="9" t="s">
        <v>213</v>
      </c>
      <c r="B2185" s="2">
        <v>147.84</v>
      </c>
      <c r="C2185" s="2">
        <v>149.89500000000001</v>
      </c>
      <c r="D2185" s="2">
        <v>147.52000000000001</v>
      </c>
      <c r="E2185" s="2">
        <v>149.25</v>
      </c>
      <c r="F2185" s="2">
        <v>10034931</v>
      </c>
      <c r="G2185" s="2" t="s">
        <v>566</v>
      </c>
      <c r="H2185" s="2" t="s">
        <v>567</v>
      </c>
      <c r="I2185" s="2" t="s">
        <v>568</v>
      </c>
      <c r="J2185" s="3">
        <v>1.94</v>
      </c>
      <c r="K2185" s="2" t="s">
        <v>204</v>
      </c>
      <c r="L2185" s="2">
        <v>2023</v>
      </c>
      <c r="M2185" s="2" t="s">
        <v>205</v>
      </c>
      <c r="N2185" s="2" t="s">
        <v>21</v>
      </c>
      <c r="O2185">
        <f t="shared" si="68"/>
        <v>2.375</v>
      </c>
      <c r="P2185">
        <f t="shared" si="69"/>
        <v>11.765000000000006</v>
      </c>
    </row>
    <row r="2186" spans="1:16" x14ac:dyDescent="0.35">
      <c r="A2186" s="9" t="s">
        <v>214</v>
      </c>
      <c r="B2186" s="2">
        <v>148.91999999999999</v>
      </c>
      <c r="C2186" s="2">
        <v>149.726</v>
      </c>
      <c r="D2186" s="2">
        <v>148.31</v>
      </c>
      <c r="E2186" s="2">
        <v>148.81</v>
      </c>
      <c r="F2186" s="2">
        <v>19863383</v>
      </c>
      <c r="G2186" s="2" t="s">
        <v>566</v>
      </c>
      <c r="H2186" s="2" t="s">
        <v>567</v>
      </c>
      <c r="I2186" s="2" t="s">
        <v>568</v>
      </c>
      <c r="J2186" s="4">
        <v>-0.29499999999999998</v>
      </c>
      <c r="K2186" s="2" t="s">
        <v>204</v>
      </c>
      <c r="L2186" s="2">
        <v>2023</v>
      </c>
      <c r="M2186" s="2" t="s">
        <v>205</v>
      </c>
      <c r="N2186" s="2" t="s">
        <v>23</v>
      </c>
      <c r="O2186">
        <f t="shared" si="68"/>
        <v>1.4159999999999968</v>
      </c>
      <c r="P2186">
        <f t="shared" si="69"/>
        <v>11.470000000000006</v>
      </c>
    </row>
    <row r="2187" spans="1:16" x14ac:dyDescent="0.35">
      <c r="A2187" s="9" t="s">
        <v>215</v>
      </c>
      <c r="B2187" s="2">
        <v>148.16</v>
      </c>
      <c r="C2187" s="2">
        <v>149.13999999999999</v>
      </c>
      <c r="D2187" s="2">
        <v>147.75</v>
      </c>
      <c r="E2187" s="2">
        <v>149.12</v>
      </c>
      <c r="F2187" s="2">
        <v>6512360</v>
      </c>
      <c r="G2187" s="2" t="s">
        <v>566</v>
      </c>
      <c r="H2187" s="2" t="s">
        <v>567</v>
      </c>
      <c r="I2187" s="2" t="s">
        <v>568</v>
      </c>
      <c r="J2187" s="3">
        <v>0.20799999999999999</v>
      </c>
      <c r="K2187" s="2" t="s">
        <v>204</v>
      </c>
      <c r="L2187" s="2">
        <v>2023</v>
      </c>
      <c r="M2187" s="2" t="s">
        <v>205</v>
      </c>
      <c r="N2187" s="2" t="s">
        <v>21</v>
      </c>
      <c r="O2187">
        <f t="shared" si="68"/>
        <v>1.3899999999999864</v>
      </c>
      <c r="P2187">
        <f t="shared" si="69"/>
        <v>11.678000000000006</v>
      </c>
    </row>
    <row r="2188" spans="1:16" x14ac:dyDescent="0.35">
      <c r="A2188" s="9" t="s">
        <v>216</v>
      </c>
      <c r="B2188" s="2">
        <v>149.5</v>
      </c>
      <c r="C2188" s="2">
        <v>149.72</v>
      </c>
      <c r="D2188" s="2">
        <v>147.21</v>
      </c>
      <c r="E2188" s="2">
        <v>148.93</v>
      </c>
      <c r="F2188" s="2">
        <v>7945606</v>
      </c>
      <c r="G2188" s="2" t="s">
        <v>566</v>
      </c>
      <c r="H2188" s="2" t="s">
        <v>567</v>
      </c>
      <c r="I2188" s="2" t="s">
        <v>568</v>
      </c>
      <c r="J2188" s="4">
        <v>-0.127</v>
      </c>
      <c r="K2188" s="2" t="s">
        <v>204</v>
      </c>
      <c r="L2188" s="2">
        <v>2023</v>
      </c>
      <c r="M2188" s="2" t="s">
        <v>205</v>
      </c>
      <c r="N2188" s="2" t="s">
        <v>23</v>
      </c>
      <c r="O2188">
        <f t="shared" si="68"/>
        <v>2.5099999999999909</v>
      </c>
      <c r="P2188">
        <f t="shared" si="69"/>
        <v>11.551000000000005</v>
      </c>
    </row>
    <row r="2189" spans="1:16" x14ac:dyDescent="0.35">
      <c r="A2189" s="9" t="s">
        <v>217</v>
      </c>
      <c r="B2189" s="2">
        <v>149.65</v>
      </c>
      <c r="C2189" s="2">
        <v>150.25</v>
      </c>
      <c r="D2189" s="2">
        <v>148.13499999999999</v>
      </c>
      <c r="E2189" s="2">
        <v>148.30000000000001</v>
      </c>
      <c r="F2189" s="2">
        <v>7334257</v>
      </c>
      <c r="G2189" s="2" t="s">
        <v>566</v>
      </c>
      <c r="H2189" s="2" t="s">
        <v>567</v>
      </c>
      <c r="I2189" s="2" t="s">
        <v>568</v>
      </c>
      <c r="J2189" s="4">
        <v>-0.42299999999999999</v>
      </c>
      <c r="K2189" s="2" t="s">
        <v>204</v>
      </c>
      <c r="L2189" s="2">
        <v>2023</v>
      </c>
      <c r="M2189" s="2" t="s">
        <v>205</v>
      </c>
      <c r="N2189" s="2" t="s">
        <v>23</v>
      </c>
      <c r="O2189">
        <f t="shared" si="68"/>
        <v>2.1150000000000091</v>
      </c>
      <c r="P2189">
        <f t="shared" si="69"/>
        <v>11.128000000000005</v>
      </c>
    </row>
    <row r="2190" spans="1:16" x14ac:dyDescent="0.35">
      <c r="A2190" s="9" t="s">
        <v>218</v>
      </c>
      <c r="B2190" s="2">
        <v>147.58000000000001</v>
      </c>
      <c r="C2190" s="2">
        <v>148.85499999999999</v>
      </c>
      <c r="D2190" s="2">
        <v>146.63</v>
      </c>
      <c r="E2190" s="2">
        <v>147.13999999999999</v>
      </c>
      <c r="F2190" s="2">
        <v>8053410</v>
      </c>
      <c r="G2190" s="2" t="s">
        <v>566</v>
      </c>
      <c r="H2190" s="2" t="s">
        <v>567</v>
      </c>
      <c r="I2190" s="2" t="s">
        <v>568</v>
      </c>
      <c r="J2190" s="4">
        <v>-0.78200000000000003</v>
      </c>
      <c r="K2190" s="2" t="s">
        <v>204</v>
      </c>
      <c r="L2190" s="2">
        <v>2023</v>
      </c>
      <c r="M2190" s="2" t="s">
        <v>205</v>
      </c>
      <c r="N2190" s="2" t="s">
        <v>23</v>
      </c>
      <c r="O2190">
        <f t="shared" si="68"/>
        <v>2.2249999999999943</v>
      </c>
      <c r="P2190">
        <f t="shared" si="69"/>
        <v>10.346000000000005</v>
      </c>
    </row>
    <row r="2191" spans="1:16" x14ac:dyDescent="0.35">
      <c r="A2191" s="9" t="s">
        <v>219</v>
      </c>
      <c r="B2191" s="2">
        <v>147.29</v>
      </c>
      <c r="C2191" s="2">
        <v>147.51</v>
      </c>
      <c r="D2191" s="2">
        <v>145.19</v>
      </c>
      <c r="E2191" s="2">
        <v>145.72999999999999</v>
      </c>
      <c r="F2191" s="2">
        <v>7071975</v>
      </c>
      <c r="G2191" s="2" t="s">
        <v>566</v>
      </c>
      <c r="H2191" s="2" t="s">
        <v>567</v>
      </c>
      <c r="I2191" s="2" t="s">
        <v>568</v>
      </c>
      <c r="J2191" s="4">
        <v>-0.95799999999999996</v>
      </c>
      <c r="K2191" s="2" t="s">
        <v>204</v>
      </c>
      <c r="L2191" s="2">
        <v>2023</v>
      </c>
      <c r="M2191" s="2" t="s">
        <v>205</v>
      </c>
      <c r="N2191" s="2" t="s">
        <v>23</v>
      </c>
      <c r="O2191">
        <f t="shared" si="68"/>
        <v>2.3199999999999932</v>
      </c>
      <c r="P2191">
        <f t="shared" si="69"/>
        <v>9.3880000000000052</v>
      </c>
    </row>
    <row r="2192" spans="1:16" x14ac:dyDescent="0.35">
      <c r="A2192" s="9" t="s">
        <v>220</v>
      </c>
      <c r="B2192" s="2">
        <v>145.35</v>
      </c>
      <c r="C2192" s="2">
        <v>146.52000000000001</v>
      </c>
      <c r="D2192" s="2">
        <v>143.69999999999999</v>
      </c>
      <c r="E2192" s="2">
        <v>146.44999999999999</v>
      </c>
      <c r="F2192" s="2">
        <v>7044672</v>
      </c>
      <c r="G2192" s="2" t="s">
        <v>566</v>
      </c>
      <c r="H2192" s="2" t="s">
        <v>567</v>
      </c>
      <c r="I2192" s="2" t="s">
        <v>568</v>
      </c>
      <c r="J2192" s="3">
        <v>0.49399999999999999</v>
      </c>
      <c r="K2192" s="2" t="s">
        <v>204</v>
      </c>
      <c r="L2192" s="2">
        <v>2023</v>
      </c>
      <c r="M2192" s="2" t="s">
        <v>205</v>
      </c>
      <c r="N2192" s="2" t="s">
        <v>21</v>
      </c>
      <c r="O2192">
        <f t="shared" si="68"/>
        <v>2.8200000000000216</v>
      </c>
      <c r="P2192">
        <f t="shared" si="69"/>
        <v>9.882000000000005</v>
      </c>
    </row>
    <row r="2193" spans="1:16" x14ac:dyDescent="0.35">
      <c r="A2193" s="9" t="s">
        <v>221</v>
      </c>
      <c r="B2193" s="2">
        <v>144.6</v>
      </c>
      <c r="C2193" s="2">
        <v>145.84</v>
      </c>
      <c r="D2193" s="2">
        <v>144.22999999999999</v>
      </c>
      <c r="E2193" s="2">
        <v>144.93</v>
      </c>
      <c r="F2193" s="2">
        <v>7468405</v>
      </c>
      <c r="G2193" s="2" t="s">
        <v>566</v>
      </c>
      <c r="H2193" s="2" t="s">
        <v>567</v>
      </c>
      <c r="I2193" s="2" t="s">
        <v>568</v>
      </c>
      <c r="J2193" s="4">
        <v>-1.038</v>
      </c>
      <c r="K2193" s="2" t="s">
        <v>204</v>
      </c>
      <c r="L2193" s="2">
        <v>2023</v>
      </c>
      <c r="M2193" s="2" t="s">
        <v>205</v>
      </c>
      <c r="N2193" s="2" t="s">
        <v>23</v>
      </c>
      <c r="O2193">
        <f t="shared" si="68"/>
        <v>1.6100000000000136</v>
      </c>
      <c r="P2193">
        <f t="shared" si="69"/>
        <v>8.8440000000000047</v>
      </c>
    </row>
    <row r="2194" spans="1:16" x14ac:dyDescent="0.35">
      <c r="A2194" s="9" t="s">
        <v>222</v>
      </c>
      <c r="B2194" s="2">
        <v>145.19</v>
      </c>
      <c r="C2194" s="2">
        <v>146.09</v>
      </c>
      <c r="D2194" s="2">
        <v>144.512</v>
      </c>
      <c r="E2194" s="2">
        <v>145.78</v>
      </c>
      <c r="F2194" s="2">
        <v>6717822</v>
      </c>
      <c r="G2194" s="2" t="s">
        <v>566</v>
      </c>
      <c r="H2194" s="2" t="s">
        <v>567</v>
      </c>
      <c r="I2194" s="2" t="s">
        <v>568</v>
      </c>
      <c r="J2194" s="3">
        <v>0.58599999999999997</v>
      </c>
      <c r="K2194" s="2" t="s">
        <v>204</v>
      </c>
      <c r="L2194" s="2">
        <v>2023</v>
      </c>
      <c r="M2194" s="2" t="s">
        <v>205</v>
      </c>
      <c r="N2194" s="2" t="s">
        <v>21</v>
      </c>
      <c r="O2194">
        <f t="shared" si="68"/>
        <v>1.578000000000003</v>
      </c>
      <c r="P2194">
        <f t="shared" si="69"/>
        <v>9.430000000000005</v>
      </c>
    </row>
    <row r="2195" spans="1:16" x14ac:dyDescent="0.35">
      <c r="A2195" s="9" t="s">
        <v>223</v>
      </c>
      <c r="B2195" s="2">
        <v>146.28</v>
      </c>
      <c r="C2195" s="2">
        <v>148.87</v>
      </c>
      <c r="D2195" s="2">
        <v>146.01</v>
      </c>
      <c r="E2195" s="2">
        <v>147.59</v>
      </c>
      <c r="F2195" s="2">
        <v>8868063</v>
      </c>
      <c r="G2195" s="2" t="s">
        <v>566</v>
      </c>
      <c r="H2195" s="2" t="s">
        <v>567</v>
      </c>
      <c r="I2195" s="2" t="s">
        <v>568</v>
      </c>
      <c r="J2195" s="3">
        <v>1.242</v>
      </c>
      <c r="K2195" s="2" t="s">
        <v>204</v>
      </c>
      <c r="L2195" s="2">
        <v>2023</v>
      </c>
      <c r="M2195" s="2" t="s">
        <v>205</v>
      </c>
      <c r="N2195" s="2" t="s">
        <v>21</v>
      </c>
      <c r="O2195">
        <f t="shared" si="68"/>
        <v>2.8600000000000136</v>
      </c>
      <c r="P2195">
        <f t="shared" si="69"/>
        <v>10.672000000000004</v>
      </c>
    </row>
    <row r="2196" spans="1:16" x14ac:dyDescent="0.35">
      <c r="A2196" s="9" t="s">
        <v>224</v>
      </c>
      <c r="B2196" s="2">
        <v>148.6</v>
      </c>
      <c r="C2196" s="2">
        <v>148.76</v>
      </c>
      <c r="D2196" s="2">
        <v>144.86000000000001</v>
      </c>
      <c r="E2196" s="2">
        <v>145.02000000000001</v>
      </c>
      <c r="F2196" s="2">
        <v>11917826</v>
      </c>
      <c r="G2196" s="2" t="s">
        <v>566</v>
      </c>
      <c r="H2196" s="2" t="s">
        <v>567</v>
      </c>
      <c r="I2196" s="2" t="s">
        <v>568</v>
      </c>
      <c r="J2196" s="4">
        <v>-1.7410000000000001</v>
      </c>
      <c r="K2196" s="2" t="s">
        <v>204</v>
      </c>
      <c r="L2196" s="2">
        <v>2023</v>
      </c>
      <c r="M2196" s="2" t="s">
        <v>205</v>
      </c>
      <c r="N2196" s="2" t="s">
        <v>23</v>
      </c>
      <c r="O2196">
        <f t="shared" si="68"/>
        <v>3.8999999999999773</v>
      </c>
      <c r="P2196">
        <f t="shared" si="69"/>
        <v>8.9310000000000045</v>
      </c>
    </row>
    <row r="2197" spans="1:16" x14ac:dyDescent="0.35">
      <c r="A2197" s="9" t="s">
        <v>225</v>
      </c>
      <c r="B2197" s="2">
        <v>144.83000000000001</v>
      </c>
      <c r="C2197" s="2">
        <v>145.62200000000001</v>
      </c>
      <c r="D2197" s="2">
        <v>142.63</v>
      </c>
      <c r="E2197" s="2">
        <v>143.77000000000001</v>
      </c>
      <c r="F2197" s="2">
        <v>9170644</v>
      </c>
      <c r="G2197" s="2" t="s">
        <v>566</v>
      </c>
      <c r="H2197" s="2" t="s">
        <v>567</v>
      </c>
      <c r="I2197" s="2" t="s">
        <v>568</v>
      </c>
      <c r="J2197" s="4">
        <v>-0.86199999999999999</v>
      </c>
      <c r="K2197" s="2" t="s">
        <v>226</v>
      </c>
      <c r="L2197" s="2">
        <v>2023</v>
      </c>
      <c r="M2197" s="2" t="s">
        <v>227</v>
      </c>
      <c r="N2197" s="2" t="s">
        <v>23</v>
      </c>
      <c r="O2197">
        <f t="shared" si="68"/>
        <v>2.9920000000000186</v>
      </c>
      <c r="P2197">
        <f t="shared" si="69"/>
        <v>8.0690000000000044</v>
      </c>
    </row>
    <row r="2198" spans="1:16" x14ac:dyDescent="0.35">
      <c r="A2198" s="9" t="s">
        <v>228</v>
      </c>
      <c r="B2198" s="2">
        <v>143.19999999999999</v>
      </c>
      <c r="C2198" s="2">
        <v>143.59</v>
      </c>
      <c r="D2198" s="2">
        <v>142.35499999999999</v>
      </c>
      <c r="E2198" s="2">
        <v>142.71</v>
      </c>
      <c r="F2198" s="2">
        <v>9431118</v>
      </c>
      <c r="G2198" s="2" t="s">
        <v>566</v>
      </c>
      <c r="H2198" s="2" t="s">
        <v>567</v>
      </c>
      <c r="I2198" s="2" t="s">
        <v>568</v>
      </c>
      <c r="J2198" s="4">
        <v>-0.73699999999999999</v>
      </c>
      <c r="K2198" s="2" t="s">
        <v>226</v>
      </c>
      <c r="L2198" s="2">
        <v>2023</v>
      </c>
      <c r="M2198" s="2" t="s">
        <v>227</v>
      </c>
      <c r="N2198" s="2" t="s">
        <v>23</v>
      </c>
      <c r="O2198">
        <f t="shared" si="68"/>
        <v>1.2350000000000136</v>
      </c>
      <c r="P2198">
        <f t="shared" si="69"/>
        <v>7.3320000000000043</v>
      </c>
    </row>
    <row r="2199" spans="1:16" x14ac:dyDescent="0.35">
      <c r="A2199" s="9" t="s">
        <v>229</v>
      </c>
      <c r="B2199" s="2">
        <v>143.19</v>
      </c>
      <c r="C2199" s="2">
        <v>143.47</v>
      </c>
      <c r="D2199" s="2">
        <v>141.93</v>
      </c>
      <c r="E2199" s="2">
        <v>143.35</v>
      </c>
      <c r="F2199" s="2">
        <v>8128748</v>
      </c>
      <c r="G2199" s="2" t="s">
        <v>566</v>
      </c>
      <c r="H2199" s="2" t="s">
        <v>567</v>
      </c>
      <c r="I2199" s="2" t="s">
        <v>568</v>
      </c>
      <c r="J2199" s="3">
        <v>0.44800000000000001</v>
      </c>
      <c r="K2199" s="2" t="s">
        <v>226</v>
      </c>
      <c r="L2199" s="2">
        <v>2023</v>
      </c>
      <c r="M2199" s="2" t="s">
        <v>227</v>
      </c>
      <c r="N2199" s="2" t="s">
        <v>21</v>
      </c>
      <c r="O2199">
        <f t="shared" si="68"/>
        <v>1.539999999999992</v>
      </c>
      <c r="P2199">
        <f t="shared" si="69"/>
        <v>7.7800000000000047</v>
      </c>
    </row>
    <row r="2200" spans="1:16" x14ac:dyDescent="0.35">
      <c r="A2200" s="9" t="s">
        <v>230</v>
      </c>
      <c r="B2200" s="2">
        <v>142.04</v>
      </c>
      <c r="C2200" s="2">
        <v>143.1</v>
      </c>
      <c r="D2200" s="2">
        <v>140.83000000000001</v>
      </c>
      <c r="E2200" s="2">
        <v>142.9</v>
      </c>
      <c r="F2200" s="2">
        <v>8576237</v>
      </c>
      <c r="G2200" s="2" t="s">
        <v>566</v>
      </c>
      <c r="H2200" s="2" t="s">
        <v>567</v>
      </c>
      <c r="I2200" s="2" t="s">
        <v>568</v>
      </c>
      <c r="J2200" s="4">
        <v>-0.314</v>
      </c>
      <c r="K2200" s="2" t="s">
        <v>226</v>
      </c>
      <c r="L2200" s="2">
        <v>2023</v>
      </c>
      <c r="M2200" s="2" t="s">
        <v>227</v>
      </c>
      <c r="N2200" s="2" t="s">
        <v>23</v>
      </c>
      <c r="O2200">
        <f t="shared" si="68"/>
        <v>2.2699999999999818</v>
      </c>
      <c r="P2200">
        <f t="shared" si="69"/>
        <v>7.4660000000000046</v>
      </c>
    </row>
    <row r="2201" spans="1:16" x14ac:dyDescent="0.35">
      <c r="A2201" s="9" t="s">
        <v>231</v>
      </c>
      <c r="B2201" s="2">
        <v>142.91</v>
      </c>
      <c r="C2201" s="2">
        <v>145.88</v>
      </c>
      <c r="D2201" s="2">
        <v>142.13999999999999</v>
      </c>
      <c r="E2201" s="2">
        <v>145.1</v>
      </c>
      <c r="F2201" s="2">
        <v>10270621</v>
      </c>
      <c r="G2201" s="2" t="s">
        <v>566</v>
      </c>
      <c r="H2201" s="2" t="s">
        <v>567</v>
      </c>
      <c r="I2201" s="2" t="s">
        <v>568</v>
      </c>
      <c r="J2201" s="3">
        <v>1.54</v>
      </c>
      <c r="K2201" s="2" t="s">
        <v>226</v>
      </c>
      <c r="L2201" s="2">
        <v>2023</v>
      </c>
      <c r="M2201" s="2" t="s">
        <v>227</v>
      </c>
      <c r="N2201" s="2" t="s">
        <v>21</v>
      </c>
      <c r="O2201">
        <f t="shared" si="68"/>
        <v>3.7400000000000091</v>
      </c>
      <c r="P2201">
        <f t="shared" si="69"/>
        <v>9.0060000000000038</v>
      </c>
    </row>
    <row r="2202" spans="1:16" x14ac:dyDescent="0.35">
      <c r="A2202" s="9" t="s">
        <v>232</v>
      </c>
      <c r="B2202" s="2">
        <v>143.66</v>
      </c>
      <c r="C2202" s="2">
        <v>145.39500000000001</v>
      </c>
      <c r="D2202" s="2">
        <v>143.5</v>
      </c>
      <c r="E2202" s="2">
        <v>144.77000000000001</v>
      </c>
      <c r="F2202" s="2">
        <v>6964907</v>
      </c>
      <c r="G2202" s="2" t="s">
        <v>566</v>
      </c>
      <c r="H2202" s="2" t="s">
        <v>567</v>
      </c>
      <c r="I2202" s="2" t="s">
        <v>568</v>
      </c>
      <c r="J2202" s="4">
        <v>-0.22700000000000001</v>
      </c>
      <c r="K2202" s="2" t="s">
        <v>226</v>
      </c>
      <c r="L2202" s="2">
        <v>2023</v>
      </c>
      <c r="M2202" s="2" t="s">
        <v>227</v>
      </c>
      <c r="N2202" s="2" t="s">
        <v>23</v>
      </c>
      <c r="O2202">
        <f t="shared" si="68"/>
        <v>1.8950000000000102</v>
      </c>
      <c r="P2202">
        <f t="shared" si="69"/>
        <v>8.7790000000000035</v>
      </c>
    </row>
    <row r="2203" spans="1:16" x14ac:dyDescent="0.35">
      <c r="A2203" s="9" t="s">
        <v>233</v>
      </c>
      <c r="B2203" s="2">
        <v>145.41999999999999</v>
      </c>
      <c r="C2203" s="2">
        <v>146.77000000000001</v>
      </c>
      <c r="D2203" s="2">
        <v>145.28</v>
      </c>
      <c r="E2203" s="2">
        <v>145.65</v>
      </c>
      <c r="F2203" s="2">
        <v>11288769</v>
      </c>
      <c r="G2203" s="2" t="s">
        <v>566</v>
      </c>
      <c r="H2203" s="2" t="s">
        <v>567</v>
      </c>
      <c r="I2203" s="2" t="s">
        <v>568</v>
      </c>
      <c r="J2203" s="3">
        <v>0.60799999999999998</v>
      </c>
      <c r="K2203" s="2" t="s">
        <v>226</v>
      </c>
      <c r="L2203" s="2">
        <v>2023</v>
      </c>
      <c r="M2203" s="2" t="s">
        <v>227</v>
      </c>
      <c r="N2203" s="2" t="s">
        <v>21</v>
      </c>
      <c r="O2203">
        <f t="shared" si="68"/>
        <v>1.4900000000000091</v>
      </c>
      <c r="P2203">
        <f t="shared" si="69"/>
        <v>9.387000000000004</v>
      </c>
    </row>
    <row r="2204" spans="1:16" x14ac:dyDescent="0.35">
      <c r="A2204" s="9" t="s">
        <v>234</v>
      </c>
      <c r="B2204" s="2">
        <v>146.51</v>
      </c>
      <c r="C2204" s="2">
        <v>147.22999999999999</v>
      </c>
      <c r="D2204" s="2">
        <v>145.02000000000001</v>
      </c>
      <c r="E2204" s="2">
        <v>146.15</v>
      </c>
      <c r="F2204" s="2">
        <v>8698175</v>
      </c>
      <c r="G2204" s="2" t="s">
        <v>566</v>
      </c>
      <c r="H2204" s="2" t="s">
        <v>567</v>
      </c>
      <c r="I2204" s="2" t="s">
        <v>568</v>
      </c>
      <c r="J2204" s="3">
        <v>0.34300000000000003</v>
      </c>
      <c r="K2204" s="2" t="s">
        <v>226</v>
      </c>
      <c r="L2204" s="2">
        <v>2023</v>
      </c>
      <c r="M2204" s="2" t="s">
        <v>227</v>
      </c>
      <c r="N2204" s="2" t="s">
        <v>21</v>
      </c>
      <c r="O2204">
        <f t="shared" si="68"/>
        <v>2.2099999999999795</v>
      </c>
      <c r="P2204">
        <f t="shared" si="69"/>
        <v>9.730000000000004</v>
      </c>
    </row>
    <row r="2205" spans="1:16" x14ac:dyDescent="0.35">
      <c r="A2205" s="9" t="s">
        <v>235</v>
      </c>
      <c r="B2205" s="2">
        <v>146.30000000000001</v>
      </c>
      <c r="C2205" s="2">
        <v>146.96</v>
      </c>
      <c r="D2205" s="2">
        <v>145.13</v>
      </c>
      <c r="E2205" s="2">
        <v>145.81</v>
      </c>
      <c r="F2205" s="2">
        <v>10484436</v>
      </c>
      <c r="G2205" s="2" t="s">
        <v>566</v>
      </c>
      <c r="H2205" s="2" t="s">
        <v>567</v>
      </c>
      <c r="I2205" s="2" t="s">
        <v>568</v>
      </c>
      <c r="J2205" s="4">
        <v>-0.23300000000000001</v>
      </c>
      <c r="K2205" s="2" t="s">
        <v>226</v>
      </c>
      <c r="L2205" s="2">
        <v>2023</v>
      </c>
      <c r="M2205" s="2" t="s">
        <v>227</v>
      </c>
      <c r="N2205" s="2" t="s">
        <v>23</v>
      </c>
      <c r="O2205">
        <f t="shared" si="68"/>
        <v>1.8300000000000125</v>
      </c>
      <c r="P2205">
        <f t="shared" si="69"/>
        <v>9.4970000000000034</v>
      </c>
    </row>
    <row r="2206" spans="1:16" x14ac:dyDescent="0.35">
      <c r="A2206" s="9" t="s">
        <v>236</v>
      </c>
      <c r="B2206" s="2">
        <v>148.5</v>
      </c>
      <c r="C2206" s="2">
        <v>153.11000000000001</v>
      </c>
      <c r="D2206" s="2">
        <v>147.84</v>
      </c>
      <c r="E2206" s="2">
        <v>148</v>
      </c>
      <c r="F2206" s="2">
        <v>29487199</v>
      </c>
      <c r="G2206" s="2" t="s">
        <v>566</v>
      </c>
      <c r="H2206" s="2" t="s">
        <v>567</v>
      </c>
      <c r="I2206" s="2" t="s">
        <v>568</v>
      </c>
      <c r="J2206" s="3">
        <v>1.502</v>
      </c>
      <c r="K2206" s="2" t="s">
        <v>226</v>
      </c>
      <c r="L2206" s="2">
        <v>2023</v>
      </c>
      <c r="M2206" s="2" t="s">
        <v>227</v>
      </c>
      <c r="N2206" s="2" t="s">
        <v>21</v>
      </c>
      <c r="O2206">
        <f t="shared" si="68"/>
        <v>5.2700000000000102</v>
      </c>
      <c r="P2206">
        <f t="shared" si="69"/>
        <v>10.999000000000004</v>
      </c>
    </row>
    <row r="2207" spans="1:16" x14ac:dyDescent="0.35">
      <c r="A2207" s="9" t="s">
        <v>237</v>
      </c>
      <c r="B2207" s="2">
        <v>149.44999999999999</v>
      </c>
      <c r="C2207" s="2">
        <v>149.52000000000001</v>
      </c>
      <c r="D2207" s="2">
        <v>146.72</v>
      </c>
      <c r="E2207" s="2">
        <v>147.85</v>
      </c>
      <c r="F2207" s="2">
        <v>12663461</v>
      </c>
      <c r="G2207" s="2" t="s">
        <v>566</v>
      </c>
      <c r="H2207" s="2" t="s">
        <v>567</v>
      </c>
      <c r="I2207" s="2" t="s">
        <v>568</v>
      </c>
      <c r="J2207" s="4">
        <v>-0.10100000000000001</v>
      </c>
      <c r="K2207" s="2" t="s">
        <v>226</v>
      </c>
      <c r="L2207" s="2">
        <v>2023</v>
      </c>
      <c r="M2207" s="2" t="s">
        <v>227</v>
      </c>
      <c r="N2207" s="2" t="s">
        <v>23</v>
      </c>
      <c r="O2207">
        <f t="shared" si="68"/>
        <v>2.8000000000000114</v>
      </c>
      <c r="P2207">
        <f t="shared" si="69"/>
        <v>10.898000000000003</v>
      </c>
    </row>
    <row r="2208" spans="1:16" x14ac:dyDescent="0.35">
      <c r="A2208" s="9" t="s">
        <v>238</v>
      </c>
      <c r="B2208" s="2">
        <v>147.57</v>
      </c>
      <c r="C2208" s="2">
        <v>149.31</v>
      </c>
      <c r="D2208" s="2">
        <v>146.79</v>
      </c>
      <c r="E2208" s="2">
        <v>147.53</v>
      </c>
      <c r="F2208" s="2">
        <v>11482739</v>
      </c>
      <c r="G2208" s="2" t="s">
        <v>566</v>
      </c>
      <c r="H2208" s="2" t="s">
        <v>567</v>
      </c>
      <c r="I2208" s="2" t="s">
        <v>568</v>
      </c>
      <c r="J2208" s="4">
        <v>-0.216</v>
      </c>
      <c r="K2208" s="2" t="s">
        <v>226</v>
      </c>
      <c r="L2208" s="2">
        <v>2023</v>
      </c>
      <c r="M2208" s="2" t="s">
        <v>227</v>
      </c>
      <c r="N2208" s="2" t="s">
        <v>23</v>
      </c>
      <c r="O2208">
        <f t="shared" si="68"/>
        <v>2.5200000000000102</v>
      </c>
      <c r="P2208">
        <f t="shared" si="69"/>
        <v>10.682000000000004</v>
      </c>
    </row>
    <row r="2209" spans="1:16" x14ac:dyDescent="0.35">
      <c r="A2209" s="9" t="s">
        <v>239</v>
      </c>
      <c r="B2209" s="2">
        <v>146.59</v>
      </c>
      <c r="C2209" s="2">
        <v>147.47999999999999</v>
      </c>
      <c r="D2209" s="2">
        <v>145.37</v>
      </c>
      <c r="E2209" s="2">
        <v>145.91</v>
      </c>
      <c r="F2209" s="2">
        <v>9620257</v>
      </c>
      <c r="G2209" s="2" t="s">
        <v>566</v>
      </c>
      <c r="H2209" s="2" t="s">
        <v>567</v>
      </c>
      <c r="I2209" s="2" t="s">
        <v>568</v>
      </c>
      <c r="J2209" s="4">
        <v>-1.0980000000000001</v>
      </c>
      <c r="K2209" s="2" t="s">
        <v>226</v>
      </c>
      <c r="L2209" s="2">
        <v>2023</v>
      </c>
      <c r="M2209" s="2" t="s">
        <v>227</v>
      </c>
      <c r="N2209" s="2" t="s">
        <v>23</v>
      </c>
      <c r="O2209">
        <f t="shared" si="68"/>
        <v>2.1099999999999852</v>
      </c>
      <c r="P2209">
        <f t="shared" si="69"/>
        <v>9.5840000000000032</v>
      </c>
    </row>
    <row r="2210" spans="1:16" x14ac:dyDescent="0.35">
      <c r="A2210" s="9" t="s">
        <v>240</v>
      </c>
      <c r="B2210" s="2">
        <v>145.47999999999999</v>
      </c>
      <c r="C2210" s="2">
        <v>147.02000000000001</v>
      </c>
      <c r="D2210" s="2">
        <v>144.88</v>
      </c>
      <c r="E2210" s="2">
        <v>145.29</v>
      </c>
      <c r="F2210" s="2">
        <v>11143631</v>
      </c>
      <c r="G2210" s="2" t="s">
        <v>566</v>
      </c>
      <c r="H2210" s="2" t="s">
        <v>567</v>
      </c>
      <c r="I2210" s="2" t="s">
        <v>568</v>
      </c>
      <c r="J2210" s="4">
        <v>-0.42499999999999999</v>
      </c>
      <c r="K2210" s="2" t="s">
        <v>226</v>
      </c>
      <c r="L2210" s="2">
        <v>2023</v>
      </c>
      <c r="M2210" s="2" t="s">
        <v>227</v>
      </c>
      <c r="N2210" s="2" t="s">
        <v>23</v>
      </c>
      <c r="O2210">
        <f t="shared" si="68"/>
        <v>2.1400000000000148</v>
      </c>
      <c r="P2210">
        <f t="shared" si="69"/>
        <v>9.1590000000000025</v>
      </c>
    </row>
    <row r="2211" spans="1:16" x14ac:dyDescent="0.35">
      <c r="A2211" s="9" t="s">
        <v>241</v>
      </c>
      <c r="B2211" s="2">
        <v>144.57</v>
      </c>
      <c r="C2211" s="2">
        <v>145.13999999999999</v>
      </c>
      <c r="D2211" s="2">
        <v>142.12</v>
      </c>
      <c r="E2211" s="2">
        <v>142.94999999999999</v>
      </c>
      <c r="F2211" s="2">
        <v>13332867</v>
      </c>
      <c r="G2211" s="2" t="s">
        <v>566</v>
      </c>
      <c r="H2211" s="2" t="s">
        <v>567</v>
      </c>
      <c r="I2211" s="2" t="s">
        <v>568</v>
      </c>
      <c r="J2211" s="4">
        <v>-1.611</v>
      </c>
      <c r="K2211" s="2" t="s">
        <v>226</v>
      </c>
      <c r="L2211" s="2">
        <v>2023</v>
      </c>
      <c r="M2211" s="2" t="s">
        <v>227</v>
      </c>
      <c r="N2211" s="2" t="s">
        <v>23</v>
      </c>
      <c r="O2211">
        <f t="shared" si="68"/>
        <v>3.0199999999999818</v>
      </c>
      <c r="P2211">
        <f t="shared" si="69"/>
        <v>7.5480000000000027</v>
      </c>
    </row>
    <row r="2212" spans="1:16" x14ac:dyDescent="0.35">
      <c r="A2212" s="9" t="s">
        <v>242</v>
      </c>
      <c r="B2212" s="2">
        <v>142.94</v>
      </c>
      <c r="C2212" s="2">
        <v>143.68</v>
      </c>
      <c r="D2212" s="2">
        <v>140.72999999999999</v>
      </c>
      <c r="E2212" s="2">
        <v>141</v>
      </c>
      <c r="F2212" s="2">
        <v>10133410</v>
      </c>
      <c r="G2212" s="2" t="s">
        <v>566</v>
      </c>
      <c r="H2212" s="2" t="s">
        <v>567</v>
      </c>
      <c r="I2212" s="2" t="s">
        <v>568</v>
      </c>
      <c r="J2212" s="4">
        <v>-1.3640000000000001</v>
      </c>
      <c r="K2212" s="2" t="s">
        <v>226</v>
      </c>
      <c r="L2212" s="2">
        <v>2023</v>
      </c>
      <c r="M2212" s="2" t="s">
        <v>227</v>
      </c>
      <c r="N2212" s="2" t="s">
        <v>23</v>
      </c>
      <c r="O2212">
        <f t="shared" si="68"/>
        <v>2.9500000000000171</v>
      </c>
      <c r="P2212">
        <f t="shared" si="69"/>
        <v>6.1840000000000028</v>
      </c>
    </row>
    <row r="2213" spans="1:16" x14ac:dyDescent="0.35">
      <c r="A2213" s="9" t="s">
        <v>243</v>
      </c>
      <c r="B2213" s="2">
        <v>141.19</v>
      </c>
      <c r="C2213" s="2">
        <v>141.72999999999999</v>
      </c>
      <c r="D2213" s="2">
        <v>140.36000000000001</v>
      </c>
      <c r="E2213" s="2">
        <v>141.16999999999999</v>
      </c>
      <c r="F2213" s="2">
        <v>8881354</v>
      </c>
      <c r="G2213" s="2" t="s">
        <v>566</v>
      </c>
      <c r="H2213" s="2" t="s">
        <v>567</v>
      </c>
      <c r="I2213" s="2" t="s">
        <v>568</v>
      </c>
      <c r="J2213" s="3">
        <v>0.121</v>
      </c>
      <c r="K2213" s="2" t="s">
        <v>226</v>
      </c>
      <c r="L2213" s="2">
        <v>2023</v>
      </c>
      <c r="M2213" s="2" t="s">
        <v>227</v>
      </c>
      <c r="N2213" s="2" t="s">
        <v>21</v>
      </c>
      <c r="O2213">
        <f t="shared" si="68"/>
        <v>1.3699999999999761</v>
      </c>
      <c r="P2213">
        <f t="shared" si="69"/>
        <v>6.3050000000000033</v>
      </c>
    </row>
    <row r="2214" spans="1:16" x14ac:dyDescent="0.35">
      <c r="A2214" s="9" t="s">
        <v>244</v>
      </c>
      <c r="B2214" s="2">
        <v>140.57</v>
      </c>
      <c r="C2214" s="2">
        <v>141.18</v>
      </c>
      <c r="D2214" s="2">
        <v>139.51</v>
      </c>
      <c r="E2214" s="2">
        <v>140.4</v>
      </c>
      <c r="F2214" s="2">
        <v>8242565</v>
      </c>
      <c r="G2214" s="2" t="s">
        <v>566</v>
      </c>
      <c r="H2214" s="2" t="s">
        <v>567</v>
      </c>
      <c r="I2214" s="2" t="s">
        <v>568</v>
      </c>
      <c r="J2214" s="4">
        <v>-0.54500000000000004</v>
      </c>
      <c r="K2214" s="2" t="s">
        <v>226</v>
      </c>
      <c r="L2214" s="2">
        <v>2023</v>
      </c>
      <c r="M2214" s="2" t="s">
        <v>227</v>
      </c>
      <c r="N2214" s="2" t="s">
        <v>23</v>
      </c>
      <c r="O2214">
        <f t="shared" si="68"/>
        <v>1.6700000000000159</v>
      </c>
      <c r="P2214">
        <f t="shared" si="69"/>
        <v>5.7600000000000033</v>
      </c>
    </row>
    <row r="2215" spans="1:16" x14ac:dyDescent="0.35">
      <c r="A2215" s="9" t="s">
        <v>245</v>
      </c>
      <c r="B2215" s="2">
        <v>139.76</v>
      </c>
      <c r="C2215" s="2">
        <v>141.66499999999999</v>
      </c>
      <c r="D2215" s="2">
        <v>139.43</v>
      </c>
      <c r="E2215" s="2">
        <v>140.76</v>
      </c>
      <c r="F2215" s="2">
        <v>9109431</v>
      </c>
      <c r="G2215" s="2" t="s">
        <v>566</v>
      </c>
      <c r="H2215" s="2" t="s">
        <v>567</v>
      </c>
      <c r="I2215" s="2" t="s">
        <v>568</v>
      </c>
      <c r="J2215" s="3">
        <v>0.25600000000000001</v>
      </c>
      <c r="K2215" s="2" t="s">
        <v>226</v>
      </c>
      <c r="L2215" s="2">
        <v>2023</v>
      </c>
      <c r="M2215" s="2" t="s">
        <v>227</v>
      </c>
      <c r="N2215" s="2" t="s">
        <v>21</v>
      </c>
      <c r="O2215">
        <f t="shared" si="68"/>
        <v>2.2349999999999852</v>
      </c>
      <c r="P2215">
        <f t="shared" si="69"/>
        <v>6.0160000000000036</v>
      </c>
    </row>
    <row r="2216" spans="1:16" x14ac:dyDescent="0.35">
      <c r="A2216" s="9" t="s">
        <v>246</v>
      </c>
      <c r="B2216" s="2">
        <v>138.94999999999999</v>
      </c>
      <c r="C2216" s="2">
        <v>139.1</v>
      </c>
      <c r="D2216" s="2">
        <v>135.19</v>
      </c>
      <c r="E2216" s="2">
        <v>135.69</v>
      </c>
      <c r="F2216" s="2">
        <v>17434717</v>
      </c>
      <c r="G2216" s="2" t="s">
        <v>566</v>
      </c>
      <c r="H2216" s="2" t="s">
        <v>567</v>
      </c>
      <c r="I2216" s="2" t="s">
        <v>568</v>
      </c>
      <c r="J2216" s="4">
        <v>-3.6019999999999999</v>
      </c>
      <c r="K2216" s="2" t="s">
        <v>226</v>
      </c>
      <c r="L2216" s="2">
        <v>2023</v>
      </c>
      <c r="M2216" s="2" t="s">
        <v>227</v>
      </c>
      <c r="N2216" s="2" t="s">
        <v>23</v>
      </c>
      <c r="O2216">
        <f t="shared" si="68"/>
        <v>3.9099999999999966</v>
      </c>
      <c r="P2216">
        <f t="shared" si="69"/>
        <v>2.4140000000000037</v>
      </c>
    </row>
    <row r="2217" spans="1:16" x14ac:dyDescent="0.35">
      <c r="A2217" s="9" t="s">
        <v>247</v>
      </c>
      <c r="B2217" s="2">
        <v>136.44</v>
      </c>
      <c r="C2217" s="2">
        <v>138.04</v>
      </c>
      <c r="D2217" s="2">
        <v>136.04</v>
      </c>
      <c r="E2217" s="2">
        <v>137.41999999999999</v>
      </c>
      <c r="F2217" s="2">
        <v>9855540</v>
      </c>
      <c r="G2217" s="2" t="s">
        <v>566</v>
      </c>
      <c r="H2217" s="2" t="s">
        <v>567</v>
      </c>
      <c r="I2217" s="2" t="s">
        <v>568</v>
      </c>
      <c r="J2217" s="3">
        <v>1.2749999999999999</v>
      </c>
      <c r="K2217" s="2" t="s">
        <v>226</v>
      </c>
      <c r="L2217" s="2">
        <v>2023</v>
      </c>
      <c r="M2217" s="2" t="s">
        <v>227</v>
      </c>
      <c r="N2217" s="2" t="s">
        <v>21</v>
      </c>
      <c r="O2217">
        <f t="shared" si="68"/>
        <v>2</v>
      </c>
      <c r="P2217">
        <f t="shared" si="69"/>
        <v>3.6890000000000036</v>
      </c>
    </row>
    <row r="2218" spans="1:16" x14ac:dyDescent="0.35">
      <c r="A2218" s="9" t="s">
        <v>248</v>
      </c>
      <c r="B2218" s="2">
        <v>137.71</v>
      </c>
      <c r="C2218" s="2">
        <v>139.24</v>
      </c>
      <c r="D2218" s="2">
        <v>137.47300000000001</v>
      </c>
      <c r="E2218" s="2">
        <v>139.06</v>
      </c>
      <c r="F2218" s="2">
        <v>9672460</v>
      </c>
      <c r="G2218" s="2" t="s">
        <v>566</v>
      </c>
      <c r="H2218" s="2" t="s">
        <v>567</v>
      </c>
      <c r="I2218" s="2" t="s">
        <v>568</v>
      </c>
      <c r="J2218" s="3">
        <v>1.1930000000000001</v>
      </c>
      <c r="K2218" s="2" t="s">
        <v>226</v>
      </c>
      <c r="L2218" s="2">
        <v>2023</v>
      </c>
      <c r="M2218" s="2" t="s">
        <v>227</v>
      </c>
      <c r="N2218" s="2" t="s">
        <v>21</v>
      </c>
      <c r="O2218">
        <f t="shared" si="68"/>
        <v>1.7669999999999959</v>
      </c>
      <c r="P2218">
        <f t="shared" si="69"/>
        <v>4.8820000000000032</v>
      </c>
    </row>
    <row r="2219" spans="1:16" x14ac:dyDescent="0.35">
      <c r="A2219" s="9" t="s">
        <v>249</v>
      </c>
      <c r="B2219" s="2">
        <v>139.25</v>
      </c>
      <c r="C2219" s="2">
        <v>140.53</v>
      </c>
      <c r="D2219" s="2">
        <v>138.47</v>
      </c>
      <c r="E2219" s="2">
        <v>138.94</v>
      </c>
      <c r="F2219" s="2">
        <v>9432048</v>
      </c>
      <c r="G2219" s="2" t="s">
        <v>566</v>
      </c>
      <c r="H2219" s="2" t="s">
        <v>567</v>
      </c>
      <c r="I2219" s="2" t="s">
        <v>568</v>
      </c>
      <c r="J2219" s="4">
        <v>-8.5999999999999993E-2</v>
      </c>
      <c r="K2219" s="2" t="s">
        <v>250</v>
      </c>
      <c r="L2219" s="2">
        <v>2023</v>
      </c>
      <c r="M2219" s="2" t="s">
        <v>251</v>
      </c>
      <c r="N2219" s="2" t="s">
        <v>23</v>
      </c>
      <c r="O2219">
        <f t="shared" si="68"/>
        <v>2.0600000000000023</v>
      </c>
      <c r="P2219">
        <f t="shared" si="69"/>
        <v>4.7960000000000029</v>
      </c>
    </row>
    <row r="2220" spans="1:16" x14ac:dyDescent="0.35">
      <c r="A2220" s="9" t="s">
        <v>252</v>
      </c>
      <c r="B2220" s="2">
        <v>140.09</v>
      </c>
      <c r="C2220" s="2">
        <v>141.47999999999999</v>
      </c>
      <c r="D2220" s="2">
        <v>139.22999999999999</v>
      </c>
      <c r="E2220" s="2">
        <v>141.41999999999999</v>
      </c>
      <c r="F2220" s="2">
        <v>10186175</v>
      </c>
      <c r="G2220" s="2" t="s">
        <v>566</v>
      </c>
      <c r="H2220" s="2" t="s">
        <v>567</v>
      </c>
      <c r="I2220" s="2" t="s">
        <v>568</v>
      </c>
      <c r="J2220" s="3">
        <v>1.7849999999999999</v>
      </c>
      <c r="K2220" s="2" t="s">
        <v>250</v>
      </c>
      <c r="L2220" s="2">
        <v>2023</v>
      </c>
      <c r="M2220" s="2" t="s">
        <v>251</v>
      </c>
      <c r="N2220" s="2" t="s">
        <v>21</v>
      </c>
      <c r="O2220">
        <f t="shared" si="68"/>
        <v>2.25</v>
      </c>
      <c r="P2220">
        <f t="shared" si="69"/>
        <v>6.5810000000000031</v>
      </c>
    </row>
    <row r="2221" spans="1:16" x14ac:dyDescent="0.35">
      <c r="A2221" s="9" t="s">
        <v>253</v>
      </c>
      <c r="B2221" s="2">
        <v>142.19</v>
      </c>
      <c r="C2221" s="2">
        <v>143.77000000000001</v>
      </c>
      <c r="D2221" s="2">
        <v>141.85</v>
      </c>
      <c r="E2221" s="2">
        <v>143</v>
      </c>
      <c r="F2221" s="2">
        <v>9538719</v>
      </c>
      <c r="G2221" s="2" t="s">
        <v>566</v>
      </c>
      <c r="H2221" s="2" t="s">
        <v>567</v>
      </c>
      <c r="I2221" s="2" t="s">
        <v>568</v>
      </c>
      <c r="J2221" s="3">
        <v>1.117</v>
      </c>
      <c r="K2221" s="2" t="s">
        <v>250</v>
      </c>
      <c r="L2221" s="2">
        <v>2023</v>
      </c>
      <c r="M2221" s="2" t="s">
        <v>251</v>
      </c>
      <c r="N2221" s="2" t="s">
        <v>21</v>
      </c>
      <c r="O2221">
        <f t="shared" si="68"/>
        <v>1.9200000000000159</v>
      </c>
      <c r="P2221">
        <f t="shared" si="69"/>
        <v>7.6980000000000031</v>
      </c>
    </row>
    <row r="2222" spans="1:16" x14ac:dyDescent="0.35">
      <c r="A2222" s="9" t="s">
        <v>254</v>
      </c>
      <c r="B2222" s="2">
        <v>143.16999999999999</v>
      </c>
      <c r="C2222" s="2">
        <v>144.19</v>
      </c>
      <c r="D2222" s="2">
        <v>142.79</v>
      </c>
      <c r="E2222" s="2">
        <v>144.08000000000001</v>
      </c>
      <c r="F2222" s="2">
        <v>7625063</v>
      </c>
      <c r="G2222" s="2" t="s">
        <v>566</v>
      </c>
      <c r="H2222" s="2" t="s">
        <v>567</v>
      </c>
      <c r="I2222" s="2" t="s">
        <v>568</v>
      </c>
      <c r="J2222" s="3">
        <v>0.755</v>
      </c>
      <c r="K2222" s="2" t="s">
        <v>250</v>
      </c>
      <c r="L2222" s="2">
        <v>2023</v>
      </c>
      <c r="M2222" s="2" t="s">
        <v>251</v>
      </c>
      <c r="N2222" s="2" t="s">
        <v>21</v>
      </c>
      <c r="O2222">
        <f t="shared" si="68"/>
        <v>1.4000000000000057</v>
      </c>
      <c r="P2222">
        <f t="shared" si="69"/>
        <v>8.453000000000003</v>
      </c>
    </row>
    <row r="2223" spans="1:16" x14ac:dyDescent="0.35">
      <c r="A2223" s="9" t="s">
        <v>255</v>
      </c>
      <c r="B2223" s="2">
        <v>143.51</v>
      </c>
      <c r="C2223" s="2">
        <v>144.261</v>
      </c>
      <c r="D2223" s="2">
        <v>142.82</v>
      </c>
      <c r="E2223" s="2">
        <v>144.01</v>
      </c>
      <c r="F2223" s="2">
        <v>6297915</v>
      </c>
      <c r="G2223" s="2" t="s">
        <v>566</v>
      </c>
      <c r="H2223" s="2" t="s">
        <v>567</v>
      </c>
      <c r="I2223" s="2" t="s">
        <v>568</v>
      </c>
      <c r="J2223" s="4">
        <v>-4.9000000000000002E-2</v>
      </c>
      <c r="K2223" s="2" t="s">
        <v>250</v>
      </c>
      <c r="L2223" s="2">
        <v>2023</v>
      </c>
      <c r="M2223" s="2" t="s">
        <v>251</v>
      </c>
      <c r="N2223" s="2" t="s">
        <v>23</v>
      </c>
      <c r="O2223">
        <f t="shared" si="68"/>
        <v>1.4410000000000025</v>
      </c>
      <c r="P2223">
        <f t="shared" si="69"/>
        <v>8.4040000000000035</v>
      </c>
    </row>
    <row r="2224" spans="1:16" x14ac:dyDescent="0.35">
      <c r="A2224" s="9" t="s">
        <v>256</v>
      </c>
      <c r="B2224" s="2">
        <v>144.11000000000001</v>
      </c>
      <c r="C2224" s="2">
        <v>144.84</v>
      </c>
      <c r="D2224" s="2">
        <v>143.62</v>
      </c>
      <c r="E2224" s="2">
        <v>144.72</v>
      </c>
      <c r="F2224" s="2">
        <v>7618169</v>
      </c>
      <c r="G2224" s="2" t="s">
        <v>566</v>
      </c>
      <c r="H2224" s="2" t="s">
        <v>567</v>
      </c>
      <c r="I2224" s="2" t="s">
        <v>568</v>
      </c>
      <c r="J2224" s="3">
        <v>0.49299999999999999</v>
      </c>
      <c r="K2224" s="2" t="s">
        <v>250</v>
      </c>
      <c r="L2224" s="2">
        <v>2023</v>
      </c>
      <c r="M2224" s="2" t="s">
        <v>251</v>
      </c>
      <c r="N2224" s="2" t="s">
        <v>21</v>
      </c>
      <c r="O2224">
        <f t="shared" si="68"/>
        <v>1.2199999999999989</v>
      </c>
      <c r="P2224">
        <f t="shared" si="69"/>
        <v>8.8970000000000038</v>
      </c>
    </row>
    <row r="2225" spans="1:16" x14ac:dyDescent="0.35">
      <c r="A2225" s="9" t="s">
        <v>257</v>
      </c>
      <c r="B2225" s="2">
        <v>145.44</v>
      </c>
      <c r="C2225" s="2">
        <v>145.65</v>
      </c>
      <c r="D2225" s="2">
        <v>143.69999999999999</v>
      </c>
      <c r="E2225" s="2">
        <v>144.29</v>
      </c>
      <c r="F2225" s="2">
        <v>7992477</v>
      </c>
      <c r="G2225" s="2" t="s">
        <v>566</v>
      </c>
      <c r="H2225" s="2" t="s">
        <v>567</v>
      </c>
      <c r="I2225" s="2" t="s">
        <v>568</v>
      </c>
      <c r="J2225" s="4">
        <v>-0.29699999999999999</v>
      </c>
      <c r="K2225" s="2" t="s">
        <v>250</v>
      </c>
      <c r="L2225" s="2">
        <v>2023</v>
      </c>
      <c r="M2225" s="2" t="s">
        <v>251</v>
      </c>
      <c r="N2225" s="2" t="s">
        <v>23</v>
      </c>
      <c r="O2225">
        <f t="shared" si="68"/>
        <v>1.9500000000000171</v>
      </c>
      <c r="P2225">
        <f t="shared" si="69"/>
        <v>8.6000000000000032</v>
      </c>
    </row>
    <row r="2226" spans="1:16" x14ac:dyDescent="0.35">
      <c r="A2226" s="9" t="s">
        <v>258</v>
      </c>
      <c r="B2226" s="2">
        <v>144.94</v>
      </c>
      <c r="C2226" s="2">
        <v>146.47999999999999</v>
      </c>
      <c r="D2226" s="2">
        <v>144.077</v>
      </c>
      <c r="E2226" s="2">
        <v>146.43</v>
      </c>
      <c r="F2226" s="2">
        <v>7983935</v>
      </c>
      <c r="G2226" s="2" t="s">
        <v>566</v>
      </c>
      <c r="H2226" s="2" t="s">
        <v>567</v>
      </c>
      <c r="I2226" s="2" t="s">
        <v>568</v>
      </c>
      <c r="J2226" s="3">
        <v>1.4830000000000001</v>
      </c>
      <c r="K2226" s="2" t="s">
        <v>250</v>
      </c>
      <c r="L2226" s="2">
        <v>2023</v>
      </c>
      <c r="M2226" s="2" t="s">
        <v>251</v>
      </c>
      <c r="N2226" s="2" t="s">
        <v>21</v>
      </c>
      <c r="O2226">
        <f t="shared" si="68"/>
        <v>2.4029999999999916</v>
      </c>
      <c r="P2226">
        <f t="shared" si="69"/>
        <v>10.083000000000004</v>
      </c>
    </row>
    <row r="2227" spans="1:16" x14ac:dyDescent="0.35">
      <c r="A2227" s="9" t="s">
        <v>259</v>
      </c>
      <c r="B2227" s="2">
        <v>145.69999999999999</v>
      </c>
      <c r="C2227" s="2">
        <v>146.25</v>
      </c>
      <c r="D2227" s="2">
        <v>145.16</v>
      </c>
      <c r="E2227" s="2">
        <v>145.78</v>
      </c>
      <c r="F2227" s="2">
        <v>6676364</v>
      </c>
      <c r="G2227" s="2" t="s">
        <v>566</v>
      </c>
      <c r="H2227" s="2" t="s">
        <v>567</v>
      </c>
      <c r="I2227" s="2" t="s">
        <v>568</v>
      </c>
      <c r="J2227" s="4">
        <v>-0.44400000000000001</v>
      </c>
      <c r="K2227" s="2" t="s">
        <v>250</v>
      </c>
      <c r="L2227" s="2">
        <v>2023</v>
      </c>
      <c r="M2227" s="2" t="s">
        <v>251</v>
      </c>
      <c r="N2227" s="2" t="s">
        <v>23</v>
      </c>
      <c r="O2227">
        <f t="shared" si="68"/>
        <v>1.0900000000000034</v>
      </c>
      <c r="P2227">
        <f t="shared" si="69"/>
        <v>9.6390000000000029</v>
      </c>
    </row>
    <row r="2228" spans="1:16" x14ac:dyDescent="0.35">
      <c r="A2228" s="9" t="s">
        <v>260</v>
      </c>
      <c r="B2228" s="2">
        <v>146.68</v>
      </c>
      <c r="C2228" s="2">
        <v>149.25</v>
      </c>
      <c r="D2228" s="2">
        <v>146.52000000000001</v>
      </c>
      <c r="E2228" s="2">
        <v>148.44</v>
      </c>
      <c r="F2228" s="2">
        <v>9927723</v>
      </c>
      <c r="G2228" s="2" t="s">
        <v>566</v>
      </c>
      <c r="H2228" s="2" t="s">
        <v>567</v>
      </c>
      <c r="I2228" s="2" t="s">
        <v>568</v>
      </c>
      <c r="J2228" s="3">
        <v>1.825</v>
      </c>
      <c r="K2228" s="2" t="s">
        <v>250</v>
      </c>
      <c r="L2228" s="2">
        <v>2023</v>
      </c>
      <c r="M2228" s="2" t="s">
        <v>251</v>
      </c>
      <c r="N2228" s="2" t="s">
        <v>21</v>
      </c>
      <c r="O2228">
        <f t="shared" si="68"/>
        <v>2.7299999999999898</v>
      </c>
      <c r="P2228">
        <f t="shared" si="69"/>
        <v>11.464000000000002</v>
      </c>
    </row>
    <row r="2229" spans="1:16" x14ac:dyDescent="0.35">
      <c r="A2229" s="9" t="s">
        <v>261</v>
      </c>
      <c r="B2229" s="2">
        <v>148.46</v>
      </c>
      <c r="C2229" s="2">
        <v>150.16</v>
      </c>
      <c r="D2229" s="2">
        <v>148.46</v>
      </c>
      <c r="E2229" s="2">
        <v>149.74</v>
      </c>
      <c r="F2229" s="2">
        <v>8365296</v>
      </c>
      <c r="G2229" s="2" t="s">
        <v>566</v>
      </c>
      <c r="H2229" s="2" t="s">
        <v>567</v>
      </c>
      <c r="I2229" s="2" t="s">
        <v>568</v>
      </c>
      <c r="J2229" s="3">
        <v>0.876</v>
      </c>
      <c r="K2229" s="2" t="s">
        <v>250</v>
      </c>
      <c r="L2229" s="2">
        <v>2023</v>
      </c>
      <c r="M2229" s="2" t="s">
        <v>251</v>
      </c>
      <c r="N2229" s="2" t="s">
        <v>21</v>
      </c>
      <c r="O2229">
        <f t="shared" si="68"/>
        <v>1.6999999999999886</v>
      </c>
      <c r="P2229">
        <f t="shared" si="69"/>
        <v>12.340000000000002</v>
      </c>
    </row>
    <row r="2230" spans="1:16" x14ac:dyDescent="0.35">
      <c r="A2230" s="9" t="s">
        <v>262</v>
      </c>
      <c r="B2230" s="2">
        <v>150.09</v>
      </c>
      <c r="C2230" s="2">
        <v>151.52500000000001</v>
      </c>
      <c r="D2230" s="2">
        <v>150.09</v>
      </c>
      <c r="E2230" s="2">
        <v>151.44999999999999</v>
      </c>
      <c r="F2230" s="2">
        <v>8126188</v>
      </c>
      <c r="G2230" s="2" t="s">
        <v>566</v>
      </c>
      <c r="H2230" s="2" t="s">
        <v>567</v>
      </c>
      <c r="I2230" s="2" t="s">
        <v>568</v>
      </c>
      <c r="J2230" s="3">
        <v>1.1419999999999999</v>
      </c>
      <c r="K2230" s="2" t="s">
        <v>250</v>
      </c>
      <c r="L2230" s="2">
        <v>2023</v>
      </c>
      <c r="M2230" s="2" t="s">
        <v>251</v>
      </c>
      <c r="N2230" s="2" t="s">
        <v>21</v>
      </c>
      <c r="O2230">
        <f t="shared" si="68"/>
        <v>1.4350000000000023</v>
      </c>
      <c r="P2230">
        <f t="shared" si="69"/>
        <v>13.482000000000001</v>
      </c>
    </row>
    <row r="2231" spans="1:16" x14ac:dyDescent="0.35">
      <c r="A2231" s="9" t="s">
        <v>263</v>
      </c>
      <c r="B2231" s="2">
        <v>152.19999999999999</v>
      </c>
      <c r="C2231" s="2">
        <v>152.86000000000001</v>
      </c>
      <c r="D2231" s="2">
        <v>151.54</v>
      </c>
      <c r="E2231" s="2">
        <v>152.82</v>
      </c>
      <c r="F2231" s="2">
        <v>7814064</v>
      </c>
      <c r="G2231" s="2" t="s">
        <v>566</v>
      </c>
      <c r="H2231" s="2" t="s">
        <v>567</v>
      </c>
      <c r="I2231" s="2" t="s">
        <v>568</v>
      </c>
      <c r="J2231" s="3">
        <v>0.90500000000000003</v>
      </c>
      <c r="K2231" s="2" t="s">
        <v>250</v>
      </c>
      <c r="L2231" s="2">
        <v>2023</v>
      </c>
      <c r="M2231" s="2" t="s">
        <v>251</v>
      </c>
      <c r="N2231" s="2" t="s">
        <v>21</v>
      </c>
      <c r="O2231">
        <f t="shared" si="68"/>
        <v>1.3200000000000216</v>
      </c>
      <c r="P2231">
        <f t="shared" si="69"/>
        <v>14.387</v>
      </c>
    </row>
    <row r="2232" spans="1:16" x14ac:dyDescent="0.35">
      <c r="A2232" s="9" t="s">
        <v>264</v>
      </c>
      <c r="B2232" s="2">
        <v>152.08000000000001</v>
      </c>
      <c r="C2232" s="2">
        <v>153.75</v>
      </c>
      <c r="D2232" s="2">
        <v>151.91999999999999</v>
      </c>
      <c r="E2232" s="2">
        <v>153.29</v>
      </c>
      <c r="F2232" s="2">
        <v>7020349</v>
      </c>
      <c r="G2232" s="2" t="s">
        <v>566</v>
      </c>
      <c r="H2232" s="2" t="s">
        <v>567</v>
      </c>
      <c r="I2232" s="2" t="s">
        <v>568</v>
      </c>
      <c r="J2232" s="3">
        <v>0.308</v>
      </c>
      <c r="K2232" s="2" t="s">
        <v>250</v>
      </c>
      <c r="L2232" s="2">
        <v>2023</v>
      </c>
      <c r="M2232" s="2" t="s">
        <v>251</v>
      </c>
      <c r="N2232" s="2" t="s">
        <v>21</v>
      </c>
      <c r="O2232">
        <f t="shared" si="68"/>
        <v>1.8300000000000125</v>
      </c>
      <c r="P2232">
        <f t="shared" si="69"/>
        <v>14.695</v>
      </c>
    </row>
    <row r="2233" spans="1:16" x14ac:dyDescent="0.35">
      <c r="A2233" s="9" t="s">
        <v>265</v>
      </c>
      <c r="B2233" s="2">
        <v>153.19999999999999</v>
      </c>
      <c r="C2233" s="2">
        <v>153.63</v>
      </c>
      <c r="D2233" s="2">
        <v>152.57</v>
      </c>
      <c r="E2233" s="2">
        <v>152.97</v>
      </c>
      <c r="F2233" s="2">
        <v>7083506</v>
      </c>
      <c r="G2233" s="2" t="s">
        <v>566</v>
      </c>
      <c r="H2233" s="2" t="s">
        <v>567</v>
      </c>
      <c r="I2233" s="2" t="s">
        <v>568</v>
      </c>
      <c r="J2233" s="4">
        <v>-0.20899999999999999</v>
      </c>
      <c r="K2233" s="2" t="s">
        <v>250</v>
      </c>
      <c r="L2233" s="2">
        <v>2023</v>
      </c>
      <c r="M2233" s="2" t="s">
        <v>251</v>
      </c>
      <c r="N2233" s="2" t="s">
        <v>23</v>
      </c>
      <c r="O2233">
        <f t="shared" si="68"/>
        <v>1.0600000000000023</v>
      </c>
      <c r="P2233">
        <f t="shared" si="69"/>
        <v>14.486000000000001</v>
      </c>
    </row>
    <row r="2234" spans="1:16" x14ac:dyDescent="0.35">
      <c r="A2234" s="9" t="s">
        <v>266</v>
      </c>
      <c r="B2234" s="2">
        <v>153.41</v>
      </c>
      <c r="C2234" s="2">
        <v>153.88</v>
      </c>
      <c r="D2234" s="2">
        <v>152.9</v>
      </c>
      <c r="E2234" s="2">
        <v>153.33000000000001</v>
      </c>
      <c r="F2234" s="2">
        <v>5175135</v>
      </c>
      <c r="G2234" s="2" t="s">
        <v>566</v>
      </c>
      <c r="H2234" s="2" t="s">
        <v>567</v>
      </c>
      <c r="I2234" s="2" t="s">
        <v>568</v>
      </c>
      <c r="J2234" s="3">
        <v>0.23499999999999999</v>
      </c>
      <c r="K2234" s="2" t="s">
        <v>250</v>
      </c>
      <c r="L2234" s="2">
        <v>2023</v>
      </c>
      <c r="M2234" s="2" t="s">
        <v>251</v>
      </c>
      <c r="N2234" s="2" t="s">
        <v>21</v>
      </c>
      <c r="O2234">
        <f t="shared" si="68"/>
        <v>0.97999999999998977</v>
      </c>
      <c r="P2234">
        <f t="shared" si="69"/>
        <v>14.721</v>
      </c>
    </row>
    <row r="2235" spans="1:16" x14ac:dyDescent="0.35">
      <c r="A2235" s="9" t="s">
        <v>267</v>
      </c>
      <c r="B2235" s="2">
        <v>153.59</v>
      </c>
      <c r="C2235" s="2">
        <v>154.43799999999999</v>
      </c>
      <c r="D2235" s="2">
        <v>153.27500000000001</v>
      </c>
      <c r="E2235" s="2">
        <v>153.54</v>
      </c>
      <c r="F2235" s="2">
        <v>3496941</v>
      </c>
      <c r="G2235" s="2" t="s">
        <v>566</v>
      </c>
      <c r="H2235" s="2" t="s">
        <v>567</v>
      </c>
      <c r="I2235" s="2" t="s">
        <v>568</v>
      </c>
      <c r="J2235" s="3">
        <v>0.13700000000000001</v>
      </c>
      <c r="K2235" s="2" t="s">
        <v>250</v>
      </c>
      <c r="L2235" s="2">
        <v>2023</v>
      </c>
      <c r="M2235" s="2" t="s">
        <v>251</v>
      </c>
      <c r="N2235" s="2" t="s">
        <v>21</v>
      </c>
      <c r="O2235">
        <f t="shared" si="68"/>
        <v>1.1629999999999825</v>
      </c>
      <c r="P2235">
        <f t="shared" si="69"/>
        <v>14.858000000000001</v>
      </c>
    </row>
    <row r="2236" spans="1:16" x14ac:dyDescent="0.35">
      <c r="A2236" s="9" t="s">
        <v>268</v>
      </c>
      <c r="B2236" s="2">
        <v>153.43</v>
      </c>
      <c r="C2236" s="2">
        <v>153.53</v>
      </c>
      <c r="D2236" s="2">
        <v>152.71</v>
      </c>
      <c r="E2236" s="2">
        <v>153.19</v>
      </c>
      <c r="F2236" s="2">
        <v>6259116</v>
      </c>
      <c r="G2236" s="2" t="s">
        <v>566</v>
      </c>
      <c r="H2236" s="2" t="s">
        <v>567</v>
      </c>
      <c r="I2236" s="2" t="s">
        <v>568</v>
      </c>
      <c r="J2236" s="4">
        <v>-0.22800000000000001</v>
      </c>
      <c r="K2236" s="2" t="s">
        <v>250</v>
      </c>
      <c r="L2236" s="2">
        <v>2023</v>
      </c>
      <c r="M2236" s="2" t="s">
        <v>251</v>
      </c>
      <c r="N2236" s="2" t="s">
        <v>23</v>
      </c>
      <c r="O2236">
        <f t="shared" si="68"/>
        <v>0.81999999999999318</v>
      </c>
      <c r="P2236">
        <f t="shared" si="69"/>
        <v>14.63</v>
      </c>
    </row>
    <row r="2237" spans="1:16" x14ac:dyDescent="0.35">
      <c r="A2237" s="9" t="s">
        <v>269</v>
      </c>
      <c r="B2237" s="2">
        <v>153.22</v>
      </c>
      <c r="C2237" s="2">
        <v>153.87</v>
      </c>
      <c r="D2237" s="2">
        <v>152.72</v>
      </c>
      <c r="E2237" s="2">
        <v>153.54</v>
      </c>
      <c r="F2237" s="2">
        <v>6582937</v>
      </c>
      <c r="G2237" s="2" t="s">
        <v>566</v>
      </c>
      <c r="H2237" s="2" t="s">
        <v>567</v>
      </c>
      <c r="I2237" s="2" t="s">
        <v>568</v>
      </c>
      <c r="J2237" s="3">
        <v>0.22800000000000001</v>
      </c>
      <c r="K2237" s="2" t="s">
        <v>250</v>
      </c>
      <c r="L2237" s="2">
        <v>2023</v>
      </c>
      <c r="M2237" s="2" t="s">
        <v>251</v>
      </c>
      <c r="N2237" s="2" t="s">
        <v>21</v>
      </c>
      <c r="O2237">
        <f t="shared" si="68"/>
        <v>1.1500000000000057</v>
      </c>
      <c r="P2237">
        <f t="shared" si="69"/>
        <v>14.858000000000001</v>
      </c>
    </row>
    <row r="2238" spans="1:16" x14ac:dyDescent="0.35">
      <c r="A2238" s="9" t="s">
        <v>270</v>
      </c>
      <c r="B2238" s="2">
        <v>154.16999999999999</v>
      </c>
      <c r="C2238" s="2">
        <v>155.625</v>
      </c>
      <c r="D2238" s="2">
        <v>154</v>
      </c>
      <c r="E2238" s="2">
        <v>154.32</v>
      </c>
      <c r="F2238" s="2">
        <v>9126053</v>
      </c>
      <c r="G2238" s="2" t="s">
        <v>566</v>
      </c>
      <c r="H2238" s="2" t="s">
        <v>567</v>
      </c>
      <c r="I2238" s="2" t="s">
        <v>568</v>
      </c>
      <c r="J2238" s="3">
        <v>0.50800000000000001</v>
      </c>
      <c r="K2238" s="2" t="s">
        <v>250</v>
      </c>
      <c r="L2238" s="2">
        <v>2023</v>
      </c>
      <c r="M2238" s="2" t="s">
        <v>251</v>
      </c>
      <c r="N2238" s="2" t="s">
        <v>21</v>
      </c>
      <c r="O2238">
        <f t="shared" si="68"/>
        <v>1.625</v>
      </c>
      <c r="P2238">
        <f t="shared" si="69"/>
        <v>15.366</v>
      </c>
    </row>
    <row r="2239" spans="1:16" x14ac:dyDescent="0.35">
      <c r="A2239" s="9" t="s">
        <v>271</v>
      </c>
      <c r="B2239" s="2">
        <v>154.91</v>
      </c>
      <c r="C2239" s="2">
        <v>156.13</v>
      </c>
      <c r="D2239" s="2">
        <v>154.381</v>
      </c>
      <c r="E2239" s="2">
        <v>156.08000000000001</v>
      </c>
      <c r="F2239" s="2">
        <v>9869790</v>
      </c>
      <c r="G2239" s="2" t="s">
        <v>566</v>
      </c>
      <c r="H2239" s="2" t="s">
        <v>567</v>
      </c>
      <c r="I2239" s="2" t="s">
        <v>568</v>
      </c>
      <c r="J2239" s="3">
        <v>1.1399999999999999</v>
      </c>
      <c r="K2239" s="2" t="s">
        <v>250</v>
      </c>
      <c r="L2239" s="2">
        <v>2023</v>
      </c>
      <c r="M2239" s="2" t="s">
        <v>251</v>
      </c>
      <c r="N2239" s="2" t="s">
        <v>21</v>
      </c>
      <c r="O2239">
        <f t="shared" si="68"/>
        <v>1.7489999999999952</v>
      </c>
      <c r="P2239">
        <f t="shared" si="69"/>
        <v>16.506</v>
      </c>
    </row>
    <row r="2240" spans="1:16" x14ac:dyDescent="0.35">
      <c r="A2240" s="9" t="s">
        <v>272</v>
      </c>
      <c r="B2240" s="2">
        <v>155.82</v>
      </c>
      <c r="C2240" s="2">
        <v>157.86000000000001</v>
      </c>
      <c r="D2240" s="2">
        <v>155.82</v>
      </c>
      <c r="E2240" s="2">
        <v>156.84</v>
      </c>
      <c r="F2240" s="2">
        <v>8916001</v>
      </c>
      <c r="G2240" s="2" t="s">
        <v>566</v>
      </c>
      <c r="H2240" s="2" t="s">
        <v>567</v>
      </c>
      <c r="I2240" s="2" t="s">
        <v>568</v>
      </c>
      <c r="J2240" s="3">
        <v>0.48699999999999999</v>
      </c>
      <c r="K2240" s="2" t="s">
        <v>273</v>
      </c>
      <c r="L2240" s="2">
        <v>2023</v>
      </c>
      <c r="M2240" s="2" t="s">
        <v>274</v>
      </c>
      <c r="N2240" s="2" t="s">
        <v>21</v>
      </c>
      <c r="O2240">
        <f t="shared" si="68"/>
        <v>2.0400000000000205</v>
      </c>
      <c r="P2240">
        <f t="shared" si="69"/>
        <v>16.992999999999999</v>
      </c>
    </row>
    <row r="2241" spans="1:16" x14ac:dyDescent="0.35">
      <c r="A2241" s="9" t="s">
        <v>275</v>
      </c>
      <c r="B2241" s="2">
        <v>156.02000000000001</v>
      </c>
      <c r="C2241" s="2">
        <v>158.05000000000001</v>
      </c>
      <c r="D2241" s="2">
        <v>155.88</v>
      </c>
      <c r="E2241" s="2">
        <v>157.99</v>
      </c>
      <c r="F2241" s="2">
        <v>9607465</v>
      </c>
      <c r="G2241" s="2" t="s">
        <v>566</v>
      </c>
      <c r="H2241" s="2" t="s">
        <v>567</v>
      </c>
      <c r="I2241" s="2" t="s">
        <v>568</v>
      </c>
      <c r="J2241" s="3">
        <v>0.73299999999999998</v>
      </c>
      <c r="K2241" s="2" t="s">
        <v>273</v>
      </c>
      <c r="L2241" s="2">
        <v>2023</v>
      </c>
      <c r="M2241" s="2" t="s">
        <v>274</v>
      </c>
      <c r="N2241" s="2" t="s">
        <v>21</v>
      </c>
      <c r="O2241">
        <f t="shared" si="68"/>
        <v>2.1700000000000159</v>
      </c>
      <c r="P2241">
        <f t="shared" si="69"/>
        <v>17.725999999999999</v>
      </c>
    </row>
    <row r="2242" spans="1:16" x14ac:dyDescent="0.35">
      <c r="A2242" s="9" t="s">
        <v>276</v>
      </c>
      <c r="B2242" s="2">
        <v>157.26</v>
      </c>
      <c r="C2242" s="2">
        <v>158.5</v>
      </c>
      <c r="D2242" s="2">
        <v>156.97</v>
      </c>
      <c r="E2242" s="2">
        <v>157.97</v>
      </c>
      <c r="F2242" s="2">
        <v>9135597</v>
      </c>
      <c r="G2242" s="2" t="s">
        <v>566</v>
      </c>
      <c r="H2242" s="2" t="s">
        <v>567</v>
      </c>
      <c r="I2242" s="2" t="s">
        <v>568</v>
      </c>
      <c r="J2242" s="4">
        <v>-1.2999999999999999E-2</v>
      </c>
      <c r="K2242" s="2" t="s">
        <v>273</v>
      </c>
      <c r="L2242" s="2">
        <v>2023</v>
      </c>
      <c r="M2242" s="2" t="s">
        <v>274</v>
      </c>
      <c r="N2242" s="2" t="s">
        <v>23</v>
      </c>
      <c r="O2242">
        <f t="shared" si="68"/>
        <v>1.5300000000000011</v>
      </c>
      <c r="P2242">
        <f t="shared" si="69"/>
        <v>17.712999999999997</v>
      </c>
    </row>
    <row r="2243" spans="1:16" x14ac:dyDescent="0.35">
      <c r="A2243" s="9" t="s">
        <v>277</v>
      </c>
      <c r="B2243" s="2">
        <v>158.84</v>
      </c>
      <c r="C2243" s="2">
        <v>159.22</v>
      </c>
      <c r="D2243" s="2">
        <v>156</v>
      </c>
      <c r="E2243" s="2">
        <v>156.31</v>
      </c>
      <c r="F2243" s="2">
        <v>9366004</v>
      </c>
      <c r="G2243" s="2" t="s">
        <v>566</v>
      </c>
      <c r="H2243" s="2" t="s">
        <v>567</v>
      </c>
      <c r="I2243" s="2" t="s">
        <v>568</v>
      </c>
      <c r="J2243" s="4">
        <v>-1.0509999999999999</v>
      </c>
      <c r="K2243" s="2" t="s">
        <v>273</v>
      </c>
      <c r="L2243" s="2">
        <v>2023</v>
      </c>
      <c r="M2243" s="2" t="s">
        <v>274</v>
      </c>
      <c r="N2243" s="2" t="s">
        <v>23</v>
      </c>
      <c r="O2243">
        <f t="shared" ref="O2243:O2306" si="70">C2243-D2243</f>
        <v>3.2199999999999989</v>
      </c>
      <c r="P2243">
        <f t="shared" si="69"/>
        <v>16.661999999999999</v>
      </c>
    </row>
    <row r="2244" spans="1:16" x14ac:dyDescent="0.35">
      <c r="A2244" s="9" t="s">
        <v>278</v>
      </c>
      <c r="B2244" s="2">
        <v>156.69</v>
      </c>
      <c r="C2244" s="2">
        <v>157.31</v>
      </c>
      <c r="D2244" s="2">
        <v>156.15</v>
      </c>
      <c r="E2244" s="2">
        <v>156.79</v>
      </c>
      <c r="F2244" s="2">
        <v>8130874</v>
      </c>
      <c r="G2244" s="2" t="s">
        <v>566</v>
      </c>
      <c r="H2244" s="2" t="s">
        <v>567</v>
      </c>
      <c r="I2244" s="2" t="s">
        <v>568</v>
      </c>
      <c r="J2244" s="3">
        <v>0.307</v>
      </c>
      <c r="K2244" s="2" t="s">
        <v>273</v>
      </c>
      <c r="L2244" s="2">
        <v>2023</v>
      </c>
      <c r="M2244" s="2" t="s">
        <v>274</v>
      </c>
      <c r="N2244" s="2" t="s">
        <v>21</v>
      </c>
      <c r="O2244">
        <f t="shared" si="70"/>
        <v>1.1599999999999966</v>
      </c>
      <c r="P2244">
        <f t="shared" ref="P2244:P2307" si="71">IF(G2244=G2243, P2243+J2244, J2244)</f>
        <v>16.968999999999998</v>
      </c>
    </row>
    <row r="2245" spans="1:16" x14ac:dyDescent="0.35">
      <c r="A2245" s="9" t="s">
        <v>279</v>
      </c>
      <c r="B2245" s="2">
        <v>157.26</v>
      </c>
      <c r="C2245" s="2">
        <v>158.78</v>
      </c>
      <c r="D2245" s="2">
        <v>156.97999999999999</v>
      </c>
      <c r="E2245" s="2">
        <v>158.52000000000001</v>
      </c>
      <c r="F2245" s="2">
        <v>7369370</v>
      </c>
      <c r="G2245" s="2" t="s">
        <v>566</v>
      </c>
      <c r="H2245" s="2" t="s">
        <v>567</v>
      </c>
      <c r="I2245" s="2" t="s">
        <v>568</v>
      </c>
      <c r="J2245" s="3">
        <v>1.103</v>
      </c>
      <c r="K2245" s="2" t="s">
        <v>273</v>
      </c>
      <c r="L2245" s="2">
        <v>2023</v>
      </c>
      <c r="M2245" s="2" t="s">
        <v>274</v>
      </c>
      <c r="N2245" s="2" t="s">
        <v>21</v>
      </c>
      <c r="O2245">
        <f t="shared" si="70"/>
        <v>1.8000000000000114</v>
      </c>
      <c r="P2245">
        <f t="shared" si="71"/>
        <v>18.071999999999999</v>
      </c>
    </row>
    <row r="2246" spans="1:16" x14ac:dyDescent="0.35">
      <c r="A2246" s="9" t="s">
        <v>280</v>
      </c>
      <c r="B2246" s="2">
        <v>158.52000000000001</v>
      </c>
      <c r="C2246" s="2">
        <v>159.30000000000001</v>
      </c>
      <c r="D2246" s="2">
        <v>158.15</v>
      </c>
      <c r="E2246" s="2">
        <v>159.1</v>
      </c>
      <c r="F2246" s="2">
        <v>8093908</v>
      </c>
      <c r="G2246" s="2" t="s">
        <v>566</v>
      </c>
      <c r="H2246" s="2" t="s">
        <v>567</v>
      </c>
      <c r="I2246" s="2" t="s">
        <v>568</v>
      </c>
      <c r="J2246" s="3">
        <v>0.36599999999999999</v>
      </c>
      <c r="K2246" s="2" t="s">
        <v>273</v>
      </c>
      <c r="L2246" s="2">
        <v>2023</v>
      </c>
      <c r="M2246" s="2" t="s">
        <v>274</v>
      </c>
      <c r="N2246" s="2" t="s">
        <v>21</v>
      </c>
      <c r="O2246">
        <f t="shared" si="70"/>
        <v>1.1500000000000057</v>
      </c>
      <c r="P2246">
        <f t="shared" si="71"/>
        <v>18.437999999999999</v>
      </c>
    </row>
    <row r="2247" spans="1:16" x14ac:dyDescent="0.35">
      <c r="A2247" s="9" t="s">
        <v>281</v>
      </c>
      <c r="B2247" s="2">
        <v>159.22999999999999</v>
      </c>
      <c r="C2247" s="2">
        <v>160.64500000000001</v>
      </c>
      <c r="D2247" s="2">
        <v>158.88</v>
      </c>
      <c r="E2247" s="2">
        <v>160.52000000000001</v>
      </c>
      <c r="F2247" s="2">
        <v>10222978</v>
      </c>
      <c r="G2247" s="2" t="s">
        <v>566</v>
      </c>
      <c r="H2247" s="2" t="s">
        <v>567</v>
      </c>
      <c r="I2247" s="2" t="s">
        <v>568</v>
      </c>
      <c r="J2247" s="3">
        <v>0.89300000000000002</v>
      </c>
      <c r="K2247" s="2" t="s">
        <v>273</v>
      </c>
      <c r="L2247" s="2">
        <v>2023</v>
      </c>
      <c r="M2247" s="2" t="s">
        <v>274</v>
      </c>
      <c r="N2247" s="2" t="s">
        <v>21</v>
      </c>
      <c r="O2247">
        <f t="shared" si="70"/>
        <v>1.7650000000000148</v>
      </c>
      <c r="P2247">
        <f t="shared" si="71"/>
        <v>19.331</v>
      </c>
    </row>
    <row r="2248" spans="1:16" x14ac:dyDescent="0.35">
      <c r="A2248" s="9" t="s">
        <v>282</v>
      </c>
      <c r="B2248" s="2">
        <v>160.52000000000001</v>
      </c>
      <c r="C2248" s="2">
        <v>162.03</v>
      </c>
      <c r="D2248" s="2">
        <v>159.77000000000001</v>
      </c>
      <c r="E2248" s="2">
        <v>161.06</v>
      </c>
      <c r="F2248" s="2">
        <v>12379098</v>
      </c>
      <c r="G2248" s="2" t="s">
        <v>566</v>
      </c>
      <c r="H2248" s="2" t="s">
        <v>567</v>
      </c>
      <c r="I2248" s="2" t="s">
        <v>568</v>
      </c>
      <c r="J2248" s="3">
        <v>0.33600000000000002</v>
      </c>
      <c r="K2248" s="2" t="s">
        <v>273</v>
      </c>
      <c r="L2248" s="2">
        <v>2023</v>
      </c>
      <c r="M2248" s="2" t="s">
        <v>274</v>
      </c>
      <c r="N2248" s="2" t="s">
        <v>21</v>
      </c>
      <c r="O2248">
        <f t="shared" si="70"/>
        <v>2.2599999999999909</v>
      </c>
      <c r="P2248">
        <f t="shared" si="71"/>
        <v>19.666999999999998</v>
      </c>
    </row>
    <row r="2249" spans="1:16" x14ac:dyDescent="0.35">
      <c r="A2249" s="9" t="s">
        <v>283</v>
      </c>
      <c r="B2249" s="2">
        <v>161.83000000000001</v>
      </c>
      <c r="C2249" s="2">
        <v>164.84</v>
      </c>
      <c r="D2249" s="2">
        <v>161.70500000000001</v>
      </c>
      <c r="E2249" s="2">
        <v>163.99</v>
      </c>
      <c r="F2249" s="2">
        <v>13642990</v>
      </c>
      <c r="G2249" s="2" t="s">
        <v>566</v>
      </c>
      <c r="H2249" s="2" t="s">
        <v>567</v>
      </c>
      <c r="I2249" s="2" t="s">
        <v>568</v>
      </c>
      <c r="J2249" s="3">
        <v>1.819</v>
      </c>
      <c r="K2249" s="2" t="s">
        <v>273</v>
      </c>
      <c r="L2249" s="2">
        <v>2023</v>
      </c>
      <c r="M2249" s="2" t="s">
        <v>274</v>
      </c>
      <c r="N2249" s="2" t="s">
        <v>21</v>
      </c>
      <c r="O2249">
        <f t="shared" si="70"/>
        <v>3.1349999999999909</v>
      </c>
      <c r="P2249">
        <f t="shared" si="71"/>
        <v>21.485999999999997</v>
      </c>
    </row>
    <row r="2250" spans="1:16" x14ac:dyDescent="0.35">
      <c r="A2250" s="9" t="s">
        <v>284</v>
      </c>
      <c r="B2250" s="2">
        <v>163.08000000000001</v>
      </c>
      <c r="C2250" s="2">
        <v>165.28</v>
      </c>
      <c r="D2250" s="2">
        <v>162.38999999999999</v>
      </c>
      <c r="E2250" s="2">
        <v>165.23</v>
      </c>
      <c r="F2250" s="2">
        <v>20309348</v>
      </c>
      <c r="G2250" s="2" t="s">
        <v>566</v>
      </c>
      <c r="H2250" s="2" t="s">
        <v>567</v>
      </c>
      <c r="I2250" s="2" t="s">
        <v>568</v>
      </c>
      <c r="J2250" s="3">
        <v>0.75600000000000001</v>
      </c>
      <c r="K2250" s="2" t="s">
        <v>273</v>
      </c>
      <c r="L2250" s="2">
        <v>2023</v>
      </c>
      <c r="M2250" s="2" t="s">
        <v>274</v>
      </c>
      <c r="N2250" s="2" t="s">
        <v>21</v>
      </c>
      <c r="O2250">
        <f t="shared" si="70"/>
        <v>2.8900000000000148</v>
      </c>
      <c r="P2250">
        <f t="shared" si="71"/>
        <v>22.241999999999997</v>
      </c>
    </row>
    <row r="2251" spans="1:16" x14ac:dyDescent="0.35">
      <c r="A2251" s="9" t="s">
        <v>285</v>
      </c>
      <c r="B2251" s="2">
        <v>165.92</v>
      </c>
      <c r="C2251" s="2">
        <v>167.13</v>
      </c>
      <c r="D2251" s="2">
        <v>165.63</v>
      </c>
      <c r="E2251" s="2">
        <v>166.23</v>
      </c>
      <c r="F2251" s="2">
        <v>8469608</v>
      </c>
      <c r="G2251" s="2" t="s">
        <v>566</v>
      </c>
      <c r="H2251" s="2" t="s">
        <v>567</v>
      </c>
      <c r="I2251" s="2" t="s">
        <v>568</v>
      </c>
      <c r="J2251" s="3">
        <v>0.60499999999999998</v>
      </c>
      <c r="K2251" s="2" t="s">
        <v>273</v>
      </c>
      <c r="L2251" s="2">
        <v>2023</v>
      </c>
      <c r="M2251" s="2" t="s">
        <v>274</v>
      </c>
      <c r="N2251" s="2" t="s">
        <v>21</v>
      </c>
      <c r="O2251">
        <f t="shared" si="70"/>
        <v>1.5</v>
      </c>
      <c r="P2251">
        <f t="shared" si="71"/>
        <v>22.846999999999998</v>
      </c>
    </row>
    <row r="2252" spans="1:16" x14ac:dyDescent="0.35">
      <c r="A2252" s="9" t="s">
        <v>286</v>
      </c>
      <c r="B2252" s="2">
        <v>166</v>
      </c>
      <c r="C2252" s="2">
        <v>168.47</v>
      </c>
      <c r="D2252" s="2">
        <v>165.55</v>
      </c>
      <c r="E2252" s="2">
        <v>168.45</v>
      </c>
      <c r="F2252" s="2">
        <v>10345691</v>
      </c>
      <c r="G2252" s="2" t="s">
        <v>566</v>
      </c>
      <c r="H2252" s="2" t="s">
        <v>567</v>
      </c>
      <c r="I2252" s="2" t="s">
        <v>568</v>
      </c>
      <c r="J2252" s="3">
        <v>1.335</v>
      </c>
      <c r="K2252" s="2" t="s">
        <v>273</v>
      </c>
      <c r="L2252" s="2">
        <v>2023</v>
      </c>
      <c r="M2252" s="2" t="s">
        <v>274</v>
      </c>
      <c r="N2252" s="2" t="s">
        <v>21</v>
      </c>
      <c r="O2252">
        <f t="shared" si="70"/>
        <v>2.9199999999999875</v>
      </c>
      <c r="P2252">
        <f t="shared" si="71"/>
        <v>24.181999999999999</v>
      </c>
    </row>
    <row r="2253" spans="1:16" x14ac:dyDescent="0.35">
      <c r="A2253" s="9" t="s">
        <v>287</v>
      </c>
      <c r="B2253" s="2">
        <v>167.99</v>
      </c>
      <c r="C2253" s="2">
        <v>169.41</v>
      </c>
      <c r="D2253" s="2">
        <v>166.45</v>
      </c>
      <c r="E2253" s="2">
        <v>166.55</v>
      </c>
      <c r="F2253" s="2">
        <v>10734709</v>
      </c>
      <c r="G2253" s="2" t="s">
        <v>566</v>
      </c>
      <c r="H2253" s="2" t="s">
        <v>567</v>
      </c>
      <c r="I2253" s="2" t="s">
        <v>568</v>
      </c>
      <c r="J2253" s="4">
        <v>-1.1279999999999999</v>
      </c>
      <c r="K2253" s="2" t="s">
        <v>273</v>
      </c>
      <c r="L2253" s="2">
        <v>2023</v>
      </c>
      <c r="M2253" s="2" t="s">
        <v>274</v>
      </c>
      <c r="N2253" s="2" t="s">
        <v>23</v>
      </c>
      <c r="O2253">
        <f t="shared" si="70"/>
        <v>2.960000000000008</v>
      </c>
      <c r="P2253">
        <f t="shared" si="71"/>
        <v>23.053999999999998</v>
      </c>
    </row>
    <row r="2254" spans="1:16" x14ac:dyDescent="0.35">
      <c r="A2254" s="9" t="s">
        <v>288</v>
      </c>
      <c r="B2254" s="2">
        <v>166.84</v>
      </c>
      <c r="C2254" s="2">
        <v>168.09</v>
      </c>
      <c r="D2254" s="2">
        <v>165.67500000000001</v>
      </c>
      <c r="E2254" s="2">
        <v>167.5</v>
      </c>
      <c r="F2254" s="2">
        <v>7601678</v>
      </c>
      <c r="G2254" s="2" t="s">
        <v>566</v>
      </c>
      <c r="H2254" s="2" t="s">
        <v>567</v>
      </c>
      <c r="I2254" s="2" t="s">
        <v>568</v>
      </c>
      <c r="J2254" s="3">
        <v>0.56999999999999995</v>
      </c>
      <c r="K2254" s="2" t="s">
        <v>273</v>
      </c>
      <c r="L2254" s="2">
        <v>2023</v>
      </c>
      <c r="M2254" s="2" t="s">
        <v>274</v>
      </c>
      <c r="N2254" s="2" t="s">
        <v>21</v>
      </c>
      <c r="O2254">
        <f t="shared" si="70"/>
        <v>2.414999999999992</v>
      </c>
      <c r="P2254">
        <f t="shared" si="71"/>
        <v>23.623999999999999</v>
      </c>
    </row>
    <row r="2255" spans="1:16" x14ac:dyDescent="0.35">
      <c r="A2255" s="9" t="s">
        <v>289</v>
      </c>
      <c r="B2255" s="2">
        <v>167.5</v>
      </c>
      <c r="C2255" s="2">
        <v>168.23</v>
      </c>
      <c r="D2255" s="2">
        <v>167.23</v>
      </c>
      <c r="E2255" s="2">
        <v>167.4</v>
      </c>
      <c r="F2255" s="2">
        <v>6576322</v>
      </c>
      <c r="G2255" s="2" t="s">
        <v>566</v>
      </c>
      <c r="H2255" s="2" t="s">
        <v>567</v>
      </c>
      <c r="I2255" s="2" t="s">
        <v>568</v>
      </c>
      <c r="J2255" s="4">
        <v>-0.06</v>
      </c>
      <c r="K2255" s="2" t="s">
        <v>273</v>
      </c>
      <c r="L2255" s="2">
        <v>2023</v>
      </c>
      <c r="M2255" s="2" t="s">
        <v>274</v>
      </c>
      <c r="N2255" s="2" t="s">
        <v>23</v>
      </c>
      <c r="O2255">
        <f t="shared" si="70"/>
        <v>1</v>
      </c>
      <c r="P2255">
        <f t="shared" si="71"/>
        <v>23.564</v>
      </c>
    </row>
    <row r="2256" spans="1:16" x14ac:dyDescent="0.35">
      <c r="A2256" s="9" t="s">
        <v>290</v>
      </c>
      <c r="B2256" s="2">
        <v>167.46</v>
      </c>
      <c r="C2256" s="2">
        <v>168.76499999999999</v>
      </c>
      <c r="D2256" s="2">
        <v>167.18</v>
      </c>
      <c r="E2256" s="2">
        <v>168.39</v>
      </c>
      <c r="F2256" s="2">
        <v>4683605</v>
      </c>
      <c r="G2256" s="2" t="s">
        <v>566</v>
      </c>
      <c r="H2256" s="2" t="s">
        <v>567</v>
      </c>
      <c r="I2256" s="2" t="s">
        <v>568</v>
      </c>
      <c r="J2256" s="3">
        <v>0.59099999999999997</v>
      </c>
      <c r="K2256" s="2" t="s">
        <v>273</v>
      </c>
      <c r="L2256" s="2">
        <v>2023</v>
      </c>
      <c r="M2256" s="2" t="s">
        <v>274</v>
      </c>
      <c r="N2256" s="2" t="s">
        <v>21</v>
      </c>
      <c r="O2256">
        <f t="shared" si="70"/>
        <v>1.5849999999999795</v>
      </c>
      <c r="P2256">
        <f t="shared" si="71"/>
        <v>24.155000000000001</v>
      </c>
    </row>
    <row r="2257" spans="1:16" x14ac:dyDescent="0.35">
      <c r="A2257" s="9" t="s">
        <v>291</v>
      </c>
      <c r="B2257" s="2">
        <v>167.84</v>
      </c>
      <c r="C2257" s="2">
        <v>169.47</v>
      </c>
      <c r="D2257" s="2">
        <v>167.58</v>
      </c>
      <c r="E2257" s="2">
        <v>169.4</v>
      </c>
      <c r="F2257" s="2">
        <v>6428643</v>
      </c>
      <c r="G2257" s="2" t="s">
        <v>566</v>
      </c>
      <c r="H2257" s="2" t="s">
        <v>567</v>
      </c>
      <c r="I2257" s="2" t="s">
        <v>568</v>
      </c>
      <c r="J2257" s="3">
        <v>0.6</v>
      </c>
      <c r="K2257" s="2" t="s">
        <v>273</v>
      </c>
      <c r="L2257" s="2">
        <v>2023</v>
      </c>
      <c r="M2257" s="2" t="s">
        <v>274</v>
      </c>
      <c r="N2257" s="2" t="s">
        <v>21</v>
      </c>
      <c r="O2257">
        <f t="shared" si="70"/>
        <v>1.8899999999999864</v>
      </c>
      <c r="P2257">
        <f t="shared" si="71"/>
        <v>24.755000000000003</v>
      </c>
    </row>
    <row r="2258" spans="1:16" x14ac:dyDescent="0.35">
      <c r="A2258" s="9" t="s">
        <v>292</v>
      </c>
      <c r="B2258" s="2">
        <v>169.35</v>
      </c>
      <c r="C2258" s="2">
        <v>170.66</v>
      </c>
      <c r="D2258" s="2">
        <v>168.995</v>
      </c>
      <c r="E2258" s="2">
        <v>170.3</v>
      </c>
      <c r="F2258" s="2">
        <v>6320129</v>
      </c>
      <c r="G2258" s="2" t="s">
        <v>566</v>
      </c>
      <c r="H2258" s="2" t="s">
        <v>567</v>
      </c>
      <c r="I2258" s="2" t="s">
        <v>568</v>
      </c>
      <c r="J2258" s="3">
        <v>0.53100000000000003</v>
      </c>
      <c r="K2258" s="2" t="s">
        <v>273</v>
      </c>
      <c r="L2258" s="2">
        <v>2023</v>
      </c>
      <c r="M2258" s="2" t="s">
        <v>274</v>
      </c>
      <c r="N2258" s="2" t="s">
        <v>21</v>
      </c>
      <c r="O2258">
        <f t="shared" si="70"/>
        <v>1.664999999999992</v>
      </c>
      <c r="P2258">
        <f t="shared" si="71"/>
        <v>25.286000000000001</v>
      </c>
    </row>
    <row r="2259" spans="1:16" x14ac:dyDescent="0.35">
      <c r="A2259" s="9" t="s">
        <v>293</v>
      </c>
      <c r="B2259" s="2">
        <v>170</v>
      </c>
      <c r="C2259" s="2">
        <v>170.69</v>
      </c>
      <c r="D2259" s="2">
        <v>169.63</v>
      </c>
      <c r="E2259" s="2">
        <v>170.1</v>
      </c>
      <c r="F2259" s="2">
        <v>6435102</v>
      </c>
      <c r="G2259" s="2" t="s">
        <v>566</v>
      </c>
      <c r="H2259" s="2" t="s">
        <v>567</v>
      </c>
      <c r="I2259" s="2" t="s">
        <v>568</v>
      </c>
      <c r="J2259" s="4">
        <v>-0.11700000000000001</v>
      </c>
      <c r="K2259" s="2" t="s">
        <v>273</v>
      </c>
      <c r="L2259" s="2">
        <v>2023</v>
      </c>
      <c r="M2259" s="2" t="s">
        <v>274</v>
      </c>
      <c r="N2259" s="2" t="s">
        <v>23</v>
      </c>
      <c r="O2259">
        <f t="shared" si="70"/>
        <v>1.0600000000000023</v>
      </c>
      <c r="P2259">
        <f t="shared" si="71"/>
        <v>25.169</v>
      </c>
    </row>
    <row r="2260" spans="1:16" x14ac:dyDescent="0.35">
      <c r="A2260" s="9" t="s">
        <v>294</v>
      </c>
      <c r="B2260" s="2">
        <v>169.09</v>
      </c>
      <c r="C2260" s="2">
        <v>172.17</v>
      </c>
      <c r="D2260" s="2">
        <v>168.91</v>
      </c>
      <c r="E2260" s="2">
        <v>172.08</v>
      </c>
      <c r="F2260" s="2">
        <v>9977424</v>
      </c>
      <c r="G2260" s="2" t="s">
        <v>566</v>
      </c>
      <c r="H2260" s="2" t="s">
        <v>567</v>
      </c>
      <c r="I2260" s="2" t="s">
        <v>568</v>
      </c>
      <c r="J2260" s="3">
        <v>1.1639999999999999</v>
      </c>
      <c r="K2260" s="2" t="s">
        <v>295</v>
      </c>
      <c r="L2260" s="2">
        <v>2024</v>
      </c>
      <c r="M2260" s="2" t="s">
        <v>19</v>
      </c>
      <c r="N2260" s="2" t="s">
        <v>21</v>
      </c>
      <c r="O2260">
        <f t="shared" si="70"/>
        <v>3.2599999999999909</v>
      </c>
      <c r="P2260">
        <f t="shared" si="71"/>
        <v>26.333000000000002</v>
      </c>
    </row>
    <row r="2261" spans="1:16" x14ac:dyDescent="0.35">
      <c r="A2261" s="9" t="s">
        <v>296</v>
      </c>
      <c r="B2261" s="2">
        <v>171.86</v>
      </c>
      <c r="C2261" s="2">
        <v>172.04</v>
      </c>
      <c r="D2261" s="2">
        <v>170.37</v>
      </c>
      <c r="E2261" s="2">
        <v>171.33</v>
      </c>
      <c r="F2261" s="2">
        <v>9852335</v>
      </c>
      <c r="G2261" s="2" t="s">
        <v>566</v>
      </c>
      <c r="H2261" s="2" t="s">
        <v>567</v>
      </c>
      <c r="I2261" s="2" t="s">
        <v>568</v>
      </c>
      <c r="J2261" s="4">
        <v>-0.436</v>
      </c>
      <c r="K2261" s="2" t="s">
        <v>295</v>
      </c>
      <c r="L2261" s="2">
        <v>2024</v>
      </c>
      <c r="M2261" s="2" t="s">
        <v>19</v>
      </c>
      <c r="N2261" s="2" t="s">
        <v>23</v>
      </c>
      <c r="O2261">
        <f t="shared" si="70"/>
        <v>1.6699999999999875</v>
      </c>
      <c r="P2261">
        <f t="shared" si="71"/>
        <v>25.897000000000002</v>
      </c>
    </row>
    <row r="2262" spans="1:16" x14ac:dyDescent="0.35">
      <c r="A2262" s="9" t="s">
        <v>297</v>
      </c>
      <c r="B2262" s="2">
        <v>170.64</v>
      </c>
      <c r="C2262" s="2">
        <v>173.35</v>
      </c>
      <c r="D2262" s="2">
        <v>170.54</v>
      </c>
      <c r="E2262" s="2">
        <v>171.41</v>
      </c>
      <c r="F2262" s="2">
        <v>11972545</v>
      </c>
      <c r="G2262" s="2" t="s">
        <v>566</v>
      </c>
      <c r="H2262" s="2" t="s">
        <v>567</v>
      </c>
      <c r="I2262" s="2" t="s">
        <v>568</v>
      </c>
      <c r="J2262" s="3">
        <v>4.7E-2</v>
      </c>
      <c r="K2262" s="2" t="s">
        <v>295</v>
      </c>
      <c r="L2262" s="2">
        <v>2024</v>
      </c>
      <c r="M2262" s="2" t="s">
        <v>19</v>
      </c>
      <c r="N2262" s="2" t="s">
        <v>21</v>
      </c>
      <c r="O2262">
        <f t="shared" si="70"/>
        <v>2.8100000000000023</v>
      </c>
      <c r="P2262">
        <f t="shared" si="71"/>
        <v>25.944000000000003</v>
      </c>
    </row>
    <row r="2263" spans="1:16" x14ac:dyDescent="0.35">
      <c r="A2263" s="9" t="s">
        <v>298</v>
      </c>
      <c r="B2263" s="2">
        <v>171.47</v>
      </c>
      <c r="C2263" s="2">
        <v>173.38</v>
      </c>
      <c r="D2263" s="2">
        <v>171.47</v>
      </c>
      <c r="E2263" s="2">
        <v>172.27</v>
      </c>
      <c r="F2263" s="2">
        <v>10066029</v>
      </c>
      <c r="G2263" s="2" t="s">
        <v>566</v>
      </c>
      <c r="H2263" s="2" t="s">
        <v>567</v>
      </c>
      <c r="I2263" s="2" t="s">
        <v>568</v>
      </c>
      <c r="J2263" s="3">
        <v>0.502</v>
      </c>
      <c r="K2263" s="2" t="s">
        <v>295</v>
      </c>
      <c r="L2263" s="2">
        <v>2024</v>
      </c>
      <c r="M2263" s="2" t="s">
        <v>19</v>
      </c>
      <c r="N2263" s="2" t="s">
        <v>21</v>
      </c>
      <c r="O2263">
        <f t="shared" si="70"/>
        <v>1.9099999999999966</v>
      </c>
      <c r="P2263">
        <f t="shared" si="71"/>
        <v>26.446000000000002</v>
      </c>
    </row>
    <row r="2264" spans="1:16" x14ac:dyDescent="0.35">
      <c r="A2264" s="9" t="s">
        <v>299</v>
      </c>
      <c r="B2264" s="2">
        <v>172.02</v>
      </c>
      <c r="C2264" s="2">
        <v>172.36</v>
      </c>
      <c r="D2264" s="2">
        <v>169.48500000000001</v>
      </c>
      <c r="E2264" s="2">
        <v>172.02</v>
      </c>
      <c r="F2264" s="2">
        <v>11229916</v>
      </c>
      <c r="G2264" s="2" t="s">
        <v>566</v>
      </c>
      <c r="H2264" s="2" t="s">
        <v>567</v>
      </c>
      <c r="I2264" s="2" t="s">
        <v>568</v>
      </c>
      <c r="J2264" s="4">
        <v>-0.14499999999999999</v>
      </c>
      <c r="K2264" s="2" t="s">
        <v>295</v>
      </c>
      <c r="L2264" s="2">
        <v>2024</v>
      </c>
      <c r="M2264" s="2" t="s">
        <v>19</v>
      </c>
      <c r="N2264" s="2" t="s">
        <v>23</v>
      </c>
      <c r="O2264">
        <f t="shared" si="70"/>
        <v>2.875</v>
      </c>
      <c r="P2264">
        <f t="shared" si="71"/>
        <v>26.301000000000002</v>
      </c>
    </row>
    <row r="2265" spans="1:16" x14ac:dyDescent="0.35">
      <c r="A2265" s="9" t="s">
        <v>300</v>
      </c>
      <c r="B2265" s="2">
        <v>171.62</v>
      </c>
      <c r="C2265" s="2">
        <v>171.79</v>
      </c>
      <c r="D2265" s="2">
        <v>170.095</v>
      </c>
      <c r="E2265" s="2">
        <v>170.66</v>
      </c>
      <c r="F2265" s="2">
        <v>9923630</v>
      </c>
      <c r="G2265" s="2" t="s">
        <v>566</v>
      </c>
      <c r="H2265" s="2" t="s">
        <v>567</v>
      </c>
      <c r="I2265" s="2" t="s">
        <v>568</v>
      </c>
      <c r="J2265" s="4">
        <v>-0.79100000000000004</v>
      </c>
      <c r="K2265" s="2" t="s">
        <v>295</v>
      </c>
      <c r="L2265" s="2">
        <v>2024</v>
      </c>
      <c r="M2265" s="2" t="s">
        <v>19</v>
      </c>
      <c r="N2265" s="2" t="s">
        <v>23</v>
      </c>
      <c r="O2265">
        <f t="shared" si="70"/>
        <v>1.6949999999999932</v>
      </c>
      <c r="P2265">
        <f t="shared" si="71"/>
        <v>25.51</v>
      </c>
    </row>
    <row r="2266" spans="1:16" x14ac:dyDescent="0.35">
      <c r="A2266" s="9" t="s">
        <v>301</v>
      </c>
      <c r="B2266" s="2">
        <v>170</v>
      </c>
      <c r="C2266" s="2">
        <v>171.08</v>
      </c>
      <c r="D2266" s="2">
        <v>168.95</v>
      </c>
      <c r="E2266" s="2">
        <v>171.02</v>
      </c>
      <c r="F2266" s="2">
        <v>9670218</v>
      </c>
      <c r="G2266" s="2" t="s">
        <v>566</v>
      </c>
      <c r="H2266" s="2" t="s">
        <v>567</v>
      </c>
      <c r="I2266" s="2" t="s">
        <v>568</v>
      </c>
      <c r="J2266" s="3">
        <v>0.21099999999999999</v>
      </c>
      <c r="K2266" s="2" t="s">
        <v>295</v>
      </c>
      <c r="L2266" s="2">
        <v>2024</v>
      </c>
      <c r="M2266" s="2" t="s">
        <v>19</v>
      </c>
      <c r="N2266" s="2" t="s">
        <v>21</v>
      </c>
      <c r="O2266">
        <f t="shared" si="70"/>
        <v>2.1300000000000239</v>
      </c>
      <c r="P2266">
        <f t="shared" si="71"/>
        <v>25.721</v>
      </c>
    </row>
    <row r="2267" spans="1:16" x14ac:dyDescent="0.35">
      <c r="A2267" s="9" t="s">
        <v>302</v>
      </c>
      <c r="B2267" s="2">
        <v>170.33</v>
      </c>
      <c r="C2267" s="2">
        <v>170.36</v>
      </c>
      <c r="D2267" s="2">
        <v>168.64</v>
      </c>
      <c r="E2267" s="2">
        <v>170.3</v>
      </c>
      <c r="F2267" s="2">
        <v>11919498</v>
      </c>
      <c r="G2267" s="2" t="s">
        <v>566</v>
      </c>
      <c r="H2267" s="2" t="s">
        <v>567</v>
      </c>
      <c r="I2267" s="2" t="s">
        <v>568</v>
      </c>
      <c r="J2267" s="4">
        <v>-0.42099999999999999</v>
      </c>
      <c r="K2267" s="2" t="s">
        <v>295</v>
      </c>
      <c r="L2267" s="2">
        <v>2024</v>
      </c>
      <c r="M2267" s="2" t="s">
        <v>19</v>
      </c>
      <c r="N2267" s="2" t="s">
        <v>23</v>
      </c>
      <c r="O2267">
        <f t="shared" si="70"/>
        <v>1.7200000000000273</v>
      </c>
      <c r="P2267">
        <f t="shared" si="71"/>
        <v>25.3</v>
      </c>
    </row>
    <row r="2268" spans="1:16" x14ac:dyDescent="0.35">
      <c r="A2268" s="9" t="s">
        <v>303</v>
      </c>
      <c r="B2268" s="2">
        <v>173.8</v>
      </c>
      <c r="C2268" s="2">
        <v>176.31</v>
      </c>
      <c r="D2268" s="2">
        <v>168.9</v>
      </c>
      <c r="E2268" s="2">
        <v>169.05</v>
      </c>
      <c r="F2268" s="2">
        <v>19436504</v>
      </c>
      <c r="G2268" s="2" t="s">
        <v>566</v>
      </c>
      <c r="H2268" s="2" t="s">
        <v>567</v>
      </c>
      <c r="I2268" s="2" t="s">
        <v>568</v>
      </c>
      <c r="J2268" s="4">
        <v>-0.73399999999999999</v>
      </c>
      <c r="K2268" s="2" t="s">
        <v>295</v>
      </c>
      <c r="L2268" s="2">
        <v>2024</v>
      </c>
      <c r="M2268" s="2" t="s">
        <v>19</v>
      </c>
      <c r="N2268" s="2" t="s">
        <v>23</v>
      </c>
      <c r="O2268">
        <f t="shared" si="70"/>
        <v>7.4099999999999966</v>
      </c>
      <c r="P2268">
        <f t="shared" si="71"/>
        <v>24.566000000000003</v>
      </c>
    </row>
    <row r="2269" spans="1:16" x14ac:dyDescent="0.35">
      <c r="A2269" s="9" t="s">
        <v>304</v>
      </c>
      <c r="B2269" s="2">
        <v>164.87</v>
      </c>
      <c r="C2269" s="2">
        <v>168.09</v>
      </c>
      <c r="D2269" s="2">
        <v>164.3</v>
      </c>
      <c r="E2269" s="2">
        <v>167.99</v>
      </c>
      <c r="F2269" s="2">
        <v>17206420</v>
      </c>
      <c r="G2269" s="2" t="s">
        <v>566</v>
      </c>
      <c r="H2269" s="2" t="s">
        <v>567</v>
      </c>
      <c r="I2269" s="2" t="s">
        <v>568</v>
      </c>
      <c r="J2269" s="4">
        <v>-0.627</v>
      </c>
      <c r="K2269" s="2" t="s">
        <v>295</v>
      </c>
      <c r="L2269" s="2">
        <v>2024</v>
      </c>
      <c r="M2269" s="2" t="s">
        <v>19</v>
      </c>
      <c r="N2269" s="2" t="s">
        <v>23</v>
      </c>
      <c r="O2269">
        <f t="shared" si="70"/>
        <v>3.789999999999992</v>
      </c>
      <c r="P2269">
        <f t="shared" si="71"/>
        <v>23.939000000000004</v>
      </c>
    </row>
    <row r="2270" spans="1:16" x14ac:dyDescent="0.35">
      <c r="A2270" s="9" t="s">
        <v>305</v>
      </c>
      <c r="B2270" s="2">
        <v>167.34</v>
      </c>
      <c r="C2270" s="2">
        <v>169.07</v>
      </c>
      <c r="D2270" s="2">
        <v>166.49</v>
      </c>
      <c r="E2270" s="2">
        <v>167.09</v>
      </c>
      <c r="F2270" s="2">
        <v>11107466</v>
      </c>
      <c r="G2270" s="2" t="s">
        <v>566</v>
      </c>
      <c r="H2270" s="2" t="s">
        <v>567</v>
      </c>
      <c r="I2270" s="2" t="s">
        <v>568</v>
      </c>
      <c r="J2270" s="4">
        <v>-0.53600000000000003</v>
      </c>
      <c r="K2270" s="2" t="s">
        <v>295</v>
      </c>
      <c r="L2270" s="2">
        <v>2024</v>
      </c>
      <c r="M2270" s="2" t="s">
        <v>19</v>
      </c>
      <c r="N2270" s="2" t="s">
        <v>23</v>
      </c>
      <c r="O2270">
        <f t="shared" si="70"/>
        <v>2.5799999999999841</v>
      </c>
      <c r="P2270">
        <f t="shared" si="71"/>
        <v>23.403000000000002</v>
      </c>
    </row>
    <row r="2271" spans="1:16" x14ac:dyDescent="0.35">
      <c r="A2271" s="9" t="s">
        <v>306</v>
      </c>
      <c r="B2271" s="2">
        <v>167.12</v>
      </c>
      <c r="C2271" s="2">
        <v>167.53</v>
      </c>
      <c r="D2271" s="2">
        <v>165.24</v>
      </c>
      <c r="E2271" s="2">
        <v>167.42</v>
      </c>
      <c r="F2271" s="2">
        <v>9382255</v>
      </c>
      <c r="G2271" s="2" t="s">
        <v>566</v>
      </c>
      <c r="H2271" s="2" t="s">
        <v>567</v>
      </c>
      <c r="I2271" s="2" t="s">
        <v>568</v>
      </c>
      <c r="J2271" s="3">
        <v>0.19700000000000001</v>
      </c>
      <c r="K2271" s="2" t="s">
        <v>295</v>
      </c>
      <c r="L2271" s="2">
        <v>2024</v>
      </c>
      <c r="M2271" s="2" t="s">
        <v>19</v>
      </c>
      <c r="N2271" s="2" t="s">
        <v>21</v>
      </c>
      <c r="O2271">
        <f t="shared" si="70"/>
        <v>2.289999999999992</v>
      </c>
      <c r="P2271">
        <f t="shared" si="71"/>
        <v>23.6</v>
      </c>
    </row>
    <row r="2272" spans="1:16" x14ac:dyDescent="0.35">
      <c r="A2272" s="9" t="s">
        <v>307</v>
      </c>
      <c r="B2272" s="2">
        <v>167.55</v>
      </c>
      <c r="C2272" s="2">
        <v>170.57</v>
      </c>
      <c r="D2272" s="2">
        <v>167.08</v>
      </c>
      <c r="E2272" s="2">
        <v>170.31</v>
      </c>
      <c r="F2272" s="2">
        <v>13115664</v>
      </c>
      <c r="G2272" s="2" t="s">
        <v>566</v>
      </c>
      <c r="H2272" s="2" t="s">
        <v>567</v>
      </c>
      <c r="I2272" s="2" t="s">
        <v>568</v>
      </c>
      <c r="J2272" s="3">
        <v>1.726</v>
      </c>
      <c r="K2272" s="2" t="s">
        <v>295</v>
      </c>
      <c r="L2272" s="2">
        <v>2024</v>
      </c>
      <c r="M2272" s="2" t="s">
        <v>19</v>
      </c>
      <c r="N2272" s="2" t="s">
        <v>21</v>
      </c>
      <c r="O2272">
        <f t="shared" si="70"/>
        <v>3.4899999999999807</v>
      </c>
      <c r="P2272">
        <f t="shared" si="71"/>
        <v>25.326000000000001</v>
      </c>
    </row>
    <row r="2273" spans="1:16" x14ac:dyDescent="0.35">
      <c r="A2273" s="9" t="s">
        <v>308</v>
      </c>
      <c r="B2273" s="2">
        <v>170.46</v>
      </c>
      <c r="C2273" s="2">
        <v>171.98</v>
      </c>
      <c r="D2273" s="2">
        <v>169.71</v>
      </c>
      <c r="E2273" s="2">
        <v>170.11</v>
      </c>
      <c r="F2273" s="2">
        <v>12837505</v>
      </c>
      <c r="G2273" s="2" t="s">
        <v>566</v>
      </c>
      <c r="H2273" s="2" t="s">
        <v>567</v>
      </c>
      <c r="I2273" s="2" t="s">
        <v>568</v>
      </c>
      <c r="J2273" s="4">
        <v>-0.11700000000000001</v>
      </c>
      <c r="K2273" s="2" t="s">
        <v>295</v>
      </c>
      <c r="L2273" s="2">
        <v>2024</v>
      </c>
      <c r="M2273" s="2" t="s">
        <v>19</v>
      </c>
      <c r="N2273" s="2" t="s">
        <v>23</v>
      </c>
      <c r="O2273">
        <f t="shared" si="70"/>
        <v>2.2699999999999818</v>
      </c>
      <c r="P2273">
        <f t="shared" si="71"/>
        <v>25.209</v>
      </c>
    </row>
    <row r="2274" spans="1:16" x14ac:dyDescent="0.35">
      <c r="A2274" s="9" t="s">
        <v>309</v>
      </c>
      <c r="B2274" s="2">
        <v>169.67</v>
      </c>
      <c r="C2274" s="2">
        <v>169.75</v>
      </c>
      <c r="D2274" s="2">
        <v>168.44</v>
      </c>
      <c r="E2274" s="2">
        <v>168.99</v>
      </c>
      <c r="F2274" s="2">
        <v>8360829</v>
      </c>
      <c r="G2274" s="2" t="s">
        <v>566</v>
      </c>
      <c r="H2274" s="2" t="s">
        <v>567</v>
      </c>
      <c r="I2274" s="2" t="s">
        <v>568</v>
      </c>
      <c r="J2274" s="4">
        <v>-0.65800000000000003</v>
      </c>
      <c r="K2274" s="2" t="s">
        <v>295</v>
      </c>
      <c r="L2274" s="2">
        <v>2024</v>
      </c>
      <c r="M2274" s="2" t="s">
        <v>19</v>
      </c>
      <c r="N2274" s="2" t="s">
        <v>23</v>
      </c>
      <c r="O2274">
        <f t="shared" si="70"/>
        <v>1.3100000000000023</v>
      </c>
      <c r="P2274">
        <f t="shared" si="71"/>
        <v>24.550999999999998</v>
      </c>
    </row>
    <row r="2275" spans="1:16" x14ac:dyDescent="0.35">
      <c r="A2275" s="9" t="s">
        <v>310</v>
      </c>
      <c r="B2275" s="2">
        <v>169.36</v>
      </c>
      <c r="C2275" s="2">
        <v>171.01</v>
      </c>
      <c r="D2275" s="2">
        <v>168.863</v>
      </c>
      <c r="E2275" s="2">
        <v>170.5</v>
      </c>
      <c r="F2275" s="2">
        <v>9967060</v>
      </c>
      <c r="G2275" s="2" t="s">
        <v>566</v>
      </c>
      <c r="H2275" s="2" t="s">
        <v>567</v>
      </c>
      <c r="I2275" s="2" t="s">
        <v>568</v>
      </c>
      <c r="J2275" s="3">
        <v>0.89400000000000002</v>
      </c>
      <c r="K2275" s="2" t="s">
        <v>295</v>
      </c>
      <c r="L2275" s="2">
        <v>2024</v>
      </c>
      <c r="M2275" s="2" t="s">
        <v>19</v>
      </c>
      <c r="N2275" s="2" t="s">
        <v>21</v>
      </c>
      <c r="O2275">
        <f t="shared" si="70"/>
        <v>2.1469999999999914</v>
      </c>
      <c r="P2275">
        <f t="shared" si="71"/>
        <v>25.444999999999997</v>
      </c>
    </row>
    <row r="2276" spans="1:16" x14ac:dyDescent="0.35">
      <c r="A2276" s="9" t="s">
        <v>311</v>
      </c>
      <c r="B2276" s="2">
        <v>172.31</v>
      </c>
      <c r="C2276" s="2">
        <v>172.99</v>
      </c>
      <c r="D2276" s="2">
        <v>170.905</v>
      </c>
      <c r="E2276" s="2">
        <v>172.94</v>
      </c>
      <c r="F2276" s="2">
        <v>8873481</v>
      </c>
      <c r="G2276" s="2" t="s">
        <v>566</v>
      </c>
      <c r="H2276" s="2" t="s">
        <v>567</v>
      </c>
      <c r="I2276" s="2" t="s">
        <v>568</v>
      </c>
      <c r="J2276" s="3">
        <v>1.431</v>
      </c>
      <c r="K2276" s="2" t="s">
        <v>295</v>
      </c>
      <c r="L2276" s="2">
        <v>2024</v>
      </c>
      <c r="M2276" s="2" t="s">
        <v>19</v>
      </c>
      <c r="N2276" s="2" t="s">
        <v>21</v>
      </c>
      <c r="O2276">
        <f t="shared" si="70"/>
        <v>2.085000000000008</v>
      </c>
      <c r="P2276">
        <f t="shared" si="71"/>
        <v>26.875999999999998</v>
      </c>
    </row>
    <row r="2277" spans="1:16" x14ac:dyDescent="0.35">
      <c r="A2277" s="9" t="s">
        <v>312</v>
      </c>
      <c r="B2277" s="2">
        <v>172.61</v>
      </c>
      <c r="C2277" s="2">
        <v>173.06</v>
      </c>
      <c r="D2277" s="2">
        <v>171.78</v>
      </c>
      <c r="E2277" s="2">
        <v>172.28</v>
      </c>
      <c r="F2277" s="2">
        <v>7442955</v>
      </c>
      <c r="G2277" s="2" t="s">
        <v>566</v>
      </c>
      <c r="H2277" s="2" t="s">
        <v>567</v>
      </c>
      <c r="I2277" s="2" t="s">
        <v>568</v>
      </c>
      <c r="J2277" s="4">
        <v>-0.38200000000000001</v>
      </c>
      <c r="K2277" s="2" t="s">
        <v>295</v>
      </c>
      <c r="L2277" s="2">
        <v>2024</v>
      </c>
      <c r="M2277" s="2" t="s">
        <v>19</v>
      </c>
      <c r="N2277" s="2" t="s">
        <v>23</v>
      </c>
      <c r="O2277">
        <f t="shared" si="70"/>
        <v>1.2800000000000011</v>
      </c>
      <c r="P2277">
        <f t="shared" si="71"/>
        <v>26.493999999999996</v>
      </c>
    </row>
    <row r="2278" spans="1:16" x14ac:dyDescent="0.35">
      <c r="A2278" s="9" t="s">
        <v>313</v>
      </c>
      <c r="B2278" s="2">
        <v>172.24</v>
      </c>
      <c r="C2278" s="2">
        <v>172.84</v>
      </c>
      <c r="D2278" s="2">
        <v>171.3</v>
      </c>
      <c r="E2278" s="2">
        <v>172.73</v>
      </c>
      <c r="F2278" s="2">
        <v>6971192</v>
      </c>
      <c r="G2278" s="2" t="s">
        <v>566</v>
      </c>
      <c r="H2278" s="2" t="s">
        <v>567</v>
      </c>
      <c r="I2278" s="2" t="s">
        <v>568</v>
      </c>
      <c r="J2278" s="3">
        <v>0.26100000000000001</v>
      </c>
      <c r="K2278" s="2" t="s">
        <v>295</v>
      </c>
      <c r="L2278" s="2">
        <v>2024</v>
      </c>
      <c r="M2278" s="2" t="s">
        <v>19</v>
      </c>
      <c r="N2278" s="2" t="s">
        <v>21</v>
      </c>
      <c r="O2278">
        <f t="shared" si="70"/>
        <v>1.539999999999992</v>
      </c>
      <c r="P2278">
        <f t="shared" si="71"/>
        <v>26.754999999999995</v>
      </c>
    </row>
    <row r="2279" spans="1:16" x14ac:dyDescent="0.35">
      <c r="A2279" s="9" t="s">
        <v>314</v>
      </c>
      <c r="B2279" s="2">
        <v>172.83</v>
      </c>
      <c r="C2279" s="2">
        <v>176.76</v>
      </c>
      <c r="D2279" s="2">
        <v>172.83</v>
      </c>
      <c r="E2279" s="2">
        <v>176.27</v>
      </c>
      <c r="F2279" s="2">
        <v>10822075</v>
      </c>
      <c r="G2279" s="2" t="s">
        <v>566</v>
      </c>
      <c r="H2279" s="2" t="s">
        <v>567</v>
      </c>
      <c r="I2279" s="2" t="s">
        <v>568</v>
      </c>
      <c r="J2279" s="3">
        <v>2.0489999999999999</v>
      </c>
      <c r="K2279" s="2" t="s">
        <v>295</v>
      </c>
      <c r="L2279" s="2">
        <v>2024</v>
      </c>
      <c r="M2279" s="2" t="s">
        <v>19</v>
      </c>
      <c r="N2279" s="2" t="s">
        <v>21</v>
      </c>
      <c r="O2279">
        <f t="shared" si="70"/>
        <v>3.9299999999999784</v>
      </c>
      <c r="P2279">
        <f t="shared" si="71"/>
        <v>28.803999999999995</v>
      </c>
    </row>
    <row r="2280" spans="1:16" x14ac:dyDescent="0.35">
      <c r="A2280" s="9" t="s">
        <v>315</v>
      </c>
      <c r="B2280" s="2">
        <v>176.2</v>
      </c>
      <c r="C2280" s="2">
        <v>178.3</v>
      </c>
      <c r="D2280" s="2">
        <v>174.34</v>
      </c>
      <c r="E2280" s="2">
        <v>174.36</v>
      </c>
      <c r="F2280" s="2">
        <v>11521820</v>
      </c>
      <c r="G2280" s="2" t="s">
        <v>566</v>
      </c>
      <c r="H2280" s="2" t="s">
        <v>567</v>
      </c>
      <c r="I2280" s="2" t="s">
        <v>568</v>
      </c>
      <c r="J2280" s="4">
        <v>-1.0840000000000001</v>
      </c>
      <c r="K2280" s="2" t="s">
        <v>295</v>
      </c>
      <c r="L2280" s="2">
        <v>2024</v>
      </c>
      <c r="M2280" s="2" t="s">
        <v>19</v>
      </c>
      <c r="N2280" s="2" t="s">
        <v>23</v>
      </c>
      <c r="O2280">
        <f t="shared" si="70"/>
        <v>3.960000000000008</v>
      </c>
      <c r="P2280">
        <f t="shared" si="71"/>
        <v>27.719999999999995</v>
      </c>
    </row>
    <row r="2281" spans="1:16" x14ac:dyDescent="0.35">
      <c r="A2281" s="9" t="s">
        <v>316</v>
      </c>
      <c r="B2281" s="2">
        <v>173.64</v>
      </c>
      <c r="C2281" s="2">
        <v>174.84</v>
      </c>
      <c r="D2281" s="2">
        <v>171.43</v>
      </c>
      <c r="E2281" s="2">
        <v>173.73</v>
      </c>
      <c r="F2281" s="2">
        <v>9354798</v>
      </c>
      <c r="G2281" s="2" t="s">
        <v>566</v>
      </c>
      <c r="H2281" s="2" t="s">
        <v>567</v>
      </c>
      <c r="I2281" s="2" t="s">
        <v>568</v>
      </c>
      <c r="J2281" s="4">
        <v>-0.36099999999999999</v>
      </c>
      <c r="K2281" s="2" t="s">
        <v>317</v>
      </c>
      <c r="L2281" s="2">
        <v>2024</v>
      </c>
      <c r="M2281" s="2" t="s">
        <v>43</v>
      </c>
      <c r="N2281" s="2" t="s">
        <v>23</v>
      </c>
      <c r="O2281">
        <f t="shared" si="70"/>
        <v>3.4099999999999966</v>
      </c>
      <c r="P2281">
        <f t="shared" si="71"/>
        <v>27.358999999999995</v>
      </c>
    </row>
    <row r="2282" spans="1:16" x14ac:dyDescent="0.35">
      <c r="A2282" s="9" t="s">
        <v>318</v>
      </c>
      <c r="B2282" s="2">
        <v>173.3</v>
      </c>
      <c r="C2282" s="2">
        <v>175.816</v>
      </c>
      <c r="D2282" s="2">
        <v>173.26</v>
      </c>
      <c r="E2282" s="2">
        <v>174.73</v>
      </c>
      <c r="F2282" s="2">
        <v>8607839</v>
      </c>
      <c r="G2282" s="2" t="s">
        <v>566</v>
      </c>
      <c r="H2282" s="2" t="s">
        <v>567</v>
      </c>
      <c r="I2282" s="2" t="s">
        <v>568</v>
      </c>
      <c r="J2282" s="3">
        <v>0.57599999999999996</v>
      </c>
      <c r="K2282" s="2" t="s">
        <v>317</v>
      </c>
      <c r="L2282" s="2">
        <v>2024</v>
      </c>
      <c r="M2282" s="2" t="s">
        <v>43</v>
      </c>
      <c r="N2282" s="2" t="s">
        <v>21</v>
      </c>
      <c r="O2282">
        <f t="shared" si="70"/>
        <v>2.5560000000000116</v>
      </c>
      <c r="P2282">
        <f t="shared" si="71"/>
        <v>27.934999999999995</v>
      </c>
    </row>
    <row r="2283" spans="1:16" x14ac:dyDescent="0.35">
      <c r="A2283" s="9" t="s">
        <v>319</v>
      </c>
      <c r="B2283" s="2">
        <v>173.86</v>
      </c>
      <c r="C2283" s="2">
        <v>175.09</v>
      </c>
      <c r="D2283" s="2">
        <v>172.92</v>
      </c>
      <c r="E2283" s="2">
        <v>174.5</v>
      </c>
      <c r="F2283" s="2">
        <v>7820160</v>
      </c>
      <c r="G2283" s="2" t="s">
        <v>566</v>
      </c>
      <c r="H2283" s="2" t="s">
        <v>567</v>
      </c>
      <c r="I2283" s="2" t="s">
        <v>568</v>
      </c>
      <c r="J2283" s="4">
        <v>-0.13200000000000001</v>
      </c>
      <c r="K2283" s="2" t="s">
        <v>317</v>
      </c>
      <c r="L2283" s="2">
        <v>2024</v>
      </c>
      <c r="M2283" s="2" t="s">
        <v>43</v>
      </c>
      <c r="N2283" s="2" t="s">
        <v>23</v>
      </c>
      <c r="O2283">
        <f t="shared" si="70"/>
        <v>2.1700000000000159</v>
      </c>
      <c r="P2283">
        <f t="shared" si="71"/>
        <v>27.802999999999994</v>
      </c>
    </row>
    <row r="2284" spans="1:16" x14ac:dyDescent="0.35">
      <c r="A2284" s="9" t="s">
        <v>320</v>
      </c>
      <c r="B2284" s="2">
        <v>174.61</v>
      </c>
      <c r="C2284" s="2">
        <v>175.87</v>
      </c>
      <c r="D2284" s="2">
        <v>173.76</v>
      </c>
      <c r="E2284" s="2">
        <v>175.1</v>
      </c>
      <c r="F2284" s="2">
        <v>6765684</v>
      </c>
      <c r="G2284" s="2" t="s">
        <v>566</v>
      </c>
      <c r="H2284" s="2" t="s">
        <v>567</v>
      </c>
      <c r="I2284" s="2" t="s">
        <v>568</v>
      </c>
      <c r="J2284" s="3">
        <v>0.34399999999999997</v>
      </c>
      <c r="K2284" s="2" t="s">
        <v>317</v>
      </c>
      <c r="L2284" s="2">
        <v>2024</v>
      </c>
      <c r="M2284" s="2" t="s">
        <v>43</v>
      </c>
      <c r="N2284" s="2" t="s">
        <v>21</v>
      </c>
      <c r="O2284">
        <f t="shared" si="70"/>
        <v>2.1100000000000136</v>
      </c>
      <c r="P2284">
        <f t="shared" si="71"/>
        <v>28.146999999999995</v>
      </c>
    </row>
    <row r="2285" spans="1:16" x14ac:dyDescent="0.35">
      <c r="A2285" s="9" t="s">
        <v>321</v>
      </c>
      <c r="B2285" s="2">
        <v>175.69</v>
      </c>
      <c r="C2285" s="2">
        <v>175.87</v>
      </c>
      <c r="D2285" s="2">
        <v>173.96</v>
      </c>
      <c r="E2285" s="2">
        <v>175.43</v>
      </c>
      <c r="F2285" s="2">
        <v>7225478</v>
      </c>
      <c r="G2285" s="2" t="s">
        <v>566</v>
      </c>
      <c r="H2285" s="2" t="s">
        <v>567</v>
      </c>
      <c r="I2285" s="2" t="s">
        <v>568</v>
      </c>
      <c r="J2285" s="3">
        <v>0.188</v>
      </c>
      <c r="K2285" s="2" t="s">
        <v>317</v>
      </c>
      <c r="L2285" s="2">
        <v>2024</v>
      </c>
      <c r="M2285" s="2" t="s">
        <v>43</v>
      </c>
      <c r="N2285" s="2" t="s">
        <v>21</v>
      </c>
      <c r="O2285">
        <f t="shared" si="70"/>
        <v>1.9099999999999966</v>
      </c>
      <c r="P2285">
        <f t="shared" si="71"/>
        <v>28.334999999999994</v>
      </c>
    </row>
    <row r="2286" spans="1:16" x14ac:dyDescent="0.35">
      <c r="A2286" s="9" t="s">
        <v>322</v>
      </c>
      <c r="B2286" s="2">
        <v>175</v>
      </c>
      <c r="C2286" s="2">
        <v>175.30600000000001</v>
      </c>
      <c r="D2286" s="2">
        <v>173.57</v>
      </c>
      <c r="E2286" s="2">
        <v>174.8</v>
      </c>
      <c r="F2286" s="2">
        <v>6060285</v>
      </c>
      <c r="G2286" s="2" t="s">
        <v>566</v>
      </c>
      <c r="H2286" s="2" t="s">
        <v>567</v>
      </c>
      <c r="I2286" s="2" t="s">
        <v>568</v>
      </c>
      <c r="J2286" s="4">
        <v>-0.35899999999999999</v>
      </c>
      <c r="K2286" s="2" t="s">
        <v>317</v>
      </c>
      <c r="L2286" s="2">
        <v>2024</v>
      </c>
      <c r="M2286" s="2" t="s">
        <v>43</v>
      </c>
      <c r="N2286" s="2" t="s">
        <v>23</v>
      </c>
      <c r="O2286">
        <f t="shared" si="70"/>
        <v>1.7360000000000184</v>
      </c>
      <c r="P2286">
        <f t="shared" si="71"/>
        <v>27.975999999999992</v>
      </c>
    </row>
    <row r="2287" spans="1:16" x14ac:dyDescent="0.35">
      <c r="A2287" s="9" t="s">
        <v>323</v>
      </c>
      <c r="B2287" s="2">
        <v>175</v>
      </c>
      <c r="C2287" s="2">
        <v>175.1</v>
      </c>
      <c r="D2287" s="2">
        <v>173.673</v>
      </c>
      <c r="E2287" s="2">
        <v>175.01</v>
      </c>
      <c r="F2287" s="2">
        <v>6296729</v>
      </c>
      <c r="G2287" s="2" t="s">
        <v>566</v>
      </c>
      <c r="H2287" s="2" t="s">
        <v>567</v>
      </c>
      <c r="I2287" s="2" t="s">
        <v>568</v>
      </c>
      <c r="J2287" s="3">
        <v>0.12</v>
      </c>
      <c r="K2287" s="2" t="s">
        <v>317</v>
      </c>
      <c r="L2287" s="2">
        <v>2024</v>
      </c>
      <c r="M2287" s="2" t="s">
        <v>43</v>
      </c>
      <c r="N2287" s="2" t="s">
        <v>21</v>
      </c>
      <c r="O2287">
        <f t="shared" si="70"/>
        <v>1.4269999999999925</v>
      </c>
      <c r="P2287">
        <f t="shared" si="71"/>
        <v>28.095999999999993</v>
      </c>
    </row>
    <row r="2288" spans="1:16" x14ac:dyDescent="0.35">
      <c r="A2288" s="9" t="s">
        <v>324</v>
      </c>
      <c r="B2288" s="2">
        <v>174.78</v>
      </c>
      <c r="C2288" s="2">
        <v>176.80799999999999</v>
      </c>
      <c r="D2288" s="2">
        <v>173.7</v>
      </c>
      <c r="E2288" s="2">
        <v>175.79</v>
      </c>
      <c r="F2288" s="2">
        <v>8539316</v>
      </c>
      <c r="G2288" s="2" t="s">
        <v>566</v>
      </c>
      <c r="H2288" s="2" t="s">
        <v>567</v>
      </c>
      <c r="I2288" s="2" t="s">
        <v>568</v>
      </c>
      <c r="J2288" s="3">
        <v>0.44600000000000001</v>
      </c>
      <c r="K2288" s="2" t="s">
        <v>317</v>
      </c>
      <c r="L2288" s="2">
        <v>2024</v>
      </c>
      <c r="M2288" s="2" t="s">
        <v>43</v>
      </c>
      <c r="N2288" s="2" t="s">
        <v>21</v>
      </c>
      <c r="O2288">
        <f t="shared" si="70"/>
        <v>3.1080000000000041</v>
      </c>
      <c r="P2288">
        <f t="shared" si="71"/>
        <v>28.541999999999994</v>
      </c>
    </row>
    <row r="2289" spans="1:16" x14ac:dyDescent="0.35">
      <c r="A2289" s="9" t="s">
        <v>325</v>
      </c>
      <c r="B2289" s="2">
        <v>175.32</v>
      </c>
      <c r="C2289" s="2">
        <v>176.23</v>
      </c>
      <c r="D2289" s="2">
        <v>172.61500000000001</v>
      </c>
      <c r="E2289" s="2">
        <v>174.26</v>
      </c>
      <c r="F2289" s="2">
        <v>8397631</v>
      </c>
      <c r="G2289" s="2" t="s">
        <v>566</v>
      </c>
      <c r="H2289" s="2" t="s">
        <v>567</v>
      </c>
      <c r="I2289" s="2" t="s">
        <v>568</v>
      </c>
      <c r="J2289" s="4">
        <v>-0.87</v>
      </c>
      <c r="K2289" s="2" t="s">
        <v>317</v>
      </c>
      <c r="L2289" s="2">
        <v>2024</v>
      </c>
      <c r="M2289" s="2" t="s">
        <v>43</v>
      </c>
      <c r="N2289" s="2" t="s">
        <v>23</v>
      </c>
      <c r="O2289">
        <f t="shared" si="70"/>
        <v>3.6149999999999807</v>
      </c>
      <c r="P2289">
        <f t="shared" si="71"/>
        <v>27.671999999999993</v>
      </c>
    </row>
    <row r="2290" spans="1:16" x14ac:dyDescent="0.35">
      <c r="A2290" s="9" t="s">
        <v>326</v>
      </c>
      <c r="B2290" s="2">
        <v>175.07</v>
      </c>
      <c r="C2290" s="2">
        <v>176.1</v>
      </c>
      <c r="D2290" s="2">
        <v>174.42</v>
      </c>
      <c r="E2290" s="2">
        <v>176.03</v>
      </c>
      <c r="F2290" s="2">
        <v>7056664</v>
      </c>
      <c r="G2290" s="2" t="s">
        <v>566</v>
      </c>
      <c r="H2290" s="2" t="s">
        <v>567</v>
      </c>
      <c r="I2290" s="2" t="s">
        <v>568</v>
      </c>
      <c r="J2290" s="3">
        <v>1.016</v>
      </c>
      <c r="K2290" s="2" t="s">
        <v>317</v>
      </c>
      <c r="L2290" s="2">
        <v>2024</v>
      </c>
      <c r="M2290" s="2" t="s">
        <v>43</v>
      </c>
      <c r="N2290" s="2" t="s">
        <v>21</v>
      </c>
      <c r="O2290">
        <f t="shared" si="70"/>
        <v>1.6800000000000068</v>
      </c>
      <c r="P2290">
        <f t="shared" si="71"/>
        <v>28.687999999999995</v>
      </c>
    </row>
    <row r="2291" spans="1:16" x14ac:dyDescent="0.35">
      <c r="A2291" s="9" t="s">
        <v>327</v>
      </c>
      <c r="B2291" s="2">
        <v>176.15</v>
      </c>
      <c r="C2291" s="2">
        <v>180.21</v>
      </c>
      <c r="D2291" s="2">
        <v>176.15</v>
      </c>
      <c r="E2291" s="2">
        <v>179.87</v>
      </c>
      <c r="F2291" s="2">
        <v>8723390</v>
      </c>
      <c r="G2291" s="2" t="s">
        <v>566</v>
      </c>
      <c r="H2291" s="2" t="s">
        <v>567</v>
      </c>
      <c r="I2291" s="2" t="s">
        <v>568</v>
      </c>
      <c r="J2291" s="3">
        <v>2.181</v>
      </c>
      <c r="K2291" s="2" t="s">
        <v>317</v>
      </c>
      <c r="L2291" s="2">
        <v>2024</v>
      </c>
      <c r="M2291" s="2" t="s">
        <v>43</v>
      </c>
      <c r="N2291" s="2" t="s">
        <v>21</v>
      </c>
      <c r="O2291">
        <f t="shared" si="70"/>
        <v>4.0600000000000023</v>
      </c>
      <c r="P2291">
        <f t="shared" si="71"/>
        <v>30.868999999999996</v>
      </c>
    </row>
    <row r="2292" spans="1:16" x14ac:dyDescent="0.35">
      <c r="A2292" s="9" t="s">
        <v>328</v>
      </c>
      <c r="B2292" s="2">
        <v>179.61</v>
      </c>
      <c r="C2292" s="2">
        <v>179.98</v>
      </c>
      <c r="D2292" s="2">
        <v>178.16</v>
      </c>
      <c r="E2292" s="2">
        <v>179.03</v>
      </c>
      <c r="F2292" s="2">
        <v>8152647</v>
      </c>
      <c r="G2292" s="2" t="s">
        <v>566</v>
      </c>
      <c r="H2292" s="2" t="s">
        <v>567</v>
      </c>
      <c r="I2292" s="2" t="s">
        <v>568</v>
      </c>
      <c r="J2292" s="4">
        <v>-0.46700000000000003</v>
      </c>
      <c r="K2292" s="2" t="s">
        <v>317</v>
      </c>
      <c r="L2292" s="2">
        <v>2024</v>
      </c>
      <c r="M2292" s="2" t="s">
        <v>43</v>
      </c>
      <c r="N2292" s="2" t="s">
        <v>23</v>
      </c>
      <c r="O2292">
        <f t="shared" si="70"/>
        <v>1.8199999999999932</v>
      </c>
      <c r="P2292">
        <f t="shared" si="71"/>
        <v>30.401999999999997</v>
      </c>
    </row>
    <row r="2293" spans="1:16" x14ac:dyDescent="0.35">
      <c r="A2293" s="9" t="s">
        <v>329</v>
      </c>
      <c r="B2293" s="2">
        <v>179.19</v>
      </c>
      <c r="C2293" s="2">
        <v>180.46</v>
      </c>
      <c r="D2293" s="2">
        <v>178.405</v>
      </c>
      <c r="E2293" s="2">
        <v>179.73</v>
      </c>
      <c r="F2293" s="2">
        <v>9667959</v>
      </c>
      <c r="G2293" s="2" t="s">
        <v>566</v>
      </c>
      <c r="H2293" s="2" t="s">
        <v>567</v>
      </c>
      <c r="I2293" s="2" t="s">
        <v>568</v>
      </c>
      <c r="J2293" s="3">
        <v>0.39100000000000001</v>
      </c>
      <c r="K2293" s="2" t="s">
        <v>317</v>
      </c>
      <c r="L2293" s="2">
        <v>2024</v>
      </c>
      <c r="M2293" s="2" t="s">
        <v>43</v>
      </c>
      <c r="N2293" s="2" t="s">
        <v>21</v>
      </c>
      <c r="O2293">
        <f t="shared" si="70"/>
        <v>2.0550000000000068</v>
      </c>
      <c r="P2293">
        <f t="shared" si="71"/>
        <v>30.792999999999999</v>
      </c>
    </row>
    <row r="2294" spans="1:16" x14ac:dyDescent="0.35">
      <c r="A2294" s="9" t="s">
        <v>330</v>
      </c>
      <c r="B2294" s="2">
        <v>179.95</v>
      </c>
      <c r="C2294" s="2">
        <v>180.99</v>
      </c>
      <c r="D2294" s="2">
        <v>178.52</v>
      </c>
      <c r="E2294" s="2">
        <v>180.9</v>
      </c>
      <c r="F2294" s="2">
        <v>7027857</v>
      </c>
      <c r="G2294" s="2" t="s">
        <v>566</v>
      </c>
      <c r="H2294" s="2" t="s">
        <v>567</v>
      </c>
      <c r="I2294" s="2" t="s">
        <v>568</v>
      </c>
      <c r="J2294" s="3">
        <v>0.65100000000000002</v>
      </c>
      <c r="K2294" s="2" t="s">
        <v>317</v>
      </c>
      <c r="L2294" s="2">
        <v>2024</v>
      </c>
      <c r="M2294" s="2" t="s">
        <v>43</v>
      </c>
      <c r="N2294" s="2" t="s">
        <v>21</v>
      </c>
      <c r="O2294">
        <f t="shared" si="70"/>
        <v>2.4699999999999989</v>
      </c>
      <c r="P2294">
        <f t="shared" si="71"/>
        <v>31.443999999999999</v>
      </c>
    </row>
    <row r="2295" spans="1:16" x14ac:dyDescent="0.35">
      <c r="A2295" s="9" t="s">
        <v>331</v>
      </c>
      <c r="B2295" s="2">
        <v>181.82</v>
      </c>
      <c r="C2295" s="2">
        <v>183.42</v>
      </c>
      <c r="D2295" s="2">
        <v>181.24</v>
      </c>
      <c r="E2295" s="2">
        <v>183.07</v>
      </c>
      <c r="F2295" s="2">
        <v>9296459</v>
      </c>
      <c r="G2295" s="2" t="s">
        <v>566</v>
      </c>
      <c r="H2295" s="2" t="s">
        <v>567</v>
      </c>
      <c r="I2295" s="2" t="s">
        <v>568</v>
      </c>
      <c r="J2295" s="3">
        <v>1.2</v>
      </c>
      <c r="K2295" s="2" t="s">
        <v>317</v>
      </c>
      <c r="L2295" s="2">
        <v>2024</v>
      </c>
      <c r="M2295" s="2" t="s">
        <v>43</v>
      </c>
      <c r="N2295" s="2" t="s">
        <v>21</v>
      </c>
      <c r="O2295">
        <f t="shared" si="70"/>
        <v>2.1799999999999784</v>
      </c>
      <c r="P2295">
        <f t="shared" si="71"/>
        <v>32.643999999999998</v>
      </c>
    </row>
    <row r="2296" spans="1:16" x14ac:dyDescent="0.35">
      <c r="A2296" s="9" t="s">
        <v>332</v>
      </c>
      <c r="B2296" s="2">
        <v>183.81</v>
      </c>
      <c r="C2296" s="2">
        <v>185.2</v>
      </c>
      <c r="D2296" s="2">
        <v>183.19</v>
      </c>
      <c r="E2296" s="2">
        <v>183.99</v>
      </c>
      <c r="F2296" s="2">
        <v>7105833</v>
      </c>
      <c r="G2296" s="2" t="s">
        <v>566</v>
      </c>
      <c r="H2296" s="2" t="s">
        <v>567</v>
      </c>
      <c r="I2296" s="2" t="s">
        <v>568</v>
      </c>
      <c r="J2296" s="3">
        <v>0.503</v>
      </c>
      <c r="K2296" s="2" t="s">
        <v>317</v>
      </c>
      <c r="L2296" s="2">
        <v>2024</v>
      </c>
      <c r="M2296" s="2" t="s">
        <v>43</v>
      </c>
      <c r="N2296" s="2" t="s">
        <v>21</v>
      </c>
      <c r="O2296">
        <f t="shared" si="70"/>
        <v>2.0099999999999909</v>
      </c>
      <c r="P2296">
        <f t="shared" si="71"/>
        <v>33.146999999999998</v>
      </c>
    </row>
    <row r="2297" spans="1:16" x14ac:dyDescent="0.35">
      <c r="A2297" s="9" t="s">
        <v>333</v>
      </c>
      <c r="B2297" s="2">
        <v>183.75</v>
      </c>
      <c r="C2297" s="2">
        <v>184.46</v>
      </c>
      <c r="D2297" s="2">
        <v>182.48</v>
      </c>
      <c r="E2297" s="2">
        <v>183.36</v>
      </c>
      <c r="F2297" s="2">
        <v>7145391</v>
      </c>
      <c r="G2297" s="2" t="s">
        <v>566</v>
      </c>
      <c r="H2297" s="2" t="s">
        <v>567</v>
      </c>
      <c r="I2297" s="2" t="s">
        <v>568</v>
      </c>
      <c r="J2297" s="4">
        <v>-0.34200000000000003</v>
      </c>
      <c r="K2297" s="2" t="s">
        <v>317</v>
      </c>
      <c r="L2297" s="2">
        <v>2024</v>
      </c>
      <c r="M2297" s="2" t="s">
        <v>43</v>
      </c>
      <c r="N2297" s="2" t="s">
        <v>23</v>
      </c>
      <c r="O2297">
        <f t="shared" si="70"/>
        <v>1.9800000000000182</v>
      </c>
      <c r="P2297">
        <f t="shared" si="71"/>
        <v>32.805</v>
      </c>
    </row>
    <row r="2298" spans="1:16" x14ac:dyDescent="0.35">
      <c r="A2298" s="9" t="s">
        <v>334</v>
      </c>
      <c r="B2298" s="2">
        <v>183.31</v>
      </c>
      <c r="C2298" s="2">
        <v>183.54</v>
      </c>
      <c r="D2298" s="2">
        <v>182.24</v>
      </c>
      <c r="E2298" s="2">
        <v>183.45</v>
      </c>
      <c r="F2298" s="2">
        <v>5717065</v>
      </c>
      <c r="G2298" s="2" t="s">
        <v>566</v>
      </c>
      <c r="H2298" s="2" t="s">
        <v>567</v>
      </c>
      <c r="I2298" s="2" t="s">
        <v>568</v>
      </c>
      <c r="J2298" s="3">
        <v>4.9000000000000002E-2</v>
      </c>
      <c r="K2298" s="2" t="s">
        <v>317</v>
      </c>
      <c r="L2298" s="2">
        <v>2024</v>
      </c>
      <c r="M2298" s="2" t="s">
        <v>43</v>
      </c>
      <c r="N2298" s="2" t="s">
        <v>21</v>
      </c>
      <c r="O2298">
        <f t="shared" si="70"/>
        <v>1.2999999999999829</v>
      </c>
      <c r="P2298">
        <f t="shared" si="71"/>
        <v>32.853999999999999</v>
      </c>
    </row>
    <row r="2299" spans="1:16" x14ac:dyDescent="0.35">
      <c r="A2299" s="9" t="s">
        <v>335</v>
      </c>
      <c r="B2299" s="2">
        <v>183.43</v>
      </c>
      <c r="C2299" s="2">
        <v>185.2</v>
      </c>
      <c r="D2299" s="2">
        <v>182.96</v>
      </c>
      <c r="E2299" s="2">
        <v>184.38</v>
      </c>
      <c r="F2299" s="2">
        <v>6131608</v>
      </c>
      <c r="G2299" s="2" t="s">
        <v>566</v>
      </c>
      <c r="H2299" s="2" t="s">
        <v>567</v>
      </c>
      <c r="I2299" s="2" t="s">
        <v>568</v>
      </c>
      <c r="J2299" s="3">
        <v>0.50700000000000001</v>
      </c>
      <c r="K2299" s="2" t="s">
        <v>317</v>
      </c>
      <c r="L2299" s="2">
        <v>2024</v>
      </c>
      <c r="M2299" s="2" t="s">
        <v>43</v>
      </c>
      <c r="N2299" s="2" t="s">
        <v>21</v>
      </c>
      <c r="O2299">
        <f t="shared" si="70"/>
        <v>2.2399999999999807</v>
      </c>
      <c r="P2299">
        <f t="shared" si="71"/>
        <v>33.360999999999997</v>
      </c>
    </row>
    <row r="2300" spans="1:16" x14ac:dyDescent="0.35">
      <c r="A2300" s="9" t="s">
        <v>336</v>
      </c>
      <c r="B2300" s="2">
        <v>185.66</v>
      </c>
      <c r="C2300" s="2">
        <v>186.43</v>
      </c>
      <c r="D2300" s="2">
        <v>183.85</v>
      </c>
      <c r="E2300" s="2">
        <v>186.06</v>
      </c>
      <c r="F2300" s="2">
        <v>9643012</v>
      </c>
      <c r="G2300" s="2" t="s">
        <v>566</v>
      </c>
      <c r="H2300" s="2" t="s">
        <v>567</v>
      </c>
      <c r="I2300" s="2" t="s">
        <v>568</v>
      </c>
      <c r="J2300" s="3">
        <v>0.91100000000000003</v>
      </c>
      <c r="K2300" s="2" t="s">
        <v>317</v>
      </c>
      <c r="L2300" s="2">
        <v>2024</v>
      </c>
      <c r="M2300" s="2" t="s">
        <v>43</v>
      </c>
      <c r="N2300" s="2" t="s">
        <v>21</v>
      </c>
      <c r="O2300">
        <f t="shared" si="70"/>
        <v>2.5800000000000125</v>
      </c>
      <c r="P2300">
        <f t="shared" si="71"/>
        <v>34.271999999999998</v>
      </c>
    </row>
    <row r="2301" spans="1:16" x14ac:dyDescent="0.35">
      <c r="A2301" s="9" t="s">
        <v>337</v>
      </c>
      <c r="B2301" s="2">
        <v>185.7</v>
      </c>
      <c r="C2301" s="2">
        <v>186.44</v>
      </c>
      <c r="D2301" s="2">
        <v>185.1</v>
      </c>
      <c r="E2301" s="2">
        <v>185.29</v>
      </c>
      <c r="F2301" s="2">
        <v>6311996</v>
      </c>
      <c r="G2301" s="2" t="s">
        <v>566</v>
      </c>
      <c r="H2301" s="2" t="s">
        <v>567</v>
      </c>
      <c r="I2301" s="2" t="s">
        <v>568</v>
      </c>
      <c r="J2301" s="4">
        <v>-0.41399999999999998</v>
      </c>
      <c r="K2301" s="2" t="s">
        <v>338</v>
      </c>
      <c r="L2301" s="2">
        <v>2024</v>
      </c>
      <c r="M2301" s="2" t="s">
        <v>64</v>
      </c>
      <c r="N2301" s="2" t="s">
        <v>23</v>
      </c>
      <c r="O2301">
        <f t="shared" si="70"/>
        <v>1.3400000000000034</v>
      </c>
      <c r="P2301">
        <f t="shared" si="71"/>
        <v>33.857999999999997</v>
      </c>
    </row>
    <row r="2302" spans="1:16" x14ac:dyDescent="0.35">
      <c r="A2302" s="9" t="s">
        <v>339</v>
      </c>
      <c r="B2302" s="2">
        <v>184.71</v>
      </c>
      <c r="C2302" s="2">
        <v>187.59</v>
      </c>
      <c r="D2302" s="2">
        <v>184.27</v>
      </c>
      <c r="E2302" s="2">
        <v>186.68</v>
      </c>
      <c r="F2302" s="2">
        <v>7063605</v>
      </c>
      <c r="G2302" s="2" t="s">
        <v>566</v>
      </c>
      <c r="H2302" s="2" t="s">
        <v>567</v>
      </c>
      <c r="I2302" s="2" t="s">
        <v>568</v>
      </c>
      <c r="J2302" s="3">
        <v>0.75</v>
      </c>
      <c r="K2302" s="2" t="s">
        <v>338</v>
      </c>
      <c r="L2302" s="2">
        <v>2024</v>
      </c>
      <c r="M2302" s="2" t="s">
        <v>64</v>
      </c>
      <c r="N2302" s="2" t="s">
        <v>21</v>
      </c>
      <c r="O2302">
        <f t="shared" si="70"/>
        <v>3.3199999999999932</v>
      </c>
      <c r="P2302">
        <f t="shared" si="71"/>
        <v>34.607999999999997</v>
      </c>
    </row>
    <row r="2303" spans="1:16" x14ac:dyDescent="0.35">
      <c r="A2303" s="9" t="s">
        <v>340</v>
      </c>
      <c r="B2303" s="2">
        <v>186.36</v>
      </c>
      <c r="C2303" s="2">
        <v>189.3</v>
      </c>
      <c r="D2303" s="2">
        <v>186.36</v>
      </c>
      <c r="E2303" s="2">
        <v>188.55</v>
      </c>
      <c r="F2303" s="2">
        <v>6617832</v>
      </c>
      <c r="G2303" s="2" t="s">
        <v>566</v>
      </c>
      <c r="H2303" s="2" t="s">
        <v>567</v>
      </c>
      <c r="I2303" s="2" t="s">
        <v>568</v>
      </c>
      <c r="J2303" s="3">
        <v>1.002</v>
      </c>
      <c r="K2303" s="2" t="s">
        <v>338</v>
      </c>
      <c r="L2303" s="2">
        <v>2024</v>
      </c>
      <c r="M2303" s="2" t="s">
        <v>64</v>
      </c>
      <c r="N2303" s="2" t="s">
        <v>21</v>
      </c>
      <c r="O2303">
        <f t="shared" si="70"/>
        <v>2.9399999999999977</v>
      </c>
      <c r="P2303">
        <f t="shared" si="71"/>
        <v>35.61</v>
      </c>
    </row>
    <row r="2304" spans="1:16" x14ac:dyDescent="0.35">
      <c r="A2304" s="9" t="s">
        <v>341</v>
      </c>
      <c r="B2304" s="2">
        <v>189.25</v>
      </c>
      <c r="C2304" s="2">
        <v>190.07</v>
      </c>
      <c r="D2304" s="2">
        <v>187.63</v>
      </c>
      <c r="E2304" s="2">
        <v>189.53</v>
      </c>
      <c r="F2304" s="2">
        <v>7572891</v>
      </c>
      <c r="G2304" s="2" t="s">
        <v>566</v>
      </c>
      <c r="H2304" s="2" t="s">
        <v>567</v>
      </c>
      <c r="I2304" s="2" t="s">
        <v>568</v>
      </c>
      <c r="J2304" s="3">
        <v>0.52</v>
      </c>
      <c r="K2304" s="2" t="s">
        <v>338</v>
      </c>
      <c r="L2304" s="2">
        <v>2024</v>
      </c>
      <c r="M2304" s="2" t="s">
        <v>64</v>
      </c>
      <c r="N2304" s="2" t="s">
        <v>21</v>
      </c>
      <c r="O2304">
        <f t="shared" si="70"/>
        <v>2.4399999999999977</v>
      </c>
      <c r="P2304">
        <f t="shared" si="71"/>
        <v>36.130000000000003</v>
      </c>
    </row>
    <row r="2305" spans="1:16" x14ac:dyDescent="0.35">
      <c r="A2305" s="9" t="s">
        <v>342</v>
      </c>
      <c r="B2305" s="2">
        <v>189.91</v>
      </c>
      <c r="C2305" s="2">
        <v>190.5</v>
      </c>
      <c r="D2305" s="2">
        <v>186.63</v>
      </c>
      <c r="E2305" s="2">
        <v>187.87</v>
      </c>
      <c r="F2305" s="2">
        <v>7618277</v>
      </c>
      <c r="G2305" s="2" t="s">
        <v>566</v>
      </c>
      <c r="H2305" s="2" t="s">
        <v>567</v>
      </c>
      <c r="I2305" s="2" t="s">
        <v>568</v>
      </c>
      <c r="J2305" s="4">
        <v>-0.876</v>
      </c>
      <c r="K2305" s="2" t="s">
        <v>338</v>
      </c>
      <c r="L2305" s="2">
        <v>2024</v>
      </c>
      <c r="M2305" s="2" t="s">
        <v>64</v>
      </c>
      <c r="N2305" s="2" t="s">
        <v>23</v>
      </c>
      <c r="O2305">
        <f t="shared" si="70"/>
        <v>3.8700000000000045</v>
      </c>
      <c r="P2305">
        <f t="shared" si="71"/>
        <v>35.254000000000005</v>
      </c>
    </row>
    <row r="2306" spans="1:16" x14ac:dyDescent="0.35">
      <c r="A2306" s="9" t="s">
        <v>343</v>
      </c>
      <c r="B2306" s="2">
        <v>188.44</v>
      </c>
      <c r="C2306" s="2">
        <v>190.45500000000001</v>
      </c>
      <c r="D2306" s="2">
        <v>187.92</v>
      </c>
      <c r="E2306" s="2">
        <v>188.22</v>
      </c>
      <c r="F2306" s="2">
        <v>6172199</v>
      </c>
      <c r="G2306" s="2" t="s">
        <v>566</v>
      </c>
      <c r="H2306" s="2" t="s">
        <v>567</v>
      </c>
      <c r="I2306" s="2" t="s">
        <v>568</v>
      </c>
      <c r="J2306" s="3">
        <v>0.186</v>
      </c>
      <c r="K2306" s="2" t="s">
        <v>338</v>
      </c>
      <c r="L2306" s="2">
        <v>2024</v>
      </c>
      <c r="M2306" s="2" t="s">
        <v>64</v>
      </c>
      <c r="N2306" s="2" t="s">
        <v>21</v>
      </c>
      <c r="O2306">
        <f t="shared" si="70"/>
        <v>2.535000000000025</v>
      </c>
      <c r="P2306">
        <f t="shared" si="71"/>
        <v>35.440000000000005</v>
      </c>
    </row>
    <row r="2307" spans="1:16" x14ac:dyDescent="0.35">
      <c r="A2307" s="9" t="s">
        <v>344</v>
      </c>
      <c r="B2307" s="2">
        <v>187.28</v>
      </c>
      <c r="C2307" s="2">
        <v>188.44</v>
      </c>
      <c r="D2307" s="2">
        <v>186.22</v>
      </c>
      <c r="E2307" s="2">
        <v>188.29</v>
      </c>
      <c r="F2307" s="2">
        <v>5762569</v>
      </c>
      <c r="G2307" s="2" t="s">
        <v>566</v>
      </c>
      <c r="H2307" s="2" t="s">
        <v>567</v>
      </c>
      <c r="I2307" s="2" t="s">
        <v>568</v>
      </c>
      <c r="J2307" s="3">
        <v>3.6999999999999998E-2</v>
      </c>
      <c r="K2307" s="2" t="s">
        <v>338</v>
      </c>
      <c r="L2307" s="2">
        <v>2024</v>
      </c>
      <c r="M2307" s="2" t="s">
        <v>64</v>
      </c>
      <c r="N2307" s="2" t="s">
        <v>21</v>
      </c>
      <c r="O2307">
        <f t="shared" ref="O2307:O2370" si="72">C2307-D2307</f>
        <v>2.2199999999999989</v>
      </c>
      <c r="P2307">
        <f t="shared" si="71"/>
        <v>35.477000000000004</v>
      </c>
    </row>
    <row r="2308" spans="1:16" x14ac:dyDescent="0.35">
      <c r="A2308" s="9" t="s">
        <v>345</v>
      </c>
      <c r="B2308" s="2">
        <v>188.95</v>
      </c>
      <c r="C2308" s="2">
        <v>190.16</v>
      </c>
      <c r="D2308" s="2">
        <v>187.91</v>
      </c>
      <c r="E2308" s="2">
        <v>189.84</v>
      </c>
      <c r="F2308" s="2">
        <v>5708384</v>
      </c>
      <c r="G2308" s="2" t="s">
        <v>566</v>
      </c>
      <c r="H2308" s="2" t="s">
        <v>567</v>
      </c>
      <c r="I2308" s="2" t="s">
        <v>568</v>
      </c>
      <c r="J2308" s="3">
        <v>0.82299999999999995</v>
      </c>
      <c r="K2308" s="2" t="s">
        <v>338</v>
      </c>
      <c r="L2308" s="2">
        <v>2024</v>
      </c>
      <c r="M2308" s="2" t="s">
        <v>64</v>
      </c>
      <c r="N2308" s="2" t="s">
        <v>21</v>
      </c>
      <c r="O2308">
        <f t="shared" si="72"/>
        <v>2.25</v>
      </c>
      <c r="P2308">
        <f t="shared" ref="P2308:P2371" si="73">IF(G2308=G2307, P2307+J2308, J2308)</f>
        <v>36.300000000000004</v>
      </c>
    </row>
    <row r="2309" spans="1:16" x14ac:dyDescent="0.35">
      <c r="A2309" s="9" t="s">
        <v>346</v>
      </c>
      <c r="B2309" s="2">
        <v>190.36</v>
      </c>
      <c r="C2309" s="2">
        <v>191.73</v>
      </c>
      <c r="D2309" s="2">
        <v>189.84</v>
      </c>
      <c r="E2309" s="2">
        <v>191.38</v>
      </c>
      <c r="F2309" s="2">
        <v>7795535</v>
      </c>
      <c r="G2309" s="2" t="s">
        <v>566</v>
      </c>
      <c r="H2309" s="2" t="s">
        <v>567</v>
      </c>
      <c r="I2309" s="2" t="s">
        <v>568</v>
      </c>
      <c r="J2309" s="3">
        <v>0.81100000000000005</v>
      </c>
      <c r="K2309" s="2" t="s">
        <v>338</v>
      </c>
      <c r="L2309" s="2">
        <v>2024</v>
      </c>
      <c r="M2309" s="2" t="s">
        <v>64</v>
      </c>
      <c r="N2309" s="2" t="s">
        <v>21</v>
      </c>
      <c r="O2309">
        <f t="shared" si="72"/>
        <v>1.8899999999999864</v>
      </c>
      <c r="P2309">
        <f t="shared" si="73"/>
        <v>37.111000000000004</v>
      </c>
    </row>
    <row r="2310" spans="1:16" x14ac:dyDescent="0.35">
      <c r="A2310" s="9" t="s">
        <v>347</v>
      </c>
      <c r="B2310" s="2">
        <v>191.03</v>
      </c>
      <c r="C2310" s="2">
        <v>191.63</v>
      </c>
      <c r="D2310" s="2">
        <v>187.10300000000001</v>
      </c>
      <c r="E2310" s="2">
        <v>187.97</v>
      </c>
      <c r="F2310" s="2">
        <v>10310948</v>
      </c>
      <c r="G2310" s="2" t="s">
        <v>566</v>
      </c>
      <c r="H2310" s="2" t="s">
        <v>567</v>
      </c>
      <c r="I2310" s="2" t="s">
        <v>568</v>
      </c>
      <c r="J2310" s="4">
        <v>-1.782</v>
      </c>
      <c r="K2310" s="2" t="s">
        <v>338</v>
      </c>
      <c r="L2310" s="2">
        <v>2024</v>
      </c>
      <c r="M2310" s="2" t="s">
        <v>64</v>
      </c>
      <c r="N2310" s="2" t="s">
        <v>23</v>
      </c>
      <c r="O2310">
        <f t="shared" si="72"/>
        <v>4.5269999999999868</v>
      </c>
      <c r="P2310">
        <f t="shared" si="73"/>
        <v>35.329000000000008</v>
      </c>
    </row>
    <row r="2311" spans="1:16" x14ac:dyDescent="0.35">
      <c r="A2311" s="9" t="s">
        <v>348</v>
      </c>
      <c r="B2311" s="2">
        <v>186.48</v>
      </c>
      <c r="C2311" s="2">
        <v>190.94</v>
      </c>
      <c r="D2311" s="2">
        <v>186.48</v>
      </c>
      <c r="E2311" s="2">
        <v>190.3</v>
      </c>
      <c r="F2311" s="2">
        <v>17214229</v>
      </c>
      <c r="G2311" s="2" t="s">
        <v>566</v>
      </c>
      <c r="H2311" s="2" t="s">
        <v>567</v>
      </c>
      <c r="I2311" s="2" t="s">
        <v>568</v>
      </c>
      <c r="J2311" s="3">
        <v>1.24</v>
      </c>
      <c r="K2311" s="2" t="s">
        <v>338</v>
      </c>
      <c r="L2311" s="2">
        <v>2024</v>
      </c>
      <c r="M2311" s="2" t="s">
        <v>64</v>
      </c>
      <c r="N2311" s="2" t="s">
        <v>21</v>
      </c>
      <c r="O2311">
        <f t="shared" si="72"/>
        <v>4.460000000000008</v>
      </c>
      <c r="P2311">
        <f t="shared" si="73"/>
        <v>36.56900000000001</v>
      </c>
    </row>
    <row r="2312" spans="1:16" x14ac:dyDescent="0.35">
      <c r="A2312" s="9" t="s">
        <v>349</v>
      </c>
      <c r="B2312" s="2">
        <v>190.63</v>
      </c>
      <c r="C2312" s="2">
        <v>192.7</v>
      </c>
      <c r="D2312" s="2">
        <v>189.89</v>
      </c>
      <c r="E2312" s="2">
        <v>192.66</v>
      </c>
      <c r="F2312" s="2">
        <v>9013843</v>
      </c>
      <c r="G2312" s="2" t="s">
        <v>566</v>
      </c>
      <c r="H2312" s="2" t="s">
        <v>567</v>
      </c>
      <c r="I2312" s="2" t="s">
        <v>568</v>
      </c>
      <c r="J2312" s="3">
        <v>1.24</v>
      </c>
      <c r="K2312" s="2" t="s">
        <v>338</v>
      </c>
      <c r="L2312" s="2">
        <v>2024</v>
      </c>
      <c r="M2312" s="2" t="s">
        <v>64</v>
      </c>
      <c r="N2312" s="2" t="s">
        <v>21</v>
      </c>
      <c r="O2312">
        <f t="shared" si="72"/>
        <v>2.8100000000000023</v>
      </c>
      <c r="P2312">
        <f t="shared" si="73"/>
        <v>37.809000000000012</v>
      </c>
    </row>
    <row r="2313" spans="1:16" x14ac:dyDescent="0.35">
      <c r="A2313" s="9" t="s">
        <v>350</v>
      </c>
      <c r="B2313" s="2">
        <v>192.71</v>
      </c>
      <c r="C2313" s="2">
        <v>193.93</v>
      </c>
      <c r="D2313" s="2">
        <v>192.38</v>
      </c>
      <c r="E2313" s="2">
        <v>193.79</v>
      </c>
      <c r="F2313" s="2">
        <v>8478717</v>
      </c>
      <c r="G2313" s="2" t="s">
        <v>566</v>
      </c>
      <c r="H2313" s="2" t="s">
        <v>567</v>
      </c>
      <c r="I2313" s="2" t="s">
        <v>568</v>
      </c>
      <c r="J2313" s="3">
        <v>0.58699999999999997</v>
      </c>
      <c r="K2313" s="2" t="s">
        <v>338</v>
      </c>
      <c r="L2313" s="2">
        <v>2024</v>
      </c>
      <c r="M2313" s="2" t="s">
        <v>64</v>
      </c>
      <c r="N2313" s="2" t="s">
        <v>21</v>
      </c>
      <c r="O2313">
        <f t="shared" si="72"/>
        <v>1.5500000000000114</v>
      </c>
      <c r="P2313">
        <f t="shared" si="73"/>
        <v>38.396000000000015</v>
      </c>
    </row>
    <row r="2314" spans="1:16" x14ac:dyDescent="0.35">
      <c r="A2314" s="9" t="s">
        <v>351</v>
      </c>
      <c r="B2314" s="2">
        <v>194.19</v>
      </c>
      <c r="C2314" s="2">
        <v>196.56</v>
      </c>
      <c r="D2314" s="2">
        <v>193.61</v>
      </c>
      <c r="E2314" s="2">
        <v>196.33</v>
      </c>
      <c r="F2314" s="2">
        <v>9367043</v>
      </c>
      <c r="G2314" s="2" t="s">
        <v>566</v>
      </c>
      <c r="H2314" s="2" t="s">
        <v>567</v>
      </c>
      <c r="I2314" s="2" t="s">
        <v>568</v>
      </c>
      <c r="J2314" s="3">
        <v>1.3109999999999999</v>
      </c>
      <c r="K2314" s="2" t="s">
        <v>338</v>
      </c>
      <c r="L2314" s="2">
        <v>2024</v>
      </c>
      <c r="M2314" s="2" t="s">
        <v>64</v>
      </c>
      <c r="N2314" s="2" t="s">
        <v>21</v>
      </c>
      <c r="O2314">
        <f t="shared" si="72"/>
        <v>2.9499999999999886</v>
      </c>
      <c r="P2314">
        <f t="shared" si="73"/>
        <v>39.707000000000015</v>
      </c>
    </row>
    <row r="2315" spans="1:16" x14ac:dyDescent="0.35">
      <c r="A2315" s="9" t="s">
        <v>352</v>
      </c>
      <c r="B2315" s="2">
        <v>196.52</v>
      </c>
      <c r="C2315" s="2">
        <v>199.43</v>
      </c>
      <c r="D2315" s="2">
        <v>196.33</v>
      </c>
      <c r="E2315" s="2">
        <v>199.06</v>
      </c>
      <c r="F2315" s="2">
        <v>11203796</v>
      </c>
      <c r="G2315" s="2" t="s">
        <v>566</v>
      </c>
      <c r="H2315" s="2" t="s">
        <v>567</v>
      </c>
      <c r="I2315" s="2" t="s">
        <v>568</v>
      </c>
      <c r="J2315" s="3">
        <v>1.391</v>
      </c>
      <c r="K2315" s="2" t="s">
        <v>338</v>
      </c>
      <c r="L2315" s="2">
        <v>2024</v>
      </c>
      <c r="M2315" s="2" t="s">
        <v>64</v>
      </c>
      <c r="N2315" s="2" t="s">
        <v>21</v>
      </c>
      <c r="O2315">
        <f t="shared" si="72"/>
        <v>3.0999999999999943</v>
      </c>
      <c r="P2315">
        <f t="shared" si="73"/>
        <v>41.098000000000013</v>
      </c>
    </row>
    <row r="2316" spans="1:16" x14ac:dyDescent="0.35">
      <c r="A2316" s="9" t="s">
        <v>353</v>
      </c>
      <c r="B2316" s="2">
        <v>199.01</v>
      </c>
      <c r="C2316" s="2">
        <v>200.48</v>
      </c>
      <c r="D2316" s="2">
        <v>196.54</v>
      </c>
      <c r="E2316" s="2">
        <v>196.62</v>
      </c>
      <c r="F2316" s="2">
        <v>8108840</v>
      </c>
      <c r="G2316" s="2" t="s">
        <v>566</v>
      </c>
      <c r="H2316" s="2" t="s">
        <v>567</v>
      </c>
      <c r="I2316" s="2" t="s">
        <v>568</v>
      </c>
      <c r="J2316" s="4">
        <v>-1.226</v>
      </c>
      <c r="K2316" s="2" t="s">
        <v>338</v>
      </c>
      <c r="L2316" s="2">
        <v>2024</v>
      </c>
      <c r="M2316" s="2" t="s">
        <v>64</v>
      </c>
      <c r="N2316" s="2" t="s">
        <v>23</v>
      </c>
      <c r="O2316">
        <f t="shared" si="72"/>
        <v>3.9399999999999977</v>
      </c>
      <c r="P2316">
        <f t="shared" si="73"/>
        <v>39.872000000000014</v>
      </c>
    </row>
    <row r="2317" spans="1:16" x14ac:dyDescent="0.35">
      <c r="A2317" s="9" t="s">
        <v>354</v>
      </c>
      <c r="B2317" s="2">
        <v>196.6</v>
      </c>
      <c r="C2317" s="2">
        <v>196.94</v>
      </c>
      <c r="D2317" s="2">
        <v>194.36</v>
      </c>
      <c r="E2317" s="2">
        <v>194.82</v>
      </c>
      <c r="F2317" s="2">
        <v>8620015</v>
      </c>
      <c r="G2317" s="2" t="s">
        <v>566</v>
      </c>
      <c r="H2317" s="2" t="s">
        <v>567</v>
      </c>
      <c r="I2317" s="2" t="s">
        <v>568</v>
      </c>
      <c r="J2317" s="4">
        <v>-0.91500000000000004</v>
      </c>
      <c r="K2317" s="2" t="s">
        <v>338</v>
      </c>
      <c r="L2317" s="2">
        <v>2024</v>
      </c>
      <c r="M2317" s="2" t="s">
        <v>64</v>
      </c>
      <c r="N2317" s="2" t="s">
        <v>23</v>
      </c>
      <c r="O2317">
        <f t="shared" si="72"/>
        <v>2.5799999999999841</v>
      </c>
      <c r="P2317">
        <f t="shared" si="73"/>
        <v>38.957000000000015</v>
      </c>
    </row>
    <row r="2318" spans="1:16" x14ac:dyDescent="0.35">
      <c r="A2318" s="9" t="s">
        <v>355</v>
      </c>
      <c r="B2318" s="2">
        <v>194.59</v>
      </c>
      <c r="C2318" s="2">
        <v>196.66</v>
      </c>
      <c r="D2318" s="2">
        <v>194.05500000000001</v>
      </c>
      <c r="E2318" s="2">
        <v>195.73</v>
      </c>
      <c r="F2318" s="2">
        <v>5961484</v>
      </c>
      <c r="G2318" s="2" t="s">
        <v>566</v>
      </c>
      <c r="H2318" s="2" t="s">
        <v>567</v>
      </c>
      <c r="I2318" s="2" t="s">
        <v>568</v>
      </c>
      <c r="J2318" s="3">
        <v>0.46700000000000003</v>
      </c>
      <c r="K2318" s="2" t="s">
        <v>338</v>
      </c>
      <c r="L2318" s="2">
        <v>2024</v>
      </c>
      <c r="M2318" s="2" t="s">
        <v>64</v>
      </c>
      <c r="N2318" s="2" t="s">
        <v>21</v>
      </c>
      <c r="O2318">
        <f t="shared" si="72"/>
        <v>2.6049999999999898</v>
      </c>
      <c r="P2318">
        <f t="shared" si="73"/>
        <v>39.424000000000014</v>
      </c>
    </row>
    <row r="2319" spans="1:16" x14ac:dyDescent="0.35">
      <c r="A2319" s="9" t="s">
        <v>356</v>
      </c>
      <c r="B2319" s="2">
        <v>196.5</v>
      </c>
      <c r="C2319" s="2">
        <v>199.6</v>
      </c>
      <c r="D2319" s="2">
        <v>196.38</v>
      </c>
      <c r="E2319" s="2">
        <v>199.52</v>
      </c>
      <c r="F2319" s="2">
        <v>8725757</v>
      </c>
      <c r="G2319" s="2" t="s">
        <v>566</v>
      </c>
      <c r="H2319" s="2" t="s">
        <v>567</v>
      </c>
      <c r="I2319" s="2" t="s">
        <v>568</v>
      </c>
      <c r="J2319" s="3">
        <v>1.9359999999999999</v>
      </c>
      <c r="K2319" s="2" t="s">
        <v>338</v>
      </c>
      <c r="L2319" s="2">
        <v>2024</v>
      </c>
      <c r="M2319" s="2" t="s">
        <v>64</v>
      </c>
      <c r="N2319" s="2" t="s">
        <v>21</v>
      </c>
      <c r="O2319">
        <f t="shared" si="72"/>
        <v>3.2199999999999989</v>
      </c>
      <c r="P2319">
        <f t="shared" si="73"/>
        <v>41.360000000000014</v>
      </c>
    </row>
    <row r="2320" spans="1:16" x14ac:dyDescent="0.35">
      <c r="A2320" s="9" t="s">
        <v>357</v>
      </c>
      <c r="B2320" s="2">
        <v>199.49</v>
      </c>
      <c r="C2320" s="2">
        <v>200.72</v>
      </c>
      <c r="D2320" s="2">
        <v>198.54</v>
      </c>
      <c r="E2320" s="2">
        <v>200.3</v>
      </c>
      <c r="F2320" s="2">
        <v>8628313</v>
      </c>
      <c r="G2320" s="2" t="s">
        <v>566</v>
      </c>
      <c r="H2320" s="2" t="s">
        <v>567</v>
      </c>
      <c r="I2320" s="2" t="s">
        <v>568</v>
      </c>
      <c r="J2320" s="3">
        <v>0.39100000000000001</v>
      </c>
      <c r="K2320" s="2" t="s">
        <v>338</v>
      </c>
      <c r="L2320" s="2">
        <v>2024</v>
      </c>
      <c r="M2320" s="2" t="s">
        <v>64</v>
      </c>
      <c r="N2320" s="2" t="s">
        <v>21</v>
      </c>
      <c r="O2320">
        <f t="shared" si="72"/>
        <v>2.1800000000000068</v>
      </c>
      <c r="P2320">
        <f t="shared" si="73"/>
        <v>41.751000000000012</v>
      </c>
    </row>
    <row r="2321" spans="1:16" x14ac:dyDescent="0.35">
      <c r="A2321" s="9" t="s">
        <v>358</v>
      </c>
      <c r="B2321" s="2">
        <v>199.99</v>
      </c>
      <c r="C2321" s="2">
        <v>200.94</v>
      </c>
      <c r="D2321" s="2">
        <v>198.565</v>
      </c>
      <c r="E2321" s="2">
        <v>198.94</v>
      </c>
      <c r="F2321" s="2">
        <v>7309009</v>
      </c>
      <c r="G2321" s="2" t="s">
        <v>566</v>
      </c>
      <c r="H2321" s="2" t="s">
        <v>567</v>
      </c>
      <c r="I2321" s="2" t="s">
        <v>568</v>
      </c>
      <c r="J2321" s="4">
        <v>-0.67900000000000005</v>
      </c>
      <c r="K2321" s="2" t="s">
        <v>359</v>
      </c>
      <c r="L2321" s="2">
        <v>2024</v>
      </c>
      <c r="M2321" s="2" t="s">
        <v>89</v>
      </c>
      <c r="N2321" s="2" t="s">
        <v>23</v>
      </c>
      <c r="O2321">
        <f t="shared" si="72"/>
        <v>2.375</v>
      </c>
      <c r="P2321">
        <f t="shared" si="73"/>
        <v>41.07200000000001</v>
      </c>
    </row>
    <row r="2322" spans="1:16" x14ac:dyDescent="0.35">
      <c r="A2322" s="9" t="s">
        <v>360</v>
      </c>
      <c r="B2322" s="2">
        <v>198.39</v>
      </c>
      <c r="C2322" s="2">
        <v>199.78</v>
      </c>
      <c r="D2322" s="2">
        <v>198.08</v>
      </c>
      <c r="E2322" s="2">
        <v>198.86</v>
      </c>
      <c r="F2322" s="2">
        <v>7014683</v>
      </c>
      <c r="G2322" s="2" t="s">
        <v>566</v>
      </c>
      <c r="H2322" s="2" t="s">
        <v>567</v>
      </c>
      <c r="I2322" s="2" t="s">
        <v>568</v>
      </c>
      <c r="J2322" s="4">
        <v>-0.04</v>
      </c>
      <c r="K2322" s="2" t="s">
        <v>359</v>
      </c>
      <c r="L2322" s="2">
        <v>2024</v>
      </c>
      <c r="M2322" s="2" t="s">
        <v>89</v>
      </c>
      <c r="N2322" s="2" t="s">
        <v>23</v>
      </c>
      <c r="O2322">
        <f t="shared" si="72"/>
        <v>1.6999999999999886</v>
      </c>
      <c r="P2322">
        <f t="shared" si="73"/>
        <v>41.032000000000011</v>
      </c>
    </row>
    <row r="2323" spans="1:16" x14ac:dyDescent="0.35">
      <c r="A2323" s="9" t="s">
        <v>361</v>
      </c>
      <c r="B2323" s="2">
        <v>199.04</v>
      </c>
      <c r="C2323" s="2">
        <v>199.56</v>
      </c>
      <c r="D2323" s="2">
        <v>197.7</v>
      </c>
      <c r="E2323" s="2">
        <v>198.3</v>
      </c>
      <c r="F2323" s="2">
        <v>9353426</v>
      </c>
      <c r="G2323" s="2" t="s">
        <v>566</v>
      </c>
      <c r="H2323" s="2" t="s">
        <v>567</v>
      </c>
      <c r="I2323" s="2" t="s">
        <v>568</v>
      </c>
      <c r="J2323" s="4">
        <v>-0.28199999999999997</v>
      </c>
      <c r="K2323" s="2" t="s">
        <v>359</v>
      </c>
      <c r="L2323" s="2">
        <v>2024</v>
      </c>
      <c r="M2323" s="2" t="s">
        <v>89</v>
      </c>
      <c r="N2323" s="2" t="s">
        <v>23</v>
      </c>
      <c r="O2323">
        <f t="shared" si="72"/>
        <v>1.8600000000000136</v>
      </c>
      <c r="P2323">
        <f t="shared" si="73"/>
        <v>40.750000000000014</v>
      </c>
    </row>
    <row r="2324" spans="1:16" x14ac:dyDescent="0.35">
      <c r="A2324" s="9" t="s">
        <v>362</v>
      </c>
      <c r="B2324" s="2">
        <v>199.15</v>
      </c>
      <c r="C2324" s="2">
        <v>199.68</v>
      </c>
      <c r="D2324" s="2">
        <v>195.55</v>
      </c>
      <c r="E2324" s="2">
        <v>195.65</v>
      </c>
      <c r="F2324" s="2">
        <v>9243793</v>
      </c>
      <c r="G2324" s="2" t="s">
        <v>566</v>
      </c>
      <c r="H2324" s="2" t="s">
        <v>567</v>
      </c>
      <c r="I2324" s="2" t="s">
        <v>568</v>
      </c>
      <c r="J2324" s="4">
        <v>-1.3360000000000001</v>
      </c>
      <c r="K2324" s="2" t="s">
        <v>359</v>
      </c>
      <c r="L2324" s="2">
        <v>2024</v>
      </c>
      <c r="M2324" s="2" t="s">
        <v>89</v>
      </c>
      <c r="N2324" s="2" t="s">
        <v>23</v>
      </c>
      <c r="O2324">
        <f t="shared" si="72"/>
        <v>4.1299999999999955</v>
      </c>
      <c r="P2324">
        <f t="shared" si="73"/>
        <v>39.414000000000016</v>
      </c>
    </row>
    <row r="2325" spans="1:16" x14ac:dyDescent="0.35">
      <c r="A2325" s="9" t="s">
        <v>363</v>
      </c>
      <c r="B2325" s="2">
        <v>196.16</v>
      </c>
      <c r="C2325" s="2">
        <v>198.12200000000001</v>
      </c>
      <c r="D2325" s="2">
        <v>195.11</v>
      </c>
      <c r="E2325" s="2">
        <v>197.45</v>
      </c>
      <c r="F2325" s="2">
        <v>6532278</v>
      </c>
      <c r="G2325" s="2" t="s">
        <v>566</v>
      </c>
      <c r="H2325" s="2" t="s">
        <v>567</v>
      </c>
      <c r="I2325" s="2" t="s">
        <v>568</v>
      </c>
      <c r="J2325" s="3">
        <v>0.92</v>
      </c>
      <c r="K2325" s="2" t="s">
        <v>359</v>
      </c>
      <c r="L2325" s="2">
        <v>2024</v>
      </c>
      <c r="M2325" s="2" t="s">
        <v>89</v>
      </c>
      <c r="N2325" s="2" t="s">
        <v>21</v>
      </c>
      <c r="O2325">
        <f t="shared" si="72"/>
        <v>3.0120000000000005</v>
      </c>
      <c r="P2325">
        <f t="shared" si="73"/>
        <v>40.334000000000017</v>
      </c>
    </row>
    <row r="2326" spans="1:16" x14ac:dyDescent="0.35">
      <c r="A2326" s="9" t="s">
        <v>364</v>
      </c>
      <c r="B2326" s="2">
        <v>197.62</v>
      </c>
      <c r="C2326" s="2">
        <v>198.98</v>
      </c>
      <c r="D2326" s="2">
        <v>197.62</v>
      </c>
      <c r="E2326" s="2">
        <v>198.48</v>
      </c>
      <c r="F2326" s="2">
        <v>8000963</v>
      </c>
      <c r="G2326" s="2" t="s">
        <v>566</v>
      </c>
      <c r="H2326" s="2" t="s">
        <v>567</v>
      </c>
      <c r="I2326" s="2" t="s">
        <v>568</v>
      </c>
      <c r="J2326" s="3">
        <v>0.52200000000000002</v>
      </c>
      <c r="K2326" s="2" t="s">
        <v>359</v>
      </c>
      <c r="L2326" s="2">
        <v>2024</v>
      </c>
      <c r="M2326" s="2" t="s">
        <v>89</v>
      </c>
      <c r="N2326" s="2" t="s">
        <v>21</v>
      </c>
      <c r="O2326">
        <f t="shared" si="72"/>
        <v>1.3599999999999852</v>
      </c>
      <c r="P2326">
        <f t="shared" si="73"/>
        <v>40.856000000000016</v>
      </c>
    </row>
    <row r="2327" spans="1:16" x14ac:dyDescent="0.35">
      <c r="A2327" s="9" t="s">
        <v>365</v>
      </c>
      <c r="B2327" s="2">
        <v>198.07</v>
      </c>
      <c r="C2327" s="2">
        <v>198.88</v>
      </c>
      <c r="D2327" s="2">
        <v>194.91</v>
      </c>
      <c r="E2327" s="2">
        <v>197.15</v>
      </c>
      <c r="F2327" s="2">
        <v>7358631</v>
      </c>
      <c r="G2327" s="2" t="s">
        <v>566</v>
      </c>
      <c r="H2327" s="2" t="s">
        <v>567</v>
      </c>
      <c r="I2327" s="2" t="s">
        <v>568</v>
      </c>
      <c r="J2327" s="4">
        <v>-0.67</v>
      </c>
      <c r="K2327" s="2" t="s">
        <v>359</v>
      </c>
      <c r="L2327" s="2">
        <v>2024</v>
      </c>
      <c r="M2327" s="2" t="s">
        <v>89</v>
      </c>
      <c r="N2327" s="2" t="s">
        <v>23</v>
      </c>
      <c r="O2327">
        <f t="shared" si="72"/>
        <v>3.9699999999999989</v>
      </c>
      <c r="P2327">
        <f t="shared" si="73"/>
        <v>40.186000000000014</v>
      </c>
    </row>
    <row r="2328" spans="1:16" x14ac:dyDescent="0.35">
      <c r="A2328" s="9" t="s">
        <v>366</v>
      </c>
      <c r="B2328" s="2">
        <v>195.55</v>
      </c>
      <c r="C2328" s="2">
        <v>197.07</v>
      </c>
      <c r="D2328" s="2">
        <v>194.18</v>
      </c>
      <c r="E2328" s="2">
        <v>195.47</v>
      </c>
      <c r="F2328" s="2">
        <v>7681377</v>
      </c>
      <c r="G2328" s="2" t="s">
        <v>566</v>
      </c>
      <c r="H2328" s="2" t="s">
        <v>567</v>
      </c>
      <c r="I2328" s="2" t="s">
        <v>568</v>
      </c>
      <c r="J2328" s="4">
        <v>-0.85199999999999998</v>
      </c>
      <c r="K2328" s="2" t="s">
        <v>359</v>
      </c>
      <c r="L2328" s="2">
        <v>2024</v>
      </c>
      <c r="M2328" s="2" t="s">
        <v>89</v>
      </c>
      <c r="N2328" s="2" t="s">
        <v>23</v>
      </c>
      <c r="O2328">
        <f t="shared" si="72"/>
        <v>2.8899999999999864</v>
      </c>
      <c r="P2328">
        <f t="shared" si="73"/>
        <v>39.334000000000017</v>
      </c>
    </row>
    <row r="2329" spans="1:16" x14ac:dyDescent="0.35">
      <c r="A2329" s="9" t="s">
        <v>367</v>
      </c>
      <c r="B2329" s="2">
        <v>196</v>
      </c>
      <c r="C2329" s="2">
        <v>196.57</v>
      </c>
      <c r="D2329" s="2">
        <v>193.24</v>
      </c>
      <c r="E2329" s="2">
        <v>195.43</v>
      </c>
      <c r="F2329" s="2">
        <v>10137699</v>
      </c>
      <c r="G2329" s="2" t="s">
        <v>566</v>
      </c>
      <c r="H2329" s="2" t="s">
        <v>567</v>
      </c>
      <c r="I2329" s="2" t="s">
        <v>568</v>
      </c>
      <c r="J2329" s="4">
        <v>-0.02</v>
      </c>
      <c r="K2329" s="2" t="s">
        <v>359</v>
      </c>
      <c r="L2329" s="2">
        <v>2024</v>
      </c>
      <c r="M2329" s="2" t="s">
        <v>89</v>
      </c>
      <c r="N2329" s="2" t="s">
        <v>23</v>
      </c>
      <c r="O2329">
        <f t="shared" si="72"/>
        <v>3.3299999999999841</v>
      </c>
      <c r="P2329">
        <f t="shared" si="73"/>
        <v>39.314000000000014</v>
      </c>
    </row>
    <row r="2330" spans="1:16" x14ac:dyDescent="0.35">
      <c r="A2330" s="9" t="s">
        <v>368</v>
      </c>
      <c r="B2330" s="2">
        <v>188.32</v>
      </c>
      <c r="C2330" s="2">
        <v>188.93</v>
      </c>
      <c r="D2330" s="2">
        <v>182.54</v>
      </c>
      <c r="E2330" s="2">
        <v>182.79</v>
      </c>
      <c r="F2330" s="2">
        <v>31532308</v>
      </c>
      <c r="G2330" s="2" t="s">
        <v>566</v>
      </c>
      <c r="H2330" s="2" t="s">
        <v>567</v>
      </c>
      <c r="I2330" s="2" t="s">
        <v>568</v>
      </c>
      <c r="J2330" s="4">
        <v>-6.468</v>
      </c>
      <c r="K2330" s="2" t="s">
        <v>359</v>
      </c>
      <c r="L2330" s="2">
        <v>2024</v>
      </c>
      <c r="M2330" s="2" t="s">
        <v>89</v>
      </c>
      <c r="N2330" s="2" t="s">
        <v>23</v>
      </c>
      <c r="O2330">
        <f t="shared" si="72"/>
        <v>6.3900000000000148</v>
      </c>
      <c r="P2330">
        <f t="shared" si="73"/>
        <v>32.846000000000018</v>
      </c>
    </row>
    <row r="2331" spans="1:16" x14ac:dyDescent="0.35">
      <c r="A2331" s="9" t="s">
        <v>369</v>
      </c>
      <c r="B2331" s="2">
        <v>184.5</v>
      </c>
      <c r="C2331" s="2">
        <v>187.46</v>
      </c>
      <c r="D2331" s="2">
        <v>182.19499999999999</v>
      </c>
      <c r="E2331" s="2">
        <v>182.89</v>
      </c>
      <c r="F2331" s="2">
        <v>14766592</v>
      </c>
      <c r="G2331" s="2" t="s">
        <v>566</v>
      </c>
      <c r="H2331" s="2" t="s">
        <v>567</v>
      </c>
      <c r="I2331" s="2" t="s">
        <v>568</v>
      </c>
      <c r="J2331" s="3">
        <v>5.5E-2</v>
      </c>
      <c r="K2331" s="2" t="s">
        <v>359</v>
      </c>
      <c r="L2331" s="2">
        <v>2024</v>
      </c>
      <c r="M2331" s="2" t="s">
        <v>89</v>
      </c>
      <c r="N2331" s="2" t="s">
        <v>21</v>
      </c>
      <c r="O2331">
        <f t="shared" si="72"/>
        <v>5.2650000000000148</v>
      </c>
      <c r="P2331">
        <f t="shared" si="73"/>
        <v>32.901000000000018</v>
      </c>
    </row>
    <row r="2332" spans="1:16" x14ac:dyDescent="0.35">
      <c r="A2332" s="9" t="s">
        <v>370</v>
      </c>
      <c r="B2332" s="2">
        <v>182.9</v>
      </c>
      <c r="C2332" s="2">
        <v>183.16</v>
      </c>
      <c r="D2332" s="2">
        <v>179.65</v>
      </c>
      <c r="E2332" s="2">
        <v>180.8</v>
      </c>
      <c r="F2332" s="2">
        <v>16451801</v>
      </c>
      <c r="G2332" s="2" t="s">
        <v>566</v>
      </c>
      <c r="H2332" s="2" t="s">
        <v>567</v>
      </c>
      <c r="I2332" s="2" t="s">
        <v>568</v>
      </c>
      <c r="J2332" s="4">
        <v>-1.143</v>
      </c>
      <c r="K2332" s="2" t="s">
        <v>359</v>
      </c>
      <c r="L2332" s="2">
        <v>2024</v>
      </c>
      <c r="M2332" s="2" t="s">
        <v>89</v>
      </c>
      <c r="N2332" s="2" t="s">
        <v>23</v>
      </c>
      <c r="O2332">
        <f t="shared" si="72"/>
        <v>3.5099999999999909</v>
      </c>
      <c r="P2332">
        <f t="shared" si="73"/>
        <v>31.758000000000017</v>
      </c>
    </row>
    <row r="2333" spans="1:16" x14ac:dyDescent="0.35">
      <c r="A2333" s="9" t="s">
        <v>371</v>
      </c>
      <c r="B2333" s="2">
        <v>181.37</v>
      </c>
      <c r="C2333" s="2">
        <v>182.42</v>
      </c>
      <c r="D2333" s="2">
        <v>179.2</v>
      </c>
      <c r="E2333" s="2">
        <v>180.08</v>
      </c>
      <c r="F2333" s="2">
        <v>9017093</v>
      </c>
      <c r="G2333" s="2" t="s">
        <v>566</v>
      </c>
      <c r="H2333" s="2" t="s">
        <v>567</v>
      </c>
      <c r="I2333" s="2" t="s">
        <v>568</v>
      </c>
      <c r="J2333" s="4">
        <v>-0.39800000000000002</v>
      </c>
      <c r="K2333" s="2" t="s">
        <v>359</v>
      </c>
      <c r="L2333" s="2">
        <v>2024</v>
      </c>
      <c r="M2333" s="2" t="s">
        <v>89</v>
      </c>
      <c r="N2333" s="2" t="s">
        <v>23</v>
      </c>
      <c r="O2333">
        <f t="shared" si="72"/>
        <v>3.2199999999999989</v>
      </c>
      <c r="P2333">
        <f t="shared" si="73"/>
        <v>31.360000000000017</v>
      </c>
    </row>
    <row r="2334" spans="1:16" x14ac:dyDescent="0.35">
      <c r="A2334" s="9" t="s">
        <v>372</v>
      </c>
      <c r="B2334" s="2">
        <v>181.1</v>
      </c>
      <c r="C2334" s="2">
        <v>183.36</v>
      </c>
      <c r="D2334" s="2">
        <v>179.97</v>
      </c>
      <c r="E2334" s="2">
        <v>181.25</v>
      </c>
      <c r="F2334" s="2">
        <v>9557720</v>
      </c>
      <c r="G2334" s="2" t="s">
        <v>566</v>
      </c>
      <c r="H2334" s="2" t="s">
        <v>567</v>
      </c>
      <c r="I2334" s="2" t="s">
        <v>568</v>
      </c>
      <c r="J2334" s="3">
        <v>0.65</v>
      </c>
      <c r="K2334" s="2" t="s">
        <v>359</v>
      </c>
      <c r="L2334" s="2">
        <v>2024</v>
      </c>
      <c r="M2334" s="2" t="s">
        <v>89</v>
      </c>
      <c r="N2334" s="2" t="s">
        <v>21</v>
      </c>
      <c r="O2334">
        <f t="shared" si="72"/>
        <v>3.3900000000000148</v>
      </c>
      <c r="P2334">
        <f t="shared" si="73"/>
        <v>32.010000000000019</v>
      </c>
    </row>
    <row r="2335" spans="1:16" x14ac:dyDescent="0.35">
      <c r="A2335" s="9" t="s">
        <v>373</v>
      </c>
      <c r="B2335" s="2">
        <v>182.4</v>
      </c>
      <c r="C2335" s="2">
        <v>185.88</v>
      </c>
      <c r="D2335" s="2">
        <v>181.41</v>
      </c>
      <c r="E2335" s="2">
        <v>185.8</v>
      </c>
      <c r="F2335" s="2">
        <v>13379451</v>
      </c>
      <c r="G2335" s="2" t="s">
        <v>566</v>
      </c>
      <c r="H2335" s="2" t="s">
        <v>567</v>
      </c>
      <c r="I2335" s="2" t="s">
        <v>568</v>
      </c>
      <c r="J2335" s="3">
        <v>2.5099999999999998</v>
      </c>
      <c r="K2335" s="2" t="s">
        <v>359</v>
      </c>
      <c r="L2335" s="2">
        <v>2024</v>
      </c>
      <c r="M2335" s="2" t="s">
        <v>89</v>
      </c>
      <c r="N2335" s="2" t="s">
        <v>21</v>
      </c>
      <c r="O2335">
        <f t="shared" si="72"/>
        <v>4.4699999999999989</v>
      </c>
      <c r="P2335">
        <f t="shared" si="73"/>
        <v>34.520000000000017</v>
      </c>
    </row>
    <row r="2336" spans="1:16" x14ac:dyDescent="0.35">
      <c r="A2336" s="9" t="s">
        <v>374</v>
      </c>
      <c r="B2336" s="2">
        <v>185.99</v>
      </c>
      <c r="C2336" s="2">
        <v>190.125</v>
      </c>
      <c r="D2336" s="2">
        <v>185.98</v>
      </c>
      <c r="E2336" s="2">
        <v>189.41</v>
      </c>
      <c r="F2336" s="2">
        <v>11529668</v>
      </c>
      <c r="G2336" s="2" t="s">
        <v>566</v>
      </c>
      <c r="H2336" s="2" t="s">
        <v>567</v>
      </c>
      <c r="I2336" s="2" t="s">
        <v>568</v>
      </c>
      <c r="J2336" s="3">
        <v>1.9430000000000001</v>
      </c>
      <c r="K2336" s="2" t="s">
        <v>359</v>
      </c>
      <c r="L2336" s="2">
        <v>2024</v>
      </c>
      <c r="M2336" s="2" t="s">
        <v>89</v>
      </c>
      <c r="N2336" s="2" t="s">
        <v>21</v>
      </c>
      <c r="O2336">
        <f t="shared" si="72"/>
        <v>4.1450000000000102</v>
      </c>
      <c r="P2336">
        <f t="shared" si="73"/>
        <v>36.463000000000015</v>
      </c>
    </row>
    <row r="2337" spans="1:16" x14ac:dyDescent="0.35">
      <c r="A2337" s="9" t="s">
        <v>375</v>
      </c>
      <c r="B2337" s="2">
        <v>191.13</v>
      </c>
      <c r="C2337" s="2">
        <v>192.22499999999999</v>
      </c>
      <c r="D2337" s="2">
        <v>190.52</v>
      </c>
      <c r="E2337" s="2">
        <v>192.14</v>
      </c>
      <c r="F2337" s="2">
        <v>9144372</v>
      </c>
      <c r="G2337" s="2" t="s">
        <v>566</v>
      </c>
      <c r="H2337" s="2" t="s">
        <v>567</v>
      </c>
      <c r="I2337" s="2" t="s">
        <v>568</v>
      </c>
      <c r="J2337" s="3">
        <v>1.4410000000000001</v>
      </c>
      <c r="K2337" s="2" t="s">
        <v>359</v>
      </c>
      <c r="L2337" s="2">
        <v>2024</v>
      </c>
      <c r="M2337" s="2" t="s">
        <v>89</v>
      </c>
      <c r="N2337" s="2" t="s">
        <v>21</v>
      </c>
      <c r="O2337">
        <f t="shared" si="72"/>
        <v>1.7049999999999841</v>
      </c>
      <c r="P2337">
        <f t="shared" si="73"/>
        <v>37.904000000000018</v>
      </c>
    </row>
    <row r="2338" spans="1:16" x14ac:dyDescent="0.35">
      <c r="A2338" s="9" t="s">
        <v>376</v>
      </c>
      <c r="B2338" s="2">
        <v>190.53</v>
      </c>
      <c r="C2338" s="2">
        <v>193.23</v>
      </c>
      <c r="D2338" s="2">
        <v>190.17</v>
      </c>
      <c r="E2338" s="2">
        <v>193.08</v>
      </c>
      <c r="F2338" s="2">
        <v>6964905</v>
      </c>
      <c r="G2338" s="2" t="s">
        <v>566</v>
      </c>
      <c r="H2338" s="2" t="s">
        <v>567</v>
      </c>
      <c r="I2338" s="2" t="s">
        <v>568</v>
      </c>
      <c r="J2338" s="3">
        <v>0.48899999999999999</v>
      </c>
      <c r="K2338" s="2" t="s">
        <v>359</v>
      </c>
      <c r="L2338" s="2">
        <v>2024</v>
      </c>
      <c r="M2338" s="2" t="s">
        <v>89</v>
      </c>
      <c r="N2338" s="2" t="s">
        <v>21</v>
      </c>
      <c r="O2338">
        <f t="shared" si="72"/>
        <v>3.0600000000000023</v>
      </c>
      <c r="P2338">
        <f t="shared" si="73"/>
        <v>38.393000000000015</v>
      </c>
    </row>
    <row r="2339" spans="1:16" x14ac:dyDescent="0.35">
      <c r="A2339" s="9" t="s">
        <v>377</v>
      </c>
      <c r="B2339" s="2">
        <v>192.25</v>
      </c>
      <c r="C2339" s="2">
        <v>193.935</v>
      </c>
      <c r="D2339" s="2">
        <v>191.18</v>
      </c>
      <c r="E2339" s="2">
        <v>193.37</v>
      </c>
      <c r="F2339" s="2">
        <v>9802265</v>
      </c>
      <c r="G2339" s="2" t="s">
        <v>566</v>
      </c>
      <c r="H2339" s="2" t="s">
        <v>567</v>
      </c>
      <c r="I2339" s="2" t="s">
        <v>568</v>
      </c>
      <c r="J2339" s="3">
        <v>0.15</v>
      </c>
      <c r="K2339" s="2" t="s">
        <v>359</v>
      </c>
      <c r="L2339" s="2">
        <v>2024</v>
      </c>
      <c r="M2339" s="2" t="s">
        <v>89</v>
      </c>
      <c r="N2339" s="2" t="s">
        <v>21</v>
      </c>
      <c r="O2339">
        <f t="shared" si="72"/>
        <v>2.7549999999999955</v>
      </c>
      <c r="P2339">
        <f t="shared" si="73"/>
        <v>38.543000000000013</v>
      </c>
    </row>
    <row r="2340" spans="1:16" x14ac:dyDescent="0.35">
      <c r="A2340" s="9" t="s">
        <v>378</v>
      </c>
      <c r="B2340" s="2">
        <v>193.57</v>
      </c>
      <c r="C2340" s="2">
        <v>194.87</v>
      </c>
      <c r="D2340" s="2">
        <v>193.06</v>
      </c>
      <c r="E2340" s="2">
        <v>193.49</v>
      </c>
      <c r="F2340" s="2">
        <v>6413655</v>
      </c>
      <c r="G2340" s="2" t="s">
        <v>566</v>
      </c>
      <c r="H2340" s="2" t="s">
        <v>567</v>
      </c>
      <c r="I2340" s="2" t="s">
        <v>568</v>
      </c>
      <c r="J2340" s="3">
        <v>6.2E-2</v>
      </c>
      <c r="K2340" s="2" t="s">
        <v>359</v>
      </c>
      <c r="L2340" s="2">
        <v>2024</v>
      </c>
      <c r="M2340" s="2" t="s">
        <v>89</v>
      </c>
      <c r="N2340" s="2" t="s">
        <v>21</v>
      </c>
      <c r="O2340">
        <f t="shared" si="72"/>
        <v>1.8100000000000023</v>
      </c>
      <c r="P2340">
        <f t="shared" si="73"/>
        <v>38.605000000000011</v>
      </c>
    </row>
    <row r="2341" spans="1:16" x14ac:dyDescent="0.35">
      <c r="A2341" s="9" t="s">
        <v>379</v>
      </c>
      <c r="B2341" s="2">
        <v>193.48</v>
      </c>
      <c r="C2341" s="2">
        <v>194.26</v>
      </c>
      <c r="D2341" s="2">
        <v>192.43</v>
      </c>
      <c r="E2341" s="2">
        <v>193.28</v>
      </c>
      <c r="F2341" s="2">
        <v>5411129</v>
      </c>
      <c r="G2341" s="2" t="s">
        <v>566</v>
      </c>
      <c r="H2341" s="2" t="s">
        <v>567</v>
      </c>
      <c r="I2341" s="2" t="s">
        <v>568</v>
      </c>
      <c r="J2341" s="4">
        <v>-0.109</v>
      </c>
      <c r="K2341" s="2" t="s">
        <v>359</v>
      </c>
      <c r="L2341" s="2">
        <v>2024</v>
      </c>
      <c r="M2341" s="2" t="s">
        <v>89</v>
      </c>
      <c r="N2341" s="2" t="s">
        <v>23</v>
      </c>
      <c r="O2341">
        <f t="shared" si="72"/>
        <v>1.8299999999999841</v>
      </c>
      <c r="P2341">
        <f t="shared" si="73"/>
        <v>38.496000000000009</v>
      </c>
    </row>
    <row r="2342" spans="1:16" x14ac:dyDescent="0.35">
      <c r="A2342" s="9" t="s">
        <v>380</v>
      </c>
      <c r="B2342" s="2">
        <v>192.81</v>
      </c>
      <c r="C2342" s="2">
        <v>194.99</v>
      </c>
      <c r="D2342" s="2">
        <v>191.64</v>
      </c>
      <c r="E2342" s="2">
        <v>191.74</v>
      </c>
      <c r="F2342" s="2">
        <v>8153681</v>
      </c>
      <c r="G2342" s="2" t="s">
        <v>566</v>
      </c>
      <c r="H2342" s="2" t="s">
        <v>567</v>
      </c>
      <c r="I2342" s="2" t="s">
        <v>568</v>
      </c>
      <c r="J2342" s="4">
        <v>-0.79700000000000004</v>
      </c>
      <c r="K2342" s="2" t="s">
        <v>359</v>
      </c>
      <c r="L2342" s="2">
        <v>2024</v>
      </c>
      <c r="M2342" s="2" t="s">
        <v>89</v>
      </c>
      <c r="N2342" s="2" t="s">
        <v>23</v>
      </c>
      <c r="O2342">
        <f t="shared" si="72"/>
        <v>3.3500000000000227</v>
      </c>
      <c r="P2342">
        <f t="shared" si="73"/>
        <v>37.699000000000012</v>
      </c>
    </row>
    <row r="2343" spans="1:16" x14ac:dyDescent="0.35">
      <c r="A2343" s="9" t="s">
        <v>381</v>
      </c>
      <c r="B2343" s="2">
        <v>192.27</v>
      </c>
      <c r="C2343" s="2">
        <v>194.46</v>
      </c>
      <c r="D2343" s="2">
        <v>190.79</v>
      </c>
      <c r="E2343" s="2">
        <v>191.86</v>
      </c>
      <c r="F2343" s="2">
        <v>7446703</v>
      </c>
      <c r="G2343" s="2" t="s">
        <v>566</v>
      </c>
      <c r="H2343" s="2" t="s">
        <v>567</v>
      </c>
      <c r="I2343" s="2" t="s">
        <v>568</v>
      </c>
      <c r="J2343" s="3">
        <v>6.3E-2</v>
      </c>
      <c r="K2343" s="2" t="s">
        <v>382</v>
      </c>
      <c r="L2343" s="2">
        <v>2024</v>
      </c>
      <c r="M2343" s="2" t="s">
        <v>110</v>
      </c>
      <c r="N2343" s="2" t="s">
        <v>21</v>
      </c>
      <c r="O2343">
        <f t="shared" si="72"/>
        <v>3.6700000000000159</v>
      </c>
      <c r="P2343">
        <f t="shared" si="73"/>
        <v>37.762000000000015</v>
      </c>
    </row>
    <row r="2344" spans="1:16" x14ac:dyDescent="0.35">
      <c r="A2344" s="9" t="s">
        <v>383</v>
      </c>
      <c r="B2344" s="2">
        <v>193.07</v>
      </c>
      <c r="C2344" s="2">
        <v>193.5</v>
      </c>
      <c r="D2344" s="2">
        <v>189.52</v>
      </c>
      <c r="E2344" s="2">
        <v>191.66</v>
      </c>
      <c r="F2344" s="2">
        <v>6501657</v>
      </c>
      <c r="G2344" s="2" t="s">
        <v>566</v>
      </c>
      <c r="H2344" s="2" t="s">
        <v>567</v>
      </c>
      <c r="I2344" s="2" t="s">
        <v>568</v>
      </c>
      <c r="J2344" s="4">
        <v>-0.104</v>
      </c>
      <c r="K2344" s="2" t="s">
        <v>382</v>
      </c>
      <c r="L2344" s="2">
        <v>2024</v>
      </c>
      <c r="M2344" s="2" t="s">
        <v>110</v>
      </c>
      <c r="N2344" s="2" t="s">
        <v>23</v>
      </c>
      <c r="O2344">
        <f t="shared" si="72"/>
        <v>3.9799999999999898</v>
      </c>
      <c r="P2344">
        <f t="shared" si="73"/>
        <v>37.658000000000015</v>
      </c>
    </row>
    <row r="2345" spans="1:16" x14ac:dyDescent="0.35">
      <c r="A2345" s="9" t="s">
        <v>384</v>
      </c>
      <c r="B2345" s="2">
        <v>192</v>
      </c>
      <c r="C2345" s="2">
        <v>192.529</v>
      </c>
      <c r="D2345" s="2">
        <v>188.46</v>
      </c>
      <c r="E2345" s="2">
        <v>190.51</v>
      </c>
      <c r="F2345" s="2">
        <v>8922775</v>
      </c>
      <c r="G2345" s="2" t="s">
        <v>566</v>
      </c>
      <c r="H2345" s="2" t="s">
        <v>567</v>
      </c>
      <c r="I2345" s="2" t="s">
        <v>568</v>
      </c>
      <c r="J2345" s="4">
        <v>-0.6</v>
      </c>
      <c r="K2345" s="2" t="s">
        <v>382</v>
      </c>
      <c r="L2345" s="2">
        <v>2024</v>
      </c>
      <c r="M2345" s="2" t="s">
        <v>110</v>
      </c>
      <c r="N2345" s="2" t="s">
        <v>23</v>
      </c>
      <c r="O2345">
        <f t="shared" si="72"/>
        <v>4.0689999999999884</v>
      </c>
      <c r="P2345">
        <f t="shared" si="73"/>
        <v>37.058000000000014</v>
      </c>
    </row>
    <row r="2346" spans="1:16" x14ac:dyDescent="0.35">
      <c r="A2346" s="9" t="s">
        <v>385</v>
      </c>
      <c r="B2346" s="2">
        <v>191.73</v>
      </c>
      <c r="C2346" s="2">
        <v>192.2</v>
      </c>
      <c r="D2346" s="2">
        <v>189.815</v>
      </c>
      <c r="E2346" s="2">
        <v>192</v>
      </c>
      <c r="F2346" s="2">
        <v>7911134</v>
      </c>
      <c r="G2346" s="2" t="s">
        <v>566</v>
      </c>
      <c r="H2346" s="2" t="s">
        <v>567</v>
      </c>
      <c r="I2346" s="2" t="s">
        <v>568</v>
      </c>
      <c r="J2346" s="3">
        <v>0.78200000000000003</v>
      </c>
      <c r="K2346" s="2" t="s">
        <v>382</v>
      </c>
      <c r="L2346" s="2">
        <v>2024</v>
      </c>
      <c r="M2346" s="2" t="s">
        <v>110</v>
      </c>
      <c r="N2346" s="2" t="s">
        <v>21</v>
      </c>
      <c r="O2346">
        <f t="shared" si="72"/>
        <v>2.3849999999999909</v>
      </c>
      <c r="P2346">
        <f t="shared" si="73"/>
        <v>37.840000000000018</v>
      </c>
    </row>
    <row r="2347" spans="1:16" x14ac:dyDescent="0.35">
      <c r="A2347" s="9" t="s">
        <v>386</v>
      </c>
      <c r="B2347" s="2">
        <v>191.7</v>
      </c>
      <c r="C2347" s="2">
        <v>192.93</v>
      </c>
      <c r="D2347" s="2">
        <v>191.65</v>
      </c>
      <c r="E2347" s="2">
        <v>191.75</v>
      </c>
      <c r="F2347" s="2">
        <v>7688771</v>
      </c>
      <c r="G2347" s="2" t="s">
        <v>566</v>
      </c>
      <c r="H2347" s="2" t="s">
        <v>567</v>
      </c>
      <c r="I2347" s="2" t="s">
        <v>568</v>
      </c>
      <c r="J2347" s="4">
        <v>-0.13</v>
      </c>
      <c r="K2347" s="2" t="s">
        <v>382</v>
      </c>
      <c r="L2347" s="2">
        <v>2024</v>
      </c>
      <c r="M2347" s="2" t="s">
        <v>110</v>
      </c>
      <c r="N2347" s="2" t="s">
        <v>23</v>
      </c>
      <c r="O2347">
        <f t="shared" si="72"/>
        <v>1.2800000000000011</v>
      </c>
      <c r="P2347">
        <f t="shared" si="73"/>
        <v>37.710000000000015</v>
      </c>
    </row>
    <row r="2348" spans="1:16" x14ac:dyDescent="0.35">
      <c r="A2348" s="9" t="s">
        <v>387</v>
      </c>
      <c r="B2348" s="2">
        <v>191</v>
      </c>
      <c r="C2348" s="2">
        <v>196.65</v>
      </c>
      <c r="D2348" s="2">
        <v>191</v>
      </c>
      <c r="E2348" s="2">
        <v>195.65</v>
      </c>
      <c r="F2348" s="2">
        <v>9227561</v>
      </c>
      <c r="G2348" s="2" t="s">
        <v>566</v>
      </c>
      <c r="H2348" s="2" t="s">
        <v>567</v>
      </c>
      <c r="I2348" s="2" t="s">
        <v>568</v>
      </c>
      <c r="J2348" s="3">
        <v>2.0339999999999998</v>
      </c>
      <c r="K2348" s="2" t="s">
        <v>382</v>
      </c>
      <c r="L2348" s="2">
        <v>2024</v>
      </c>
      <c r="M2348" s="2" t="s">
        <v>110</v>
      </c>
      <c r="N2348" s="2" t="s">
        <v>21</v>
      </c>
      <c r="O2348">
        <f t="shared" si="72"/>
        <v>5.6500000000000057</v>
      </c>
      <c r="P2348">
        <f t="shared" si="73"/>
        <v>39.744000000000014</v>
      </c>
    </row>
    <row r="2349" spans="1:16" x14ac:dyDescent="0.35">
      <c r="A2349" s="9" t="s">
        <v>388</v>
      </c>
      <c r="B2349" s="2">
        <v>195.17</v>
      </c>
      <c r="C2349" s="2">
        <v>197.59</v>
      </c>
      <c r="D2349" s="2">
        <v>195.1</v>
      </c>
      <c r="E2349" s="2">
        <v>197.5</v>
      </c>
      <c r="F2349" s="2">
        <v>7977291</v>
      </c>
      <c r="G2349" s="2" t="s">
        <v>566</v>
      </c>
      <c r="H2349" s="2" t="s">
        <v>567</v>
      </c>
      <c r="I2349" s="2" t="s">
        <v>568</v>
      </c>
      <c r="J2349" s="3">
        <v>0.94599999999999995</v>
      </c>
      <c r="K2349" s="2" t="s">
        <v>382</v>
      </c>
      <c r="L2349" s="2">
        <v>2024</v>
      </c>
      <c r="M2349" s="2" t="s">
        <v>110</v>
      </c>
      <c r="N2349" s="2" t="s">
        <v>21</v>
      </c>
      <c r="O2349">
        <f t="shared" si="72"/>
        <v>2.4900000000000091</v>
      </c>
      <c r="P2349">
        <f t="shared" si="73"/>
        <v>40.690000000000012</v>
      </c>
    </row>
    <row r="2350" spans="1:16" x14ac:dyDescent="0.35">
      <c r="A2350" s="9" t="s">
        <v>389</v>
      </c>
      <c r="B2350" s="2">
        <v>198.54</v>
      </c>
      <c r="C2350" s="2">
        <v>199.34</v>
      </c>
      <c r="D2350" s="2">
        <v>198.27</v>
      </c>
      <c r="E2350" s="2">
        <v>198.77</v>
      </c>
      <c r="F2350" s="2">
        <v>7529790</v>
      </c>
      <c r="G2350" s="2" t="s">
        <v>566</v>
      </c>
      <c r="H2350" s="2" t="s">
        <v>567</v>
      </c>
      <c r="I2350" s="2" t="s">
        <v>568</v>
      </c>
      <c r="J2350" s="3">
        <v>0.64300000000000002</v>
      </c>
      <c r="K2350" s="2" t="s">
        <v>382</v>
      </c>
      <c r="L2350" s="2">
        <v>2024</v>
      </c>
      <c r="M2350" s="2" t="s">
        <v>110</v>
      </c>
      <c r="N2350" s="2" t="s">
        <v>21</v>
      </c>
      <c r="O2350">
        <f t="shared" si="72"/>
        <v>1.0699999999999932</v>
      </c>
      <c r="P2350">
        <f t="shared" si="73"/>
        <v>41.333000000000013</v>
      </c>
    </row>
    <row r="2351" spans="1:16" x14ac:dyDescent="0.35">
      <c r="A2351" s="9" t="s">
        <v>390</v>
      </c>
      <c r="B2351" s="2">
        <v>198.8</v>
      </c>
      <c r="C2351" s="2">
        <v>199.85</v>
      </c>
      <c r="D2351" s="2">
        <v>198.04</v>
      </c>
      <c r="E2351" s="2">
        <v>198.73</v>
      </c>
      <c r="F2351" s="2">
        <v>7049241</v>
      </c>
      <c r="G2351" s="2" t="s">
        <v>566</v>
      </c>
      <c r="H2351" s="2" t="s">
        <v>567</v>
      </c>
      <c r="I2351" s="2" t="s">
        <v>568</v>
      </c>
      <c r="J2351" s="4">
        <v>-0.02</v>
      </c>
      <c r="K2351" s="2" t="s">
        <v>382</v>
      </c>
      <c r="L2351" s="2">
        <v>2024</v>
      </c>
      <c r="M2351" s="2" t="s">
        <v>110</v>
      </c>
      <c r="N2351" s="2" t="s">
        <v>23</v>
      </c>
      <c r="O2351">
        <f t="shared" si="72"/>
        <v>1.8100000000000023</v>
      </c>
      <c r="P2351">
        <f t="shared" si="73"/>
        <v>41.313000000000009</v>
      </c>
    </row>
    <row r="2352" spans="1:16" x14ac:dyDescent="0.35">
      <c r="A2352" s="9" t="s">
        <v>391</v>
      </c>
      <c r="B2352" s="2">
        <v>199</v>
      </c>
      <c r="C2352" s="2">
        <v>201.58</v>
      </c>
      <c r="D2352" s="2">
        <v>198.16</v>
      </c>
      <c r="E2352" s="2">
        <v>201.51</v>
      </c>
      <c r="F2352" s="2">
        <v>8596175</v>
      </c>
      <c r="G2352" s="2" t="s">
        <v>566</v>
      </c>
      <c r="H2352" s="2" t="s">
        <v>567</v>
      </c>
      <c r="I2352" s="2" t="s">
        <v>568</v>
      </c>
      <c r="J2352" s="3">
        <v>1.399</v>
      </c>
      <c r="K2352" s="2" t="s">
        <v>382</v>
      </c>
      <c r="L2352" s="2">
        <v>2024</v>
      </c>
      <c r="M2352" s="2" t="s">
        <v>110</v>
      </c>
      <c r="N2352" s="2" t="s">
        <v>21</v>
      </c>
      <c r="O2352">
        <f t="shared" si="72"/>
        <v>3.4200000000000159</v>
      </c>
      <c r="P2352">
        <f t="shared" si="73"/>
        <v>42.71200000000001</v>
      </c>
    </row>
    <row r="2353" spans="1:16" x14ac:dyDescent="0.35">
      <c r="A2353" s="9" t="s">
        <v>392</v>
      </c>
      <c r="B2353" s="2">
        <v>202.01</v>
      </c>
      <c r="C2353" s="2">
        <v>202.69</v>
      </c>
      <c r="D2353" s="2">
        <v>199.77</v>
      </c>
      <c r="E2353" s="2">
        <v>202.11</v>
      </c>
      <c r="F2353" s="2">
        <v>8369975</v>
      </c>
      <c r="G2353" s="2" t="s">
        <v>566</v>
      </c>
      <c r="H2353" s="2" t="s">
        <v>567</v>
      </c>
      <c r="I2353" s="2" t="s">
        <v>568</v>
      </c>
      <c r="J2353" s="3">
        <v>0.29799999999999999</v>
      </c>
      <c r="K2353" s="2" t="s">
        <v>382</v>
      </c>
      <c r="L2353" s="2">
        <v>2024</v>
      </c>
      <c r="M2353" s="2" t="s">
        <v>110</v>
      </c>
      <c r="N2353" s="2" t="s">
        <v>21</v>
      </c>
      <c r="O2353">
        <f t="shared" si="72"/>
        <v>2.9199999999999875</v>
      </c>
      <c r="P2353">
        <f t="shared" si="73"/>
        <v>43.010000000000012</v>
      </c>
    </row>
    <row r="2354" spans="1:16" x14ac:dyDescent="0.35">
      <c r="A2354" s="9" t="s">
        <v>393</v>
      </c>
      <c r="B2354" s="2">
        <v>202.22</v>
      </c>
      <c r="C2354" s="2">
        <v>204.48</v>
      </c>
      <c r="D2354" s="2">
        <v>201.99</v>
      </c>
      <c r="E2354" s="2">
        <v>202.47</v>
      </c>
      <c r="F2354" s="2">
        <v>8497927</v>
      </c>
      <c r="G2354" s="2" t="s">
        <v>566</v>
      </c>
      <c r="H2354" s="2" t="s">
        <v>567</v>
      </c>
      <c r="I2354" s="2" t="s">
        <v>568</v>
      </c>
      <c r="J2354" s="3">
        <v>0.17799999999999999</v>
      </c>
      <c r="K2354" s="2" t="s">
        <v>382</v>
      </c>
      <c r="L2354" s="2">
        <v>2024</v>
      </c>
      <c r="M2354" s="2" t="s">
        <v>110</v>
      </c>
      <c r="N2354" s="2" t="s">
        <v>21</v>
      </c>
      <c r="O2354">
        <f t="shared" si="72"/>
        <v>2.4899999999999807</v>
      </c>
      <c r="P2354">
        <f t="shared" si="73"/>
        <v>43.188000000000009</v>
      </c>
    </row>
    <row r="2355" spans="1:16" x14ac:dyDescent="0.35">
      <c r="A2355" s="9" t="s">
        <v>394</v>
      </c>
      <c r="B2355" s="2">
        <v>203.81</v>
      </c>
      <c r="C2355" s="2">
        <v>205.05</v>
      </c>
      <c r="D2355" s="2">
        <v>202.815</v>
      </c>
      <c r="E2355" s="2">
        <v>204.79</v>
      </c>
      <c r="F2355" s="2">
        <v>9260490</v>
      </c>
      <c r="G2355" s="2" t="s">
        <v>566</v>
      </c>
      <c r="H2355" s="2" t="s">
        <v>567</v>
      </c>
      <c r="I2355" s="2" t="s">
        <v>568</v>
      </c>
      <c r="J2355" s="3">
        <v>1.1459999999999999</v>
      </c>
      <c r="K2355" s="2" t="s">
        <v>382</v>
      </c>
      <c r="L2355" s="2">
        <v>2024</v>
      </c>
      <c r="M2355" s="2" t="s">
        <v>110</v>
      </c>
      <c r="N2355" s="2" t="s">
        <v>21</v>
      </c>
      <c r="O2355">
        <f t="shared" si="72"/>
        <v>2.2350000000000136</v>
      </c>
      <c r="P2355">
        <f t="shared" si="73"/>
        <v>44.33400000000001</v>
      </c>
    </row>
    <row r="2356" spans="1:16" x14ac:dyDescent="0.35">
      <c r="A2356" s="9" t="s">
        <v>395</v>
      </c>
      <c r="B2356" s="2">
        <v>204.39</v>
      </c>
      <c r="C2356" s="2">
        <v>205.88</v>
      </c>
      <c r="D2356" s="2">
        <v>195.4</v>
      </c>
      <c r="E2356" s="2">
        <v>195.58</v>
      </c>
      <c r="F2356" s="2">
        <v>17373253</v>
      </c>
      <c r="G2356" s="2" t="s">
        <v>566</v>
      </c>
      <c r="H2356" s="2" t="s">
        <v>567</v>
      </c>
      <c r="I2356" s="2" t="s">
        <v>568</v>
      </c>
      <c r="J2356" s="4">
        <v>-4.4969999999999999</v>
      </c>
      <c r="K2356" s="2" t="s">
        <v>382</v>
      </c>
      <c r="L2356" s="2">
        <v>2024</v>
      </c>
      <c r="M2356" s="2" t="s">
        <v>110</v>
      </c>
      <c r="N2356" s="2" t="s">
        <v>23</v>
      </c>
      <c r="O2356">
        <f t="shared" si="72"/>
        <v>10.47999999999999</v>
      </c>
      <c r="P2356">
        <f t="shared" si="73"/>
        <v>39.83700000000001</v>
      </c>
    </row>
    <row r="2357" spans="1:16" x14ac:dyDescent="0.35">
      <c r="A2357" s="9" t="s">
        <v>396</v>
      </c>
      <c r="B2357" s="2">
        <v>197</v>
      </c>
      <c r="C2357" s="2">
        <v>199.9</v>
      </c>
      <c r="D2357" s="2">
        <v>196.6</v>
      </c>
      <c r="E2357" s="2">
        <v>199.52</v>
      </c>
      <c r="F2357" s="2">
        <v>14420799</v>
      </c>
      <c r="G2357" s="2" t="s">
        <v>566</v>
      </c>
      <c r="H2357" s="2" t="s">
        <v>567</v>
      </c>
      <c r="I2357" s="2" t="s">
        <v>568</v>
      </c>
      <c r="J2357" s="3">
        <v>2.0150000000000001</v>
      </c>
      <c r="K2357" s="2" t="s">
        <v>382</v>
      </c>
      <c r="L2357" s="2">
        <v>2024</v>
      </c>
      <c r="M2357" s="2" t="s">
        <v>110</v>
      </c>
      <c r="N2357" s="2" t="s">
        <v>21</v>
      </c>
      <c r="O2357">
        <f t="shared" si="72"/>
        <v>3.3000000000000114</v>
      </c>
      <c r="P2357">
        <f t="shared" si="73"/>
        <v>41.852000000000011</v>
      </c>
    </row>
    <row r="2358" spans="1:16" x14ac:dyDescent="0.35">
      <c r="A2358" s="9" t="s">
        <v>397</v>
      </c>
      <c r="B2358" s="2">
        <v>199</v>
      </c>
      <c r="C2358" s="2">
        <v>200.935</v>
      </c>
      <c r="D2358" s="2">
        <v>197.69</v>
      </c>
      <c r="E2358" s="2">
        <v>198.31</v>
      </c>
      <c r="F2358" s="2">
        <v>9425338</v>
      </c>
      <c r="G2358" s="2" t="s">
        <v>566</v>
      </c>
      <c r="H2358" s="2" t="s">
        <v>567</v>
      </c>
      <c r="I2358" s="2" t="s">
        <v>568</v>
      </c>
      <c r="J2358" s="4">
        <v>-0.60599999999999998</v>
      </c>
      <c r="K2358" s="2" t="s">
        <v>382</v>
      </c>
      <c r="L2358" s="2">
        <v>2024</v>
      </c>
      <c r="M2358" s="2" t="s">
        <v>110</v>
      </c>
      <c r="N2358" s="2" t="s">
        <v>23</v>
      </c>
      <c r="O2358">
        <f t="shared" si="72"/>
        <v>3.2450000000000045</v>
      </c>
      <c r="P2358">
        <f t="shared" si="73"/>
        <v>41.246000000000009</v>
      </c>
    </row>
    <row r="2359" spans="1:16" x14ac:dyDescent="0.35">
      <c r="A2359" s="9" t="s">
        <v>398</v>
      </c>
      <c r="B2359" s="2">
        <v>197.81</v>
      </c>
      <c r="C2359" s="2">
        <v>198.3</v>
      </c>
      <c r="D2359" s="2">
        <v>196.07</v>
      </c>
      <c r="E2359" s="2">
        <v>196.92</v>
      </c>
      <c r="F2359" s="2">
        <v>8069445</v>
      </c>
      <c r="G2359" s="2" t="s">
        <v>566</v>
      </c>
      <c r="H2359" s="2" t="s">
        <v>567</v>
      </c>
      <c r="I2359" s="2" t="s">
        <v>568</v>
      </c>
      <c r="J2359" s="4">
        <v>-0.70099999999999996</v>
      </c>
      <c r="K2359" s="2" t="s">
        <v>382</v>
      </c>
      <c r="L2359" s="2">
        <v>2024</v>
      </c>
      <c r="M2359" s="2" t="s">
        <v>110</v>
      </c>
      <c r="N2359" s="2" t="s">
        <v>23</v>
      </c>
      <c r="O2359">
        <f t="shared" si="72"/>
        <v>2.2300000000000182</v>
      </c>
      <c r="P2359">
        <f t="shared" si="73"/>
        <v>40.545000000000009</v>
      </c>
    </row>
    <row r="2360" spans="1:16" x14ac:dyDescent="0.35">
      <c r="A2360" s="9" t="s">
        <v>399</v>
      </c>
      <c r="B2360" s="2">
        <v>197.75</v>
      </c>
      <c r="C2360" s="2">
        <v>200.76</v>
      </c>
      <c r="D2360" s="2">
        <v>197.56</v>
      </c>
      <c r="E2360" s="2">
        <v>200.71</v>
      </c>
      <c r="F2360" s="2">
        <v>7356233</v>
      </c>
      <c r="G2360" s="2" t="s">
        <v>566</v>
      </c>
      <c r="H2360" s="2" t="s">
        <v>567</v>
      </c>
      <c r="I2360" s="2" t="s">
        <v>568</v>
      </c>
      <c r="J2360" s="3">
        <v>1.925</v>
      </c>
      <c r="K2360" s="2" t="s">
        <v>382</v>
      </c>
      <c r="L2360" s="2">
        <v>2024</v>
      </c>
      <c r="M2360" s="2" t="s">
        <v>110</v>
      </c>
      <c r="N2360" s="2" t="s">
        <v>21</v>
      </c>
      <c r="O2360">
        <f t="shared" si="72"/>
        <v>3.1999999999999886</v>
      </c>
      <c r="P2360">
        <f t="shared" si="73"/>
        <v>42.470000000000006</v>
      </c>
    </row>
    <row r="2361" spans="1:16" x14ac:dyDescent="0.35">
      <c r="A2361" s="9" t="s">
        <v>400</v>
      </c>
      <c r="B2361" s="2">
        <v>199.86</v>
      </c>
      <c r="C2361" s="2">
        <v>200.41</v>
      </c>
      <c r="D2361" s="2">
        <v>198.66</v>
      </c>
      <c r="E2361" s="2">
        <v>199.5</v>
      </c>
      <c r="F2361" s="2">
        <v>6910206</v>
      </c>
      <c r="G2361" s="2" t="s">
        <v>566</v>
      </c>
      <c r="H2361" s="2" t="s">
        <v>567</v>
      </c>
      <c r="I2361" s="2" t="s">
        <v>568</v>
      </c>
      <c r="J2361" s="4">
        <v>-0.60299999999999998</v>
      </c>
      <c r="K2361" s="2" t="s">
        <v>382</v>
      </c>
      <c r="L2361" s="2">
        <v>2024</v>
      </c>
      <c r="M2361" s="2" t="s">
        <v>110</v>
      </c>
      <c r="N2361" s="2" t="s">
        <v>23</v>
      </c>
      <c r="O2361">
        <f t="shared" si="72"/>
        <v>1.75</v>
      </c>
      <c r="P2361">
        <f t="shared" si="73"/>
        <v>41.867000000000004</v>
      </c>
    </row>
    <row r="2362" spans="1:16" x14ac:dyDescent="0.35">
      <c r="A2362" s="9" t="s">
        <v>401</v>
      </c>
      <c r="B2362" s="2">
        <v>198</v>
      </c>
      <c r="C2362" s="2">
        <v>198.99</v>
      </c>
      <c r="D2362" s="2">
        <v>196.89</v>
      </c>
      <c r="E2362" s="2">
        <v>198.11</v>
      </c>
      <c r="F2362" s="2">
        <v>6120045</v>
      </c>
      <c r="G2362" s="2" t="s">
        <v>566</v>
      </c>
      <c r="H2362" s="2" t="s">
        <v>567</v>
      </c>
      <c r="I2362" s="2" t="s">
        <v>568</v>
      </c>
      <c r="J2362" s="4">
        <v>-0.69699999999999995</v>
      </c>
      <c r="K2362" s="2" t="s">
        <v>382</v>
      </c>
      <c r="L2362" s="2">
        <v>2024</v>
      </c>
      <c r="M2362" s="2" t="s">
        <v>110</v>
      </c>
      <c r="N2362" s="2" t="s">
        <v>23</v>
      </c>
      <c r="O2362">
        <f t="shared" si="72"/>
        <v>2.1000000000000227</v>
      </c>
      <c r="P2362">
        <f t="shared" si="73"/>
        <v>41.17</v>
      </c>
    </row>
    <row r="2363" spans="1:16" x14ac:dyDescent="0.35">
      <c r="A2363" s="9" t="s">
        <v>402</v>
      </c>
      <c r="B2363" s="2">
        <v>198.56</v>
      </c>
      <c r="C2363" s="2">
        <v>199.85</v>
      </c>
      <c r="D2363" s="2">
        <v>198.4</v>
      </c>
      <c r="E2363" s="2">
        <v>199.33</v>
      </c>
      <c r="F2363" s="2">
        <v>6829719</v>
      </c>
      <c r="G2363" s="2" t="s">
        <v>566</v>
      </c>
      <c r="H2363" s="2" t="s">
        <v>567</v>
      </c>
      <c r="I2363" s="2" t="s">
        <v>568</v>
      </c>
      <c r="J2363" s="3">
        <v>0.61599999999999999</v>
      </c>
      <c r="K2363" s="2" t="s">
        <v>382</v>
      </c>
      <c r="L2363" s="2">
        <v>2024</v>
      </c>
      <c r="M2363" s="2" t="s">
        <v>110</v>
      </c>
      <c r="N2363" s="2" t="s">
        <v>21</v>
      </c>
      <c r="O2363">
        <f t="shared" si="72"/>
        <v>1.4499999999999886</v>
      </c>
      <c r="P2363">
        <f t="shared" si="73"/>
        <v>41.786000000000001</v>
      </c>
    </row>
    <row r="2364" spans="1:16" x14ac:dyDescent="0.35">
      <c r="A2364" s="9" t="s">
        <v>403</v>
      </c>
      <c r="B2364" s="2">
        <v>199.3</v>
      </c>
      <c r="C2364" s="2">
        <v>203.3</v>
      </c>
      <c r="D2364" s="2">
        <v>198.35</v>
      </c>
      <c r="E2364" s="2">
        <v>202.63</v>
      </c>
      <c r="F2364" s="2">
        <v>14417885</v>
      </c>
      <c r="G2364" s="2" t="s">
        <v>566</v>
      </c>
      <c r="H2364" s="2" t="s">
        <v>567</v>
      </c>
      <c r="I2364" s="2" t="s">
        <v>568</v>
      </c>
      <c r="J2364" s="3">
        <v>1.6559999999999999</v>
      </c>
      <c r="K2364" s="2" t="s">
        <v>382</v>
      </c>
      <c r="L2364" s="2">
        <v>2024</v>
      </c>
      <c r="M2364" s="2" t="s">
        <v>110</v>
      </c>
      <c r="N2364" s="2" t="s">
        <v>21</v>
      </c>
      <c r="O2364">
        <f t="shared" si="72"/>
        <v>4.9500000000000171</v>
      </c>
      <c r="P2364">
        <f t="shared" si="73"/>
        <v>43.442</v>
      </c>
    </row>
    <row r="2365" spans="1:16" x14ac:dyDescent="0.35">
      <c r="A2365" s="9" t="s">
        <v>404</v>
      </c>
      <c r="B2365" s="2">
        <v>202.31</v>
      </c>
      <c r="C2365" s="2">
        <v>202.42</v>
      </c>
      <c r="D2365" s="2">
        <v>199.19</v>
      </c>
      <c r="E2365" s="2">
        <v>201.82</v>
      </c>
      <c r="F2365" s="2">
        <v>6444309</v>
      </c>
      <c r="G2365" s="2" t="s">
        <v>566</v>
      </c>
      <c r="H2365" s="2" t="s">
        <v>567</v>
      </c>
      <c r="I2365" s="2" t="s">
        <v>568</v>
      </c>
      <c r="J2365" s="4">
        <v>-0.4</v>
      </c>
      <c r="K2365" s="2" t="s">
        <v>405</v>
      </c>
      <c r="L2365" s="2">
        <v>2024</v>
      </c>
      <c r="M2365" s="2" t="s">
        <v>135</v>
      </c>
      <c r="N2365" s="2" t="s">
        <v>23</v>
      </c>
      <c r="O2365">
        <f t="shared" si="72"/>
        <v>3.2299999999999898</v>
      </c>
      <c r="P2365">
        <f t="shared" si="73"/>
        <v>43.042000000000002</v>
      </c>
    </row>
    <row r="2366" spans="1:16" x14ac:dyDescent="0.35">
      <c r="A2366" s="9" t="s">
        <v>406</v>
      </c>
      <c r="B2366" s="2">
        <v>200.16</v>
      </c>
      <c r="C2366" s="2">
        <v>201.98</v>
      </c>
      <c r="D2366" s="2">
        <v>198.28</v>
      </c>
      <c r="E2366" s="2">
        <v>199.16</v>
      </c>
      <c r="F2366" s="2">
        <v>6848338</v>
      </c>
      <c r="G2366" s="2" t="s">
        <v>566</v>
      </c>
      <c r="H2366" s="2" t="s">
        <v>567</v>
      </c>
      <c r="I2366" s="2" t="s">
        <v>568</v>
      </c>
      <c r="J2366" s="4">
        <v>-1.3180000000000001</v>
      </c>
      <c r="K2366" s="2" t="s">
        <v>405</v>
      </c>
      <c r="L2366" s="2">
        <v>2024</v>
      </c>
      <c r="M2366" s="2" t="s">
        <v>135</v>
      </c>
      <c r="N2366" s="2" t="s">
        <v>23</v>
      </c>
      <c r="O2366">
        <f t="shared" si="72"/>
        <v>3.6999999999999886</v>
      </c>
      <c r="P2366">
        <f t="shared" si="73"/>
        <v>41.724000000000004</v>
      </c>
    </row>
    <row r="2367" spans="1:16" x14ac:dyDescent="0.35">
      <c r="A2367" s="9" t="s">
        <v>407</v>
      </c>
      <c r="B2367" s="2">
        <v>199.76</v>
      </c>
      <c r="C2367" s="2">
        <v>199.82</v>
      </c>
      <c r="D2367" s="2">
        <v>196.92</v>
      </c>
      <c r="E2367" s="2">
        <v>197.26</v>
      </c>
      <c r="F2367" s="2">
        <v>8351597</v>
      </c>
      <c r="G2367" s="2" t="s">
        <v>566</v>
      </c>
      <c r="H2367" s="2" t="s">
        <v>567</v>
      </c>
      <c r="I2367" s="2" t="s">
        <v>568</v>
      </c>
      <c r="J2367" s="4">
        <v>-0.95399999999999996</v>
      </c>
      <c r="K2367" s="2" t="s">
        <v>405</v>
      </c>
      <c r="L2367" s="2">
        <v>2024</v>
      </c>
      <c r="M2367" s="2" t="s">
        <v>135</v>
      </c>
      <c r="N2367" s="2" t="s">
        <v>23</v>
      </c>
      <c r="O2367">
        <f t="shared" si="72"/>
        <v>2.9000000000000057</v>
      </c>
      <c r="P2367">
        <f t="shared" si="73"/>
        <v>40.770000000000003</v>
      </c>
    </row>
    <row r="2368" spans="1:16" x14ac:dyDescent="0.35">
      <c r="A2368" s="9" t="s">
        <v>408</v>
      </c>
      <c r="B2368" s="2">
        <v>197.26</v>
      </c>
      <c r="C2368" s="2">
        <v>198.02</v>
      </c>
      <c r="D2368" s="2">
        <v>195.33</v>
      </c>
      <c r="E2368" s="2">
        <v>196.91</v>
      </c>
      <c r="F2368" s="2">
        <v>7640289</v>
      </c>
      <c r="G2368" s="2" t="s">
        <v>566</v>
      </c>
      <c r="H2368" s="2" t="s">
        <v>567</v>
      </c>
      <c r="I2368" s="2" t="s">
        <v>568</v>
      </c>
      <c r="J2368" s="4">
        <v>-0.17699999999999999</v>
      </c>
      <c r="K2368" s="2" t="s">
        <v>405</v>
      </c>
      <c r="L2368" s="2">
        <v>2024</v>
      </c>
      <c r="M2368" s="2" t="s">
        <v>135</v>
      </c>
      <c r="N2368" s="2" t="s">
        <v>23</v>
      </c>
      <c r="O2368">
        <f t="shared" si="72"/>
        <v>2.6899999999999977</v>
      </c>
      <c r="P2368">
        <f t="shared" si="73"/>
        <v>40.593000000000004</v>
      </c>
    </row>
    <row r="2369" spans="1:16" x14ac:dyDescent="0.35">
      <c r="A2369" s="9" t="s">
        <v>409</v>
      </c>
      <c r="B2369" s="2">
        <v>197.43</v>
      </c>
      <c r="C2369" s="2">
        <v>200.92</v>
      </c>
      <c r="D2369" s="2">
        <v>197.01</v>
      </c>
      <c r="E2369" s="2">
        <v>199.95</v>
      </c>
      <c r="F2369" s="2">
        <v>6964498</v>
      </c>
      <c r="G2369" s="2" t="s">
        <v>566</v>
      </c>
      <c r="H2369" s="2" t="s">
        <v>567</v>
      </c>
      <c r="I2369" s="2" t="s">
        <v>568</v>
      </c>
      <c r="J2369" s="3">
        <v>1.544</v>
      </c>
      <c r="K2369" s="2" t="s">
        <v>405</v>
      </c>
      <c r="L2369" s="2">
        <v>2024</v>
      </c>
      <c r="M2369" s="2" t="s">
        <v>135</v>
      </c>
      <c r="N2369" s="2" t="s">
        <v>21</v>
      </c>
      <c r="O2369">
        <f t="shared" si="72"/>
        <v>3.9099999999999966</v>
      </c>
      <c r="P2369">
        <f t="shared" si="73"/>
        <v>42.137</v>
      </c>
    </row>
    <row r="2370" spans="1:16" x14ac:dyDescent="0.35">
      <c r="A2370" s="9" t="s">
        <v>410</v>
      </c>
      <c r="B2370" s="2">
        <v>199.24</v>
      </c>
      <c r="C2370" s="2">
        <v>200.84</v>
      </c>
      <c r="D2370" s="2">
        <v>198.44</v>
      </c>
      <c r="E2370" s="2">
        <v>199.61</v>
      </c>
      <c r="F2370" s="2">
        <v>6071201</v>
      </c>
      <c r="G2370" s="2" t="s">
        <v>566</v>
      </c>
      <c r="H2370" s="2" t="s">
        <v>567</v>
      </c>
      <c r="I2370" s="2" t="s">
        <v>568</v>
      </c>
      <c r="J2370" s="4">
        <v>-0.17</v>
      </c>
      <c r="K2370" s="2" t="s">
        <v>405</v>
      </c>
      <c r="L2370" s="2">
        <v>2024</v>
      </c>
      <c r="M2370" s="2" t="s">
        <v>135</v>
      </c>
      <c r="N2370" s="2" t="s">
        <v>23</v>
      </c>
      <c r="O2370">
        <f t="shared" si="72"/>
        <v>2.4000000000000057</v>
      </c>
      <c r="P2370">
        <f t="shared" si="73"/>
        <v>41.966999999999999</v>
      </c>
    </row>
    <row r="2371" spans="1:16" x14ac:dyDescent="0.35">
      <c r="A2371" s="9" t="s">
        <v>411</v>
      </c>
      <c r="B2371" s="2">
        <v>197.91</v>
      </c>
      <c r="C2371" s="2">
        <v>197.94</v>
      </c>
      <c r="D2371" s="2">
        <v>193.6</v>
      </c>
      <c r="E2371" s="2">
        <v>194.36</v>
      </c>
      <c r="F2371" s="2">
        <v>9235302</v>
      </c>
      <c r="G2371" s="2" t="s">
        <v>566</v>
      </c>
      <c r="H2371" s="2" t="s">
        <v>567</v>
      </c>
      <c r="I2371" s="2" t="s">
        <v>568</v>
      </c>
      <c r="J2371" s="4">
        <v>-2.63</v>
      </c>
      <c r="K2371" s="2" t="s">
        <v>405</v>
      </c>
      <c r="L2371" s="2">
        <v>2024</v>
      </c>
      <c r="M2371" s="2" t="s">
        <v>135</v>
      </c>
      <c r="N2371" s="2" t="s">
        <v>23</v>
      </c>
      <c r="O2371">
        <f t="shared" ref="O2371:O2434" si="74">C2371-D2371</f>
        <v>4.3400000000000034</v>
      </c>
      <c r="P2371">
        <f t="shared" si="73"/>
        <v>39.336999999999996</v>
      </c>
    </row>
    <row r="2372" spans="1:16" x14ac:dyDescent="0.35">
      <c r="A2372" s="9" t="s">
        <v>412</v>
      </c>
      <c r="B2372" s="2">
        <v>196</v>
      </c>
      <c r="C2372" s="2">
        <v>196.72</v>
      </c>
      <c r="D2372" s="2">
        <v>191.31</v>
      </c>
      <c r="E2372" s="2">
        <v>191.53</v>
      </c>
      <c r="F2372" s="2">
        <v>12751329</v>
      </c>
      <c r="G2372" s="2" t="s">
        <v>566</v>
      </c>
      <c r="H2372" s="2" t="s">
        <v>567</v>
      </c>
      <c r="I2372" s="2" t="s">
        <v>568</v>
      </c>
      <c r="J2372" s="4">
        <v>-1.456</v>
      </c>
      <c r="K2372" s="2" t="s">
        <v>405</v>
      </c>
      <c r="L2372" s="2">
        <v>2024</v>
      </c>
      <c r="M2372" s="2" t="s">
        <v>135</v>
      </c>
      <c r="N2372" s="2" t="s">
        <v>23</v>
      </c>
      <c r="O2372">
        <f t="shared" si="74"/>
        <v>5.4099999999999966</v>
      </c>
      <c r="P2372">
        <f t="shared" ref="P2372:P2435" si="75">IF(G2372=G2371, P2371+J2372, J2372)</f>
        <v>37.880999999999993</v>
      </c>
    </row>
    <row r="2373" spans="1:16" x14ac:dyDescent="0.35">
      <c r="A2373" s="9" t="s">
        <v>413</v>
      </c>
      <c r="B2373" s="2">
        <v>192.32</v>
      </c>
      <c r="C2373" s="2">
        <v>194.58</v>
      </c>
      <c r="D2373" s="2">
        <v>190.88</v>
      </c>
      <c r="E2373" s="2">
        <v>193.66</v>
      </c>
      <c r="F2373" s="2">
        <v>8587786</v>
      </c>
      <c r="G2373" s="2" t="s">
        <v>566</v>
      </c>
      <c r="H2373" s="2" t="s">
        <v>567</v>
      </c>
      <c r="I2373" s="2" t="s">
        <v>568</v>
      </c>
      <c r="J2373" s="3">
        <v>1.1120000000000001</v>
      </c>
      <c r="K2373" s="2" t="s">
        <v>405</v>
      </c>
      <c r="L2373" s="2">
        <v>2024</v>
      </c>
      <c r="M2373" s="2" t="s">
        <v>135</v>
      </c>
      <c r="N2373" s="2" t="s">
        <v>21</v>
      </c>
      <c r="O2373">
        <f t="shared" si="74"/>
        <v>3.7000000000000171</v>
      </c>
      <c r="P2373">
        <f t="shared" si="75"/>
        <v>38.992999999999995</v>
      </c>
    </row>
    <row r="2374" spans="1:16" x14ac:dyDescent="0.35">
      <c r="A2374" s="9" t="s">
        <v>414</v>
      </c>
      <c r="B2374" s="2">
        <v>191.45</v>
      </c>
      <c r="C2374" s="2">
        <v>194.86</v>
      </c>
      <c r="D2374" s="2">
        <v>191.42</v>
      </c>
      <c r="E2374" s="2">
        <v>193.78</v>
      </c>
      <c r="F2374" s="2">
        <v>6874029</v>
      </c>
      <c r="G2374" s="2" t="s">
        <v>566</v>
      </c>
      <c r="H2374" s="2" t="s">
        <v>567</v>
      </c>
      <c r="I2374" s="2" t="s">
        <v>568</v>
      </c>
      <c r="J2374" s="3">
        <v>6.2E-2</v>
      </c>
      <c r="K2374" s="2" t="s">
        <v>405</v>
      </c>
      <c r="L2374" s="2">
        <v>2024</v>
      </c>
      <c r="M2374" s="2" t="s">
        <v>135</v>
      </c>
      <c r="N2374" s="2" t="s">
        <v>21</v>
      </c>
      <c r="O2374">
        <f t="shared" si="74"/>
        <v>3.4400000000000261</v>
      </c>
      <c r="P2374">
        <f t="shared" si="75"/>
        <v>39.054999999999993</v>
      </c>
    </row>
    <row r="2375" spans="1:16" x14ac:dyDescent="0.35">
      <c r="A2375" s="9" t="s">
        <v>415</v>
      </c>
      <c r="B2375" s="2">
        <v>193.48</v>
      </c>
      <c r="C2375" s="2">
        <v>195.58</v>
      </c>
      <c r="D2375" s="2">
        <v>192.64</v>
      </c>
      <c r="E2375" s="2">
        <v>194.98</v>
      </c>
      <c r="F2375" s="2">
        <v>8725445</v>
      </c>
      <c r="G2375" s="2" t="s">
        <v>566</v>
      </c>
      <c r="H2375" s="2" t="s">
        <v>567</v>
      </c>
      <c r="I2375" s="2" t="s">
        <v>568</v>
      </c>
      <c r="J2375" s="3">
        <v>0.61899999999999999</v>
      </c>
      <c r="K2375" s="2" t="s">
        <v>405</v>
      </c>
      <c r="L2375" s="2">
        <v>2024</v>
      </c>
      <c r="M2375" s="2" t="s">
        <v>135</v>
      </c>
      <c r="N2375" s="2" t="s">
        <v>21</v>
      </c>
      <c r="O2375">
        <f t="shared" si="74"/>
        <v>2.9400000000000261</v>
      </c>
      <c r="P2375">
        <f t="shared" si="75"/>
        <v>39.673999999999992</v>
      </c>
    </row>
    <row r="2376" spans="1:16" x14ac:dyDescent="0.35">
      <c r="A2376" s="9" t="s">
        <v>416</v>
      </c>
      <c r="B2376" s="2">
        <v>194.6</v>
      </c>
      <c r="C2376" s="2">
        <v>197.96</v>
      </c>
      <c r="D2376" s="2">
        <v>194.13</v>
      </c>
      <c r="E2376" s="2">
        <v>197</v>
      </c>
      <c r="F2376" s="2">
        <v>9022971</v>
      </c>
      <c r="G2376" s="2" t="s">
        <v>566</v>
      </c>
      <c r="H2376" s="2" t="s">
        <v>567</v>
      </c>
      <c r="I2376" s="2" t="s">
        <v>568</v>
      </c>
      <c r="J2376" s="3">
        <v>1.036</v>
      </c>
      <c r="K2376" s="2" t="s">
        <v>405</v>
      </c>
      <c r="L2376" s="2">
        <v>2024</v>
      </c>
      <c r="M2376" s="2" t="s">
        <v>135</v>
      </c>
      <c r="N2376" s="2" t="s">
        <v>21</v>
      </c>
      <c r="O2376">
        <f t="shared" si="74"/>
        <v>3.8300000000000125</v>
      </c>
      <c r="P2376">
        <f t="shared" si="75"/>
        <v>40.709999999999994</v>
      </c>
    </row>
    <row r="2377" spans="1:16" x14ac:dyDescent="0.35">
      <c r="A2377" s="9" t="s">
        <v>417</v>
      </c>
      <c r="B2377" s="2">
        <v>196.39</v>
      </c>
      <c r="C2377" s="2">
        <v>199.45</v>
      </c>
      <c r="D2377" s="2">
        <v>196.11</v>
      </c>
      <c r="E2377" s="2">
        <v>198.67</v>
      </c>
      <c r="F2377" s="2">
        <v>8731062</v>
      </c>
      <c r="G2377" s="2" t="s">
        <v>566</v>
      </c>
      <c r="H2377" s="2" t="s">
        <v>567</v>
      </c>
      <c r="I2377" s="2" t="s">
        <v>568</v>
      </c>
      <c r="J2377" s="3">
        <v>0.84799999999999998</v>
      </c>
      <c r="K2377" s="2" t="s">
        <v>405</v>
      </c>
      <c r="L2377" s="2">
        <v>2024</v>
      </c>
      <c r="M2377" s="2" t="s">
        <v>135</v>
      </c>
      <c r="N2377" s="2" t="s">
        <v>21</v>
      </c>
      <c r="O2377">
        <f t="shared" si="74"/>
        <v>3.339999999999975</v>
      </c>
      <c r="P2377">
        <f t="shared" si="75"/>
        <v>41.557999999999993</v>
      </c>
    </row>
    <row r="2378" spans="1:16" x14ac:dyDescent="0.35">
      <c r="A2378" s="9" t="s">
        <v>418</v>
      </c>
      <c r="B2378" s="2">
        <v>196.71</v>
      </c>
      <c r="C2378" s="2">
        <v>197.17</v>
      </c>
      <c r="D2378" s="2">
        <v>194.22</v>
      </c>
      <c r="E2378" s="2">
        <v>196.3</v>
      </c>
      <c r="F2378" s="2">
        <v>20972495</v>
      </c>
      <c r="G2378" s="2" t="s">
        <v>566</v>
      </c>
      <c r="H2378" s="2" t="s">
        <v>567</v>
      </c>
      <c r="I2378" s="2" t="s">
        <v>568</v>
      </c>
      <c r="J2378" s="4">
        <v>-1.1930000000000001</v>
      </c>
      <c r="K2378" s="2" t="s">
        <v>405</v>
      </c>
      <c r="L2378" s="2">
        <v>2024</v>
      </c>
      <c r="M2378" s="2" t="s">
        <v>135</v>
      </c>
      <c r="N2378" s="2" t="s">
        <v>23</v>
      </c>
      <c r="O2378">
        <f t="shared" si="74"/>
        <v>2.9499999999999886</v>
      </c>
      <c r="P2378">
        <f t="shared" si="75"/>
        <v>40.364999999999995</v>
      </c>
    </row>
    <row r="2379" spans="1:16" x14ac:dyDescent="0.35">
      <c r="A2379" s="9" t="s">
        <v>419</v>
      </c>
      <c r="B2379" s="2">
        <v>197.81</v>
      </c>
      <c r="C2379" s="2">
        <v>199.23</v>
      </c>
      <c r="D2379" s="2">
        <v>197.1</v>
      </c>
      <c r="E2379" s="2">
        <v>198.88</v>
      </c>
      <c r="F2379" s="2">
        <v>9785929</v>
      </c>
      <c r="G2379" s="2" t="s">
        <v>566</v>
      </c>
      <c r="H2379" s="2" t="s">
        <v>567</v>
      </c>
      <c r="I2379" s="2" t="s">
        <v>568</v>
      </c>
      <c r="J2379" s="3">
        <v>1.3140000000000001</v>
      </c>
      <c r="K2379" s="2" t="s">
        <v>405</v>
      </c>
      <c r="L2379" s="2">
        <v>2024</v>
      </c>
      <c r="M2379" s="2" t="s">
        <v>135</v>
      </c>
      <c r="N2379" s="2" t="s">
        <v>21</v>
      </c>
      <c r="O2379">
        <f t="shared" si="74"/>
        <v>2.1299999999999955</v>
      </c>
      <c r="P2379">
        <f t="shared" si="75"/>
        <v>41.678999999999995</v>
      </c>
    </row>
    <row r="2380" spans="1:16" x14ac:dyDescent="0.35">
      <c r="A2380" s="9" t="s">
        <v>420</v>
      </c>
      <c r="B2380" s="2">
        <v>198.09</v>
      </c>
      <c r="C2380" s="2">
        <v>200.07</v>
      </c>
      <c r="D2380" s="2">
        <v>197.74</v>
      </c>
      <c r="E2380" s="2">
        <v>198.07</v>
      </c>
      <c r="F2380" s="2">
        <v>6915909</v>
      </c>
      <c r="G2380" s="2" t="s">
        <v>566</v>
      </c>
      <c r="H2380" s="2" t="s">
        <v>567</v>
      </c>
      <c r="I2380" s="2" t="s">
        <v>568</v>
      </c>
      <c r="J2380" s="4">
        <v>-0.40699999999999997</v>
      </c>
      <c r="K2380" s="2" t="s">
        <v>405</v>
      </c>
      <c r="L2380" s="2">
        <v>2024</v>
      </c>
      <c r="M2380" s="2" t="s">
        <v>135</v>
      </c>
      <c r="N2380" s="2" t="s">
        <v>23</v>
      </c>
      <c r="O2380">
        <f t="shared" si="74"/>
        <v>2.3299999999999841</v>
      </c>
      <c r="P2380">
        <f t="shared" si="75"/>
        <v>41.271999999999998</v>
      </c>
    </row>
    <row r="2381" spans="1:16" x14ac:dyDescent="0.35">
      <c r="A2381" s="9" t="s">
        <v>421</v>
      </c>
      <c r="B2381" s="2">
        <v>197.45</v>
      </c>
      <c r="C2381" s="2">
        <v>197.94</v>
      </c>
      <c r="D2381" s="2">
        <v>196.27500000000001</v>
      </c>
      <c r="E2381" s="2">
        <v>197.43</v>
      </c>
      <c r="F2381" s="2">
        <v>7758582</v>
      </c>
      <c r="G2381" s="2" t="s">
        <v>566</v>
      </c>
      <c r="H2381" s="2" t="s">
        <v>567</v>
      </c>
      <c r="I2381" s="2" t="s">
        <v>568</v>
      </c>
      <c r="J2381" s="4">
        <v>-0.32300000000000001</v>
      </c>
      <c r="K2381" s="2" t="s">
        <v>405</v>
      </c>
      <c r="L2381" s="2">
        <v>2024</v>
      </c>
      <c r="M2381" s="2" t="s">
        <v>135</v>
      </c>
      <c r="N2381" s="2" t="s">
        <v>23</v>
      </c>
      <c r="O2381">
        <f t="shared" si="74"/>
        <v>1.664999999999992</v>
      </c>
      <c r="P2381">
        <f t="shared" si="75"/>
        <v>40.948999999999998</v>
      </c>
    </row>
    <row r="2382" spans="1:16" x14ac:dyDescent="0.35">
      <c r="A2382" s="9" t="s">
        <v>422</v>
      </c>
      <c r="B2382" s="2">
        <v>197.44</v>
      </c>
      <c r="C2382" s="2">
        <v>199.86</v>
      </c>
      <c r="D2382" s="2">
        <v>196.9</v>
      </c>
      <c r="E2382" s="2">
        <v>199.17</v>
      </c>
      <c r="F2382" s="2">
        <v>7913453</v>
      </c>
      <c r="G2382" s="2" t="s">
        <v>566</v>
      </c>
      <c r="H2382" s="2" t="s">
        <v>567</v>
      </c>
      <c r="I2382" s="2" t="s">
        <v>568</v>
      </c>
      <c r="J2382" s="3">
        <v>0.88100000000000001</v>
      </c>
      <c r="K2382" s="2" t="s">
        <v>405</v>
      </c>
      <c r="L2382" s="2">
        <v>2024</v>
      </c>
      <c r="M2382" s="2" t="s">
        <v>135</v>
      </c>
      <c r="N2382" s="2" t="s">
        <v>21</v>
      </c>
      <c r="O2382">
        <f t="shared" si="74"/>
        <v>2.960000000000008</v>
      </c>
      <c r="P2382">
        <f t="shared" si="75"/>
        <v>41.83</v>
      </c>
    </row>
    <row r="2383" spans="1:16" x14ac:dyDescent="0.35">
      <c r="A2383" s="9" t="s">
        <v>423</v>
      </c>
      <c r="B2383" s="2">
        <v>200.01</v>
      </c>
      <c r="C2383" s="2">
        <v>202.6</v>
      </c>
      <c r="D2383" s="2">
        <v>199.30199999999999</v>
      </c>
      <c r="E2383" s="2">
        <v>202.26</v>
      </c>
      <c r="F2383" s="2">
        <v>15307616</v>
      </c>
      <c r="G2383" s="2" t="s">
        <v>566</v>
      </c>
      <c r="H2383" s="2" t="s">
        <v>567</v>
      </c>
      <c r="I2383" s="2" t="s">
        <v>568</v>
      </c>
      <c r="J2383" s="3">
        <v>1.5509999999999999</v>
      </c>
      <c r="K2383" s="2" t="s">
        <v>405</v>
      </c>
      <c r="L2383" s="2">
        <v>2024</v>
      </c>
      <c r="M2383" s="2" t="s">
        <v>135</v>
      </c>
      <c r="N2383" s="2" t="s">
        <v>21</v>
      </c>
      <c r="O2383">
        <f t="shared" si="74"/>
        <v>3.2980000000000018</v>
      </c>
      <c r="P2383">
        <f t="shared" si="75"/>
        <v>43.381</v>
      </c>
    </row>
    <row r="2384" spans="1:16" x14ac:dyDescent="0.35">
      <c r="A2384" s="9" t="s">
        <v>424</v>
      </c>
      <c r="B2384" s="2">
        <v>202.84</v>
      </c>
      <c r="C2384" s="2">
        <v>207.09</v>
      </c>
      <c r="D2384" s="2">
        <v>202.66</v>
      </c>
      <c r="E2384" s="2">
        <v>205.45</v>
      </c>
      <c r="F2384" s="2">
        <v>10205836</v>
      </c>
      <c r="G2384" s="2" t="s">
        <v>566</v>
      </c>
      <c r="H2384" s="2" t="s">
        <v>567</v>
      </c>
      <c r="I2384" s="2" t="s">
        <v>568</v>
      </c>
      <c r="J2384" s="3">
        <v>1.577</v>
      </c>
      <c r="K2384" s="2" t="s">
        <v>425</v>
      </c>
      <c r="L2384" s="2">
        <v>2024</v>
      </c>
      <c r="M2384" s="2" t="s">
        <v>158</v>
      </c>
      <c r="N2384" s="2" t="s">
        <v>21</v>
      </c>
      <c r="O2384">
        <f t="shared" si="74"/>
        <v>4.4300000000000068</v>
      </c>
      <c r="P2384">
        <f t="shared" si="75"/>
        <v>44.957999999999998</v>
      </c>
    </row>
    <row r="2385" spans="1:16" x14ac:dyDescent="0.35">
      <c r="A2385" s="9" t="s">
        <v>426</v>
      </c>
      <c r="B2385" s="2">
        <v>205.29</v>
      </c>
      <c r="C2385" s="2">
        <v>208.86</v>
      </c>
      <c r="D2385" s="2">
        <v>204.77</v>
      </c>
      <c r="E2385" s="2">
        <v>208.83</v>
      </c>
      <c r="F2385" s="2">
        <v>7802936</v>
      </c>
      <c r="G2385" s="2" t="s">
        <v>566</v>
      </c>
      <c r="H2385" s="2" t="s">
        <v>567</v>
      </c>
      <c r="I2385" s="2" t="s">
        <v>568</v>
      </c>
      <c r="J2385" s="3">
        <v>1.645</v>
      </c>
      <c r="K2385" s="2" t="s">
        <v>425</v>
      </c>
      <c r="L2385" s="2">
        <v>2024</v>
      </c>
      <c r="M2385" s="2" t="s">
        <v>158</v>
      </c>
      <c r="N2385" s="2" t="s">
        <v>21</v>
      </c>
      <c r="O2385">
        <f t="shared" si="74"/>
        <v>4.0900000000000034</v>
      </c>
      <c r="P2385">
        <f t="shared" si="75"/>
        <v>46.603000000000002</v>
      </c>
    </row>
    <row r="2386" spans="1:16" x14ac:dyDescent="0.35">
      <c r="A2386" s="9" t="s">
        <v>427</v>
      </c>
      <c r="B2386" s="2">
        <v>209.55</v>
      </c>
      <c r="C2386" s="2">
        <v>210.38</v>
      </c>
      <c r="D2386" s="2">
        <v>207.65</v>
      </c>
      <c r="E2386" s="2">
        <v>208.69</v>
      </c>
      <c r="F2386" s="2">
        <v>5560925</v>
      </c>
      <c r="G2386" s="2" t="s">
        <v>566</v>
      </c>
      <c r="H2386" s="2" t="s">
        <v>567</v>
      </c>
      <c r="I2386" s="2" t="s">
        <v>568</v>
      </c>
      <c r="J2386" s="4">
        <v>-6.7000000000000004E-2</v>
      </c>
      <c r="K2386" s="2" t="s">
        <v>425</v>
      </c>
      <c r="L2386" s="2">
        <v>2024</v>
      </c>
      <c r="M2386" s="2" t="s">
        <v>158</v>
      </c>
      <c r="N2386" s="2" t="s">
        <v>23</v>
      </c>
      <c r="O2386">
        <f t="shared" si="74"/>
        <v>2.7299999999999898</v>
      </c>
      <c r="P2386">
        <f t="shared" si="75"/>
        <v>46.536000000000001</v>
      </c>
    </row>
    <row r="2387" spans="1:16" x14ac:dyDescent="0.35">
      <c r="A2387" s="9" t="s">
        <v>428</v>
      </c>
      <c r="B2387" s="2">
        <v>206.99</v>
      </c>
      <c r="C2387" s="2">
        <v>207.37</v>
      </c>
      <c r="D2387" s="2">
        <v>204.52</v>
      </c>
      <c r="E2387" s="2">
        <v>204.79</v>
      </c>
      <c r="F2387" s="2">
        <v>8093096</v>
      </c>
      <c r="G2387" s="2" t="s">
        <v>566</v>
      </c>
      <c r="H2387" s="2" t="s">
        <v>567</v>
      </c>
      <c r="I2387" s="2" t="s">
        <v>568</v>
      </c>
      <c r="J2387" s="4">
        <v>-1.869</v>
      </c>
      <c r="K2387" s="2" t="s">
        <v>425</v>
      </c>
      <c r="L2387" s="2">
        <v>2024</v>
      </c>
      <c r="M2387" s="2" t="s">
        <v>158</v>
      </c>
      <c r="N2387" s="2" t="s">
        <v>23</v>
      </c>
      <c r="O2387">
        <f t="shared" si="74"/>
        <v>2.8499999999999943</v>
      </c>
      <c r="P2387">
        <f t="shared" si="75"/>
        <v>44.667000000000002</v>
      </c>
    </row>
    <row r="2388" spans="1:16" x14ac:dyDescent="0.35">
      <c r="A2388" s="9" t="s">
        <v>429</v>
      </c>
      <c r="B2388" s="2">
        <v>205.04</v>
      </c>
      <c r="C2388" s="2">
        <v>206.9</v>
      </c>
      <c r="D2388" s="2">
        <v>203.97</v>
      </c>
      <c r="E2388" s="2">
        <v>205.17</v>
      </c>
      <c r="F2388" s="2">
        <v>8706967</v>
      </c>
      <c r="G2388" s="2" t="s">
        <v>566</v>
      </c>
      <c r="H2388" s="2" t="s">
        <v>567</v>
      </c>
      <c r="I2388" s="2" t="s">
        <v>568</v>
      </c>
      <c r="J2388" s="3">
        <v>0.186</v>
      </c>
      <c r="K2388" s="2" t="s">
        <v>425</v>
      </c>
      <c r="L2388" s="2">
        <v>2024</v>
      </c>
      <c r="M2388" s="2" t="s">
        <v>158</v>
      </c>
      <c r="N2388" s="2" t="s">
        <v>21</v>
      </c>
      <c r="O2388">
        <f t="shared" si="74"/>
        <v>2.9300000000000068</v>
      </c>
      <c r="P2388">
        <f t="shared" si="75"/>
        <v>44.853000000000002</v>
      </c>
    </row>
    <row r="2389" spans="1:16" x14ac:dyDescent="0.35">
      <c r="A2389" s="9" t="s">
        <v>430</v>
      </c>
      <c r="B2389" s="2">
        <v>205.63</v>
      </c>
      <c r="C2389" s="2">
        <v>209.76</v>
      </c>
      <c r="D2389" s="2">
        <v>205.45</v>
      </c>
      <c r="E2389" s="2">
        <v>207.63</v>
      </c>
      <c r="F2389" s="2">
        <v>9060258</v>
      </c>
      <c r="G2389" s="2" t="s">
        <v>566</v>
      </c>
      <c r="H2389" s="2" t="s">
        <v>567</v>
      </c>
      <c r="I2389" s="2" t="s">
        <v>568</v>
      </c>
      <c r="J2389" s="3">
        <v>1.1990000000000001</v>
      </c>
      <c r="K2389" s="2" t="s">
        <v>425</v>
      </c>
      <c r="L2389" s="2">
        <v>2024</v>
      </c>
      <c r="M2389" s="2" t="s">
        <v>158</v>
      </c>
      <c r="N2389" s="2" t="s">
        <v>21</v>
      </c>
      <c r="O2389">
        <f t="shared" si="74"/>
        <v>4.3100000000000023</v>
      </c>
      <c r="P2389">
        <f t="shared" si="75"/>
        <v>46.052</v>
      </c>
    </row>
    <row r="2390" spans="1:16" x14ac:dyDescent="0.35">
      <c r="A2390" s="9" t="s">
        <v>431</v>
      </c>
      <c r="B2390" s="2">
        <v>206.14</v>
      </c>
      <c r="C2390" s="2">
        <v>207.97</v>
      </c>
      <c r="D2390" s="2">
        <v>205.58</v>
      </c>
      <c r="E2390" s="2">
        <v>207.8</v>
      </c>
      <c r="F2390" s="2">
        <v>8328493</v>
      </c>
      <c r="G2390" s="2" t="s">
        <v>566</v>
      </c>
      <c r="H2390" s="2" t="s">
        <v>567</v>
      </c>
      <c r="I2390" s="2" t="s">
        <v>568</v>
      </c>
      <c r="J2390" s="3">
        <v>8.2000000000000003E-2</v>
      </c>
      <c r="K2390" s="2" t="s">
        <v>425</v>
      </c>
      <c r="L2390" s="2">
        <v>2024</v>
      </c>
      <c r="M2390" s="2" t="s">
        <v>158</v>
      </c>
      <c r="N2390" s="2" t="s">
        <v>21</v>
      </c>
      <c r="O2390">
        <f t="shared" si="74"/>
        <v>2.3899999999999864</v>
      </c>
      <c r="P2390">
        <f t="shared" si="75"/>
        <v>46.134</v>
      </c>
    </row>
    <row r="2391" spans="1:16" x14ac:dyDescent="0.35">
      <c r="A2391" s="9" t="s">
        <v>432</v>
      </c>
      <c r="B2391" s="2">
        <v>206.21</v>
      </c>
      <c r="C2391" s="2">
        <v>208.1</v>
      </c>
      <c r="D2391" s="2">
        <v>205.38</v>
      </c>
      <c r="E2391" s="2">
        <v>207.45</v>
      </c>
      <c r="F2391" s="2">
        <v>10666937</v>
      </c>
      <c r="G2391" s="2" t="s">
        <v>566</v>
      </c>
      <c r="H2391" s="2" t="s">
        <v>567</v>
      </c>
      <c r="I2391" s="2" t="s">
        <v>568</v>
      </c>
      <c r="J2391" s="4">
        <v>-0.16800000000000001</v>
      </c>
      <c r="K2391" s="2" t="s">
        <v>425</v>
      </c>
      <c r="L2391" s="2">
        <v>2024</v>
      </c>
      <c r="M2391" s="2" t="s">
        <v>158</v>
      </c>
      <c r="N2391" s="2" t="s">
        <v>23</v>
      </c>
      <c r="O2391">
        <f t="shared" si="74"/>
        <v>2.7199999999999989</v>
      </c>
      <c r="P2391">
        <f t="shared" si="75"/>
        <v>45.966000000000001</v>
      </c>
    </row>
    <row r="2392" spans="1:16" x14ac:dyDescent="0.35">
      <c r="A2392" s="9" t="s">
        <v>433</v>
      </c>
      <c r="B2392" s="2">
        <v>204</v>
      </c>
      <c r="C2392" s="2">
        <v>207.45</v>
      </c>
      <c r="D2392" s="2">
        <v>202.1</v>
      </c>
      <c r="E2392" s="2">
        <v>204.94</v>
      </c>
      <c r="F2392" s="2">
        <v>15443441</v>
      </c>
      <c r="G2392" s="2" t="s">
        <v>566</v>
      </c>
      <c r="H2392" s="2" t="s">
        <v>567</v>
      </c>
      <c r="I2392" s="2" t="s">
        <v>568</v>
      </c>
      <c r="J2392" s="4">
        <v>-1.21</v>
      </c>
      <c r="K2392" s="2" t="s">
        <v>425</v>
      </c>
      <c r="L2392" s="2">
        <v>2024</v>
      </c>
      <c r="M2392" s="2" t="s">
        <v>158</v>
      </c>
      <c r="N2392" s="2" t="s">
        <v>23</v>
      </c>
      <c r="O2392">
        <f t="shared" si="74"/>
        <v>5.3499999999999943</v>
      </c>
      <c r="P2392">
        <f t="shared" si="75"/>
        <v>44.756</v>
      </c>
    </row>
    <row r="2393" spans="1:16" x14ac:dyDescent="0.35">
      <c r="A2393" s="9" t="s">
        <v>434</v>
      </c>
      <c r="B2393" s="2">
        <v>207.19</v>
      </c>
      <c r="C2393" s="2">
        <v>211.61</v>
      </c>
      <c r="D2393" s="2">
        <v>206.72</v>
      </c>
      <c r="E2393" s="2">
        <v>210.05</v>
      </c>
      <c r="F2393" s="2">
        <v>10719670</v>
      </c>
      <c r="G2393" s="2" t="s">
        <v>566</v>
      </c>
      <c r="H2393" s="2" t="s">
        <v>567</v>
      </c>
      <c r="I2393" s="2" t="s">
        <v>568</v>
      </c>
      <c r="J2393" s="3">
        <v>2.4929999999999999</v>
      </c>
      <c r="K2393" s="2" t="s">
        <v>425</v>
      </c>
      <c r="L2393" s="2">
        <v>2024</v>
      </c>
      <c r="M2393" s="2" t="s">
        <v>158</v>
      </c>
      <c r="N2393" s="2" t="s">
        <v>21</v>
      </c>
      <c r="O2393">
        <f t="shared" si="74"/>
        <v>4.8900000000000148</v>
      </c>
      <c r="P2393">
        <f t="shared" si="75"/>
        <v>47.249000000000002</v>
      </c>
    </row>
    <row r="2394" spans="1:16" x14ac:dyDescent="0.35">
      <c r="A2394" s="9" t="s">
        <v>435</v>
      </c>
      <c r="B2394" s="2">
        <v>210</v>
      </c>
      <c r="C2394" s="2">
        <v>213.74</v>
      </c>
      <c r="D2394" s="2">
        <v>208.08</v>
      </c>
      <c r="E2394" s="2">
        <v>213.62</v>
      </c>
      <c r="F2394" s="2">
        <v>11557018</v>
      </c>
      <c r="G2394" s="2" t="s">
        <v>566</v>
      </c>
      <c r="H2394" s="2" t="s">
        <v>567</v>
      </c>
      <c r="I2394" s="2" t="s">
        <v>568</v>
      </c>
      <c r="J2394" s="3">
        <v>1.7</v>
      </c>
      <c r="K2394" s="2" t="s">
        <v>425</v>
      </c>
      <c r="L2394" s="2">
        <v>2024</v>
      </c>
      <c r="M2394" s="2" t="s">
        <v>158</v>
      </c>
      <c r="N2394" s="2" t="s">
        <v>21</v>
      </c>
      <c r="O2394">
        <f t="shared" si="74"/>
        <v>5.6599999999999966</v>
      </c>
      <c r="P2394">
        <f t="shared" si="75"/>
        <v>48.949000000000005</v>
      </c>
    </row>
    <row r="2395" spans="1:16" x14ac:dyDescent="0.35">
      <c r="A2395" s="9" t="s">
        <v>436</v>
      </c>
      <c r="B2395" s="2">
        <v>213.8</v>
      </c>
      <c r="C2395" s="2">
        <v>217.56</v>
      </c>
      <c r="D2395" s="2">
        <v>213.27</v>
      </c>
      <c r="E2395" s="2">
        <v>216.87</v>
      </c>
      <c r="F2395" s="2">
        <v>11572470</v>
      </c>
      <c r="G2395" s="2" t="s">
        <v>566</v>
      </c>
      <c r="H2395" s="2" t="s">
        <v>567</v>
      </c>
      <c r="I2395" s="2" t="s">
        <v>568</v>
      </c>
      <c r="J2395" s="3">
        <v>1.5209999999999999</v>
      </c>
      <c r="K2395" s="2" t="s">
        <v>425</v>
      </c>
      <c r="L2395" s="2">
        <v>2024</v>
      </c>
      <c r="M2395" s="2" t="s">
        <v>158</v>
      </c>
      <c r="N2395" s="2" t="s">
        <v>21</v>
      </c>
      <c r="O2395">
        <f t="shared" si="74"/>
        <v>4.289999999999992</v>
      </c>
      <c r="P2395">
        <f t="shared" si="75"/>
        <v>50.470000000000006</v>
      </c>
    </row>
    <row r="2396" spans="1:16" x14ac:dyDescent="0.35">
      <c r="A2396" s="9" t="s">
        <v>437</v>
      </c>
      <c r="B2396" s="2">
        <v>215.63</v>
      </c>
      <c r="C2396" s="2">
        <v>216.63499999999999</v>
      </c>
      <c r="D2396" s="2">
        <v>209.23500000000001</v>
      </c>
      <c r="E2396" s="2">
        <v>209.98</v>
      </c>
      <c r="F2396" s="2">
        <v>12415125</v>
      </c>
      <c r="G2396" s="2" t="s">
        <v>566</v>
      </c>
      <c r="H2396" s="2" t="s">
        <v>567</v>
      </c>
      <c r="I2396" s="2" t="s">
        <v>568</v>
      </c>
      <c r="J2396" s="4">
        <v>-3.177</v>
      </c>
      <c r="K2396" s="2" t="s">
        <v>425</v>
      </c>
      <c r="L2396" s="2">
        <v>2024</v>
      </c>
      <c r="M2396" s="2" t="s">
        <v>158</v>
      </c>
      <c r="N2396" s="2" t="s">
        <v>23</v>
      </c>
      <c r="O2396">
        <f t="shared" si="74"/>
        <v>7.3999999999999773</v>
      </c>
      <c r="P2396">
        <f t="shared" si="75"/>
        <v>47.293000000000006</v>
      </c>
    </row>
    <row r="2397" spans="1:16" x14ac:dyDescent="0.35">
      <c r="A2397" s="9" t="s">
        <v>438</v>
      </c>
      <c r="B2397" s="2">
        <v>211.2</v>
      </c>
      <c r="C2397" s="2">
        <v>212.35</v>
      </c>
      <c r="D2397" s="2">
        <v>208.92</v>
      </c>
      <c r="E2397" s="2">
        <v>209.78</v>
      </c>
      <c r="F2397" s="2">
        <v>8095898</v>
      </c>
      <c r="G2397" s="2" t="s">
        <v>566</v>
      </c>
      <c r="H2397" s="2" t="s">
        <v>567</v>
      </c>
      <c r="I2397" s="2" t="s">
        <v>568</v>
      </c>
      <c r="J2397" s="4">
        <v>-9.5000000000000001E-2</v>
      </c>
      <c r="K2397" s="2" t="s">
        <v>425</v>
      </c>
      <c r="L2397" s="2">
        <v>2024</v>
      </c>
      <c r="M2397" s="2" t="s">
        <v>158</v>
      </c>
      <c r="N2397" s="2" t="s">
        <v>23</v>
      </c>
      <c r="O2397">
        <f t="shared" si="74"/>
        <v>3.4300000000000068</v>
      </c>
      <c r="P2397">
        <f t="shared" si="75"/>
        <v>47.198000000000008</v>
      </c>
    </row>
    <row r="2398" spans="1:16" x14ac:dyDescent="0.35">
      <c r="A2398" s="9" t="s">
        <v>439</v>
      </c>
      <c r="B2398" s="2">
        <v>210.46</v>
      </c>
      <c r="C2398" s="2">
        <v>212.17</v>
      </c>
      <c r="D2398" s="2">
        <v>209.71</v>
      </c>
      <c r="E2398" s="2">
        <v>210.28</v>
      </c>
      <c r="F2398" s="2">
        <v>7663223</v>
      </c>
      <c r="G2398" s="2" t="s">
        <v>566</v>
      </c>
      <c r="H2398" s="2" t="s">
        <v>567</v>
      </c>
      <c r="I2398" s="2" t="s">
        <v>568</v>
      </c>
      <c r="J2398" s="3">
        <v>0.23799999999999999</v>
      </c>
      <c r="K2398" s="2" t="s">
        <v>425</v>
      </c>
      <c r="L2398" s="2">
        <v>2024</v>
      </c>
      <c r="M2398" s="2" t="s">
        <v>158</v>
      </c>
      <c r="N2398" s="2" t="s">
        <v>21</v>
      </c>
      <c r="O2398">
        <f t="shared" si="74"/>
        <v>2.4599999999999795</v>
      </c>
      <c r="P2398">
        <f t="shared" si="75"/>
        <v>47.436000000000007</v>
      </c>
    </row>
    <row r="2399" spans="1:16" x14ac:dyDescent="0.35">
      <c r="A2399" s="9" t="s">
        <v>440</v>
      </c>
      <c r="B2399" s="2">
        <v>211.02</v>
      </c>
      <c r="C2399" s="2">
        <v>211.47499999999999</v>
      </c>
      <c r="D2399" s="2">
        <v>209.35300000000001</v>
      </c>
      <c r="E2399" s="2">
        <v>210.33</v>
      </c>
      <c r="F2399" s="2">
        <v>5557262</v>
      </c>
      <c r="G2399" s="2" t="s">
        <v>566</v>
      </c>
      <c r="H2399" s="2" t="s">
        <v>567</v>
      </c>
      <c r="I2399" s="2" t="s">
        <v>568</v>
      </c>
      <c r="J2399" s="3">
        <v>2.4E-2</v>
      </c>
      <c r="K2399" s="2" t="s">
        <v>425</v>
      </c>
      <c r="L2399" s="2">
        <v>2024</v>
      </c>
      <c r="M2399" s="2" t="s">
        <v>158</v>
      </c>
      <c r="N2399" s="2" t="s">
        <v>21</v>
      </c>
      <c r="O2399">
        <f t="shared" si="74"/>
        <v>2.1219999999999857</v>
      </c>
      <c r="P2399">
        <f t="shared" si="75"/>
        <v>47.460000000000008</v>
      </c>
    </row>
    <row r="2400" spans="1:16" x14ac:dyDescent="0.35">
      <c r="A2400" s="9" t="s">
        <v>441</v>
      </c>
      <c r="B2400" s="2">
        <v>209.55</v>
      </c>
      <c r="C2400" s="2">
        <v>212.03</v>
      </c>
      <c r="D2400" s="2">
        <v>208.07</v>
      </c>
      <c r="E2400" s="2">
        <v>208.59</v>
      </c>
      <c r="F2400" s="2">
        <v>7118957</v>
      </c>
      <c r="G2400" s="2" t="s">
        <v>566</v>
      </c>
      <c r="H2400" s="2" t="s">
        <v>567</v>
      </c>
      <c r="I2400" s="2" t="s">
        <v>568</v>
      </c>
      <c r="J2400" s="4">
        <v>-0.82699999999999996</v>
      </c>
      <c r="K2400" s="2" t="s">
        <v>425</v>
      </c>
      <c r="L2400" s="2">
        <v>2024</v>
      </c>
      <c r="M2400" s="2" t="s">
        <v>158</v>
      </c>
      <c r="N2400" s="2" t="s">
        <v>23</v>
      </c>
      <c r="O2400">
        <f t="shared" si="74"/>
        <v>3.960000000000008</v>
      </c>
      <c r="P2400">
        <f t="shared" si="75"/>
        <v>46.63300000000001</v>
      </c>
    </row>
    <row r="2401" spans="1:16" x14ac:dyDescent="0.35">
      <c r="A2401" s="9" t="s">
        <v>442</v>
      </c>
      <c r="B2401" s="2">
        <v>208.65</v>
      </c>
      <c r="C2401" s="2">
        <v>210.19</v>
      </c>
      <c r="D2401" s="2">
        <v>208.05</v>
      </c>
      <c r="E2401" s="2">
        <v>208.67</v>
      </c>
      <c r="F2401" s="2">
        <v>6403774</v>
      </c>
      <c r="G2401" s="2" t="s">
        <v>566</v>
      </c>
      <c r="H2401" s="2" t="s">
        <v>567</v>
      </c>
      <c r="I2401" s="2" t="s">
        <v>568</v>
      </c>
      <c r="J2401" s="3">
        <v>3.7999999999999999E-2</v>
      </c>
      <c r="K2401" s="2" t="s">
        <v>425</v>
      </c>
      <c r="L2401" s="2">
        <v>2024</v>
      </c>
      <c r="M2401" s="2" t="s">
        <v>158</v>
      </c>
      <c r="N2401" s="2" t="s">
        <v>21</v>
      </c>
      <c r="O2401">
        <f t="shared" si="74"/>
        <v>2.1399999999999864</v>
      </c>
      <c r="P2401">
        <f t="shared" si="75"/>
        <v>46.671000000000006</v>
      </c>
    </row>
    <row r="2402" spans="1:16" x14ac:dyDescent="0.35">
      <c r="A2402" s="9" t="s">
        <v>443</v>
      </c>
      <c r="B2402" s="2">
        <v>209.24</v>
      </c>
      <c r="C2402" s="2">
        <v>213.16</v>
      </c>
      <c r="D2402" s="2">
        <v>208.62</v>
      </c>
      <c r="E2402" s="2">
        <v>212.24</v>
      </c>
      <c r="F2402" s="2">
        <v>8027787</v>
      </c>
      <c r="G2402" s="2" t="s">
        <v>566</v>
      </c>
      <c r="H2402" s="2" t="s">
        <v>567</v>
      </c>
      <c r="I2402" s="2" t="s">
        <v>568</v>
      </c>
      <c r="J2402" s="3">
        <v>1.7110000000000001</v>
      </c>
      <c r="K2402" s="2" t="s">
        <v>425</v>
      </c>
      <c r="L2402" s="2">
        <v>2024</v>
      </c>
      <c r="M2402" s="2" t="s">
        <v>158</v>
      </c>
      <c r="N2402" s="2" t="s">
        <v>21</v>
      </c>
      <c r="O2402">
        <f t="shared" si="74"/>
        <v>4.539999999999992</v>
      </c>
      <c r="P2402">
        <f t="shared" si="75"/>
        <v>48.382000000000005</v>
      </c>
    </row>
    <row r="2403" spans="1:16" x14ac:dyDescent="0.35">
      <c r="A2403" s="9" t="s">
        <v>444</v>
      </c>
      <c r="B2403" s="2">
        <v>212.65</v>
      </c>
      <c r="C2403" s="2">
        <v>213.61</v>
      </c>
      <c r="D2403" s="2">
        <v>210.54499999999999</v>
      </c>
      <c r="E2403" s="2">
        <v>210.85</v>
      </c>
      <c r="F2403" s="2">
        <v>6533636</v>
      </c>
      <c r="G2403" s="2" t="s">
        <v>566</v>
      </c>
      <c r="H2403" s="2" t="s">
        <v>567</v>
      </c>
      <c r="I2403" s="2" t="s">
        <v>568</v>
      </c>
      <c r="J2403" s="4">
        <v>-0.65500000000000003</v>
      </c>
      <c r="K2403" s="2" t="s">
        <v>425</v>
      </c>
      <c r="L2403" s="2">
        <v>2024</v>
      </c>
      <c r="M2403" s="2" t="s">
        <v>158</v>
      </c>
      <c r="N2403" s="2" t="s">
        <v>23</v>
      </c>
      <c r="O2403">
        <f t="shared" si="74"/>
        <v>3.0650000000000261</v>
      </c>
      <c r="P2403">
        <f t="shared" si="75"/>
        <v>47.727000000000004</v>
      </c>
    </row>
    <row r="2404" spans="1:16" x14ac:dyDescent="0.35">
      <c r="A2404" s="9" t="s">
        <v>445</v>
      </c>
      <c r="B2404" s="2">
        <v>213.23</v>
      </c>
      <c r="C2404" s="2">
        <v>215.79</v>
      </c>
      <c r="D2404" s="2">
        <v>212.96</v>
      </c>
      <c r="E2404" s="2">
        <v>215.19</v>
      </c>
      <c r="F2404" s="2">
        <v>8850705</v>
      </c>
      <c r="G2404" s="2" t="s">
        <v>566</v>
      </c>
      <c r="H2404" s="2" t="s">
        <v>567</v>
      </c>
      <c r="I2404" s="2" t="s">
        <v>568</v>
      </c>
      <c r="J2404" s="3">
        <v>2.0579999999999998</v>
      </c>
      <c r="K2404" s="2" t="s">
        <v>425</v>
      </c>
      <c r="L2404" s="2">
        <v>2024</v>
      </c>
      <c r="M2404" s="2" t="s">
        <v>158</v>
      </c>
      <c r="N2404" s="2" t="s">
        <v>21</v>
      </c>
      <c r="O2404">
        <f t="shared" si="74"/>
        <v>2.8299999999999841</v>
      </c>
      <c r="P2404">
        <f t="shared" si="75"/>
        <v>49.785000000000004</v>
      </c>
    </row>
    <row r="2405" spans="1:16" x14ac:dyDescent="0.35">
      <c r="A2405" s="9" t="s">
        <v>446</v>
      </c>
      <c r="B2405" s="2">
        <v>214.78</v>
      </c>
      <c r="C2405" s="2">
        <v>216.39</v>
      </c>
      <c r="D2405" s="2">
        <v>212.67</v>
      </c>
      <c r="E2405" s="2">
        <v>212.8</v>
      </c>
      <c r="F2405" s="2">
        <v>9071637</v>
      </c>
      <c r="G2405" s="2" t="s">
        <v>566</v>
      </c>
      <c r="H2405" s="2" t="s">
        <v>567</v>
      </c>
      <c r="I2405" s="2" t="s">
        <v>568</v>
      </c>
      <c r="J2405" s="4">
        <v>-1.111</v>
      </c>
      <c r="K2405" s="2" t="s">
        <v>425</v>
      </c>
      <c r="L2405" s="2">
        <v>2024</v>
      </c>
      <c r="M2405" s="2" t="s">
        <v>158</v>
      </c>
      <c r="N2405" s="2" t="s">
        <v>23</v>
      </c>
      <c r="O2405">
        <f t="shared" si="74"/>
        <v>3.7199999999999989</v>
      </c>
      <c r="P2405">
        <f t="shared" si="75"/>
        <v>48.674000000000007</v>
      </c>
    </row>
    <row r="2406" spans="1:16" x14ac:dyDescent="0.35">
      <c r="A2406" s="9" t="s">
        <v>447</v>
      </c>
      <c r="B2406" s="2">
        <v>213.2</v>
      </c>
      <c r="C2406" s="2">
        <v>213.83</v>
      </c>
      <c r="D2406" s="2">
        <v>206.38</v>
      </c>
      <c r="E2406" s="2">
        <v>207.96</v>
      </c>
      <c r="F2406" s="2">
        <v>10918644</v>
      </c>
      <c r="G2406" s="2" t="s">
        <v>566</v>
      </c>
      <c r="H2406" s="2" t="s">
        <v>567</v>
      </c>
      <c r="I2406" s="2" t="s">
        <v>568</v>
      </c>
      <c r="J2406" s="4">
        <v>-2.274</v>
      </c>
      <c r="K2406" s="2" t="s">
        <v>448</v>
      </c>
      <c r="L2406" s="2">
        <v>2024</v>
      </c>
      <c r="M2406" s="2" t="s">
        <v>180</v>
      </c>
      <c r="N2406" s="2" t="s">
        <v>23</v>
      </c>
      <c r="O2406">
        <f t="shared" si="74"/>
        <v>7.4500000000000171</v>
      </c>
      <c r="P2406">
        <f t="shared" si="75"/>
        <v>46.400000000000006</v>
      </c>
    </row>
    <row r="2407" spans="1:16" x14ac:dyDescent="0.35">
      <c r="A2407" s="9" t="s">
        <v>449</v>
      </c>
      <c r="B2407" s="2">
        <v>203.88</v>
      </c>
      <c r="C2407" s="2">
        <v>204.67</v>
      </c>
      <c r="D2407" s="2">
        <v>196.89</v>
      </c>
      <c r="E2407" s="2">
        <v>199.14</v>
      </c>
      <c r="F2407" s="2">
        <v>18041676</v>
      </c>
      <c r="G2407" s="2" t="s">
        <v>566</v>
      </c>
      <c r="H2407" s="2" t="s">
        <v>567</v>
      </c>
      <c r="I2407" s="2" t="s">
        <v>568</v>
      </c>
      <c r="J2407" s="4">
        <v>-4.2409999999999997</v>
      </c>
      <c r="K2407" s="2" t="s">
        <v>448</v>
      </c>
      <c r="L2407" s="2">
        <v>2024</v>
      </c>
      <c r="M2407" s="2" t="s">
        <v>180</v>
      </c>
      <c r="N2407" s="2" t="s">
        <v>23</v>
      </c>
      <c r="O2407">
        <f t="shared" si="74"/>
        <v>7.7800000000000011</v>
      </c>
      <c r="P2407">
        <f t="shared" si="75"/>
        <v>42.159000000000006</v>
      </c>
    </row>
    <row r="2408" spans="1:16" x14ac:dyDescent="0.35">
      <c r="A2408" s="9" t="s">
        <v>450</v>
      </c>
      <c r="B2408" s="2">
        <v>194.05</v>
      </c>
      <c r="C2408" s="2">
        <v>196.17</v>
      </c>
      <c r="D2408" s="2">
        <v>190.9</v>
      </c>
      <c r="E2408" s="2">
        <v>194.9</v>
      </c>
      <c r="F2408" s="2">
        <v>13926997</v>
      </c>
      <c r="G2408" s="2" t="s">
        <v>566</v>
      </c>
      <c r="H2408" s="2" t="s">
        <v>567</v>
      </c>
      <c r="I2408" s="2" t="s">
        <v>568</v>
      </c>
      <c r="J2408" s="4">
        <v>-2.129</v>
      </c>
      <c r="K2408" s="2" t="s">
        <v>448</v>
      </c>
      <c r="L2408" s="2">
        <v>2024</v>
      </c>
      <c r="M2408" s="2" t="s">
        <v>180</v>
      </c>
      <c r="N2408" s="2" t="s">
        <v>23</v>
      </c>
      <c r="O2408">
        <f t="shared" si="74"/>
        <v>5.2699999999999818</v>
      </c>
      <c r="P2408">
        <f t="shared" si="75"/>
        <v>40.030000000000008</v>
      </c>
    </row>
    <row r="2409" spans="1:16" x14ac:dyDescent="0.35">
      <c r="A2409" s="9" t="s">
        <v>451</v>
      </c>
      <c r="B2409" s="2">
        <v>195.4</v>
      </c>
      <c r="C2409" s="2">
        <v>202.6</v>
      </c>
      <c r="D2409" s="2">
        <v>194</v>
      </c>
      <c r="E2409" s="2">
        <v>200.34</v>
      </c>
      <c r="F2409" s="2">
        <v>10605780</v>
      </c>
      <c r="G2409" s="2" t="s">
        <v>566</v>
      </c>
      <c r="H2409" s="2" t="s">
        <v>567</v>
      </c>
      <c r="I2409" s="2" t="s">
        <v>568</v>
      </c>
      <c r="J2409" s="3">
        <v>2.7909999999999999</v>
      </c>
      <c r="K2409" s="2" t="s">
        <v>448</v>
      </c>
      <c r="L2409" s="2">
        <v>2024</v>
      </c>
      <c r="M2409" s="2" t="s">
        <v>180</v>
      </c>
      <c r="N2409" s="2" t="s">
        <v>21</v>
      </c>
      <c r="O2409">
        <f t="shared" si="74"/>
        <v>8.5999999999999943</v>
      </c>
      <c r="P2409">
        <f t="shared" si="75"/>
        <v>42.821000000000005</v>
      </c>
    </row>
    <row r="2410" spans="1:16" x14ac:dyDescent="0.35">
      <c r="A2410" s="9" t="s">
        <v>452</v>
      </c>
      <c r="B2410" s="2">
        <v>203.51</v>
      </c>
      <c r="C2410" s="2">
        <v>205.75</v>
      </c>
      <c r="D2410" s="2">
        <v>200.2</v>
      </c>
      <c r="E2410" s="2">
        <v>200.4</v>
      </c>
      <c r="F2410" s="2">
        <v>9204434</v>
      </c>
      <c r="G2410" s="2" t="s">
        <v>566</v>
      </c>
      <c r="H2410" s="2" t="s">
        <v>567</v>
      </c>
      <c r="I2410" s="2" t="s">
        <v>568</v>
      </c>
      <c r="J2410" s="3">
        <v>0.03</v>
      </c>
      <c r="K2410" s="2" t="s">
        <v>448</v>
      </c>
      <c r="L2410" s="2">
        <v>2024</v>
      </c>
      <c r="M2410" s="2" t="s">
        <v>180</v>
      </c>
      <c r="N2410" s="2" t="s">
        <v>21</v>
      </c>
      <c r="O2410">
        <f t="shared" si="74"/>
        <v>5.5500000000000114</v>
      </c>
      <c r="P2410">
        <f t="shared" si="75"/>
        <v>42.851000000000006</v>
      </c>
    </row>
    <row r="2411" spans="1:16" x14ac:dyDescent="0.35">
      <c r="A2411" s="9" t="s">
        <v>453</v>
      </c>
      <c r="B2411" s="2">
        <v>202.47</v>
      </c>
      <c r="C2411" s="2">
        <v>204.91</v>
      </c>
      <c r="D2411" s="2">
        <v>201.79</v>
      </c>
      <c r="E2411" s="2">
        <v>204.06</v>
      </c>
      <c r="F2411" s="2">
        <v>7761199</v>
      </c>
      <c r="G2411" s="2" t="s">
        <v>566</v>
      </c>
      <c r="H2411" s="2" t="s">
        <v>567</v>
      </c>
      <c r="I2411" s="2" t="s">
        <v>568</v>
      </c>
      <c r="J2411" s="3">
        <v>1.8260000000000001</v>
      </c>
      <c r="K2411" s="2" t="s">
        <v>448</v>
      </c>
      <c r="L2411" s="2">
        <v>2024</v>
      </c>
      <c r="M2411" s="2" t="s">
        <v>180</v>
      </c>
      <c r="N2411" s="2" t="s">
        <v>21</v>
      </c>
      <c r="O2411">
        <f t="shared" si="74"/>
        <v>3.1200000000000045</v>
      </c>
      <c r="P2411">
        <f t="shared" si="75"/>
        <v>44.677000000000007</v>
      </c>
    </row>
    <row r="2412" spans="1:16" x14ac:dyDescent="0.35">
      <c r="A2412" s="9" t="s">
        <v>454</v>
      </c>
      <c r="B2412" s="2">
        <v>203.47</v>
      </c>
      <c r="C2412" s="2">
        <v>206.47</v>
      </c>
      <c r="D2412" s="2">
        <v>202.9</v>
      </c>
      <c r="E2412" s="2">
        <v>205.8</v>
      </c>
      <c r="F2412" s="2">
        <v>5540240</v>
      </c>
      <c r="G2412" s="2" t="s">
        <v>566</v>
      </c>
      <c r="H2412" s="2" t="s">
        <v>567</v>
      </c>
      <c r="I2412" s="2" t="s">
        <v>568</v>
      </c>
      <c r="J2412" s="3">
        <v>0.85299999999999998</v>
      </c>
      <c r="K2412" s="2" t="s">
        <v>448</v>
      </c>
      <c r="L2412" s="2">
        <v>2024</v>
      </c>
      <c r="M2412" s="2" t="s">
        <v>180</v>
      </c>
      <c r="N2412" s="2" t="s">
        <v>21</v>
      </c>
      <c r="O2412">
        <f t="shared" si="74"/>
        <v>3.5699999999999932</v>
      </c>
      <c r="P2412">
        <f t="shared" si="75"/>
        <v>45.530000000000008</v>
      </c>
    </row>
    <row r="2413" spans="1:16" x14ac:dyDescent="0.35">
      <c r="A2413" s="9" t="s">
        <v>455</v>
      </c>
      <c r="B2413" s="2">
        <v>206.41</v>
      </c>
      <c r="C2413" s="2">
        <v>207.14</v>
      </c>
      <c r="D2413" s="2">
        <v>203.66</v>
      </c>
      <c r="E2413" s="2">
        <v>206.19</v>
      </c>
      <c r="F2413" s="2">
        <v>6935954</v>
      </c>
      <c r="G2413" s="2" t="s">
        <v>566</v>
      </c>
      <c r="H2413" s="2" t="s">
        <v>567</v>
      </c>
      <c r="I2413" s="2" t="s">
        <v>568</v>
      </c>
      <c r="J2413" s="3">
        <v>0.19</v>
      </c>
      <c r="K2413" s="2" t="s">
        <v>448</v>
      </c>
      <c r="L2413" s="2">
        <v>2024</v>
      </c>
      <c r="M2413" s="2" t="s">
        <v>180</v>
      </c>
      <c r="N2413" s="2" t="s">
        <v>21</v>
      </c>
      <c r="O2413">
        <f t="shared" si="74"/>
        <v>3.4799999999999898</v>
      </c>
      <c r="P2413">
        <f t="shared" si="75"/>
        <v>45.720000000000006</v>
      </c>
    </row>
    <row r="2414" spans="1:16" x14ac:dyDescent="0.35">
      <c r="A2414" s="9" t="s">
        <v>456</v>
      </c>
      <c r="B2414" s="2">
        <v>207.73</v>
      </c>
      <c r="C2414" s="2">
        <v>208.09</v>
      </c>
      <c r="D2414" s="2">
        <v>205.4</v>
      </c>
      <c r="E2414" s="2">
        <v>207.94</v>
      </c>
      <c r="F2414" s="2">
        <v>6387942</v>
      </c>
      <c r="G2414" s="2" t="s">
        <v>566</v>
      </c>
      <c r="H2414" s="2" t="s">
        <v>567</v>
      </c>
      <c r="I2414" s="2" t="s">
        <v>568</v>
      </c>
      <c r="J2414" s="3">
        <v>0.84899999999999998</v>
      </c>
      <c r="K2414" s="2" t="s">
        <v>448</v>
      </c>
      <c r="L2414" s="2">
        <v>2024</v>
      </c>
      <c r="M2414" s="2" t="s">
        <v>180</v>
      </c>
      <c r="N2414" s="2" t="s">
        <v>21</v>
      </c>
      <c r="O2414">
        <f t="shared" si="74"/>
        <v>2.6899999999999977</v>
      </c>
      <c r="P2414">
        <f t="shared" si="75"/>
        <v>46.569000000000003</v>
      </c>
    </row>
    <row r="2415" spans="1:16" x14ac:dyDescent="0.35">
      <c r="A2415" s="9" t="s">
        <v>457</v>
      </c>
      <c r="B2415" s="2">
        <v>207.74</v>
      </c>
      <c r="C2415" s="2">
        <v>210.755</v>
      </c>
      <c r="D2415" s="2">
        <v>207.12</v>
      </c>
      <c r="E2415" s="2">
        <v>210.24</v>
      </c>
      <c r="F2415" s="2">
        <v>6999809</v>
      </c>
      <c r="G2415" s="2" t="s">
        <v>566</v>
      </c>
      <c r="H2415" s="2" t="s">
        <v>567</v>
      </c>
      <c r="I2415" s="2" t="s">
        <v>568</v>
      </c>
      <c r="J2415" s="3">
        <v>1.1060000000000001</v>
      </c>
      <c r="K2415" s="2" t="s">
        <v>448</v>
      </c>
      <c r="L2415" s="2">
        <v>2024</v>
      </c>
      <c r="M2415" s="2" t="s">
        <v>180</v>
      </c>
      <c r="N2415" s="2" t="s">
        <v>21</v>
      </c>
      <c r="O2415">
        <f t="shared" si="74"/>
        <v>3.6349999999999909</v>
      </c>
      <c r="P2415">
        <f t="shared" si="75"/>
        <v>47.675000000000004</v>
      </c>
    </row>
    <row r="2416" spans="1:16" x14ac:dyDescent="0.35">
      <c r="A2416" s="9" t="s">
        <v>458</v>
      </c>
      <c r="B2416" s="2">
        <v>213</v>
      </c>
      <c r="C2416" s="2">
        <v>213.89</v>
      </c>
      <c r="D2416" s="2">
        <v>211.1</v>
      </c>
      <c r="E2416" s="2">
        <v>211.55</v>
      </c>
      <c r="F2416" s="2">
        <v>7001005</v>
      </c>
      <c r="G2416" s="2" t="s">
        <v>566</v>
      </c>
      <c r="H2416" s="2" t="s">
        <v>567</v>
      </c>
      <c r="I2416" s="2" t="s">
        <v>568</v>
      </c>
      <c r="J2416" s="3">
        <v>0.623</v>
      </c>
      <c r="K2416" s="2" t="s">
        <v>448</v>
      </c>
      <c r="L2416" s="2">
        <v>2024</v>
      </c>
      <c r="M2416" s="2" t="s">
        <v>180</v>
      </c>
      <c r="N2416" s="2" t="s">
        <v>21</v>
      </c>
      <c r="O2416">
        <f t="shared" si="74"/>
        <v>2.789999999999992</v>
      </c>
      <c r="P2416">
        <f t="shared" si="75"/>
        <v>48.298000000000002</v>
      </c>
    </row>
    <row r="2417" spans="1:16" x14ac:dyDescent="0.35">
      <c r="A2417" s="9" t="s">
        <v>459</v>
      </c>
      <c r="B2417" s="2">
        <v>211.69</v>
      </c>
      <c r="C2417" s="2">
        <v>214.09</v>
      </c>
      <c r="D2417" s="2">
        <v>211.58500000000001</v>
      </c>
      <c r="E2417" s="2">
        <v>213.97</v>
      </c>
      <c r="F2417" s="2">
        <v>7931234</v>
      </c>
      <c r="G2417" s="2" t="s">
        <v>566</v>
      </c>
      <c r="H2417" s="2" t="s">
        <v>567</v>
      </c>
      <c r="I2417" s="2" t="s">
        <v>568</v>
      </c>
      <c r="J2417" s="3">
        <v>1.1439999999999999</v>
      </c>
      <c r="K2417" s="2" t="s">
        <v>448</v>
      </c>
      <c r="L2417" s="2">
        <v>2024</v>
      </c>
      <c r="M2417" s="2" t="s">
        <v>180</v>
      </c>
      <c r="N2417" s="2" t="s">
        <v>21</v>
      </c>
      <c r="O2417">
        <f t="shared" si="74"/>
        <v>2.5049999999999955</v>
      </c>
      <c r="P2417">
        <f t="shared" si="75"/>
        <v>49.442</v>
      </c>
    </row>
    <row r="2418" spans="1:16" x14ac:dyDescent="0.35">
      <c r="A2418" s="9" t="s">
        <v>460</v>
      </c>
      <c r="B2418" s="2">
        <v>214</v>
      </c>
      <c r="C2418" s="2">
        <v>215.53</v>
      </c>
      <c r="D2418" s="2">
        <v>213.82</v>
      </c>
      <c r="E2418" s="2">
        <v>215.45</v>
      </c>
      <c r="F2418" s="2">
        <v>6090818</v>
      </c>
      <c r="G2418" s="2" t="s">
        <v>566</v>
      </c>
      <c r="H2418" s="2" t="s">
        <v>567</v>
      </c>
      <c r="I2418" s="2" t="s">
        <v>568</v>
      </c>
      <c r="J2418" s="3">
        <v>0.69199999999999995</v>
      </c>
      <c r="K2418" s="2" t="s">
        <v>448</v>
      </c>
      <c r="L2418" s="2">
        <v>2024</v>
      </c>
      <c r="M2418" s="2" t="s">
        <v>180</v>
      </c>
      <c r="N2418" s="2" t="s">
        <v>21</v>
      </c>
      <c r="O2418">
        <f t="shared" si="74"/>
        <v>1.710000000000008</v>
      </c>
      <c r="P2418">
        <f t="shared" si="75"/>
        <v>50.134</v>
      </c>
    </row>
    <row r="2419" spans="1:16" x14ac:dyDescent="0.35">
      <c r="A2419" s="9" t="s">
        <v>461</v>
      </c>
      <c r="B2419" s="2">
        <v>215</v>
      </c>
      <c r="C2419" s="2">
        <v>216</v>
      </c>
      <c r="D2419" s="2">
        <v>213.68</v>
      </c>
      <c r="E2419" s="2">
        <v>214.52</v>
      </c>
      <c r="F2419" s="2">
        <v>5640223</v>
      </c>
      <c r="G2419" s="2" t="s">
        <v>566</v>
      </c>
      <c r="H2419" s="2" t="s">
        <v>567</v>
      </c>
      <c r="I2419" s="2" t="s">
        <v>568</v>
      </c>
      <c r="J2419" s="4">
        <v>-0.432</v>
      </c>
      <c r="K2419" s="2" t="s">
        <v>448</v>
      </c>
      <c r="L2419" s="2">
        <v>2024</v>
      </c>
      <c r="M2419" s="2" t="s">
        <v>180</v>
      </c>
      <c r="N2419" s="2" t="s">
        <v>23</v>
      </c>
      <c r="O2419">
        <f t="shared" si="74"/>
        <v>2.3199999999999932</v>
      </c>
      <c r="P2419">
        <f t="shared" si="75"/>
        <v>49.701999999999998</v>
      </c>
    </row>
    <row r="2420" spans="1:16" x14ac:dyDescent="0.35">
      <c r="A2420" s="9" t="s">
        <v>462</v>
      </c>
      <c r="B2420" s="2">
        <v>214.43</v>
      </c>
      <c r="C2420" s="2">
        <v>215</v>
      </c>
      <c r="D2420" s="2">
        <v>212.84</v>
      </c>
      <c r="E2420" s="2">
        <v>214.6</v>
      </c>
      <c r="F2420" s="2">
        <v>5202472</v>
      </c>
      <c r="G2420" s="2" t="s">
        <v>566</v>
      </c>
      <c r="H2420" s="2" t="s">
        <v>567</v>
      </c>
      <c r="I2420" s="2" t="s">
        <v>568</v>
      </c>
      <c r="J2420" s="3">
        <v>3.6999999999999998E-2</v>
      </c>
      <c r="K2420" s="2" t="s">
        <v>448</v>
      </c>
      <c r="L2420" s="2">
        <v>2024</v>
      </c>
      <c r="M2420" s="2" t="s">
        <v>180</v>
      </c>
      <c r="N2420" s="2" t="s">
        <v>21</v>
      </c>
      <c r="O2420">
        <f t="shared" si="74"/>
        <v>2.1599999999999966</v>
      </c>
      <c r="P2420">
        <f t="shared" si="75"/>
        <v>49.738999999999997</v>
      </c>
    </row>
    <row r="2421" spans="1:16" x14ac:dyDescent="0.35">
      <c r="A2421" s="9" t="s">
        <v>463</v>
      </c>
      <c r="B2421" s="2">
        <v>214.58</v>
      </c>
      <c r="C2421" s="2">
        <v>216.8</v>
      </c>
      <c r="D2421" s="2">
        <v>214.33500000000001</v>
      </c>
      <c r="E2421" s="2">
        <v>216.63</v>
      </c>
      <c r="F2421" s="2">
        <v>5247098</v>
      </c>
      <c r="G2421" s="2" t="s">
        <v>566</v>
      </c>
      <c r="H2421" s="2" t="s">
        <v>567</v>
      </c>
      <c r="I2421" s="2" t="s">
        <v>568</v>
      </c>
      <c r="J2421" s="3">
        <v>0.94599999999999995</v>
      </c>
      <c r="K2421" s="2" t="s">
        <v>448</v>
      </c>
      <c r="L2421" s="2">
        <v>2024</v>
      </c>
      <c r="M2421" s="2" t="s">
        <v>180</v>
      </c>
      <c r="N2421" s="2" t="s">
        <v>21</v>
      </c>
      <c r="O2421">
        <f t="shared" si="74"/>
        <v>2.4650000000000034</v>
      </c>
      <c r="P2421">
        <f t="shared" si="75"/>
        <v>50.684999999999995</v>
      </c>
    </row>
    <row r="2422" spans="1:16" x14ac:dyDescent="0.35">
      <c r="A2422" s="9" t="s">
        <v>464</v>
      </c>
      <c r="B2422" s="2">
        <v>217.6</v>
      </c>
      <c r="C2422" s="2">
        <v>219.19</v>
      </c>
      <c r="D2422" s="2">
        <v>216.5</v>
      </c>
      <c r="E2422" s="2">
        <v>218.31</v>
      </c>
      <c r="F2422" s="2">
        <v>7213981</v>
      </c>
      <c r="G2422" s="2" t="s">
        <v>566</v>
      </c>
      <c r="H2422" s="2" t="s">
        <v>567</v>
      </c>
      <c r="I2422" s="2" t="s">
        <v>568</v>
      </c>
      <c r="J2422" s="3">
        <v>0.77600000000000002</v>
      </c>
      <c r="K2422" s="2" t="s">
        <v>448</v>
      </c>
      <c r="L2422" s="2">
        <v>2024</v>
      </c>
      <c r="M2422" s="2" t="s">
        <v>180</v>
      </c>
      <c r="N2422" s="2" t="s">
        <v>21</v>
      </c>
      <c r="O2422">
        <f t="shared" si="74"/>
        <v>2.6899999999999977</v>
      </c>
      <c r="P2422">
        <f t="shared" si="75"/>
        <v>51.460999999999999</v>
      </c>
    </row>
    <row r="2423" spans="1:16" x14ac:dyDescent="0.35">
      <c r="A2423" s="9" t="s">
        <v>465</v>
      </c>
      <c r="B2423" s="2">
        <v>219.01</v>
      </c>
      <c r="C2423" s="2">
        <v>219.68</v>
      </c>
      <c r="D2423" s="2">
        <v>218.05</v>
      </c>
      <c r="E2423" s="2">
        <v>219.17</v>
      </c>
      <c r="F2423" s="2">
        <v>5105245</v>
      </c>
      <c r="G2423" s="2" t="s">
        <v>566</v>
      </c>
      <c r="H2423" s="2" t="s">
        <v>567</v>
      </c>
      <c r="I2423" s="2" t="s">
        <v>568</v>
      </c>
      <c r="J2423" s="3">
        <v>0.39400000000000002</v>
      </c>
      <c r="K2423" s="2" t="s">
        <v>448</v>
      </c>
      <c r="L2423" s="2">
        <v>2024</v>
      </c>
      <c r="M2423" s="2" t="s">
        <v>180</v>
      </c>
      <c r="N2423" s="2" t="s">
        <v>21</v>
      </c>
      <c r="O2423">
        <f t="shared" si="74"/>
        <v>1.6299999999999955</v>
      </c>
      <c r="P2423">
        <f t="shared" si="75"/>
        <v>51.854999999999997</v>
      </c>
    </row>
    <row r="2424" spans="1:16" x14ac:dyDescent="0.35">
      <c r="A2424" s="9" t="s">
        <v>466</v>
      </c>
      <c r="B2424" s="2">
        <v>219.51</v>
      </c>
      <c r="C2424" s="2">
        <v>220.42</v>
      </c>
      <c r="D2424" s="2">
        <v>219.19</v>
      </c>
      <c r="E2424" s="2">
        <v>220.18</v>
      </c>
      <c r="F2424" s="2">
        <v>5185221</v>
      </c>
      <c r="G2424" s="2" t="s">
        <v>566</v>
      </c>
      <c r="H2424" s="2" t="s">
        <v>567</v>
      </c>
      <c r="I2424" s="2" t="s">
        <v>568</v>
      </c>
      <c r="J2424" s="3">
        <v>0.46100000000000002</v>
      </c>
      <c r="K2424" s="2" t="s">
        <v>448</v>
      </c>
      <c r="L2424" s="2">
        <v>2024</v>
      </c>
      <c r="M2424" s="2" t="s">
        <v>180</v>
      </c>
      <c r="N2424" s="2" t="s">
        <v>21</v>
      </c>
      <c r="O2424">
        <f t="shared" si="74"/>
        <v>1.2299999999999898</v>
      </c>
      <c r="P2424">
        <f t="shared" si="75"/>
        <v>52.315999999999995</v>
      </c>
    </row>
    <row r="2425" spans="1:16" x14ac:dyDescent="0.35">
      <c r="A2425" s="9" t="s">
        <v>467</v>
      </c>
      <c r="B2425" s="2">
        <v>219.25</v>
      </c>
      <c r="C2425" s="2">
        <v>222.21</v>
      </c>
      <c r="D2425" s="2">
        <v>219.19</v>
      </c>
      <c r="E2425" s="2">
        <v>221.29</v>
      </c>
      <c r="F2425" s="2">
        <v>6506402</v>
      </c>
      <c r="G2425" s="2" t="s">
        <v>566</v>
      </c>
      <c r="H2425" s="2" t="s">
        <v>567</v>
      </c>
      <c r="I2425" s="2" t="s">
        <v>568</v>
      </c>
      <c r="J2425" s="3">
        <v>0.504</v>
      </c>
      <c r="K2425" s="2" t="s">
        <v>448</v>
      </c>
      <c r="L2425" s="2">
        <v>2024</v>
      </c>
      <c r="M2425" s="2" t="s">
        <v>180</v>
      </c>
      <c r="N2425" s="2" t="s">
        <v>21</v>
      </c>
      <c r="O2425">
        <f t="shared" si="74"/>
        <v>3.0200000000000102</v>
      </c>
      <c r="P2425">
        <f t="shared" si="75"/>
        <v>52.819999999999993</v>
      </c>
    </row>
    <row r="2426" spans="1:16" x14ac:dyDescent="0.35">
      <c r="A2426" s="9" t="s">
        <v>468</v>
      </c>
      <c r="B2426" s="2">
        <v>222.15</v>
      </c>
      <c r="C2426" s="2">
        <v>222.98</v>
      </c>
      <c r="D2426" s="2">
        <v>218.94</v>
      </c>
      <c r="E2426" s="2">
        <v>222.21</v>
      </c>
      <c r="F2426" s="2">
        <v>6416149</v>
      </c>
      <c r="G2426" s="2" t="s">
        <v>566</v>
      </c>
      <c r="H2426" s="2" t="s">
        <v>567</v>
      </c>
      <c r="I2426" s="2" t="s">
        <v>568</v>
      </c>
      <c r="J2426" s="3">
        <v>0.41599999999999998</v>
      </c>
      <c r="K2426" s="2" t="s">
        <v>448</v>
      </c>
      <c r="L2426" s="2">
        <v>2024</v>
      </c>
      <c r="M2426" s="2" t="s">
        <v>180</v>
      </c>
      <c r="N2426" s="2" t="s">
        <v>21</v>
      </c>
      <c r="O2426">
        <f t="shared" si="74"/>
        <v>4.039999999999992</v>
      </c>
      <c r="P2426">
        <f t="shared" si="75"/>
        <v>53.23599999999999</v>
      </c>
    </row>
    <row r="2427" spans="1:16" x14ac:dyDescent="0.35">
      <c r="A2427" s="9" t="s">
        <v>469</v>
      </c>
      <c r="B2427" s="2">
        <v>222.5</v>
      </c>
      <c r="C2427" s="2">
        <v>225.48</v>
      </c>
      <c r="D2427" s="2">
        <v>221.93</v>
      </c>
      <c r="E2427" s="2">
        <v>224.8</v>
      </c>
      <c r="F2427" s="2">
        <v>8574128</v>
      </c>
      <c r="G2427" s="2" t="s">
        <v>566</v>
      </c>
      <c r="H2427" s="2" t="s">
        <v>567</v>
      </c>
      <c r="I2427" s="2" t="s">
        <v>568</v>
      </c>
      <c r="J2427" s="3">
        <v>1.1659999999999999</v>
      </c>
      <c r="K2427" s="2" t="s">
        <v>448</v>
      </c>
      <c r="L2427" s="2">
        <v>2024</v>
      </c>
      <c r="M2427" s="2" t="s">
        <v>180</v>
      </c>
      <c r="N2427" s="2" t="s">
        <v>21</v>
      </c>
      <c r="O2427">
        <f t="shared" si="74"/>
        <v>3.5499999999999829</v>
      </c>
      <c r="P2427">
        <f t="shared" si="75"/>
        <v>54.401999999999987</v>
      </c>
    </row>
    <row r="2428" spans="1:16" x14ac:dyDescent="0.35">
      <c r="A2428" s="9" t="s">
        <v>470</v>
      </c>
      <c r="B2428" s="2">
        <v>222.3</v>
      </c>
      <c r="C2428" s="2">
        <v>224.1</v>
      </c>
      <c r="D2428" s="2">
        <v>219.24</v>
      </c>
      <c r="E2428" s="2">
        <v>220.3</v>
      </c>
      <c r="F2428" s="2">
        <v>8956089</v>
      </c>
      <c r="G2428" s="2" t="s">
        <v>566</v>
      </c>
      <c r="H2428" s="2" t="s">
        <v>567</v>
      </c>
      <c r="I2428" s="2" t="s">
        <v>568</v>
      </c>
      <c r="J2428" s="4">
        <v>-2.0019999999999998</v>
      </c>
      <c r="K2428" s="2" t="s">
        <v>471</v>
      </c>
      <c r="L2428" s="2">
        <v>2024</v>
      </c>
      <c r="M2428" s="2" t="s">
        <v>205</v>
      </c>
      <c r="N2428" s="2" t="s">
        <v>23</v>
      </c>
      <c r="O2428">
        <f t="shared" si="74"/>
        <v>4.8599999999999852</v>
      </c>
      <c r="P2428">
        <f t="shared" si="75"/>
        <v>52.399999999999984</v>
      </c>
    </row>
    <row r="2429" spans="1:16" x14ac:dyDescent="0.35">
      <c r="A2429" s="9" t="s">
        <v>472</v>
      </c>
      <c r="B2429" s="2">
        <v>221.04</v>
      </c>
      <c r="C2429" s="2">
        <v>222.07</v>
      </c>
      <c r="D2429" s="2">
        <v>217.21</v>
      </c>
      <c r="E2429" s="2">
        <v>219.33</v>
      </c>
      <c r="F2429" s="2">
        <v>7389474</v>
      </c>
      <c r="G2429" s="2" t="s">
        <v>566</v>
      </c>
      <c r="H2429" s="2" t="s">
        <v>567</v>
      </c>
      <c r="I2429" s="2" t="s">
        <v>568</v>
      </c>
      <c r="J2429" s="4">
        <v>-0.44</v>
      </c>
      <c r="K2429" s="2" t="s">
        <v>471</v>
      </c>
      <c r="L2429" s="2">
        <v>2024</v>
      </c>
      <c r="M2429" s="2" t="s">
        <v>205</v>
      </c>
      <c r="N2429" s="2" t="s">
        <v>23</v>
      </c>
      <c r="O2429">
        <f t="shared" si="74"/>
        <v>4.8599999999999852</v>
      </c>
      <c r="P2429">
        <f t="shared" si="75"/>
        <v>51.959999999999987</v>
      </c>
    </row>
    <row r="2430" spans="1:16" x14ac:dyDescent="0.35">
      <c r="A2430" s="9" t="s">
        <v>473</v>
      </c>
      <c r="B2430" s="2">
        <v>220.15</v>
      </c>
      <c r="C2430" s="2">
        <v>220.8</v>
      </c>
      <c r="D2430" s="2">
        <v>216.03</v>
      </c>
      <c r="E2430" s="2">
        <v>217.63</v>
      </c>
      <c r="F2430" s="2">
        <v>8067874</v>
      </c>
      <c r="G2430" s="2" t="s">
        <v>566</v>
      </c>
      <c r="H2430" s="2" t="s">
        <v>567</v>
      </c>
      <c r="I2430" s="2" t="s">
        <v>568</v>
      </c>
      <c r="J2430" s="4">
        <v>-0.77500000000000002</v>
      </c>
      <c r="K2430" s="2" t="s">
        <v>471</v>
      </c>
      <c r="L2430" s="2">
        <v>2024</v>
      </c>
      <c r="M2430" s="2" t="s">
        <v>205</v>
      </c>
      <c r="N2430" s="2" t="s">
        <v>23</v>
      </c>
      <c r="O2430">
        <f t="shared" si="74"/>
        <v>4.7700000000000102</v>
      </c>
      <c r="P2430">
        <f t="shared" si="75"/>
        <v>51.184999999999988</v>
      </c>
    </row>
    <row r="2431" spans="1:16" x14ac:dyDescent="0.35">
      <c r="A2431" s="9" t="s">
        <v>474</v>
      </c>
      <c r="B2431" s="2">
        <v>217.6</v>
      </c>
      <c r="C2431" s="2">
        <v>218.74</v>
      </c>
      <c r="D2431" s="2">
        <v>211.09</v>
      </c>
      <c r="E2431" s="2">
        <v>212.46</v>
      </c>
      <c r="F2431" s="2">
        <v>7776998</v>
      </c>
      <c r="G2431" s="2" t="s">
        <v>566</v>
      </c>
      <c r="H2431" s="2" t="s">
        <v>567</v>
      </c>
      <c r="I2431" s="2" t="s">
        <v>568</v>
      </c>
      <c r="J2431" s="4">
        <v>-2.3759999999999999</v>
      </c>
      <c r="K2431" s="2" t="s">
        <v>471</v>
      </c>
      <c r="L2431" s="2">
        <v>2024</v>
      </c>
      <c r="M2431" s="2" t="s">
        <v>205</v>
      </c>
      <c r="N2431" s="2" t="s">
        <v>23</v>
      </c>
      <c r="O2431">
        <f t="shared" si="74"/>
        <v>7.6500000000000057</v>
      </c>
      <c r="P2431">
        <f t="shared" si="75"/>
        <v>48.80899999999999</v>
      </c>
    </row>
    <row r="2432" spans="1:16" x14ac:dyDescent="0.35">
      <c r="A2432" s="9" t="s">
        <v>475</v>
      </c>
      <c r="B2432" s="2">
        <v>215.19</v>
      </c>
      <c r="C2432" s="2">
        <v>218.15</v>
      </c>
      <c r="D2432" s="2">
        <v>214.17500000000001</v>
      </c>
      <c r="E2432" s="2">
        <v>216.81</v>
      </c>
      <c r="F2432" s="2">
        <v>8935074</v>
      </c>
      <c r="G2432" s="2" t="s">
        <v>566</v>
      </c>
      <c r="H2432" s="2" t="s">
        <v>567</v>
      </c>
      <c r="I2432" s="2" t="s">
        <v>568</v>
      </c>
      <c r="J2432" s="3">
        <v>2.0470000000000002</v>
      </c>
      <c r="K2432" s="2" t="s">
        <v>471</v>
      </c>
      <c r="L2432" s="2">
        <v>2024</v>
      </c>
      <c r="M2432" s="2" t="s">
        <v>205</v>
      </c>
      <c r="N2432" s="2" t="s">
        <v>21</v>
      </c>
      <c r="O2432">
        <f t="shared" si="74"/>
        <v>3.9749999999999943</v>
      </c>
      <c r="P2432">
        <f t="shared" si="75"/>
        <v>50.855999999999987</v>
      </c>
    </row>
    <row r="2433" spans="1:16" x14ac:dyDescent="0.35">
      <c r="A2433" s="9" t="s">
        <v>476</v>
      </c>
      <c r="B2433" s="2">
        <v>218.6</v>
      </c>
      <c r="C2433" s="2">
        <v>218.64</v>
      </c>
      <c r="D2433" s="2">
        <v>200.61</v>
      </c>
      <c r="E2433" s="2">
        <v>205.56</v>
      </c>
      <c r="F2433" s="2">
        <v>28406903</v>
      </c>
      <c r="G2433" s="2" t="s">
        <v>566</v>
      </c>
      <c r="H2433" s="2" t="s">
        <v>567</v>
      </c>
      <c r="I2433" s="2" t="s">
        <v>568</v>
      </c>
      <c r="J2433" s="4">
        <v>-5.1890000000000001</v>
      </c>
      <c r="K2433" s="2" t="s">
        <v>471</v>
      </c>
      <c r="L2433" s="2">
        <v>2024</v>
      </c>
      <c r="M2433" s="2" t="s">
        <v>205</v>
      </c>
      <c r="N2433" s="2" t="s">
        <v>23</v>
      </c>
      <c r="O2433">
        <f t="shared" si="74"/>
        <v>18.029999999999973</v>
      </c>
      <c r="P2433">
        <f t="shared" si="75"/>
        <v>45.666999999999987</v>
      </c>
    </row>
    <row r="2434" spans="1:16" x14ac:dyDescent="0.35">
      <c r="A2434" s="9" t="s">
        <v>477</v>
      </c>
      <c r="B2434" s="2">
        <v>205.25</v>
      </c>
      <c r="C2434" s="2">
        <v>207.7</v>
      </c>
      <c r="D2434" s="2">
        <v>201.83099999999999</v>
      </c>
      <c r="E2434" s="2">
        <v>207.23</v>
      </c>
      <c r="F2434" s="2">
        <v>13658743</v>
      </c>
      <c r="G2434" s="2" t="s">
        <v>566</v>
      </c>
      <c r="H2434" s="2" t="s">
        <v>567</v>
      </c>
      <c r="I2434" s="2" t="s">
        <v>568</v>
      </c>
      <c r="J2434" s="3">
        <v>0.81200000000000006</v>
      </c>
      <c r="K2434" s="2" t="s">
        <v>471</v>
      </c>
      <c r="L2434" s="2">
        <v>2024</v>
      </c>
      <c r="M2434" s="2" t="s">
        <v>205</v>
      </c>
      <c r="N2434" s="2" t="s">
        <v>21</v>
      </c>
      <c r="O2434">
        <f t="shared" si="74"/>
        <v>5.8689999999999998</v>
      </c>
      <c r="P2434">
        <f t="shared" si="75"/>
        <v>46.478999999999985</v>
      </c>
    </row>
    <row r="2435" spans="1:16" x14ac:dyDescent="0.35">
      <c r="A2435" s="9" t="s">
        <v>478</v>
      </c>
      <c r="B2435" s="2">
        <v>207.65</v>
      </c>
      <c r="C2435" s="2">
        <v>208.78</v>
      </c>
      <c r="D2435" s="2">
        <v>204.89</v>
      </c>
      <c r="E2435" s="2">
        <v>206.6</v>
      </c>
      <c r="F2435" s="2">
        <v>9055756</v>
      </c>
      <c r="G2435" s="2" t="s">
        <v>566</v>
      </c>
      <c r="H2435" s="2" t="s">
        <v>567</v>
      </c>
      <c r="I2435" s="2" t="s">
        <v>568</v>
      </c>
      <c r="J2435" s="4">
        <v>-0.30399999999999999</v>
      </c>
      <c r="K2435" s="2" t="s">
        <v>471</v>
      </c>
      <c r="L2435" s="2">
        <v>2024</v>
      </c>
      <c r="M2435" s="2" t="s">
        <v>205</v>
      </c>
      <c r="N2435" s="2" t="s">
        <v>23</v>
      </c>
      <c r="O2435">
        <f t="shared" ref="O2435:O2498" si="76">C2435-D2435</f>
        <v>3.8900000000000148</v>
      </c>
      <c r="P2435">
        <f t="shared" si="75"/>
        <v>46.174999999999983</v>
      </c>
    </row>
    <row r="2436" spans="1:16" x14ac:dyDescent="0.35">
      <c r="A2436" s="9" t="s">
        <v>479</v>
      </c>
      <c r="B2436" s="2">
        <v>206.86</v>
      </c>
      <c r="C2436" s="2">
        <v>207.84800000000001</v>
      </c>
      <c r="D2436" s="2">
        <v>203.02</v>
      </c>
      <c r="E2436" s="2">
        <v>204.32</v>
      </c>
      <c r="F2436" s="2">
        <v>10226694</v>
      </c>
      <c r="G2436" s="2" t="s">
        <v>566</v>
      </c>
      <c r="H2436" s="2" t="s">
        <v>567</v>
      </c>
      <c r="I2436" s="2" t="s">
        <v>568</v>
      </c>
      <c r="J2436" s="4">
        <v>-1.1040000000000001</v>
      </c>
      <c r="K2436" s="2" t="s">
        <v>471</v>
      </c>
      <c r="L2436" s="2">
        <v>2024</v>
      </c>
      <c r="M2436" s="2" t="s">
        <v>205</v>
      </c>
      <c r="N2436" s="2" t="s">
        <v>23</v>
      </c>
      <c r="O2436">
        <f t="shared" si="76"/>
        <v>4.828000000000003</v>
      </c>
      <c r="P2436">
        <f t="shared" ref="P2436:P2499" si="77">IF(G2436=G2435, P2435+J2436, J2436)</f>
        <v>45.070999999999984</v>
      </c>
    </row>
    <row r="2437" spans="1:16" x14ac:dyDescent="0.35">
      <c r="A2437" s="9" t="s">
        <v>480</v>
      </c>
      <c r="B2437" s="2">
        <v>205.83</v>
      </c>
      <c r="C2437" s="2">
        <v>208.21</v>
      </c>
      <c r="D2437" s="2">
        <v>205.59</v>
      </c>
      <c r="E2437" s="2">
        <v>207.86</v>
      </c>
      <c r="F2437" s="2">
        <v>8634936</v>
      </c>
      <c r="G2437" s="2" t="s">
        <v>566</v>
      </c>
      <c r="H2437" s="2" t="s">
        <v>567</v>
      </c>
      <c r="I2437" s="2" t="s">
        <v>568</v>
      </c>
      <c r="J2437" s="3">
        <v>1.7330000000000001</v>
      </c>
      <c r="K2437" s="2" t="s">
        <v>471</v>
      </c>
      <c r="L2437" s="2">
        <v>2024</v>
      </c>
      <c r="M2437" s="2" t="s">
        <v>205</v>
      </c>
      <c r="N2437" s="2" t="s">
        <v>21</v>
      </c>
      <c r="O2437">
        <f t="shared" si="76"/>
        <v>2.6200000000000045</v>
      </c>
      <c r="P2437">
        <f t="shared" si="77"/>
        <v>46.803999999999981</v>
      </c>
    </row>
    <row r="2438" spans="1:16" x14ac:dyDescent="0.35">
      <c r="A2438" s="9" t="s">
        <v>481</v>
      </c>
      <c r="B2438" s="2">
        <v>207.73</v>
      </c>
      <c r="C2438" s="2">
        <v>209.93</v>
      </c>
      <c r="D2438" s="2">
        <v>207.66</v>
      </c>
      <c r="E2438" s="2">
        <v>209.25</v>
      </c>
      <c r="F2438" s="2">
        <v>7573345</v>
      </c>
      <c r="G2438" s="2" t="s">
        <v>566</v>
      </c>
      <c r="H2438" s="2" t="s">
        <v>567</v>
      </c>
      <c r="I2438" s="2" t="s">
        <v>568</v>
      </c>
      <c r="J2438" s="3">
        <v>0.66900000000000004</v>
      </c>
      <c r="K2438" s="2" t="s">
        <v>471</v>
      </c>
      <c r="L2438" s="2">
        <v>2024</v>
      </c>
      <c r="M2438" s="2" t="s">
        <v>205</v>
      </c>
      <c r="N2438" s="2" t="s">
        <v>21</v>
      </c>
      <c r="O2438">
        <f t="shared" si="76"/>
        <v>2.2700000000000102</v>
      </c>
      <c r="P2438">
        <f t="shared" si="77"/>
        <v>47.472999999999978</v>
      </c>
    </row>
    <row r="2439" spans="1:16" x14ac:dyDescent="0.35">
      <c r="A2439" s="9" t="s">
        <v>482</v>
      </c>
      <c r="B2439" s="2">
        <v>209.01</v>
      </c>
      <c r="C2439" s="2">
        <v>211.33600000000001</v>
      </c>
      <c r="D2439" s="2">
        <v>206.7</v>
      </c>
      <c r="E2439" s="2">
        <v>207.53</v>
      </c>
      <c r="F2439" s="2">
        <v>8259876</v>
      </c>
      <c r="G2439" s="2" t="s">
        <v>566</v>
      </c>
      <c r="H2439" s="2" t="s">
        <v>567</v>
      </c>
      <c r="I2439" s="2" t="s">
        <v>568</v>
      </c>
      <c r="J2439" s="4">
        <v>-0.82199999999999995</v>
      </c>
      <c r="K2439" s="2" t="s">
        <v>471</v>
      </c>
      <c r="L2439" s="2">
        <v>2024</v>
      </c>
      <c r="M2439" s="2" t="s">
        <v>205</v>
      </c>
      <c r="N2439" s="2" t="s">
        <v>23</v>
      </c>
      <c r="O2439">
        <f t="shared" si="76"/>
        <v>4.6360000000000241</v>
      </c>
      <c r="P2439">
        <f t="shared" si="77"/>
        <v>46.650999999999975</v>
      </c>
    </row>
    <row r="2440" spans="1:16" x14ac:dyDescent="0.35">
      <c r="A2440" s="9" t="s">
        <v>483</v>
      </c>
      <c r="B2440" s="2">
        <v>209.78</v>
      </c>
      <c r="C2440" s="2">
        <v>211.91</v>
      </c>
      <c r="D2440" s="2">
        <v>207.34</v>
      </c>
      <c r="E2440" s="2">
        <v>210.48</v>
      </c>
      <c r="F2440" s="2">
        <v>11635168</v>
      </c>
      <c r="G2440" s="2" t="s">
        <v>566</v>
      </c>
      <c r="H2440" s="2" t="s">
        <v>567</v>
      </c>
      <c r="I2440" s="2" t="s">
        <v>568</v>
      </c>
      <c r="J2440" s="3">
        <v>1.421</v>
      </c>
      <c r="K2440" s="2" t="s">
        <v>471</v>
      </c>
      <c r="L2440" s="2">
        <v>2024</v>
      </c>
      <c r="M2440" s="2" t="s">
        <v>205</v>
      </c>
      <c r="N2440" s="2" t="s">
        <v>21</v>
      </c>
      <c r="O2440">
        <f t="shared" si="76"/>
        <v>4.5699999999999932</v>
      </c>
      <c r="P2440">
        <f t="shared" si="77"/>
        <v>48.071999999999974</v>
      </c>
    </row>
    <row r="2441" spans="1:16" x14ac:dyDescent="0.35">
      <c r="A2441" s="9" t="s">
        <v>484</v>
      </c>
      <c r="B2441" s="2">
        <v>209.93</v>
      </c>
      <c r="C2441" s="2">
        <v>211.41499999999999</v>
      </c>
      <c r="D2441" s="2">
        <v>209.5</v>
      </c>
      <c r="E2441" s="2">
        <v>211.09</v>
      </c>
      <c r="F2441" s="2">
        <v>20884974</v>
      </c>
      <c r="G2441" s="2" t="s">
        <v>566</v>
      </c>
      <c r="H2441" s="2" t="s">
        <v>567</v>
      </c>
      <c r="I2441" s="2" t="s">
        <v>568</v>
      </c>
      <c r="J2441" s="3">
        <v>0.28999999999999998</v>
      </c>
      <c r="K2441" s="2" t="s">
        <v>471</v>
      </c>
      <c r="L2441" s="2">
        <v>2024</v>
      </c>
      <c r="M2441" s="2" t="s">
        <v>205</v>
      </c>
      <c r="N2441" s="2" t="s">
        <v>21</v>
      </c>
      <c r="O2441">
        <f t="shared" si="76"/>
        <v>1.914999999999992</v>
      </c>
      <c r="P2441">
        <f t="shared" si="77"/>
        <v>48.361999999999973</v>
      </c>
    </row>
    <row r="2442" spans="1:16" x14ac:dyDescent="0.35">
      <c r="A2442" s="9" t="s">
        <v>485</v>
      </c>
      <c r="B2442" s="2">
        <v>211</v>
      </c>
      <c r="C2442" s="2">
        <v>211.8</v>
      </c>
      <c r="D2442" s="2">
        <v>209.99</v>
      </c>
      <c r="E2442" s="2">
        <v>211.44</v>
      </c>
      <c r="F2442" s="2">
        <v>7223491</v>
      </c>
      <c r="G2442" s="2" t="s">
        <v>566</v>
      </c>
      <c r="H2442" s="2" t="s">
        <v>567</v>
      </c>
      <c r="I2442" s="2" t="s">
        <v>568</v>
      </c>
      <c r="J2442" s="3">
        <v>0.16600000000000001</v>
      </c>
      <c r="K2442" s="2" t="s">
        <v>471</v>
      </c>
      <c r="L2442" s="2">
        <v>2024</v>
      </c>
      <c r="M2442" s="2" t="s">
        <v>205</v>
      </c>
      <c r="N2442" s="2" t="s">
        <v>21</v>
      </c>
      <c r="O2442">
        <f t="shared" si="76"/>
        <v>1.8100000000000023</v>
      </c>
      <c r="P2442">
        <f t="shared" si="77"/>
        <v>48.52799999999997</v>
      </c>
    </row>
    <row r="2443" spans="1:16" x14ac:dyDescent="0.35">
      <c r="A2443" s="9" t="s">
        <v>486</v>
      </c>
      <c r="B2443" s="2">
        <v>211.15</v>
      </c>
      <c r="C2443" s="2">
        <v>212.95</v>
      </c>
      <c r="D2443" s="2">
        <v>210.37</v>
      </c>
      <c r="E2443" s="2">
        <v>211.59</v>
      </c>
      <c r="F2443" s="2">
        <v>7323239</v>
      </c>
      <c r="G2443" s="2" t="s">
        <v>566</v>
      </c>
      <c r="H2443" s="2" t="s">
        <v>567</v>
      </c>
      <c r="I2443" s="2" t="s">
        <v>568</v>
      </c>
      <c r="J2443" s="3">
        <v>7.0999999999999994E-2</v>
      </c>
      <c r="K2443" s="2" t="s">
        <v>471</v>
      </c>
      <c r="L2443" s="2">
        <v>2024</v>
      </c>
      <c r="M2443" s="2" t="s">
        <v>205</v>
      </c>
      <c r="N2443" s="2" t="s">
        <v>21</v>
      </c>
      <c r="O2443">
        <f t="shared" si="76"/>
        <v>2.5799999999999841</v>
      </c>
      <c r="P2443">
        <f t="shared" si="77"/>
        <v>48.598999999999968</v>
      </c>
    </row>
    <row r="2444" spans="1:16" x14ac:dyDescent="0.35">
      <c r="A2444" s="9" t="s">
        <v>487</v>
      </c>
      <c r="B2444" s="2">
        <v>211.68</v>
      </c>
      <c r="C2444" s="2">
        <v>212.24</v>
      </c>
      <c r="D2444" s="2">
        <v>208.61</v>
      </c>
      <c r="E2444" s="2">
        <v>210.19</v>
      </c>
      <c r="F2444" s="2">
        <v>8976520</v>
      </c>
      <c r="G2444" s="2" t="s">
        <v>566</v>
      </c>
      <c r="H2444" s="2" t="s">
        <v>567</v>
      </c>
      <c r="I2444" s="2" t="s">
        <v>568</v>
      </c>
      <c r="J2444" s="4">
        <v>-0.66200000000000003</v>
      </c>
      <c r="K2444" s="2" t="s">
        <v>471</v>
      </c>
      <c r="L2444" s="2">
        <v>2024</v>
      </c>
      <c r="M2444" s="2" t="s">
        <v>205</v>
      </c>
      <c r="N2444" s="2" t="s">
        <v>23</v>
      </c>
      <c r="O2444">
        <f t="shared" si="76"/>
        <v>3.6299999999999955</v>
      </c>
      <c r="P2444">
        <f t="shared" si="77"/>
        <v>47.936999999999969</v>
      </c>
    </row>
    <row r="2445" spans="1:16" x14ac:dyDescent="0.35">
      <c r="A2445" s="9" t="s">
        <v>488</v>
      </c>
      <c r="B2445" s="2">
        <v>211.13</v>
      </c>
      <c r="C2445" s="2">
        <v>211.7</v>
      </c>
      <c r="D2445" s="2">
        <v>209.01</v>
      </c>
      <c r="E2445" s="2">
        <v>209.78</v>
      </c>
      <c r="F2445" s="2">
        <v>7807480</v>
      </c>
      <c r="G2445" s="2" t="s">
        <v>566</v>
      </c>
      <c r="H2445" s="2" t="s">
        <v>567</v>
      </c>
      <c r="I2445" s="2" t="s">
        <v>568</v>
      </c>
      <c r="J2445" s="4">
        <v>-0.19500000000000001</v>
      </c>
      <c r="K2445" s="2" t="s">
        <v>471</v>
      </c>
      <c r="L2445" s="2">
        <v>2024</v>
      </c>
      <c r="M2445" s="2" t="s">
        <v>205</v>
      </c>
      <c r="N2445" s="2" t="s">
        <v>23</v>
      </c>
      <c r="O2445">
        <f t="shared" si="76"/>
        <v>2.6899999999999977</v>
      </c>
      <c r="P2445">
        <f t="shared" si="77"/>
        <v>47.741999999999969</v>
      </c>
    </row>
    <row r="2446" spans="1:16" x14ac:dyDescent="0.35">
      <c r="A2446" s="9" t="s">
        <v>489</v>
      </c>
      <c r="B2446" s="2">
        <v>210.65</v>
      </c>
      <c r="C2446" s="2">
        <v>212.44</v>
      </c>
      <c r="D2446" s="2">
        <v>209.33</v>
      </c>
      <c r="E2446" s="2">
        <v>210.5</v>
      </c>
      <c r="F2446" s="2">
        <v>7032450</v>
      </c>
      <c r="G2446" s="2" t="s">
        <v>566</v>
      </c>
      <c r="H2446" s="2" t="s">
        <v>567</v>
      </c>
      <c r="I2446" s="2" t="s">
        <v>568</v>
      </c>
      <c r="J2446" s="3">
        <v>0.34300000000000003</v>
      </c>
      <c r="K2446" s="2" t="s">
        <v>471</v>
      </c>
      <c r="L2446" s="2">
        <v>2024</v>
      </c>
      <c r="M2446" s="2" t="s">
        <v>205</v>
      </c>
      <c r="N2446" s="2" t="s">
        <v>21</v>
      </c>
      <c r="O2446">
        <f t="shared" si="76"/>
        <v>3.1099999999999852</v>
      </c>
      <c r="P2446">
        <f t="shared" si="77"/>
        <v>48.084999999999972</v>
      </c>
    </row>
    <row r="2447" spans="1:16" x14ac:dyDescent="0.35">
      <c r="A2447" s="9" t="s">
        <v>490</v>
      </c>
      <c r="B2447" s="2">
        <v>206.31</v>
      </c>
      <c r="C2447" s="2">
        <v>210.96</v>
      </c>
      <c r="D2447" s="2">
        <v>205.26</v>
      </c>
      <c r="E2447" s="2">
        <v>210.86</v>
      </c>
      <c r="F2447" s="2">
        <v>8668314</v>
      </c>
      <c r="G2447" s="2" t="s">
        <v>566</v>
      </c>
      <c r="H2447" s="2" t="s">
        <v>567</v>
      </c>
      <c r="I2447" s="2" t="s">
        <v>568</v>
      </c>
      <c r="J2447" s="3">
        <v>0.17100000000000001</v>
      </c>
      <c r="K2447" s="2" t="s">
        <v>471</v>
      </c>
      <c r="L2447" s="2">
        <v>2024</v>
      </c>
      <c r="M2447" s="2" t="s">
        <v>205</v>
      </c>
      <c r="N2447" s="2" t="s">
        <v>21</v>
      </c>
      <c r="O2447">
        <f t="shared" si="76"/>
        <v>5.7000000000000171</v>
      </c>
      <c r="P2447">
        <f t="shared" si="77"/>
        <v>48.255999999999972</v>
      </c>
    </row>
    <row r="2448" spans="1:16" x14ac:dyDescent="0.35">
      <c r="A2448" s="9" t="s">
        <v>491</v>
      </c>
      <c r="B2448" s="2">
        <v>208.9</v>
      </c>
      <c r="C2448" s="2">
        <v>209.09</v>
      </c>
      <c r="D2448" s="2">
        <v>206.19</v>
      </c>
      <c r="E2448" s="2">
        <v>207.04</v>
      </c>
      <c r="F2448" s="2">
        <v>8540064</v>
      </c>
      <c r="G2448" s="2" t="s">
        <v>566</v>
      </c>
      <c r="H2448" s="2" t="s">
        <v>567</v>
      </c>
      <c r="I2448" s="2" t="s">
        <v>568</v>
      </c>
      <c r="J2448" s="4">
        <v>-1.8120000000000001</v>
      </c>
      <c r="K2448" s="2" t="s">
        <v>492</v>
      </c>
      <c r="L2448" s="2">
        <v>2024</v>
      </c>
      <c r="M2448" s="2" t="s">
        <v>227</v>
      </c>
      <c r="N2448" s="2" t="s">
        <v>23</v>
      </c>
      <c r="O2448">
        <f t="shared" si="76"/>
        <v>2.9000000000000057</v>
      </c>
      <c r="P2448">
        <f t="shared" si="77"/>
        <v>46.443999999999974</v>
      </c>
    </row>
    <row r="2449" spans="1:16" x14ac:dyDescent="0.35">
      <c r="A2449" s="9" t="s">
        <v>493</v>
      </c>
      <c r="B2449" s="2">
        <v>207.08</v>
      </c>
      <c r="C2449" s="2">
        <v>208.95</v>
      </c>
      <c r="D2449" s="2">
        <v>205.69</v>
      </c>
      <c r="E2449" s="2">
        <v>207.29</v>
      </c>
      <c r="F2449" s="2">
        <v>5810931</v>
      </c>
      <c r="G2449" s="2" t="s">
        <v>566</v>
      </c>
      <c r="H2449" s="2" t="s">
        <v>567</v>
      </c>
      <c r="I2449" s="2" t="s">
        <v>568</v>
      </c>
      <c r="J2449" s="3">
        <v>0.121</v>
      </c>
      <c r="K2449" s="2" t="s">
        <v>492</v>
      </c>
      <c r="L2449" s="2">
        <v>2024</v>
      </c>
      <c r="M2449" s="2" t="s">
        <v>227</v>
      </c>
      <c r="N2449" s="2" t="s">
        <v>21</v>
      </c>
      <c r="O2449">
        <f t="shared" si="76"/>
        <v>3.2599999999999909</v>
      </c>
      <c r="P2449">
        <f t="shared" si="77"/>
        <v>46.564999999999976</v>
      </c>
    </row>
    <row r="2450" spans="1:16" x14ac:dyDescent="0.35">
      <c r="A2450" s="9" t="s">
        <v>494</v>
      </c>
      <c r="B2450" s="2">
        <v>206.17</v>
      </c>
      <c r="C2450" s="2">
        <v>206.49</v>
      </c>
      <c r="D2450" s="2">
        <v>204.34</v>
      </c>
      <c r="E2450" s="2">
        <v>205.23</v>
      </c>
      <c r="F2450" s="2">
        <v>7251325</v>
      </c>
      <c r="G2450" s="2" t="s">
        <v>566</v>
      </c>
      <c r="H2450" s="2" t="s">
        <v>567</v>
      </c>
      <c r="I2450" s="2" t="s">
        <v>568</v>
      </c>
      <c r="J2450" s="4">
        <v>-0.99399999999999999</v>
      </c>
      <c r="K2450" s="2" t="s">
        <v>492</v>
      </c>
      <c r="L2450" s="2">
        <v>2024</v>
      </c>
      <c r="M2450" s="2" t="s">
        <v>227</v>
      </c>
      <c r="N2450" s="2" t="s">
        <v>23</v>
      </c>
      <c r="O2450">
        <f t="shared" si="76"/>
        <v>2.1500000000000057</v>
      </c>
      <c r="P2450">
        <f t="shared" si="77"/>
        <v>45.570999999999977</v>
      </c>
    </row>
    <row r="2451" spans="1:16" x14ac:dyDescent="0.35">
      <c r="A2451" s="9" t="s">
        <v>495</v>
      </c>
      <c r="B2451" s="2">
        <v>209.3</v>
      </c>
      <c r="C2451" s="2">
        <v>211.67</v>
      </c>
      <c r="D2451" s="2">
        <v>206.91</v>
      </c>
      <c r="E2451" s="2">
        <v>211.22</v>
      </c>
      <c r="F2451" s="2">
        <v>10213415</v>
      </c>
      <c r="G2451" s="2" t="s">
        <v>566</v>
      </c>
      <c r="H2451" s="2" t="s">
        <v>567</v>
      </c>
      <c r="I2451" s="2" t="s">
        <v>568</v>
      </c>
      <c r="J2451" s="3">
        <v>2.919</v>
      </c>
      <c r="K2451" s="2" t="s">
        <v>492</v>
      </c>
      <c r="L2451" s="2">
        <v>2024</v>
      </c>
      <c r="M2451" s="2" t="s">
        <v>227</v>
      </c>
      <c r="N2451" s="2" t="s">
        <v>21</v>
      </c>
      <c r="O2451">
        <f t="shared" si="76"/>
        <v>4.7599999999999909</v>
      </c>
      <c r="P2451">
        <f t="shared" si="77"/>
        <v>48.489999999999974</v>
      </c>
    </row>
    <row r="2452" spans="1:16" x14ac:dyDescent="0.35">
      <c r="A2452" s="9" t="s">
        <v>496</v>
      </c>
      <c r="B2452" s="2">
        <v>211.03</v>
      </c>
      <c r="C2452" s="2">
        <v>213.33</v>
      </c>
      <c r="D2452" s="2">
        <v>209.69</v>
      </c>
      <c r="E2452" s="2">
        <v>210.93</v>
      </c>
      <c r="F2452" s="2">
        <v>6718898</v>
      </c>
      <c r="G2452" s="2" t="s">
        <v>566</v>
      </c>
      <c r="H2452" s="2" t="s">
        <v>567</v>
      </c>
      <c r="I2452" s="2" t="s">
        <v>568</v>
      </c>
      <c r="J2452" s="4">
        <v>-0.13700000000000001</v>
      </c>
      <c r="K2452" s="2" t="s">
        <v>492</v>
      </c>
      <c r="L2452" s="2">
        <v>2024</v>
      </c>
      <c r="M2452" s="2" t="s">
        <v>227</v>
      </c>
      <c r="N2452" s="2" t="s">
        <v>23</v>
      </c>
      <c r="O2452">
        <f t="shared" si="76"/>
        <v>3.6400000000000148</v>
      </c>
      <c r="P2452">
        <f t="shared" si="77"/>
        <v>48.352999999999973</v>
      </c>
    </row>
    <row r="2453" spans="1:16" x14ac:dyDescent="0.35">
      <c r="A2453" s="9" t="s">
        <v>497</v>
      </c>
      <c r="B2453" s="2">
        <v>210.58</v>
      </c>
      <c r="C2453" s="2">
        <v>211.33</v>
      </c>
      <c r="D2453" s="2">
        <v>208.38</v>
      </c>
      <c r="E2453" s="2">
        <v>210.75</v>
      </c>
      <c r="F2453" s="2">
        <v>6021772</v>
      </c>
      <c r="G2453" s="2" t="s">
        <v>566</v>
      </c>
      <c r="H2453" s="2" t="s">
        <v>567</v>
      </c>
      <c r="I2453" s="2" t="s">
        <v>568</v>
      </c>
      <c r="J2453" s="4">
        <v>-8.5000000000000006E-2</v>
      </c>
      <c r="K2453" s="2" t="s">
        <v>492</v>
      </c>
      <c r="L2453" s="2">
        <v>2024</v>
      </c>
      <c r="M2453" s="2" t="s">
        <v>227</v>
      </c>
      <c r="N2453" s="2" t="s">
        <v>23</v>
      </c>
      <c r="O2453">
        <f t="shared" si="76"/>
        <v>2.9500000000000171</v>
      </c>
      <c r="P2453">
        <f t="shared" si="77"/>
        <v>48.267999999999972</v>
      </c>
    </row>
    <row r="2454" spans="1:16" x14ac:dyDescent="0.35">
      <c r="A2454" s="9" t="s">
        <v>498</v>
      </c>
      <c r="B2454" s="2">
        <v>209.7</v>
      </c>
      <c r="C2454" s="2">
        <v>214.24</v>
      </c>
      <c r="D2454" s="2">
        <v>209.38</v>
      </c>
      <c r="E2454" s="2">
        <v>213.42</v>
      </c>
      <c r="F2454" s="2">
        <v>7023998</v>
      </c>
      <c r="G2454" s="2" t="s">
        <v>566</v>
      </c>
      <c r="H2454" s="2" t="s">
        <v>567</v>
      </c>
      <c r="I2454" s="2" t="s">
        <v>568</v>
      </c>
      <c r="J2454" s="3">
        <v>1.2669999999999999</v>
      </c>
      <c r="K2454" s="2" t="s">
        <v>492</v>
      </c>
      <c r="L2454" s="2">
        <v>2024</v>
      </c>
      <c r="M2454" s="2" t="s">
        <v>227</v>
      </c>
      <c r="N2454" s="2" t="s">
        <v>21</v>
      </c>
      <c r="O2454">
        <f t="shared" si="76"/>
        <v>4.8600000000000136</v>
      </c>
      <c r="P2454">
        <f t="shared" si="77"/>
        <v>49.534999999999975</v>
      </c>
    </row>
    <row r="2455" spans="1:16" x14ac:dyDescent="0.35">
      <c r="A2455" s="9" t="s">
        <v>499</v>
      </c>
      <c r="B2455" s="2">
        <v>214.81</v>
      </c>
      <c r="C2455" s="2">
        <v>214.81</v>
      </c>
      <c r="D2455" s="2">
        <v>211.47</v>
      </c>
      <c r="E2455" s="2">
        <v>212.84</v>
      </c>
      <c r="F2455" s="2">
        <v>7927051</v>
      </c>
      <c r="G2455" s="2" t="s">
        <v>566</v>
      </c>
      <c r="H2455" s="2" t="s">
        <v>567</v>
      </c>
      <c r="I2455" s="2" t="s">
        <v>568</v>
      </c>
      <c r="J2455" s="4">
        <v>-0.27200000000000002</v>
      </c>
      <c r="K2455" s="2" t="s">
        <v>492</v>
      </c>
      <c r="L2455" s="2">
        <v>2024</v>
      </c>
      <c r="M2455" s="2" t="s">
        <v>227</v>
      </c>
      <c r="N2455" s="2" t="s">
        <v>23</v>
      </c>
      <c r="O2455">
        <f t="shared" si="76"/>
        <v>3.3400000000000034</v>
      </c>
      <c r="P2455">
        <f t="shared" si="77"/>
        <v>49.262999999999977</v>
      </c>
    </row>
    <row r="2456" spans="1:16" x14ac:dyDescent="0.35">
      <c r="A2456" s="9" t="s">
        <v>500</v>
      </c>
      <c r="B2456" s="2">
        <v>215.67</v>
      </c>
      <c r="C2456" s="2">
        <v>224.63</v>
      </c>
      <c r="D2456" s="2">
        <v>215.16</v>
      </c>
      <c r="E2456" s="2">
        <v>222.29</v>
      </c>
      <c r="F2456" s="2">
        <v>18320650</v>
      </c>
      <c r="G2456" s="2" t="s">
        <v>566</v>
      </c>
      <c r="H2456" s="2" t="s">
        <v>567</v>
      </c>
      <c r="I2456" s="2" t="s">
        <v>568</v>
      </c>
      <c r="J2456" s="3">
        <v>4.4400000000000004</v>
      </c>
      <c r="K2456" s="2" t="s">
        <v>492</v>
      </c>
      <c r="L2456" s="2">
        <v>2024</v>
      </c>
      <c r="M2456" s="2" t="s">
        <v>227</v>
      </c>
      <c r="N2456" s="2" t="s">
        <v>21</v>
      </c>
      <c r="O2456">
        <f t="shared" si="76"/>
        <v>9.4699999999999989</v>
      </c>
      <c r="P2456">
        <f t="shared" si="77"/>
        <v>53.702999999999975</v>
      </c>
    </row>
    <row r="2457" spans="1:16" x14ac:dyDescent="0.35">
      <c r="A2457" s="9" t="s">
        <v>501</v>
      </c>
      <c r="B2457" s="2">
        <v>223.2</v>
      </c>
      <c r="C2457" s="2">
        <v>223.7</v>
      </c>
      <c r="D2457" s="2">
        <v>218.88</v>
      </c>
      <c r="E2457" s="2">
        <v>221.48</v>
      </c>
      <c r="F2457" s="2">
        <v>9048925</v>
      </c>
      <c r="G2457" s="2" t="s">
        <v>566</v>
      </c>
      <c r="H2457" s="2" t="s">
        <v>567</v>
      </c>
      <c r="I2457" s="2" t="s">
        <v>568</v>
      </c>
      <c r="J2457" s="4">
        <v>-0.36399999999999999</v>
      </c>
      <c r="K2457" s="2" t="s">
        <v>492</v>
      </c>
      <c r="L2457" s="2">
        <v>2024</v>
      </c>
      <c r="M2457" s="2" t="s">
        <v>227</v>
      </c>
      <c r="N2457" s="2" t="s">
        <v>23</v>
      </c>
      <c r="O2457">
        <f t="shared" si="76"/>
        <v>4.8199999999999932</v>
      </c>
      <c r="P2457">
        <f t="shared" si="77"/>
        <v>53.338999999999977</v>
      </c>
    </row>
    <row r="2458" spans="1:16" x14ac:dyDescent="0.35">
      <c r="A2458" s="9" t="s">
        <v>502</v>
      </c>
      <c r="B2458" s="2">
        <v>223.66</v>
      </c>
      <c r="C2458" s="2">
        <v>225.45</v>
      </c>
      <c r="D2458" s="2">
        <v>221.82</v>
      </c>
      <c r="E2458" s="2">
        <v>222.39</v>
      </c>
      <c r="F2458" s="2">
        <v>9235825</v>
      </c>
      <c r="G2458" s="2" t="s">
        <v>566</v>
      </c>
      <c r="H2458" s="2" t="s">
        <v>567</v>
      </c>
      <c r="I2458" s="2" t="s">
        <v>568</v>
      </c>
      <c r="J2458" s="3">
        <v>0.41099999999999998</v>
      </c>
      <c r="K2458" s="2" t="s">
        <v>492</v>
      </c>
      <c r="L2458" s="2">
        <v>2024</v>
      </c>
      <c r="M2458" s="2" t="s">
        <v>227</v>
      </c>
      <c r="N2458" s="2" t="s">
        <v>21</v>
      </c>
      <c r="O2458">
        <f t="shared" si="76"/>
        <v>3.6299999999999955</v>
      </c>
      <c r="P2458">
        <f t="shared" si="77"/>
        <v>53.749999999999979</v>
      </c>
    </row>
    <row r="2459" spans="1:16" x14ac:dyDescent="0.35">
      <c r="A2459" s="9" t="s">
        <v>503</v>
      </c>
      <c r="B2459" s="2">
        <v>222.33</v>
      </c>
      <c r="C2459" s="2">
        <v>223.68</v>
      </c>
      <c r="D2459" s="2">
        <v>221.04</v>
      </c>
      <c r="E2459" s="2">
        <v>223.64</v>
      </c>
      <c r="F2459" s="2">
        <v>6382515</v>
      </c>
      <c r="G2459" s="2" t="s">
        <v>566</v>
      </c>
      <c r="H2459" s="2" t="s">
        <v>567</v>
      </c>
      <c r="I2459" s="2" t="s">
        <v>568</v>
      </c>
      <c r="J2459" s="3">
        <v>0.56200000000000006</v>
      </c>
      <c r="K2459" s="2" t="s">
        <v>492</v>
      </c>
      <c r="L2459" s="2">
        <v>2024</v>
      </c>
      <c r="M2459" s="2" t="s">
        <v>227</v>
      </c>
      <c r="N2459" s="2" t="s">
        <v>21</v>
      </c>
      <c r="O2459">
        <f t="shared" si="76"/>
        <v>2.6400000000000148</v>
      </c>
      <c r="P2459">
        <f t="shared" si="77"/>
        <v>54.311999999999976</v>
      </c>
    </row>
    <row r="2460" spans="1:16" x14ac:dyDescent="0.35">
      <c r="A2460" s="9" t="s">
        <v>504</v>
      </c>
      <c r="B2460" s="2">
        <v>224.27</v>
      </c>
      <c r="C2460" s="2">
        <v>225.85</v>
      </c>
      <c r="D2460" s="2">
        <v>223.31</v>
      </c>
      <c r="E2460" s="2">
        <v>224.42</v>
      </c>
      <c r="F2460" s="2">
        <v>6470186</v>
      </c>
      <c r="G2460" s="2" t="s">
        <v>566</v>
      </c>
      <c r="H2460" s="2" t="s">
        <v>567</v>
      </c>
      <c r="I2460" s="2" t="s">
        <v>568</v>
      </c>
      <c r="J2460" s="3">
        <v>0.34899999999999998</v>
      </c>
      <c r="K2460" s="2" t="s">
        <v>492</v>
      </c>
      <c r="L2460" s="2">
        <v>2024</v>
      </c>
      <c r="M2460" s="2" t="s">
        <v>227</v>
      </c>
      <c r="N2460" s="2" t="s">
        <v>21</v>
      </c>
      <c r="O2460">
        <f t="shared" si="76"/>
        <v>2.539999999999992</v>
      </c>
      <c r="P2460">
        <f t="shared" si="77"/>
        <v>54.660999999999973</v>
      </c>
    </row>
    <row r="2461" spans="1:16" x14ac:dyDescent="0.35">
      <c r="A2461" s="9" t="s">
        <v>505</v>
      </c>
      <c r="B2461" s="2">
        <v>225</v>
      </c>
      <c r="C2461" s="2">
        <v>225.92</v>
      </c>
      <c r="D2461" s="2">
        <v>223.1</v>
      </c>
      <c r="E2461" s="2">
        <v>225.37</v>
      </c>
      <c r="F2461" s="2">
        <v>7000543</v>
      </c>
      <c r="G2461" s="2" t="s">
        <v>566</v>
      </c>
      <c r="H2461" s="2" t="s">
        <v>567</v>
      </c>
      <c r="I2461" s="2" t="s">
        <v>568</v>
      </c>
      <c r="J2461" s="3">
        <v>0.42299999999999999</v>
      </c>
      <c r="K2461" s="2" t="s">
        <v>492</v>
      </c>
      <c r="L2461" s="2">
        <v>2024</v>
      </c>
      <c r="M2461" s="2" t="s">
        <v>227</v>
      </c>
      <c r="N2461" s="2" t="s">
        <v>21</v>
      </c>
      <c r="O2461">
        <f t="shared" si="76"/>
        <v>2.8199999999999932</v>
      </c>
      <c r="P2461">
        <f t="shared" si="77"/>
        <v>55.083999999999975</v>
      </c>
    </row>
    <row r="2462" spans="1:16" x14ac:dyDescent="0.35">
      <c r="A2462" s="9" t="s">
        <v>506</v>
      </c>
      <c r="B2462" s="2">
        <v>225.22</v>
      </c>
      <c r="C2462" s="2">
        <v>225.7</v>
      </c>
      <c r="D2462" s="2">
        <v>222.9</v>
      </c>
      <c r="E2462" s="2">
        <v>223</v>
      </c>
      <c r="F2462" s="2">
        <v>5869959</v>
      </c>
      <c r="G2462" s="2" t="s">
        <v>566</v>
      </c>
      <c r="H2462" s="2" t="s">
        <v>567</v>
      </c>
      <c r="I2462" s="2" t="s">
        <v>568</v>
      </c>
      <c r="J2462" s="4">
        <v>-1.052</v>
      </c>
      <c r="K2462" s="2" t="s">
        <v>492</v>
      </c>
      <c r="L2462" s="2">
        <v>2024</v>
      </c>
      <c r="M2462" s="2" t="s">
        <v>227</v>
      </c>
      <c r="N2462" s="2" t="s">
        <v>23</v>
      </c>
      <c r="O2462">
        <f t="shared" si="76"/>
        <v>2.7999999999999829</v>
      </c>
      <c r="P2462">
        <f t="shared" si="77"/>
        <v>54.031999999999975</v>
      </c>
    </row>
    <row r="2463" spans="1:16" x14ac:dyDescent="0.35">
      <c r="A2463" s="9" t="s">
        <v>507</v>
      </c>
      <c r="B2463" s="2">
        <v>223.02</v>
      </c>
      <c r="C2463" s="2">
        <v>225.28</v>
      </c>
      <c r="D2463" s="2">
        <v>221.1</v>
      </c>
      <c r="E2463" s="2">
        <v>224.12</v>
      </c>
      <c r="F2463" s="2">
        <v>9586793</v>
      </c>
      <c r="G2463" s="2" t="s">
        <v>566</v>
      </c>
      <c r="H2463" s="2" t="s">
        <v>567</v>
      </c>
      <c r="I2463" s="2" t="s">
        <v>568</v>
      </c>
      <c r="J2463" s="3">
        <v>0.502</v>
      </c>
      <c r="K2463" s="2" t="s">
        <v>492</v>
      </c>
      <c r="L2463" s="2">
        <v>2024</v>
      </c>
      <c r="M2463" s="2" t="s">
        <v>227</v>
      </c>
      <c r="N2463" s="2" t="s">
        <v>21</v>
      </c>
      <c r="O2463">
        <f t="shared" si="76"/>
        <v>4.1800000000000068</v>
      </c>
      <c r="P2463">
        <f t="shared" si="77"/>
        <v>54.533999999999978</v>
      </c>
    </row>
    <row r="2464" spans="1:16" x14ac:dyDescent="0.35">
      <c r="A2464" s="9" t="s">
        <v>508</v>
      </c>
      <c r="B2464" s="2">
        <v>223.66</v>
      </c>
      <c r="C2464" s="2">
        <v>224.8</v>
      </c>
      <c r="D2464" s="2">
        <v>222.53</v>
      </c>
      <c r="E2464" s="2">
        <v>223.41</v>
      </c>
      <c r="F2464" s="2">
        <v>6180528</v>
      </c>
      <c r="G2464" s="2" t="s">
        <v>566</v>
      </c>
      <c r="H2464" s="2" t="s">
        <v>567</v>
      </c>
      <c r="I2464" s="2" t="s">
        <v>568</v>
      </c>
      <c r="J2464" s="4">
        <v>-0.317</v>
      </c>
      <c r="K2464" s="2" t="s">
        <v>492</v>
      </c>
      <c r="L2464" s="2">
        <v>2024</v>
      </c>
      <c r="M2464" s="2" t="s">
        <v>227</v>
      </c>
      <c r="N2464" s="2" t="s">
        <v>23</v>
      </c>
      <c r="O2464">
        <f t="shared" si="76"/>
        <v>2.2700000000000102</v>
      </c>
      <c r="P2464">
        <f t="shared" si="77"/>
        <v>54.216999999999977</v>
      </c>
    </row>
    <row r="2465" spans="1:16" x14ac:dyDescent="0.35">
      <c r="A2465" s="9" t="s">
        <v>509</v>
      </c>
      <c r="B2465" s="2">
        <v>221.83</v>
      </c>
      <c r="C2465" s="2">
        <v>225.06</v>
      </c>
      <c r="D2465" s="2">
        <v>221.66</v>
      </c>
      <c r="E2465" s="2">
        <v>224.98</v>
      </c>
      <c r="F2465" s="2">
        <v>6002202</v>
      </c>
      <c r="G2465" s="2" t="s">
        <v>566</v>
      </c>
      <c r="H2465" s="2" t="s">
        <v>567</v>
      </c>
      <c r="I2465" s="2" t="s">
        <v>568</v>
      </c>
      <c r="J2465" s="3">
        <v>0.70299999999999996</v>
      </c>
      <c r="K2465" s="2" t="s">
        <v>492</v>
      </c>
      <c r="L2465" s="2">
        <v>2024</v>
      </c>
      <c r="M2465" s="2" t="s">
        <v>227</v>
      </c>
      <c r="N2465" s="2" t="s">
        <v>21</v>
      </c>
      <c r="O2465">
        <f t="shared" si="76"/>
        <v>3.4000000000000057</v>
      </c>
      <c r="P2465">
        <f t="shared" si="77"/>
        <v>54.91999999999998</v>
      </c>
    </row>
    <row r="2466" spans="1:16" x14ac:dyDescent="0.35">
      <c r="A2466" s="9" t="s">
        <v>510</v>
      </c>
      <c r="B2466" s="2">
        <v>225</v>
      </c>
      <c r="C2466" s="2">
        <v>225.62</v>
      </c>
      <c r="D2466" s="2">
        <v>220.875</v>
      </c>
      <c r="E2466" s="2">
        <v>222.31</v>
      </c>
      <c r="F2466" s="2">
        <v>6369720</v>
      </c>
      <c r="G2466" s="2" t="s">
        <v>566</v>
      </c>
      <c r="H2466" s="2" t="s">
        <v>567</v>
      </c>
      <c r="I2466" s="2" t="s">
        <v>568</v>
      </c>
      <c r="J2466" s="4">
        <v>-1.1870000000000001</v>
      </c>
      <c r="K2466" s="2" t="s">
        <v>492</v>
      </c>
      <c r="L2466" s="2">
        <v>2024</v>
      </c>
      <c r="M2466" s="2" t="s">
        <v>227</v>
      </c>
      <c r="N2466" s="2" t="s">
        <v>23</v>
      </c>
      <c r="O2466">
        <f t="shared" si="76"/>
        <v>4.7450000000000045</v>
      </c>
      <c r="P2466">
        <f t="shared" si="77"/>
        <v>53.732999999999983</v>
      </c>
    </row>
    <row r="2467" spans="1:16" x14ac:dyDescent="0.35">
      <c r="A2467" s="9" t="s">
        <v>511</v>
      </c>
      <c r="B2467" s="2">
        <v>223.35</v>
      </c>
      <c r="C2467" s="2">
        <v>225.64</v>
      </c>
      <c r="D2467" s="2">
        <v>222.95</v>
      </c>
      <c r="E2467" s="2">
        <v>225.5</v>
      </c>
      <c r="F2467" s="2">
        <v>6842956</v>
      </c>
      <c r="G2467" s="2" t="s">
        <v>566</v>
      </c>
      <c r="H2467" s="2" t="s">
        <v>567</v>
      </c>
      <c r="I2467" s="2" t="s">
        <v>568</v>
      </c>
      <c r="J2467" s="3">
        <v>1.4350000000000001</v>
      </c>
      <c r="K2467" s="2" t="s">
        <v>492</v>
      </c>
      <c r="L2467" s="2">
        <v>2024</v>
      </c>
      <c r="M2467" s="2" t="s">
        <v>227</v>
      </c>
      <c r="N2467" s="2" t="s">
        <v>21</v>
      </c>
      <c r="O2467">
        <f t="shared" si="76"/>
        <v>2.6899999999999977</v>
      </c>
      <c r="P2467">
        <f t="shared" si="77"/>
        <v>55.167999999999985</v>
      </c>
    </row>
    <row r="2468" spans="1:16" x14ac:dyDescent="0.35">
      <c r="A2468" s="9" t="s">
        <v>512</v>
      </c>
      <c r="B2468" s="2">
        <v>225.21</v>
      </c>
      <c r="C2468" s="2">
        <v>226.75</v>
      </c>
      <c r="D2468" s="2">
        <v>222.81</v>
      </c>
      <c r="E2468" s="2">
        <v>222.9</v>
      </c>
      <c r="F2468" s="2">
        <v>6580004</v>
      </c>
      <c r="G2468" s="2" t="s">
        <v>566</v>
      </c>
      <c r="H2468" s="2" t="s">
        <v>567</v>
      </c>
      <c r="I2468" s="2" t="s">
        <v>568</v>
      </c>
      <c r="J2468" s="4">
        <v>-1.153</v>
      </c>
      <c r="K2468" s="2" t="s">
        <v>492</v>
      </c>
      <c r="L2468" s="2">
        <v>2024</v>
      </c>
      <c r="M2468" s="2" t="s">
        <v>227</v>
      </c>
      <c r="N2468" s="2" t="s">
        <v>23</v>
      </c>
      <c r="O2468">
        <f t="shared" si="76"/>
        <v>3.9399999999999977</v>
      </c>
      <c r="P2468">
        <f t="shared" si="77"/>
        <v>54.014999999999986</v>
      </c>
    </row>
    <row r="2469" spans="1:16" x14ac:dyDescent="0.35">
      <c r="A2469" s="9" t="s">
        <v>513</v>
      </c>
      <c r="B2469" s="2">
        <v>222.54</v>
      </c>
      <c r="C2469" s="2">
        <v>226.31</v>
      </c>
      <c r="D2469" s="2">
        <v>221.58</v>
      </c>
      <c r="E2469" s="2">
        <v>224.41</v>
      </c>
      <c r="F2469" s="2">
        <v>7110941</v>
      </c>
      <c r="G2469" s="2" t="s">
        <v>566</v>
      </c>
      <c r="H2469" s="2" t="s">
        <v>567</v>
      </c>
      <c r="I2469" s="2" t="s">
        <v>568</v>
      </c>
      <c r="J2469" s="3">
        <v>0.67700000000000005</v>
      </c>
      <c r="K2469" s="2" t="s">
        <v>492</v>
      </c>
      <c r="L2469" s="2">
        <v>2024</v>
      </c>
      <c r="M2469" s="2" t="s">
        <v>227</v>
      </c>
      <c r="N2469" s="2" t="s">
        <v>21</v>
      </c>
      <c r="O2469">
        <f t="shared" si="76"/>
        <v>4.7299999999999898</v>
      </c>
      <c r="P2469">
        <f t="shared" si="77"/>
        <v>54.691999999999986</v>
      </c>
    </row>
    <row r="2470" spans="1:16" x14ac:dyDescent="0.35">
      <c r="A2470" s="9" t="s">
        <v>514</v>
      </c>
      <c r="B2470" s="2">
        <v>224.7</v>
      </c>
      <c r="C2470" s="2">
        <v>225.69</v>
      </c>
      <c r="D2470" s="2">
        <v>221.82</v>
      </c>
      <c r="E2470" s="2">
        <v>221.92</v>
      </c>
      <c r="F2470" s="2">
        <v>7829932</v>
      </c>
      <c r="G2470" s="2" t="s">
        <v>566</v>
      </c>
      <c r="H2470" s="2" t="s">
        <v>567</v>
      </c>
      <c r="I2470" s="2" t="s">
        <v>568</v>
      </c>
      <c r="J2470" s="4">
        <v>-1.1100000000000001</v>
      </c>
      <c r="K2470" s="2" t="s">
        <v>492</v>
      </c>
      <c r="L2470" s="2">
        <v>2024</v>
      </c>
      <c r="M2470" s="2" t="s">
        <v>227</v>
      </c>
      <c r="N2470" s="2" t="s">
        <v>23</v>
      </c>
      <c r="O2470">
        <f t="shared" si="76"/>
        <v>3.8700000000000045</v>
      </c>
      <c r="P2470">
        <f t="shared" si="77"/>
        <v>53.581999999999987</v>
      </c>
    </row>
    <row r="2471" spans="1:16" x14ac:dyDescent="0.35">
      <c r="A2471" s="9" t="s">
        <v>515</v>
      </c>
      <c r="B2471" s="2">
        <v>223.56</v>
      </c>
      <c r="C2471" s="2">
        <v>226.15</v>
      </c>
      <c r="D2471" s="2">
        <v>222.7</v>
      </c>
      <c r="E2471" s="2">
        <v>222.94</v>
      </c>
      <c r="F2471" s="2">
        <v>6923452</v>
      </c>
      <c r="G2471" s="2" t="s">
        <v>566</v>
      </c>
      <c r="H2471" s="2" t="s">
        <v>567</v>
      </c>
      <c r="I2471" s="2" t="s">
        <v>568</v>
      </c>
      <c r="J2471" s="3">
        <v>0.46</v>
      </c>
      <c r="K2471" s="2" t="s">
        <v>516</v>
      </c>
      <c r="L2471" s="2">
        <v>2024</v>
      </c>
      <c r="M2471" s="2" t="s">
        <v>251</v>
      </c>
      <c r="N2471" s="2" t="s">
        <v>21</v>
      </c>
      <c r="O2471">
        <f t="shared" si="76"/>
        <v>3.4500000000000171</v>
      </c>
      <c r="P2471">
        <f t="shared" si="77"/>
        <v>54.041999999999987</v>
      </c>
    </row>
    <row r="2472" spans="1:16" x14ac:dyDescent="0.35">
      <c r="A2472" s="9" t="s">
        <v>517</v>
      </c>
      <c r="B2472" s="2">
        <v>222.65</v>
      </c>
      <c r="C2472" s="2">
        <v>223.76</v>
      </c>
      <c r="D2472" s="2">
        <v>219.17</v>
      </c>
      <c r="E2472" s="2">
        <v>219.78</v>
      </c>
      <c r="F2472" s="2">
        <v>8229588</v>
      </c>
      <c r="G2472" s="2" t="s">
        <v>566</v>
      </c>
      <c r="H2472" s="2" t="s">
        <v>567</v>
      </c>
      <c r="I2472" s="2" t="s">
        <v>568</v>
      </c>
      <c r="J2472" s="4">
        <v>-1.417</v>
      </c>
      <c r="K2472" s="2" t="s">
        <v>516</v>
      </c>
      <c r="L2472" s="2">
        <v>2024</v>
      </c>
      <c r="M2472" s="2" t="s">
        <v>251</v>
      </c>
      <c r="N2472" s="2" t="s">
        <v>23</v>
      </c>
      <c r="O2472">
        <f t="shared" si="76"/>
        <v>4.5900000000000034</v>
      </c>
      <c r="P2472">
        <f t="shared" si="77"/>
        <v>52.624999999999986</v>
      </c>
    </row>
    <row r="2473" spans="1:16" x14ac:dyDescent="0.35">
      <c r="A2473" s="9" t="s">
        <v>518</v>
      </c>
      <c r="B2473" s="2">
        <v>220.03</v>
      </c>
      <c r="C2473" s="2">
        <v>221.96</v>
      </c>
      <c r="D2473" s="2">
        <v>220</v>
      </c>
      <c r="E2473" s="2">
        <v>221.49</v>
      </c>
      <c r="F2473" s="2">
        <v>5600686</v>
      </c>
      <c r="G2473" s="2" t="s">
        <v>566</v>
      </c>
      <c r="H2473" s="2" t="s">
        <v>567</v>
      </c>
      <c r="I2473" s="2" t="s">
        <v>568</v>
      </c>
      <c r="J2473" s="3">
        <v>0.77800000000000002</v>
      </c>
      <c r="K2473" s="2" t="s">
        <v>516</v>
      </c>
      <c r="L2473" s="2">
        <v>2024</v>
      </c>
      <c r="M2473" s="2" t="s">
        <v>251</v>
      </c>
      <c r="N2473" s="2" t="s">
        <v>21</v>
      </c>
      <c r="O2473">
        <f t="shared" si="76"/>
        <v>1.960000000000008</v>
      </c>
      <c r="P2473">
        <f t="shared" si="77"/>
        <v>53.402999999999984</v>
      </c>
    </row>
    <row r="2474" spans="1:16" x14ac:dyDescent="0.35">
      <c r="A2474" s="9" t="s">
        <v>519</v>
      </c>
      <c r="B2474" s="2">
        <v>235</v>
      </c>
      <c r="C2474" s="2">
        <v>248</v>
      </c>
      <c r="D2474" s="2">
        <v>234.77</v>
      </c>
      <c r="E2474" s="2">
        <v>247.06</v>
      </c>
      <c r="F2474" s="2">
        <v>23987753</v>
      </c>
      <c r="G2474" s="2" t="s">
        <v>566</v>
      </c>
      <c r="H2474" s="2" t="s">
        <v>567</v>
      </c>
      <c r="I2474" s="2" t="s">
        <v>568</v>
      </c>
      <c r="J2474" s="3">
        <v>11.545</v>
      </c>
      <c r="K2474" s="2" t="s">
        <v>516</v>
      </c>
      <c r="L2474" s="2">
        <v>2024</v>
      </c>
      <c r="M2474" s="2" t="s">
        <v>251</v>
      </c>
      <c r="N2474" s="2" t="s">
        <v>21</v>
      </c>
      <c r="O2474">
        <f t="shared" si="76"/>
        <v>13.22999999999999</v>
      </c>
      <c r="P2474">
        <f t="shared" si="77"/>
        <v>64.947999999999979</v>
      </c>
    </row>
    <row r="2475" spans="1:16" x14ac:dyDescent="0.35">
      <c r="A2475" s="9" t="s">
        <v>520</v>
      </c>
      <c r="B2475" s="2">
        <v>244.5</v>
      </c>
      <c r="C2475" s="2">
        <v>244.57</v>
      </c>
      <c r="D2475" s="2">
        <v>235.22</v>
      </c>
      <c r="E2475" s="2">
        <v>236.38</v>
      </c>
      <c r="F2475" s="2">
        <v>16451071</v>
      </c>
      <c r="G2475" s="2" t="s">
        <v>566</v>
      </c>
      <c r="H2475" s="2" t="s">
        <v>567</v>
      </c>
      <c r="I2475" s="2" t="s">
        <v>568</v>
      </c>
      <c r="J2475" s="4">
        <v>-4.3230000000000004</v>
      </c>
      <c r="K2475" s="2" t="s">
        <v>516</v>
      </c>
      <c r="L2475" s="2">
        <v>2024</v>
      </c>
      <c r="M2475" s="2" t="s">
        <v>251</v>
      </c>
      <c r="N2475" s="2" t="s">
        <v>23</v>
      </c>
      <c r="O2475">
        <f t="shared" si="76"/>
        <v>9.3499999999999943</v>
      </c>
      <c r="P2475">
        <f t="shared" si="77"/>
        <v>60.624999999999979</v>
      </c>
    </row>
    <row r="2476" spans="1:16" x14ac:dyDescent="0.35">
      <c r="A2476" s="9" t="s">
        <v>521</v>
      </c>
      <c r="B2476" s="2">
        <v>239.34</v>
      </c>
      <c r="C2476" s="2">
        <v>239.34</v>
      </c>
      <c r="D2476" s="2">
        <v>235.78</v>
      </c>
      <c r="E2476" s="2">
        <v>236.98</v>
      </c>
      <c r="F2476" s="2">
        <v>9502100</v>
      </c>
      <c r="G2476" s="2" t="s">
        <v>566</v>
      </c>
      <c r="H2476" s="2" t="s">
        <v>567</v>
      </c>
      <c r="I2476" s="2" t="s">
        <v>568</v>
      </c>
      <c r="J2476" s="3">
        <v>0.254</v>
      </c>
      <c r="K2476" s="2" t="s">
        <v>516</v>
      </c>
      <c r="L2476" s="2">
        <v>2024</v>
      </c>
      <c r="M2476" s="2" t="s">
        <v>251</v>
      </c>
      <c r="N2476" s="2" t="s">
        <v>21</v>
      </c>
      <c r="O2476">
        <f t="shared" si="76"/>
        <v>3.5600000000000023</v>
      </c>
      <c r="P2476">
        <f t="shared" si="77"/>
        <v>60.878999999999976</v>
      </c>
    </row>
    <row r="2477" spans="1:16" x14ac:dyDescent="0.35">
      <c r="A2477" s="9" t="s">
        <v>522</v>
      </c>
      <c r="B2477" s="2">
        <v>240.32</v>
      </c>
      <c r="C2477" s="2">
        <v>242.1</v>
      </c>
      <c r="D2477" s="2">
        <v>239</v>
      </c>
      <c r="E2477" s="2">
        <v>239.29</v>
      </c>
      <c r="F2477" s="2">
        <v>9017079</v>
      </c>
      <c r="G2477" s="2" t="s">
        <v>566</v>
      </c>
      <c r="H2477" s="2" t="s">
        <v>567</v>
      </c>
      <c r="I2477" s="2" t="s">
        <v>568</v>
      </c>
      <c r="J2477" s="3">
        <v>0.97499999999999998</v>
      </c>
      <c r="K2477" s="2" t="s">
        <v>516</v>
      </c>
      <c r="L2477" s="2">
        <v>2024</v>
      </c>
      <c r="M2477" s="2" t="s">
        <v>251</v>
      </c>
      <c r="N2477" s="2" t="s">
        <v>21</v>
      </c>
      <c r="O2477">
        <f t="shared" si="76"/>
        <v>3.0999999999999943</v>
      </c>
      <c r="P2477">
        <f t="shared" si="77"/>
        <v>61.853999999999978</v>
      </c>
    </row>
    <row r="2478" spans="1:16" x14ac:dyDescent="0.35">
      <c r="A2478" s="9" t="s">
        <v>523</v>
      </c>
      <c r="B2478" s="2">
        <v>240.47</v>
      </c>
      <c r="C2478" s="2">
        <v>241.46</v>
      </c>
      <c r="D2478" s="2">
        <v>238.76</v>
      </c>
      <c r="E2478" s="2">
        <v>239.56</v>
      </c>
      <c r="F2478" s="2">
        <v>6860956</v>
      </c>
      <c r="G2478" s="2" t="s">
        <v>566</v>
      </c>
      <c r="H2478" s="2" t="s">
        <v>567</v>
      </c>
      <c r="I2478" s="2" t="s">
        <v>568</v>
      </c>
      <c r="J2478" s="3">
        <v>0.113</v>
      </c>
      <c r="K2478" s="2" t="s">
        <v>516</v>
      </c>
      <c r="L2478" s="2">
        <v>2024</v>
      </c>
      <c r="M2478" s="2" t="s">
        <v>251</v>
      </c>
      <c r="N2478" s="2" t="s">
        <v>21</v>
      </c>
      <c r="O2478">
        <f t="shared" si="76"/>
        <v>2.7000000000000171</v>
      </c>
      <c r="P2478">
        <f t="shared" si="77"/>
        <v>61.966999999999977</v>
      </c>
    </row>
    <row r="2479" spans="1:16" x14ac:dyDescent="0.35">
      <c r="A2479" s="9" t="s">
        <v>524</v>
      </c>
      <c r="B2479" s="2">
        <v>240.64</v>
      </c>
      <c r="C2479" s="2">
        <v>244.09</v>
      </c>
      <c r="D2479" s="2">
        <v>240.31</v>
      </c>
      <c r="E2479" s="2">
        <v>241.16</v>
      </c>
      <c r="F2479" s="2">
        <v>11472557</v>
      </c>
      <c r="G2479" s="2" t="s">
        <v>566</v>
      </c>
      <c r="H2479" s="2" t="s">
        <v>567</v>
      </c>
      <c r="I2479" s="2" t="s">
        <v>568</v>
      </c>
      <c r="J2479" s="3">
        <v>0.66800000000000004</v>
      </c>
      <c r="K2479" s="2" t="s">
        <v>516</v>
      </c>
      <c r="L2479" s="2">
        <v>2024</v>
      </c>
      <c r="M2479" s="2" t="s">
        <v>251</v>
      </c>
      <c r="N2479" s="2" t="s">
        <v>21</v>
      </c>
      <c r="O2479">
        <f t="shared" si="76"/>
        <v>3.7800000000000011</v>
      </c>
      <c r="P2479">
        <f t="shared" si="77"/>
        <v>62.634999999999977</v>
      </c>
    </row>
    <row r="2480" spans="1:16" x14ac:dyDescent="0.35">
      <c r="A2480" s="9" t="s">
        <v>525</v>
      </c>
      <c r="B2480" s="2">
        <v>242.41499999999999</v>
      </c>
      <c r="C2480" s="2">
        <v>244.29</v>
      </c>
      <c r="D2480" s="2">
        <v>241.05</v>
      </c>
      <c r="E2480" s="2">
        <v>241.87</v>
      </c>
      <c r="F2480" s="2">
        <v>10172202</v>
      </c>
      <c r="G2480" s="2" t="s">
        <v>566</v>
      </c>
      <c r="H2480" s="2" t="s">
        <v>567</v>
      </c>
      <c r="I2480" s="2" t="s">
        <v>568</v>
      </c>
      <c r="J2480" s="3">
        <v>0.29399999999999998</v>
      </c>
      <c r="K2480" s="2" t="s">
        <v>516</v>
      </c>
      <c r="L2480" s="2">
        <v>2024</v>
      </c>
      <c r="M2480" s="2" t="s">
        <v>251</v>
      </c>
      <c r="N2480" s="2" t="s">
        <v>21</v>
      </c>
      <c r="O2480">
        <f t="shared" si="76"/>
        <v>3.2399999999999807</v>
      </c>
      <c r="P2480">
        <f t="shared" si="77"/>
        <v>62.928999999999974</v>
      </c>
    </row>
    <row r="2481" spans="1:16" x14ac:dyDescent="0.35">
      <c r="A2481" s="9" t="s">
        <v>526</v>
      </c>
      <c r="B2481" s="2">
        <v>242.63</v>
      </c>
      <c r="C2481" s="2">
        <v>246.42</v>
      </c>
      <c r="D2481" s="2">
        <v>241.46</v>
      </c>
      <c r="E2481" s="2">
        <v>245.31</v>
      </c>
      <c r="F2481" s="2">
        <v>11518836</v>
      </c>
      <c r="G2481" s="2" t="s">
        <v>566</v>
      </c>
      <c r="H2481" s="2" t="s">
        <v>567</v>
      </c>
      <c r="I2481" s="2" t="s">
        <v>568</v>
      </c>
      <c r="J2481" s="3">
        <v>1.4219999999999999</v>
      </c>
      <c r="K2481" s="2" t="s">
        <v>516</v>
      </c>
      <c r="L2481" s="2">
        <v>2024</v>
      </c>
      <c r="M2481" s="2" t="s">
        <v>251</v>
      </c>
      <c r="N2481" s="2" t="s">
        <v>21</v>
      </c>
      <c r="O2481">
        <f t="shared" si="76"/>
        <v>4.9599999999999795</v>
      </c>
      <c r="P2481">
        <f t="shared" si="77"/>
        <v>64.350999999999971</v>
      </c>
    </row>
    <row r="2482" spans="1:16" x14ac:dyDescent="0.35">
      <c r="A2482" s="9" t="s">
        <v>527</v>
      </c>
      <c r="B2482" s="2">
        <v>247.84</v>
      </c>
      <c r="C2482" s="2">
        <v>247.93</v>
      </c>
      <c r="D2482" s="2">
        <v>242.68</v>
      </c>
      <c r="E2482" s="2">
        <v>245.03</v>
      </c>
      <c r="F2482" s="2">
        <v>9052575</v>
      </c>
      <c r="G2482" s="2" t="s">
        <v>566</v>
      </c>
      <c r="H2482" s="2" t="s">
        <v>567</v>
      </c>
      <c r="I2482" s="2" t="s">
        <v>568</v>
      </c>
      <c r="J2482" s="4">
        <v>-0.114</v>
      </c>
      <c r="K2482" s="2" t="s">
        <v>516</v>
      </c>
      <c r="L2482" s="2">
        <v>2024</v>
      </c>
      <c r="M2482" s="2" t="s">
        <v>251</v>
      </c>
      <c r="N2482" s="2" t="s">
        <v>23</v>
      </c>
      <c r="O2482">
        <f t="shared" si="76"/>
        <v>5.25</v>
      </c>
      <c r="P2482">
        <f t="shared" si="77"/>
        <v>64.236999999999966</v>
      </c>
    </row>
    <row r="2483" spans="1:16" x14ac:dyDescent="0.35">
      <c r="A2483" s="9" t="s">
        <v>528</v>
      </c>
      <c r="B2483" s="2">
        <v>242.053</v>
      </c>
      <c r="C2483" s="2">
        <v>245.15100000000001</v>
      </c>
      <c r="D2483" s="2">
        <v>241.55</v>
      </c>
      <c r="E2483" s="2">
        <v>243.09</v>
      </c>
      <c r="F2483" s="2">
        <v>6792660</v>
      </c>
      <c r="G2483" s="2" t="s">
        <v>566</v>
      </c>
      <c r="H2483" s="2" t="s">
        <v>567</v>
      </c>
      <c r="I2483" s="2" t="s">
        <v>568</v>
      </c>
      <c r="J2483" s="4">
        <v>-0.79200000000000004</v>
      </c>
      <c r="K2483" s="2" t="s">
        <v>516</v>
      </c>
      <c r="L2483" s="2">
        <v>2024</v>
      </c>
      <c r="M2483" s="2" t="s">
        <v>251</v>
      </c>
      <c r="N2483" s="2" t="s">
        <v>23</v>
      </c>
      <c r="O2483">
        <f t="shared" si="76"/>
        <v>3.6009999999999991</v>
      </c>
      <c r="P2483">
        <f t="shared" si="77"/>
        <v>63.444999999999965</v>
      </c>
    </row>
    <row r="2484" spans="1:16" x14ac:dyDescent="0.35">
      <c r="A2484" s="9" t="s">
        <v>529</v>
      </c>
      <c r="B2484" s="2">
        <v>244.04</v>
      </c>
      <c r="C2484" s="2">
        <v>244.61</v>
      </c>
      <c r="D2484" s="2">
        <v>238.64</v>
      </c>
      <c r="E2484" s="2">
        <v>240.78</v>
      </c>
      <c r="F2484" s="2">
        <v>9015290</v>
      </c>
      <c r="G2484" s="2" t="s">
        <v>566</v>
      </c>
      <c r="H2484" s="2" t="s">
        <v>567</v>
      </c>
      <c r="I2484" s="2" t="s">
        <v>568</v>
      </c>
      <c r="J2484" s="4">
        <v>-0.95</v>
      </c>
      <c r="K2484" s="2" t="s">
        <v>516</v>
      </c>
      <c r="L2484" s="2">
        <v>2024</v>
      </c>
      <c r="M2484" s="2" t="s">
        <v>251</v>
      </c>
      <c r="N2484" s="2" t="s">
        <v>23</v>
      </c>
      <c r="O2484">
        <f t="shared" si="76"/>
        <v>5.9700000000000273</v>
      </c>
      <c r="P2484">
        <f t="shared" si="77"/>
        <v>62.494999999999962</v>
      </c>
    </row>
    <row r="2485" spans="1:16" x14ac:dyDescent="0.35">
      <c r="A2485" s="9" t="s">
        <v>530</v>
      </c>
      <c r="B2485" s="2">
        <v>243.23</v>
      </c>
      <c r="C2485" s="2">
        <v>245.49</v>
      </c>
      <c r="D2485" s="2">
        <v>242.10499999999999</v>
      </c>
      <c r="E2485" s="2">
        <v>244.76</v>
      </c>
      <c r="F2485" s="2">
        <v>8783516</v>
      </c>
      <c r="G2485" s="2" t="s">
        <v>566</v>
      </c>
      <c r="H2485" s="2" t="s">
        <v>567</v>
      </c>
      <c r="I2485" s="2" t="s">
        <v>568</v>
      </c>
      <c r="J2485" s="3">
        <v>1.653</v>
      </c>
      <c r="K2485" s="2" t="s">
        <v>516</v>
      </c>
      <c r="L2485" s="2">
        <v>2024</v>
      </c>
      <c r="M2485" s="2" t="s">
        <v>251</v>
      </c>
      <c r="N2485" s="2" t="s">
        <v>21</v>
      </c>
      <c r="O2485">
        <f t="shared" si="76"/>
        <v>3.3850000000000193</v>
      </c>
      <c r="P2485">
        <f t="shared" si="77"/>
        <v>64.147999999999968</v>
      </c>
    </row>
    <row r="2486" spans="1:16" x14ac:dyDescent="0.35">
      <c r="A2486" s="9" t="s">
        <v>531</v>
      </c>
      <c r="B2486" s="2">
        <v>243.06899999999999</v>
      </c>
      <c r="C2486" s="2">
        <v>249.15</v>
      </c>
      <c r="D2486" s="2">
        <v>243.035</v>
      </c>
      <c r="E2486" s="2">
        <v>248.55</v>
      </c>
      <c r="F2486" s="2">
        <v>7997307</v>
      </c>
      <c r="G2486" s="2" t="s">
        <v>566</v>
      </c>
      <c r="H2486" s="2" t="s">
        <v>567</v>
      </c>
      <c r="I2486" s="2" t="s">
        <v>568</v>
      </c>
      <c r="J2486" s="3">
        <v>1.548</v>
      </c>
      <c r="K2486" s="2" t="s">
        <v>516</v>
      </c>
      <c r="L2486" s="2">
        <v>2024</v>
      </c>
      <c r="M2486" s="2" t="s">
        <v>251</v>
      </c>
      <c r="N2486" s="2" t="s">
        <v>21</v>
      </c>
      <c r="O2486">
        <f t="shared" si="76"/>
        <v>6.1150000000000091</v>
      </c>
      <c r="P2486">
        <f t="shared" si="77"/>
        <v>65.69599999999997</v>
      </c>
    </row>
    <row r="2487" spans="1:16" x14ac:dyDescent="0.35">
      <c r="A2487" s="9" t="s">
        <v>532</v>
      </c>
      <c r="B2487" s="2">
        <v>249.9</v>
      </c>
      <c r="C2487" s="2">
        <v>254.31</v>
      </c>
      <c r="D2487" s="2">
        <v>249.06</v>
      </c>
      <c r="E2487" s="2">
        <v>250.29</v>
      </c>
      <c r="F2487" s="2">
        <v>10295350</v>
      </c>
      <c r="G2487" s="2" t="s">
        <v>566</v>
      </c>
      <c r="H2487" s="2" t="s">
        <v>567</v>
      </c>
      <c r="I2487" s="2" t="s">
        <v>568</v>
      </c>
      <c r="J2487" s="3">
        <v>0.7</v>
      </c>
      <c r="K2487" s="2" t="s">
        <v>516</v>
      </c>
      <c r="L2487" s="2">
        <v>2024</v>
      </c>
      <c r="M2487" s="2" t="s">
        <v>251</v>
      </c>
      <c r="N2487" s="2" t="s">
        <v>21</v>
      </c>
      <c r="O2487">
        <f t="shared" si="76"/>
        <v>5.25</v>
      </c>
      <c r="P2487">
        <f t="shared" si="77"/>
        <v>66.395999999999972</v>
      </c>
    </row>
    <row r="2488" spans="1:16" x14ac:dyDescent="0.35">
      <c r="A2488" s="9" t="s">
        <v>533</v>
      </c>
      <c r="B2488" s="2">
        <v>250.5</v>
      </c>
      <c r="C2488" s="2">
        <v>251</v>
      </c>
      <c r="D2488" s="2">
        <v>248.34</v>
      </c>
      <c r="E2488" s="2">
        <v>249.97</v>
      </c>
      <c r="F2488" s="2">
        <v>6212142</v>
      </c>
      <c r="G2488" s="2" t="s">
        <v>566</v>
      </c>
      <c r="H2488" s="2" t="s">
        <v>567</v>
      </c>
      <c r="I2488" s="2" t="s">
        <v>568</v>
      </c>
      <c r="J2488" s="4">
        <v>-0.128</v>
      </c>
      <c r="K2488" s="2" t="s">
        <v>516</v>
      </c>
      <c r="L2488" s="2">
        <v>2024</v>
      </c>
      <c r="M2488" s="2" t="s">
        <v>251</v>
      </c>
      <c r="N2488" s="2" t="s">
        <v>23</v>
      </c>
      <c r="O2488">
        <f t="shared" si="76"/>
        <v>2.6599999999999966</v>
      </c>
      <c r="P2488">
        <f t="shared" si="77"/>
        <v>66.267999999999972</v>
      </c>
    </row>
    <row r="2489" spans="1:16" x14ac:dyDescent="0.35">
      <c r="A2489" s="9" t="s">
        <v>534</v>
      </c>
      <c r="B2489" s="2">
        <v>249.34</v>
      </c>
      <c r="C2489" s="2">
        <v>251.19</v>
      </c>
      <c r="D2489" s="2">
        <v>248.77099999999999</v>
      </c>
      <c r="E2489" s="2">
        <v>249.79</v>
      </c>
      <c r="F2489" s="2">
        <v>5472265</v>
      </c>
      <c r="G2489" s="2" t="s">
        <v>566</v>
      </c>
      <c r="H2489" s="2" t="s">
        <v>567</v>
      </c>
      <c r="I2489" s="2" t="s">
        <v>568</v>
      </c>
      <c r="J2489" s="4">
        <v>-7.1999999999999995E-2</v>
      </c>
      <c r="K2489" s="2" t="s">
        <v>516</v>
      </c>
      <c r="L2489" s="2">
        <v>2024</v>
      </c>
      <c r="M2489" s="2" t="s">
        <v>251</v>
      </c>
      <c r="N2489" s="2" t="s">
        <v>23</v>
      </c>
      <c r="O2489">
        <f t="shared" si="76"/>
        <v>2.4190000000000111</v>
      </c>
      <c r="P2489">
        <f t="shared" si="77"/>
        <v>66.19599999999997</v>
      </c>
    </row>
    <row r="2490" spans="1:16" x14ac:dyDescent="0.35">
      <c r="A2490" s="9" t="s">
        <v>535</v>
      </c>
      <c r="B2490" s="2">
        <v>249.92</v>
      </c>
      <c r="C2490" s="2">
        <v>251.77</v>
      </c>
      <c r="D2490" s="2">
        <v>249.44499999999999</v>
      </c>
      <c r="E2490" s="2">
        <v>249.72</v>
      </c>
      <c r="F2490" s="2">
        <v>5494825</v>
      </c>
      <c r="G2490" s="2" t="s">
        <v>566</v>
      </c>
      <c r="H2490" s="2" t="s">
        <v>567</v>
      </c>
      <c r="I2490" s="2" t="s">
        <v>568</v>
      </c>
      <c r="J2490" s="4">
        <v>-2.8000000000000001E-2</v>
      </c>
      <c r="K2490" s="2" t="s">
        <v>516</v>
      </c>
      <c r="L2490" s="2">
        <v>2024</v>
      </c>
      <c r="M2490" s="2" t="s">
        <v>251</v>
      </c>
      <c r="N2490" s="2" t="s">
        <v>23</v>
      </c>
      <c r="O2490">
        <f t="shared" si="76"/>
        <v>2.3250000000000171</v>
      </c>
      <c r="P2490">
        <f t="shared" si="77"/>
        <v>66.167999999999964</v>
      </c>
    </row>
    <row r="2491" spans="1:16" x14ac:dyDescent="0.35">
      <c r="A2491" s="9" t="s">
        <v>536</v>
      </c>
      <c r="B2491" s="2">
        <v>249.7</v>
      </c>
      <c r="C2491" s="2">
        <v>250.25</v>
      </c>
      <c r="D2491" s="2">
        <v>245.03</v>
      </c>
      <c r="E2491" s="2">
        <v>246.25</v>
      </c>
      <c r="F2491" s="2">
        <v>8899741</v>
      </c>
      <c r="G2491" s="2" t="s">
        <v>566</v>
      </c>
      <c r="H2491" s="2" t="s">
        <v>567</v>
      </c>
      <c r="I2491" s="2" t="s">
        <v>568</v>
      </c>
      <c r="J2491" s="4">
        <v>-1.39</v>
      </c>
      <c r="K2491" s="2" t="s">
        <v>537</v>
      </c>
      <c r="L2491" s="2">
        <v>2024</v>
      </c>
      <c r="M2491" s="2" t="s">
        <v>274</v>
      </c>
      <c r="N2491" s="2" t="s">
        <v>23</v>
      </c>
      <c r="O2491">
        <f t="shared" si="76"/>
        <v>5.2199999999999989</v>
      </c>
      <c r="P2491">
        <f t="shared" si="77"/>
        <v>64.777999999999963</v>
      </c>
    </row>
    <row r="2492" spans="1:16" x14ac:dyDescent="0.35">
      <c r="A2492" s="9" t="s">
        <v>538</v>
      </c>
      <c r="B2492" s="2">
        <v>248.23</v>
      </c>
      <c r="C2492" s="2">
        <v>249.04</v>
      </c>
      <c r="D2492" s="2">
        <v>244.63</v>
      </c>
      <c r="E2492" s="2">
        <v>244.82</v>
      </c>
      <c r="F2492" s="2">
        <v>6657694</v>
      </c>
      <c r="G2492" s="2" t="s">
        <v>566</v>
      </c>
      <c r="H2492" s="2" t="s">
        <v>567</v>
      </c>
      <c r="I2492" s="2" t="s">
        <v>568</v>
      </c>
      <c r="J2492" s="4">
        <v>-0.58099999999999996</v>
      </c>
      <c r="K2492" s="2" t="s">
        <v>537</v>
      </c>
      <c r="L2492" s="2">
        <v>2024</v>
      </c>
      <c r="M2492" s="2" t="s">
        <v>274</v>
      </c>
      <c r="N2492" s="2" t="s">
        <v>23</v>
      </c>
      <c r="O2492">
        <f t="shared" si="76"/>
        <v>4.4099999999999966</v>
      </c>
      <c r="P2492">
        <f t="shared" si="77"/>
        <v>64.19699999999996</v>
      </c>
    </row>
    <row r="2493" spans="1:16" x14ac:dyDescent="0.35">
      <c r="A2493" s="9" t="s">
        <v>539</v>
      </c>
      <c r="B2493" s="2">
        <v>244.7</v>
      </c>
      <c r="C2493" s="2">
        <v>245.345</v>
      </c>
      <c r="D2493" s="2">
        <v>242.23</v>
      </c>
      <c r="E2493" s="2">
        <v>243.4</v>
      </c>
      <c r="F2493" s="2">
        <v>7346265</v>
      </c>
      <c r="G2493" s="2" t="s">
        <v>566</v>
      </c>
      <c r="H2493" s="2" t="s">
        <v>567</v>
      </c>
      <c r="I2493" s="2" t="s">
        <v>568</v>
      </c>
      <c r="J2493" s="4">
        <v>-0.57999999999999996</v>
      </c>
      <c r="K2493" s="2" t="s">
        <v>537</v>
      </c>
      <c r="L2493" s="2">
        <v>2024</v>
      </c>
      <c r="M2493" s="2" t="s">
        <v>274</v>
      </c>
      <c r="N2493" s="2" t="s">
        <v>23</v>
      </c>
      <c r="O2493">
        <f t="shared" si="76"/>
        <v>3.1150000000000091</v>
      </c>
      <c r="P2493">
        <f t="shared" si="77"/>
        <v>63.616999999999962</v>
      </c>
    </row>
    <row r="2494" spans="1:16" x14ac:dyDescent="0.35">
      <c r="A2494" s="9" t="s">
        <v>540</v>
      </c>
      <c r="B2494" s="2">
        <v>245.09</v>
      </c>
      <c r="C2494" s="2">
        <v>247.18</v>
      </c>
      <c r="D2494" s="2">
        <v>244.62</v>
      </c>
      <c r="E2494" s="2">
        <v>245.48</v>
      </c>
      <c r="F2494" s="2">
        <v>6572536</v>
      </c>
      <c r="G2494" s="2" t="s">
        <v>566</v>
      </c>
      <c r="H2494" s="2" t="s">
        <v>567</v>
      </c>
      <c r="I2494" s="2" t="s">
        <v>568</v>
      </c>
      <c r="J2494" s="3">
        <v>0.85499999999999998</v>
      </c>
      <c r="K2494" s="2" t="s">
        <v>537</v>
      </c>
      <c r="L2494" s="2">
        <v>2024</v>
      </c>
      <c r="M2494" s="2" t="s">
        <v>274</v>
      </c>
      <c r="N2494" s="2" t="s">
        <v>21</v>
      </c>
      <c r="O2494">
        <f t="shared" si="76"/>
        <v>2.5600000000000023</v>
      </c>
      <c r="P2494">
        <f t="shared" si="77"/>
        <v>64.471999999999966</v>
      </c>
    </row>
    <row r="2495" spans="1:16" x14ac:dyDescent="0.35">
      <c r="A2495" s="9" t="s">
        <v>541</v>
      </c>
      <c r="B2495" s="2">
        <v>245.75</v>
      </c>
      <c r="C2495" s="2">
        <v>247.74</v>
      </c>
      <c r="D2495" s="2">
        <v>244.84</v>
      </c>
      <c r="E2495" s="2">
        <v>247.36</v>
      </c>
      <c r="F2495" s="2">
        <v>5519738</v>
      </c>
      <c r="G2495" s="2" t="s">
        <v>566</v>
      </c>
      <c r="H2495" s="2" t="s">
        <v>567</v>
      </c>
      <c r="I2495" s="2" t="s">
        <v>568</v>
      </c>
      <c r="J2495" s="3">
        <v>0.76600000000000001</v>
      </c>
      <c r="K2495" s="2" t="s">
        <v>537</v>
      </c>
      <c r="L2495" s="2">
        <v>2024</v>
      </c>
      <c r="M2495" s="2" t="s">
        <v>274</v>
      </c>
      <c r="N2495" s="2" t="s">
        <v>21</v>
      </c>
      <c r="O2495">
        <f t="shared" si="76"/>
        <v>2.9000000000000057</v>
      </c>
      <c r="P2495">
        <f t="shared" si="77"/>
        <v>65.237999999999971</v>
      </c>
    </row>
    <row r="2496" spans="1:16" x14ac:dyDescent="0.35">
      <c r="A2496" s="9" t="s">
        <v>542</v>
      </c>
      <c r="B2496" s="2">
        <v>247</v>
      </c>
      <c r="C2496" s="2">
        <v>247.87</v>
      </c>
      <c r="D2496" s="2">
        <v>243.76</v>
      </c>
      <c r="E2496" s="2">
        <v>243.81</v>
      </c>
      <c r="F2496" s="2">
        <v>7076466</v>
      </c>
      <c r="G2496" s="2" t="s">
        <v>566</v>
      </c>
      <c r="H2496" s="2" t="s">
        <v>567</v>
      </c>
      <c r="I2496" s="2" t="s">
        <v>568</v>
      </c>
      <c r="J2496" s="4">
        <v>-1.4350000000000001</v>
      </c>
      <c r="K2496" s="2" t="s">
        <v>537</v>
      </c>
      <c r="L2496" s="2">
        <v>2024</v>
      </c>
      <c r="M2496" s="2" t="s">
        <v>274</v>
      </c>
      <c r="N2496" s="2" t="s">
        <v>23</v>
      </c>
      <c r="O2496">
        <f t="shared" si="76"/>
        <v>4.1100000000000136</v>
      </c>
      <c r="P2496">
        <f t="shared" si="77"/>
        <v>63.802999999999969</v>
      </c>
    </row>
    <row r="2497" spans="1:16" x14ac:dyDescent="0.35">
      <c r="A2497" s="9" t="s">
        <v>543</v>
      </c>
      <c r="B2497" s="2">
        <v>243.92</v>
      </c>
      <c r="C2497" s="2">
        <v>247.96</v>
      </c>
      <c r="D2497" s="2">
        <v>242.22</v>
      </c>
      <c r="E2497" s="2">
        <v>242.86</v>
      </c>
      <c r="F2497" s="2">
        <v>9108339</v>
      </c>
      <c r="G2497" s="2" t="s">
        <v>566</v>
      </c>
      <c r="H2497" s="2" t="s">
        <v>567</v>
      </c>
      <c r="I2497" s="2" t="s">
        <v>568</v>
      </c>
      <c r="J2497" s="4">
        <v>-0.39</v>
      </c>
      <c r="K2497" s="2" t="s">
        <v>537</v>
      </c>
      <c r="L2497" s="2">
        <v>2024</v>
      </c>
      <c r="M2497" s="2" t="s">
        <v>274</v>
      </c>
      <c r="N2497" s="2" t="s">
        <v>23</v>
      </c>
      <c r="O2497">
        <f t="shared" si="76"/>
        <v>5.7400000000000091</v>
      </c>
      <c r="P2497">
        <f t="shared" si="77"/>
        <v>63.412999999999968</v>
      </c>
    </row>
    <row r="2498" spans="1:16" x14ac:dyDescent="0.35">
      <c r="A2498" s="9" t="s">
        <v>544</v>
      </c>
      <c r="B2498" s="2">
        <v>244.27</v>
      </c>
      <c r="C2498" s="2">
        <v>244.27</v>
      </c>
      <c r="D2498" s="2">
        <v>242.18</v>
      </c>
      <c r="E2498" s="2">
        <v>243.53</v>
      </c>
      <c r="F2498" s="2">
        <v>7884442</v>
      </c>
      <c r="G2498" s="2" t="s">
        <v>566</v>
      </c>
      <c r="H2498" s="2" t="s">
        <v>567</v>
      </c>
      <c r="I2498" s="2" t="s">
        <v>568</v>
      </c>
      <c r="J2498" s="3">
        <v>0.27600000000000002</v>
      </c>
      <c r="K2498" s="2" t="s">
        <v>537</v>
      </c>
      <c r="L2498" s="2">
        <v>2024</v>
      </c>
      <c r="M2498" s="2" t="s">
        <v>274</v>
      </c>
      <c r="N2498" s="2" t="s">
        <v>21</v>
      </c>
      <c r="O2498">
        <f t="shared" si="76"/>
        <v>2.0900000000000034</v>
      </c>
      <c r="P2498">
        <f t="shared" si="77"/>
        <v>63.688999999999972</v>
      </c>
    </row>
    <row r="2499" spans="1:16" x14ac:dyDescent="0.35">
      <c r="A2499" s="9" t="s">
        <v>545</v>
      </c>
      <c r="B2499" s="2">
        <v>242.96</v>
      </c>
      <c r="C2499" s="2">
        <v>244.1</v>
      </c>
      <c r="D2499" s="2">
        <v>241.04</v>
      </c>
      <c r="E2499" s="2">
        <v>241.53</v>
      </c>
      <c r="F2499" s="2">
        <v>6113771</v>
      </c>
      <c r="G2499" s="2" t="s">
        <v>566</v>
      </c>
      <c r="H2499" s="2" t="s">
        <v>567</v>
      </c>
      <c r="I2499" s="2" t="s">
        <v>568</v>
      </c>
      <c r="J2499" s="4">
        <v>-0.82099999999999995</v>
      </c>
      <c r="K2499" s="2" t="s">
        <v>537</v>
      </c>
      <c r="L2499" s="2">
        <v>2024</v>
      </c>
      <c r="M2499" s="2" t="s">
        <v>274</v>
      </c>
      <c r="N2499" s="2" t="s">
        <v>23</v>
      </c>
      <c r="O2499">
        <f t="shared" ref="O2499:O2562" si="78">C2499-D2499</f>
        <v>3.0600000000000023</v>
      </c>
      <c r="P2499">
        <f t="shared" si="77"/>
        <v>62.867999999999974</v>
      </c>
    </row>
    <row r="2500" spans="1:16" x14ac:dyDescent="0.35">
      <c r="A2500" s="9" t="s">
        <v>546</v>
      </c>
      <c r="B2500" s="2">
        <v>242.07</v>
      </c>
      <c r="C2500" s="2">
        <v>242.715</v>
      </c>
      <c r="D2500" s="2">
        <v>239.14400000000001</v>
      </c>
      <c r="E2500" s="2">
        <v>239.94</v>
      </c>
      <c r="F2500" s="2">
        <v>10392749</v>
      </c>
      <c r="G2500" s="2" t="s">
        <v>566</v>
      </c>
      <c r="H2500" s="2" t="s">
        <v>567</v>
      </c>
      <c r="I2500" s="2" t="s">
        <v>568</v>
      </c>
      <c r="J2500" s="4">
        <v>-0.65800000000000003</v>
      </c>
      <c r="K2500" s="2" t="s">
        <v>537</v>
      </c>
      <c r="L2500" s="2">
        <v>2024</v>
      </c>
      <c r="M2500" s="2" t="s">
        <v>274</v>
      </c>
      <c r="N2500" s="2" t="s">
        <v>23</v>
      </c>
      <c r="O2500">
        <f t="shared" si="78"/>
        <v>3.570999999999998</v>
      </c>
      <c r="P2500">
        <f t="shared" ref="P2500:P2563" si="79">IF(G2500=G2499, P2499+J2500, J2500)</f>
        <v>62.209999999999972</v>
      </c>
    </row>
    <row r="2501" spans="1:16" x14ac:dyDescent="0.35">
      <c r="A2501" s="9" t="s">
        <v>547</v>
      </c>
      <c r="B2501" s="2">
        <v>240.26</v>
      </c>
      <c r="C2501" s="2">
        <v>240.67</v>
      </c>
      <c r="D2501" s="2">
        <v>237.52</v>
      </c>
      <c r="E2501" s="2">
        <v>239.58</v>
      </c>
      <c r="F2501" s="2">
        <v>9032044</v>
      </c>
      <c r="G2501" s="2" t="s">
        <v>566</v>
      </c>
      <c r="H2501" s="2" t="s">
        <v>567</v>
      </c>
      <c r="I2501" s="2" t="s">
        <v>568</v>
      </c>
      <c r="J2501" s="4">
        <v>-0.15</v>
      </c>
      <c r="K2501" s="2" t="s">
        <v>537</v>
      </c>
      <c r="L2501" s="2">
        <v>2024</v>
      </c>
      <c r="M2501" s="2" t="s">
        <v>274</v>
      </c>
      <c r="N2501" s="2" t="s">
        <v>23</v>
      </c>
      <c r="O2501">
        <f t="shared" si="78"/>
        <v>3.1499999999999773</v>
      </c>
      <c r="P2501">
        <f t="shared" si="79"/>
        <v>62.059999999999974</v>
      </c>
    </row>
    <row r="2502" spans="1:16" x14ac:dyDescent="0.35">
      <c r="A2502" s="9" t="s">
        <v>548</v>
      </c>
      <c r="B2502" s="2">
        <v>238.65</v>
      </c>
      <c r="C2502" s="2">
        <v>239.02</v>
      </c>
      <c r="D2502" s="2">
        <v>236.63</v>
      </c>
      <c r="E2502" s="2">
        <v>238.36</v>
      </c>
      <c r="F2502" s="2">
        <v>8083635</v>
      </c>
      <c r="G2502" s="2" t="s">
        <v>566</v>
      </c>
      <c r="H2502" s="2" t="s">
        <v>567</v>
      </c>
      <c r="I2502" s="2" t="s">
        <v>568</v>
      </c>
      <c r="J2502" s="4">
        <v>-0.50900000000000001</v>
      </c>
      <c r="K2502" s="2" t="s">
        <v>537</v>
      </c>
      <c r="L2502" s="2">
        <v>2024</v>
      </c>
      <c r="M2502" s="2" t="s">
        <v>274</v>
      </c>
      <c r="N2502" s="2" t="s">
        <v>23</v>
      </c>
      <c r="O2502">
        <f t="shared" si="78"/>
        <v>2.3900000000000148</v>
      </c>
      <c r="P2502">
        <f t="shared" si="79"/>
        <v>61.550999999999974</v>
      </c>
    </row>
    <row r="2503" spans="1:16" x14ac:dyDescent="0.35">
      <c r="A2503" s="9" t="s">
        <v>549</v>
      </c>
      <c r="B2503" s="2">
        <v>239.07</v>
      </c>
      <c r="C2503" s="2">
        <v>239.07</v>
      </c>
      <c r="D2503" s="2">
        <v>229.53</v>
      </c>
      <c r="E2503" s="2">
        <v>230.37</v>
      </c>
      <c r="F2503" s="2">
        <v>11322358</v>
      </c>
      <c r="G2503" s="2" t="s">
        <v>566</v>
      </c>
      <c r="H2503" s="2" t="s">
        <v>567</v>
      </c>
      <c r="I2503" s="2" t="s">
        <v>568</v>
      </c>
      <c r="J2503" s="4">
        <v>-3.3519999999999999</v>
      </c>
      <c r="K2503" s="2" t="s">
        <v>537</v>
      </c>
      <c r="L2503" s="2">
        <v>2024</v>
      </c>
      <c r="M2503" s="2" t="s">
        <v>274</v>
      </c>
      <c r="N2503" s="2" t="s">
        <v>23</v>
      </c>
      <c r="O2503">
        <f t="shared" si="78"/>
        <v>9.539999999999992</v>
      </c>
      <c r="P2503">
        <f t="shared" si="79"/>
        <v>58.198999999999977</v>
      </c>
    </row>
    <row r="2504" spans="1:16" x14ac:dyDescent="0.35">
      <c r="A2504" s="9" t="s">
        <v>550</v>
      </c>
      <c r="B2504" s="2">
        <v>232.27</v>
      </c>
      <c r="C2504" s="2">
        <v>236.36</v>
      </c>
      <c r="D2504" s="2">
        <v>232.27</v>
      </c>
      <c r="E2504" s="2">
        <v>232.96</v>
      </c>
      <c r="F2504" s="2">
        <v>11790773</v>
      </c>
      <c r="G2504" s="2" t="s">
        <v>566</v>
      </c>
      <c r="H2504" s="2" t="s">
        <v>567</v>
      </c>
      <c r="I2504" s="2" t="s">
        <v>568</v>
      </c>
      <c r="J2504" s="3">
        <v>1.1240000000000001</v>
      </c>
      <c r="K2504" s="2" t="s">
        <v>537</v>
      </c>
      <c r="L2504" s="2">
        <v>2024</v>
      </c>
      <c r="M2504" s="2" t="s">
        <v>274</v>
      </c>
      <c r="N2504" s="2" t="s">
        <v>21</v>
      </c>
      <c r="O2504">
        <f t="shared" si="78"/>
        <v>4.0900000000000034</v>
      </c>
      <c r="P2504">
        <f t="shared" si="79"/>
        <v>59.322999999999979</v>
      </c>
    </row>
    <row r="2505" spans="1:16" x14ac:dyDescent="0.35">
      <c r="A2505" s="9" t="s">
        <v>551</v>
      </c>
      <c r="B2505" s="2">
        <v>232</v>
      </c>
      <c r="C2505" s="2">
        <v>239.21</v>
      </c>
      <c r="D2505" s="2">
        <v>231.58799999999999</v>
      </c>
      <c r="E2505" s="2">
        <v>237.6</v>
      </c>
      <c r="F2505" s="2">
        <v>32348414</v>
      </c>
      <c r="G2505" s="2" t="s">
        <v>566</v>
      </c>
      <c r="H2505" s="2" t="s">
        <v>567</v>
      </c>
      <c r="I2505" s="2" t="s">
        <v>568</v>
      </c>
      <c r="J2505" s="3">
        <v>1.992</v>
      </c>
      <c r="K2505" s="2" t="s">
        <v>537</v>
      </c>
      <c r="L2505" s="2">
        <v>2024</v>
      </c>
      <c r="M2505" s="2" t="s">
        <v>274</v>
      </c>
      <c r="N2505" s="2" t="s">
        <v>21</v>
      </c>
      <c r="O2505">
        <f t="shared" si="78"/>
        <v>7.6220000000000141</v>
      </c>
      <c r="P2505">
        <f t="shared" si="79"/>
        <v>61.314999999999976</v>
      </c>
    </row>
    <row r="2506" spans="1:16" x14ac:dyDescent="0.35">
      <c r="A2506" s="9" t="s">
        <v>552</v>
      </c>
      <c r="B2506" s="2">
        <v>235.89</v>
      </c>
      <c r="C2506" s="2">
        <v>238.62</v>
      </c>
      <c r="D2506" s="2">
        <v>234.88</v>
      </c>
      <c r="E2506" s="2">
        <v>238.39</v>
      </c>
      <c r="F2506" s="2">
        <v>8611528</v>
      </c>
      <c r="G2506" s="2" t="s">
        <v>566</v>
      </c>
      <c r="H2506" s="2" t="s">
        <v>567</v>
      </c>
      <c r="I2506" s="2" t="s">
        <v>568</v>
      </c>
      <c r="J2506" s="3">
        <v>0.33200000000000002</v>
      </c>
      <c r="K2506" s="2" t="s">
        <v>537</v>
      </c>
      <c r="L2506" s="2">
        <v>2024</v>
      </c>
      <c r="M2506" s="2" t="s">
        <v>274</v>
      </c>
      <c r="N2506" s="2" t="s">
        <v>21</v>
      </c>
      <c r="O2506">
        <f t="shared" si="78"/>
        <v>3.7400000000000091</v>
      </c>
      <c r="P2506">
        <f t="shared" si="79"/>
        <v>61.646999999999977</v>
      </c>
    </row>
    <row r="2507" spans="1:16" x14ac:dyDescent="0.35">
      <c r="A2507" s="9" t="s">
        <v>553</v>
      </c>
      <c r="B2507" s="2">
        <v>239.41</v>
      </c>
      <c r="C2507" s="2">
        <v>242.49199999999999</v>
      </c>
      <c r="D2507" s="2">
        <v>239.07</v>
      </c>
      <c r="E2507" s="2">
        <v>242.31</v>
      </c>
      <c r="F2507" s="2">
        <v>3729092</v>
      </c>
      <c r="G2507" s="2" t="s">
        <v>566</v>
      </c>
      <c r="H2507" s="2" t="s">
        <v>567</v>
      </c>
      <c r="I2507" s="2" t="s">
        <v>568</v>
      </c>
      <c r="J2507" s="3">
        <v>1.6439999999999999</v>
      </c>
      <c r="K2507" s="2" t="s">
        <v>537</v>
      </c>
      <c r="L2507" s="2">
        <v>2024</v>
      </c>
      <c r="M2507" s="2" t="s">
        <v>274</v>
      </c>
      <c r="N2507" s="2" t="s">
        <v>21</v>
      </c>
      <c r="O2507">
        <f t="shared" si="78"/>
        <v>3.421999999999997</v>
      </c>
      <c r="P2507">
        <f t="shared" si="79"/>
        <v>63.290999999999976</v>
      </c>
    </row>
    <row r="2508" spans="1:16" x14ac:dyDescent="0.35">
      <c r="A2508" s="9" t="s">
        <v>554</v>
      </c>
      <c r="B2508" s="2">
        <v>241.3</v>
      </c>
      <c r="C2508" s="2">
        <v>243.26</v>
      </c>
      <c r="D2508" s="2">
        <v>240.79</v>
      </c>
      <c r="E2508" s="2">
        <v>243.14</v>
      </c>
      <c r="F2508" s="2">
        <v>4452168</v>
      </c>
      <c r="G2508" s="2" t="s">
        <v>566</v>
      </c>
      <c r="H2508" s="2" t="s">
        <v>567</v>
      </c>
      <c r="I2508" s="2" t="s">
        <v>568</v>
      </c>
      <c r="J2508" s="3">
        <v>0.34300000000000003</v>
      </c>
      <c r="K2508" s="2" t="s">
        <v>537</v>
      </c>
      <c r="L2508" s="2">
        <v>2024</v>
      </c>
      <c r="M2508" s="2" t="s">
        <v>274</v>
      </c>
      <c r="N2508" s="2" t="s">
        <v>21</v>
      </c>
      <c r="O2508">
        <f t="shared" si="78"/>
        <v>2.4699999999999989</v>
      </c>
      <c r="P2508">
        <f t="shared" si="79"/>
        <v>63.633999999999979</v>
      </c>
    </row>
    <row r="2509" spans="1:16" x14ac:dyDescent="0.35">
      <c r="A2509" s="9" t="s">
        <v>555</v>
      </c>
      <c r="B2509" s="2">
        <v>242.72</v>
      </c>
      <c r="C2509" s="2">
        <v>243.39</v>
      </c>
      <c r="D2509" s="2">
        <v>240.04</v>
      </c>
      <c r="E2509" s="2">
        <v>241.17</v>
      </c>
      <c r="F2509" s="2">
        <v>5730607</v>
      </c>
      <c r="G2509" s="2" t="s">
        <v>566</v>
      </c>
      <c r="H2509" s="2" t="s">
        <v>567</v>
      </c>
      <c r="I2509" s="2" t="s">
        <v>568</v>
      </c>
      <c r="J2509" s="4">
        <v>-0.81</v>
      </c>
      <c r="K2509" s="2" t="s">
        <v>537</v>
      </c>
      <c r="L2509" s="2">
        <v>2024</v>
      </c>
      <c r="M2509" s="2" t="s">
        <v>274</v>
      </c>
      <c r="N2509" s="2" t="s">
        <v>23</v>
      </c>
      <c r="O2509">
        <f t="shared" si="78"/>
        <v>3.3499999999999943</v>
      </c>
      <c r="P2509">
        <f t="shared" si="79"/>
        <v>62.823999999999977</v>
      </c>
    </row>
    <row r="2510" spans="1:16" x14ac:dyDescent="0.35">
      <c r="A2510" s="9" t="s">
        <v>556</v>
      </c>
      <c r="B2510" s="2">
        <v>238.8</v>
      </c>
      <c r="C2510" s="2">
        <v>240.84</v>
      </c>
      <c r="D2510" s="2">
        <v>237.11</v>
      </c>
      <c r="E2510" s="2">
        <v>239.32</v>
      </c>
      <c r="F2510" s="2">
        <v>5723765</v>
      </c>
      <c r="G2510" s="2" t="s">
        <v>566</v>
      </c>
      <c r="H2510" s="2" t="s">
        <v>567</v>
      </c>
      <c r="I2510" s="2" t="s">
        <v>568</v>
      </c>
      <c r="J2510" s="4">
        <v>-0.76700000000000002</v>
      </c>
      <c r="K2510" s="2" t="s">
        <v>537</v>
      </c>
      <c r="L2510" s="2">
        <v>2024</v>
      </c>
      <c r="M2510" s="2" t="s">
        <v>274</v>
      </c>
      <c r="N2510" s="2" t="s">
        <v>23</v>
      </c>
      <c r="O2510">
        <f t="shared" si="78"/>
        <v>3.7299999999999898</v>
      </c>
      <c r="P2510">
        <f t="shared" si="79"/>
        <v>62.056999999999974</v>
      </c>
    </row>
    <row r="2511" spans="1:16" x14ac:dyDescent="0.35">
      <c r="A2511" s="9" t="s">
        <v>557</v>
      </c>
      <c r="B2511" s="2">
        <v>240</v>
      </c>
      <c r="C2511" s="2">
        <v>241.43899999999999</v>
      </c>
      <c r="D2511" s="2">
        <v>239.03</v>
      </c>
      <c r="E2511" s="2">
        <v>239.71</v>
      </c>
      <c r="F2511" s="2">
        <v>4870971</v>
      </c>
      <c r="G2511" s="2" t="s">
        <v>566</v>
      </c>
      <c r="H2511" s="2" t="s">
        <v>567</v>
      </c>
      <c r="I2511" s="2" t="s">
        <v>568</v>
      </c>
      <c r="J2511" s="3">
        <v>0.16300000000000001</v>
      </c>
      <c r="K2511" s="2" t="s">
        <v>537</v>
      </c>
      <c r="L2511" s="2">
        <v>2024</v>
      </c>
      <c r="M2511" s="2" t="s">
        <v>274</v>
      </c>
      <c r="N2511" s="2" t="s">
        <v>21</v>
      </c>
      <c r="O2511">
        <f t="shared" si="78"/>
        <v>2.4089999999999918</v>
      </c>
      <c r="P2511">
        <f t="shared" si="79"/>
        <v>62.21999999999997</v>
      </c>
    </row>
    <row r="2512" spans="1:16" x14ac:dyDescent="0.35">
      <c r="A2512" s="9" t="s">
        <v>14</v>
      </c>
      <c r="B2512" s="2">
        <v>239.155</v>
      </c>
      <c r="C2512" s="2">
        <v>241.78100000000001</v>
      </c>
      <c r="D2512" s="2">
        <v>233.566</v>
      </c>
      <c r="E2512" s="2">
        <v>235.71100000000001</v>
      </c>
      <c r="F2512" s="2">
        <v>26162457</v>
      </c>
      <c r="G2512" s="2" t="s">
        <v>569</v>
      </c>
      <c r="H2512" s="2" t="s">
        <v>570</v>
      </c>
      <c r="I2512" s="2" t="s">
        <v>17</v>
      </c>
      <c r="J2512" s="2"/>
      <c r="K2512" s="2" t="s">
        <v>18</v>
      </c>
      <c r="L2512" s="2">
        <v>2023</v>
      </c>
      <c r="M2512" s="2" t="s">
        <v>19</v>
      </c>
      <c r="N2512" s="2"/>
      <c r="O2512">
        <f t="shared" si="78"/>
        <v>8.2150000000000034</v>
      </c>
      <c r="P2512">
        <f t="shared" si="79"/>
        <v>0</v>
      </c>
    </row>
    <row r="2513" spans="1:16" x14ac:dyDescent="0.35">
      <c r="A2513" s="9" t="s">
        <v>20</v>
      </c>
      <c r="B2513" s="2">
        <v>228.52600000000001</v>
      </c>
      <c r="C2513" s="2">
        <v>229.10900000000001</v>
      </c>
      <c r="D2513" s="2">
        <v>222.31100000000001</v>
      </c>
      <c r="E2513" s="2">
        <v>225.40199999999999</v>
      </c>
      <c r="F2513" s="2">
        <v>51454177</v>
      </c>
      <c r="G2513" s="2" t="s">
        <v>569</v>
      </c>
      <c r="H2513" s="2" t="s">
        <v>570</v>
      </c>
      <c r="I2513" s="2" t="s">
        <v>17</v>
      </c>
      <c r="J2513" s="4">
        <v>-4.3739999999999997</v>
      </c>
      <c r="K2513" s="2" t="s">
        <v>18</v>
      </c>
      <c r="L2513" s="2">
        <v>2023</v>
      </c>
      <c r="M2513" s="2" t="s">
        <v>19</v>
      </c>
      <c r="N2513" s="2" t="s">
        <v>23</v>
      </c>
      <c r="O2513">
        <f t="shared" si="78"/>
        <v>6.7980000000000018</v>
      </c>
      <c r="P2513">
        <f t="shared" si="79"/>
        <v>-4.3739999999999997</v>
      </c>
    </row>
    <row r="2514" spans="1:16" x14ac:dyDescent="0.35">
      <c r="A2514" s="9" t="s">
        <v>22</v>
      </c>
      <c r="B2514" s="2">
        <v>223.53100000000001</v>
      </c>
      <c r="C2514" s="2">
        <v>223.876</v>
      </c>
      <c r="D2514" s="2">
        <v>218.179</v>
      </c>
      <c r="E2514" s="2">
        <v>218.721</v>
      </c>
      <c r="F2514" s="2">
        <v>40235265</v>
      </c>
      <c r="G2514" s="2" t="s">
        <v>569</v>
      </c>
      <c r="H2514" s="2" t="s">
        <v>570</v>
      </c>
      <c r="I2514" s="2" t="s">
        <v>17</v>
      </c>
      <c r="J2514" s="4">
        <v>-2.964</v>
      </c>
      <c r="K2514" s="2" t="s">
        <v>18</v>
      </c>
      <c r="L2514" s="2">
        <v>2023</v>
      </c>
      <c r="M2514" s="2" t="s">
        <v>19</v>
      </c>
      <c r="N2514" s="2" t="s">
        <v>23</v>
      </c>
      <c r="O2514">
        <f t="shared" si="78"/>
        <v>5.6970000000000027</v>
      </c>
      <c r="P2514">
        <f t="shared" si="79"/>
        <v>-7.3379999999999992</v>
      </c>
    </row>
    <row r="2515" spans="1:16" x14ac:dyDescent="0.35">
      <c r="A2515" s="9" t="s">
        <v>24</v>
      </c>
      <c r="B2515" s="2">
        <v>219.4</v>
      </c>
      <c r="C2515" s="2">
        <v>222.11500000000001</v>
      </c>
      <c r="D2515" s="2">
        <v>215.809</v>
      </c>
      <c r="E2515" s="2">
        <v>221.297</v>
      </c>
      <c r="F2515" s="2">
        <v>44329319</v>
      </c>
      <c r="G2515" s="2" t="s">
        <v>569</v>
      </c>
      <c r="H2515" s="2" t="s">
        <v>570</v>
      </c>
      <c r="I2515" s="2" t="s">
        <v>17</v>
      </c>
      <c r="J2515" s="3">
        <v>1.1779999999999999</v>
      </c>
      <c r="K2515" s="2" t="s">
        <v>18</v>
      </c>
      <c r="L2515" s="2">
        <v>2023</v>
      </c>
      <c r="M2515" s="2" t="s">
        <v>19</v>
      </c>
      <c r="N2515" s="2" t="s">
        <v>21</v>
      </c>
      <c r="O2515">
        <f t="shared" si="78"/>
        <v>6.3060000000000116</v>
      </c>
      <c r="P2515">
        <f t="shared" si="79"/>
        <v>-6.1599999999999993</v>
      </c>
    </row>
    <row r="2516" spans="1:16" x14ac:dyDescent="0.35">
      <c r="A2516" s="9" t="s">
        <v>25</v>
      </c>
      <c r="B2516" s="2">
        <v>222.79400000000001</v>
      </c>
      <c r="C2516" s="2">
        <v>227.50399999999999</v>
      </c>
      <c r="D2516" s="2">
        <v>222.755</v>
      </c>
      <c r="E2516" s="2">
        <v>223.452</v>
      </c>
      <c r="F2516" s="2">
        <v>27818951</v>
      </c>
      <c r="G2516" s="2" t="s">
        <v>569</v>
      </c>
      <c r="H2516" s="2" t="s">
        <v>570</v>
      </c>
      <c r="I2516" s="2" t="s">
        <v>17</v>
      </c>
      <c r="J2516" s="3">
        <v>0.97399999999999998</v>
      </c>
      <c r="K2516" s="2" t="s">
        <v>18</v>
      </c>
      <c r="L2516" s="2">
        <v>2023</v>
      </c>
      <c r="M2516" s="2" t="s">
        <v>19</v>
      </c>
      <c r="N2516" s="2" t="s">
        <v>21</v>
      </c>
      <c r="O2516">
        <f t="shared" si="78"/>
        <v>4.7489999999999952</v>
      </c>
      <c r="P2516">
        <f t="shared" si="79"/>
        <v>-5.1859999999999991</v>
      </c>
    </row>
    <row r="2517" spans="1:16" x14ac:dyDescent="0.35">
      <c r="A2517" s="9" t="s">
        <v>26</v>
      </c>
      <c r="B2517" s="2">
        <v>224.07599999999999</v>
      </c>
      <c r="C2517" s="2">
        <v>227.57599999999999</v>
      </c>
      <c r="D2517" s="2">
        <v>223.65899999999999</v>
      </c>
      <c r="E2517" s="2">
        <v>225.154</v>
      </c>
      <c r="F2517" s="2">
        <v>27477535</v>
      </c>
      <c r="G2517" s="2" t="s">
        <v>569</v>
      </c>
      <c r="H2517" s="2" t="s">
        <v>570</v>
      </c>
      <c r="I2517" s="2" t="s">
        <v>17</v>
      </c>
      <c r="J2517" s="3">
        <v>0.76200000000000001</v>
      </c>
      <c r="K2517" s="2" t="s">
        <v>18</v>
      </c>
      <c r="L2517" s="2">
        <v>2023</v>
      </c>
      <c r="M2517" s="2" t="s">
        <v>19</v>
      </c>
      <c r="N2517" s="2" t="s">
        <v>21</v>
      </c>
      <c r="O2517">
        <f t="shared" si="78"/>
        <v>3.9170000000000016</v>
      </c>
      <c r="P2517">
        <f t="shared" si="79"/>
        <v>-4.4239999999999995</v>
      </c>
    </row>
    <row r="2518" spans="1:16" x14ac:dyDescent="0.35">
      <c r="A2518" s="9" t="s">
        <v>27</v>
      </c>
      <c r="B2518" s="2">
        <v>227.55699999999999</v>
      </c>
      <c r="C2518" s="2">
        <v>232.14</v>
      </c>
      <c r="D2518" s="2">
        <v>227.37799999999999</v>
      </c>
      <c r="E2518" s="2">
        <v>231.964</v>
      </c>
      <c r="F2518" s="2">
        <v>29139825</v>
      </c>
      <c r="G2518" s="2" t="s">
        <v>569</v>
      </c>
      <c r="H2518" s="2" t="s">
        <v>570</v>
      </c>
      <c r="I2518" s="2" t="s">
        <v>17</v>
      </c>
      <c r="J2518" s="3">
        <v>3.0249999999999999</v>
      </c>
      <c r="K2518" s="2" t="s">
        <v>18</v>
      </c>
      <c r="L2518" s="2">
        <v>2023</v>
      </c>
      <c r="M2518" s="2" t="s">
        <v>19</v>
      </c>
      <c r="N2518" s="2" t="s">
        <v>21</v>
      </c>
      <c r="O2518">
        <f t="shared" si="78"/>
        <v>4.7620000000000005</v>
      </c>
      <c r="P2518">
        <f t="shared" si="79"/>
        <v>-1.3989999999999996</v>
      </c>
    </row>
    <row r="2519" spans="1:16" x14ac:dyDescent="0.35">
      <c r="A2519" s="9" t="s">
        <v>28</v>
      </c>
      <c r="B2519" s="2">
        <v>231.46199999999999</v>
      </c>
      <c r="C2519" s="2">
        <v>236.02799999999999</v>
      </c>
      <c r="D2519" s="2">
        <v>229.78899999999999</v>
      </c>
      <c r="E2519" s="2">
        <v>234.65799999999999</v>
      </c>
      <c r="F2519" s="2">
        <v>27717007</v>
      </c>
      <c r="G2519" s="2" t="s">
        <v>569</v>
      </c>
      <c r="H2519" s="2" t="s">
        <v>570</v>
      </c>
      <c r="I2519" s="2" t="s">
        <v>17</v>
      </c>
      <c r="J2519" s="3">
        <v>1.161</v>
      </c>
      <c r="K2519" s="2" t="s">
        <v>18</v>
      </c>
      <c r="L2519" s="2">
        <v>2023</v>
      </c>
      <c r="M2519" s="2" t="s">
        <v>19</v>
      </c>
      <c r="N2519" s="2" t="s">
        <v>21</v>
      </c>
      <c r="O2519">
        <f t="shared" si="78"/>
        <v>6.2390000000000043</v>
      </c>
      <c r="P2519">
        <f t="shared" si="79"/>
        <v>-0.23799999999999955</v>
      </c>
    </row>
    <row r="2520" spans="1:16" x14ac:dyDescent="0.35">
      <c r="A2520" s="9" t="s">
        <v>29</v>
      </c>
      <c r="B2520" s="2">
        <v>233.17500000000001</v>
      </c>
      <c r="C2520" s="2">
        <v>235.506</v>
      </c>
      <c r="D2520" s="2">
        <v>231.12700000000001</v>
      </c>
      <c r="E2520" s="2">
        <v>235.36699999999999</v>
      </c>
      <c r="F2520" s="2">
        <v>21683366</v>
      </c>
      <c r="G2520" s="2" t="s">
        <v>569</v>
      </c>
      <c r="H2520" s="2" t="s">
        <v>570</v>
      </c>
      <c r="I2520" s="2" t="s">
        <v>17</v>
      </c>
      <c r="J2520" s="3">
        <v>0.30199999999999999</v>
      </c>
      <c r="K2520" s="2" t="s">
        <v>18</v>
      </c>
      <c r="L2520" s="2">
        <v>2023</v>
      </c>
      <c r="M2520" s="2" t="s">
        <v>19</v>
      </c>
      <c r="N2520" s="2" t="s">
        <v>21</v>
      </c>
      <c r="O2520">
        <f t="shared" si="78"/>
        <v>4.3789999999999907</v>
      </c>
      <c r="P2520">
        <f t="shared" si="79"/>
        <v>6.4000000000000445E-2</v>
      </c>
    </row>
    <row r="2521" spans="1:16" x14ac:dyDescent="0.35">
      <c r="A2521" s="9" t="s">
        <v>30</v>
      </c>
      <c r="B2521" s="2">
        <v>234.12700000000001</v>
      </c>
      <c r="C2521" s="2">
        <v>237.02</v>
      </c>
      <c r="D2521" s="2">
        <v>233.262</v>
      </c>
      <c r="E2521" s="2">
        <v>236.47</v>
      </c>
      <c r="F2521" s="2">
        <v>30320819</v>
      </c>
      <c r="G2521" s="2" t="s">
        <v>569</v>
      </c>
      <c r="H2521" s="2" t="s">
        <v>570</v>
      </c>
      <c r="I2521" s="2" t="s">
        <v>17</v>
      </c>
      <c r="J2521" s="3">
        <v>0.46899999999999997</v>
      </c>
      <c r="K2521" s="2" t="s">
        <v>18</v>
      </c>
      <c r="L2521" s="2">
        <v>2023</v>
      </c>
      <c r="M2521" s="2" t="s">
        <v>19</v>
      </c>
      <c r="N2521" s="2" t="s">
        <v>21</v>
      </c>
      <c r="O2521">
        <f t="shared" si="78"/>
        <v>3.7580000000000098</v>
      </c>
      <c r="P2521">
        <f t="shared" si="79"/>
        <v>0.53300000000000036</v>
      </c>
    </row>
    <row r="2522" spans="1:16" x14ac:dyDescent="0.35">
      <c r="A2522" s="9" t="s">
        <v>31</v>
      </c>
      <c r="B2522" s="2">
        <v>237.66399999999999</v>
      </c>
      <c r="C2522" s="2">
        <v>238.46600000000001</v>
      </c>
      <c r="D2522" s="2">
        <v>231.71799999999999</v>
      </c>
      <c r="E2522" s="2">
        <v>232.00399999999999</v>
      </c>
      <c r="F2522" s="2">
        <v>30521494</v>
      </c>
      <c r="G2522" s="2" t="s">
        <v>569</v>
      </c>
      <c r="H2522" s="2" t="s">
        <v>570</v>
      </c>
      <c r="I2522" s="2" t="s">
        <v>17</v>
      </c>
      <c r="J2522" s="4">
        <v>-1.889</v>
      </c>
      <c r="K2522" s="2" t="s">
        <v>18</v>
      </c>
      <c r="L2522" s="2">
        <v>2023</v>
      </c>
      <c r="M2522" s="2" t="s">
        <v>19</v>
      </c>
      <c r="N2522" s="2" t="s">
        <v>23</v>
      </c>
      <c r="O2522">
        <f t="shared" si="78"/>
        <v>6.7480000000000189</v>
      </c>
      <c r="P2522">
        <f t="shared" si="79"/>
        <v>-1.3559999999999997</v>
      </c>
    </row>
    <row r="2523" spans="1:16" x14ac:dyDescent="0.35">
      <c r="A2523" s="9" t="s">
        <v>32</v>
      </c>
      <c r="B2523" s="2">
        <v>230.006</v>
      </c>
      <c r="C2523" s="2">
        <v>231.71799999999999</v>
      </c>
      <c r="D2523" s="2">
        <v>226.95599999999999</v>
      </c>
      <c r="E2523" s="2">
        <v>228.185</v>
      </c>
      <c r="F2523" s="2">
        <v>29092767</v>
      </c>
      <c r="G2523" s="2" t="s">
        <v>569</v>
      </c>
      <c r="H2523" s="2" t="s">
        <v>570</v>
      </c>
      <c r="I2523" s="2" t="s">
        <v>17</v>
      </c>
      <c r="J2523" s="4">
        <v>-1.6459999999999999</v>
      </c>
      <c r="K2523" s="2" t="s">
        <v>18</v>
      </c>
      <c r="L2523" s="2">
        <v>2023</v>
      </c>
      <c r="M2523" s="2" t="s">
        <v>19</v>
      </c>
      <c r="N2523" s="2" t="s">
        <v>23</v>
      </c>
      <c r="O2523">
        <f t="shared" si="78"/>
        <v>4.7620000000000005</v>
      </c>
      <c r="P2523">
        <f t="shared" si="79"/>
        <v>-3.0019999999999998</v>
      </c>
    </row>
    <row r="2524" spans="1:16" x14ac:dyDescent="0.35">
      <c r="A2524" s="9" t="s">
        <v>33</v>
      </c>
      <c r="B2524" s="2">
        <v>231.06299999999999</v>
      </c>
      <c r="C2524" s="2">
        <v>236.85400000000001</v>
      </c>
      <c r="D2524" s="2">
        <v>230.72300000000001</v>
      </c>
      <c r="E2524" s="2">
        <v>236.34100000000001</v>
      </c>
      <c r="F2524" s="2">
        <v>35970593</v>
      </c>
      <c r="G2524" s="2" t="s">
        <v>569</v>
      </c>
      <c r="H2524" s="2" t="s">
        <v>570</v>
      </c>
      <c r="I2524" s="2" t="s">
        <v>17</v>
      </c>
      <c r="J2524" s="3">
        <v>3.5739999999999998</v>
      </c>
      <c r="K2524" s="2" t="s">
        <v>18</v>
      </c>
      <c r="L2524" s="2">
        <v>2023</v>
      </c>
      <c r="M2524" s="2" t="s">
        <v>19</v>
      </c>
      <c r="N2524" s="2" t="s">
        <v>21</v>
      </c>
      <c r="O2524">
        <f t="shared" si="78"/>
        <v>6.1310000000000002</v>
      </c>
      <c r="P2524">
        <f t="shared" si="79"/>
        <v>0.57200000000000006</v>
      </c>
    </row>
    <row r="2525" spans="1:16" x14ac:dyDescent="0.35">
      <c r="A2525" s="9" t="s">
        <v>34</v>
      </c>
      <c r="B2525" s="2">
        <v>237.208</v>
      </c>
      <c r="C2525" s="2">
        <v>241.20500000000001</v>
      </c>
      <c r="D2525" s="2">
        <v>235.78100000000001</v>
      </c>
      <c r="E2525" s="2">
        <v>238.66300000000001</v>
      </c>
      <c r="F2525" s="2">
        <v>32458021</v>
      </c>
      <c r="G2525" s="2" t="s">
        <v>569</v>
      </c>
      <c r="H2525" s="2" t="s">
        <v>570</v>
      </c>
      <c r="I2525" s="2" t="s">
        <v>17</v>
      </c>
      <c r="J2525" s="3">
        <v>0.98199999999999998</v>
      </c>
      <c r="K2525" s="2" t="s">
        <v>18</v>
      </c>
      <c r="L2525" s="2">
        <v>2023</v>
      </c>
      <c r="M2525" s="2" t="s">
        <v>19</v>
      </c>
      <c r="N2525" s="2" t="s">
        <v>21</v>
      </c>
      <c r="O2525">
        <f t="shared" si="78"/>
        <v>5.4240000000000066</v>
      </c>
      <c r="P2525">
        <f t="shared" si="79"/>
        <v>1.554</v>
      </c>
    </row>
    <row r="2526" spans="1:16" x14ac:dyDescent="0.35">
      <c r="A2526" s="9" t="s">
        <v>35</v>
      </c>
      <c r="B2526" s="2">
        <v>238.583</v>
      </c>
      <c r="C2526" s="2">
        <v>240.012</v>
      </c>
      <c r="D2526" s="2">
        <v>236.55699999999999</v>
      </c>
      <c r="E2526" s="2">
        <v>238.131</v>
      </c>
      <c r="F2526" s="2">
        <v>40894734</v>
      </c>
      <c r="G2526" s="2" t="s">
        <v>569</v>
      </c>
      <c r="H2526" s="2" t="s">
        <v>570</v>
      </c>
      <c r="I2526" s="2" t="s">
        <v>17</v>
      </c>
      <c r="J2526" s="4">
        <v>-0.223</v>
      </c>
      <c r="K2526" s="2" t="s">
        <v>18</v>
      </c>
      <c r="L2526" s="2">
        <v>2023</v>
      </c>
      <c r="M2526" s="2" t="s">
        <v>19</v>
      </c>
      <c r="N2526" s="2" t="s">
        <v>23</v>
      </c>
      <c r="O2526">
        <f t="shared" si="78"/>
        <v>3.4550000000000125</v>
      </c>
      <c r="P2526">
        <f t="shared" si="79"/>
        <v>1.331</v>
      </c>
    </row>
    <row r="2527" spans="1:16" x14ac:dyDescent="0.35">
      <c r="A2527" s="9" t="s">
        <v>36</v>
      </c>
      <c r="B2527" s="2">
        <v>230.69300000000001</v>
      </c>
      <c r="C2527" s="2">
        <v>239.37299999999999</v>
      </c>
      <c r="D2527" s="2">
        <v>227.172</v>
      </c>
      <c r="E2527" s="2">
        <v>236.72399999999999</v>
      </c>
      <c r="F2527" s="2">
        <v>67618414</v>
      </c>
      <c r="G2527" s="2" t="s">
        <v>569</v>
      </c>
      <c r="H2527" s="2" t="s">
        <v>570</v>
      </c>
      <c r="I2527" s="2" t="s">
        <v>17</v>
      </c>
      <c r="J2527" s="4">
        <v>-0.59099999999999997</v>
      </c>
      <c r="K2527" s="2" t="s">
        <v>18</v>
      </c>
      <c r="L2527" s="2">
        <v>2023</v>
      </c>
      <c r="M2527" s="2" t="s">
        <v>19</v>
      </c>
      <c r="N2527" s="2" t="s">
        <v>23</v>
      </c>
      <c r="O2527">
        <f t="shared" si="78"/>
        <v>12.200999999999993</v>
      </c>
      <c r="P2527">
        <f t="shared" si="79"/>
        <v>0.74</v>
      </c>
    </row>
    <row r="2528" spans="1:16" x14ac:dyDescent="0.35">
      <c r="A2528" s="9" t="s">
        <v>37</v>
      </c>
      <c r="B2528" s="2">
        <v>239.71600000000001</v>
      </c>
      <c r="C2528" s="2">
        <v>244.30199999999999</v>
      </c>
      <c r="D2528" s="2">
        <v>238.09100000000001</v>
      </c>
      <c r="E2528" s="2">
        <v>243.994</v>
      </c>
      <c r="F2528" s="2">
        <v>34003514</v>
      </c>
      <c r="G2528" s="2" t="s">
        <v>569</v>
      </c>
      <c r="H2528" s="2" t="s">
        <v>570</v>
      </c>
      <c r="I2528" s="2" t="s">
        <v>17</v>
      </c>
      <c r="J2528" s="3">
        <v>3.0710000000000002</v>
      </c>
      <c r="K2528" s="2" t="s">
        <v>18</v>
      </c>
      <c r="L2528" s="2">
        <v>2023</v>
      </c>
      <c r="M2528" s="2" t="s">
        <v>19</v>
      </c>
      <c r="N2528" s="2" t="s">
        <v>21</v>
      </c>
      <c r="O2528">
        <f t="shared" si="78"/>
        <v>6.2109999999999843</v>
      </c>
      <c r="P2528">
        <f t="shared" si="79"/>
        <v>3.8109999999999999</v>
      </c>
    </row>
    <row r="2529" spans="1:16" x14ac:dyDescent="0.35">
      <c r="A2529" s="9" t="s">
        <v>38</v>
      </c>
      <c r="B2529" s="2">
        <v>244.96899999999999</v>
      </c>
      <c r="C2529" s="2">
        <v>245.79599999999999</v>
      </c>
      <c r="D2529" s="2">
        <v>242.84299999999999</v>
      </c>
      <c r="E2529" s="2">
        <v>244.15299999999999</v>
      </c>
      <c r="F2529" s="2">
        <v>26933814</v>
      </c>
      <c r="G2529" s="2" t="s">
        <v>569</v>
      </c>
      <c r="H2529" s="2" t="s">
        <v>570</v>
      </c>
      <c r="I2529" s="2" t="s">
        <v>17</v>
      </c>
      <c r="J2529" s="3">
        <v>6.5000000000000002E-2</v>
      </c>
      <c r="K2529" s="2" t="s">
        <v>18</v>
      </c>
      <c r="L2529" s="2">
        <v>2023</v>
      </c>
      <c r="M2529" s="2" t="s">
        <v>19</v>
      </c>
      <c r="N2529" s="2" t="s">
        <v>21</v>
      </c>
      <c r="O2529">
        <f t="shared" si="78"/>
        <v>2.953000000000003</v>
      </c>
      <c r="P2529">
        <f t="shared" si="79"/>
        <v>3.8759999999999999</v>
      </c>
    </row>
    <row r="2530" spans="1:16" x14ac:dyDescent="0.35">
      <c r="A2530" s="9" t="s">
        <v>39</v>
      </c>
      <c r="B2530" s="2">
        <v>240.56200000000001</v>
      </c>
      <c r="C2530" s="2">
        <v>241.636</v>
      </c>
      <c r="D2530" s="2">
        <v>238.291</v>
      </c>
      <c r="E2530" s="2">
        <v>238.79300000000001</v>
      </c>
      <c r="F2530" s="2">
        <v>26291876</v>
      </c>
      <c r="G2530" s="2" t="s">
        <v>569</v>
      </c>
      <c r="H2530" s="2" t="s">
        <v>570</v>
      </c>
      <c r="I2530" s="2" t="s">
        <v>17</v>
      </c>
      <c r="J2530" s="4">
        <v>-2.1949999999999998</v>
      </c>
      <c r="K2530" s="2" t="s">
        <v>18</v>
      </c>
      <c r="L2530" s="2">
        <v>2023</v>
      </c>
      <c r="M2530" s="2" t="s">
        <v>19</v>
      </c>
      <c r="N2530" s="2" t="s">
        <v>23</v>
      </c>
      <c r="O2530">
        <f t="shared" si="78"/>
        <v>3.3449999999999989</v>
      </c>
      <c r="P2530">
        <f t="shared" si="79"/>
        <v>1.681</v>
      </c>
    </row>
    <row r="2531" spans="1:16" x14ac:dyDescent="0.35">
      <c r="A2531" s="9" t="s">
        <v>40</v>
      </c>
      <c r="B2531" s="2">
        <v>239.51900000000001</v>
      </c>
      <c r="C2531" s="2">
        <v>243.946</v>
      </c>
      <c r="D2531" s="2">
        <v>239.02199999999999</v>
      </c>
      <c r="E2531" s="2">
        <v>243.81</v>
      </c>
      <c r="F2531" s="2">
        <v>26976639</v>
      </c>
      <c r="G2531" s="2" t="s">
        <v>569</v>
      </c>
      <c r="H2531" s="2" t="s">
        <v>570</v>
      </c>
      <c r="I2531" s="2" t="s">
        <v>17</v>
      </c>
      <c r="J2531" s="3">
        <v>2.101</v>
      </c>
      <c r="K2531" s="2" t="s">
        <v>18</v>
      </c>
      <c r="L2531" s="2">
        <v>2023</v>
      </c>
      <c r="M2531" s="2" t="s">
        <v>19</v>
      </c>
      <c r="N2531" s="2" t="s">
        <v>21</v>
      </c>
      <c r="O2531">
        <f t="shared" si="78"/>
        <v>4.9240000000000066</v>
      </c>
      <c r="P2531">
        <f t="shared" si="79"/>
        <v>3.782</v>
      </c>
    </row>
    <row r="2532" spans="1:16" x14ac:dyDescent="0.35">
      <c r="A2532" s="9" t="s">
        <v>41</v>
      </c>
      <c r="B2532" s="2">
        <v>243.994</v>
      </c>
      <c r="C2532" s="2">
        <v>251.059</v>
      </c>
      <c r="D2532" s="2">
        <v>241.50800000000001</v>
      </c>
      <c r="E2532" s="2">
        <v>248.67099999999999</v>
      </c>
      <c r="F2532" s="2">
        <v>31772920</v>
      </c>
      <c r="G2532" s="2" t="s">
        <v>569</v>
      </c>
      <c r="H2532" s="2" t="s">
        <v>570</v>
      </c>
      <c r="I2532" s="2" t="s">
        <v>17</v>
      </c>
      <c r="J2532" s="3">
        <v>1.994</v>
      </c>
      <c r="K2532" s="2" t="s">
        <v>42</v>
      </c>
      <c r="L2532" s="2">
        <v>2023</v>
      </c>
      <c r="M2532" s="2" t="s">
        <v>43</v>
      </c>
      <c r="N2532" s="2" t="s">
        <v>21</v>
      </c>
      <c r="O2532">
        <f t="shared" si="78"/>
        <v>9.5509999999999877</v>
      </c>
      <c r="P2532">
        <f t="shared" si="79"/>
        <v>5.7759999999999998</v>
      </c>
    </row>
    <row r="2533" spans="1:16" x14ac:dyDescent="0.35">
      <c r="A2533" s="9" t="s">
        <v>44</v>
      </c>
      <c r="B2533" s="2">
        <v>254.64</v>
      </c>
      <c r="C2533" s="2">
        <v>260.416</v>
      </c>
      <c r="D2533" s="2">
        <v>253.095</v>
      </c>
      <c r="E2533" s="2">
        <v>260.32900000000001</v>
      </c>
      <c r="F2533" s="2">
        <v>40595902</v>
      </c>
      <c r="G2533" s="2" t="s">
        <v>569</v>
      </c>
      <c r="H2533" s="2" t="s">
        <v>570</v>
      </c>
      <c r="I2533" s="2" t="s">
        <v>17</v>
      </c>
      <c r="J2533" s="3">
        <v>4.6879999999999997</v>
      </c>
      <c r="K2533" s="2" t="s">
        <v>42</v>
      </c>
      <c r="L2533" s="2">
        <v>2023</v>
      </c>
      <c r="M2533" s="2" t="s">
        <v>43</v>
      </c>
      <c r="N2533" s="2" t="s">
        <v>21</v>
      </c>
      <c r="O2533">
        <f t="shared" si="78"/>
        <v>7.320999999999998</v>
      </c>
      <c r="P2533">
        <f t="shared" si="79"/>
        <v>10.463999999999999</v>
      </c>
    </row>
    <row r="2534" spans="1:16" x14ac:dyDescent="0.35">
      <c r="A2534" s="9" t="s">
        <v>45</v>
      </c>
      <c r="B2534" s="2">
        <v>255.352</v>
      </c>
      <c r="C2534" s="2">
        <v>259.93400000000003</v>
      </c>
      <c r="D2534" s="2">
        <v>252.95</v>
      </c>
      <c r="E2534" s="2">
        <v>254.179</v>
      </c>
      <c r="F2534" s="2">
        <v>29554444</v>
      </c>
      <c r="G2534" s="2" t="s">
        <v>569</v>
      </c>
      <c r="H2534" s="2" t="s">
        <v>570</v>
      </c>
      <c r="I2534" s="2" t="s">
        <v>17</v>
      </c>
      <c r="J2534" s="4">
        <v>-2.3620000000000001</v>
      </c>
      <c r="K2534" s="2" t="s">
        <v>42</v>
      </c>
      <c r="L2534" s="2">
        <v>2023</v>
      </c>
      <c r="M2534" s="2" t="s">
        <v>43</v>
      </c>
      <c r="N2534" s="2" t="s">
        <v>23</v>
      </c>
      <c r="O2534">
        <f t="shared" si="78"/>
        <v>6.9840000000000373</v>
      </c>
      <c r="P2534">
        <f t="shared" si="79"/>
        <v>8.1019999999999985</v>
      </c>
    </row>
    <row r="2535" spans="1:16" x14ac:dyDescent="0.35">
      <c r="A2535" s="9" t="s">
        <v>46</v>
      </c>
      <c r="B2535" s="2">
        <v>253.28399999999999</v>
      </c>
      <c r="C2535" s="2">
        <v>254.12899999999999</v>
      </c>
      <c r="D2535" s="2">
        <v>250.66499999999999</v>
      </c>
      <c r="E2535" s="2">
        <v>252.62299999999999</v>
      </c>
      <c r="F2535" s="2">
        <v>22887541</v>
      </c>
      <c r="G2535" s="2" t="s">
        <v>569</v>
      </c>
      <c r="H2535" s="2" t="s">
        <v>570</v>
      </c>
      <c r="I2535" s="2" t="s">
        <v>17</v>
      </c>
      <c r="J2535" s="4">
        <v>-0.61199999999999999</v>
      </c>
      <c r="K2535" s="2" t="s">
        <v>42</v>
      </c>
      <c r="L2535" s="2">
        <v>2023</v>
      </c>
      <c r="M2535" s="2" t="s">
        <v>43</v>
      </c>
      <c r="N2535" s="2" t="s">
        <v>23</v>
      </c>
      <c r="O2535">
        <f t="shared" si="78"/>
        <v>3.4639999999999986</v>
      </c>
      <c r="P2535">
        <f t="shared" si="79"/>
        <v>7.4899999999999984</v>
      </c>
    </row>
    <row r="2536" spans="1:16" x14ac:dyDescent="0.35">
      <c r="A2536" s="9" t="s">
        <v>47</v>
      </c>
      <c r="B2536" s="2">
        <v>256.32299999999998</v>
      </c>
      <c r="C2536" s="2">
        <v>264.43400000000003</v>
      </c>
      <c r="D2536" s="2">
        <v>255.881</v>
      </c>
      <c r="E2536" s="2">
        <v>263.24</v>
      </c>
      <c r="F2536" s="2">
        <v>51675726</v>
      </c>
      <c r="G2536" s="2" t="s">
        <v>569</v>
      </c>
      <c r="H2536" s="2" t="s">
        <v>570</v>
      </c>
      <c r="I2536" s="2" t="s">
        <v>17</v>
      </c>
      <c r="J2536" s="3">
        <v>4.2030000000000003</v>
      </c>
      <c r="K2536" s="2" t="s">
        <v>42</v>
      </c>
      <c r="L2536" s="2">
        <v>2023</v>
      </c>
      <c r="M2536" s="2" t="s">
        <v>43</v>
      </c>
      <c r="N2536" s="2" t="s">
        <v>21</v>
      </c>
      <c r="O2536">
        <f t="shared" si="78"/>
        <v>8.5530000000000257</v>
      </c>
      <c r="P2536">
        <f t="shared" si="79"/>
        <v>11.692999999999998</v>
      </c>
    </row>
    <row r="2537" spans="1:16" x14ac:dyDescent="0.35">
      <c r="A2537" s="9" t="s">
        <v>48</v>
      </c>
      <c r="B2537" s="2">
        <v>268.78899999999999</v>
      </c>
      <c r="C2537" s="2">
        <v>272.29199999999997</v>
      </c>
      <c r="D2537" s="2">
        <v>261.91199999999998</v>
      </c>
      <c r="E2537" s="2">
        <v>262.42399999999998</v>
      </c>
      <c r="F2537" s="2">
        <v>55583505</v>
      </c>
      <c r="G2537" s="2" t="s">
        <v>569</v>
      </c>
      <c r="H2537" s="2" t="s">
        <v>570</v>
      </c>
      <c r="I2537" s="2" t="s">
        <v>17</v>
      </c>
      <c r="J2537" s="4">
        <v>-0.31</v>
      </c>
      <c r="K2537" s="2" t="s">
        <v>42</v>
      </c>
      <c r="L2537" s="2">
        <v>2023</v>
      </c>
      <c r="M2537" s="2" t="s">
        <v>43</v>
      </c>
      <c r="N2537" s="2" t="s">
        <v>23</v>
      </c>
      <c r="O2537">
        <f t="shared" si="78"/>
        <v>10.379999999999995</v>
      </c>
      <c r="P2537">
        <f t="shared" si="79"/>
        <v>11.382999999999997</v>
      </c>
    </row>
    <row r="2538" spans="1:16" x14ac:dyDescent="0.35">
      <c r="A2538" s="9" t="s">
        <v>49</v>
      </c>
      <c r="B2538" s="2">
        <v>269.37799999999999</v>
      </c>
      <c r="C2538" s="2">
        <v>269.55599999999998</v>
      </c>
      <c r="D2538" s="2">
        <v>258.55500000000001</v>
      </c>
      <c r="E2538" s="2">
        <v>259.36399999999998</v>
      </c>
      <c r="F2538" s="2">
        <v>43070522</v>
      </c>
      <c r="G2538" s="2" t="s">
        <v>569</v>
      </c>
      <c r="H2538" s="2" t="s">
        <v>570</v>
      </c>
      <c r="I2538" s="2" t="s">
        <v>17</v>
      </c>
      <c r="J2538" s="4">
        <v>-1.1659999999999999</v>
      </c>
      <c r="K2538" s="2" t="s">
        <v>42</v>
      </c>
      <c r="L2538" s="2">
        <v>2023</v>
      </c>
      <c r="M2538" s="2" t="s">
        <v>43</v>
      </c>
      <c r="N2538" s="2" t="s">
        <v>23</v>
      </c>
      <c r="O2538">
        <f t="shared" si="78"/>
        <v>11.000999999999976</v>
      </c>
      <c r="P2538">
        <f t="shared" si="79"/>
        <v>10.216999999999997</v>
      </c>
    </row>
    <row r="2539" spans="1:16" x14ac:dyDescent="0.35">
      <c r="A2539" s="9" t="s">
        <v>50</v>
      </c>
      <c r="B2539" s="2">
        <v>257.30799999999999</v>
      </c>
      <c r="C2539" s="2">
        <v>259.827</v>
      </c>
      <c r="D2539" s="2">
        <v>256.45499999999998</v>
      </c>
      <c r="E2539" s="2">
        <v>258.85399999999998</v>
      </c>
      <c r="F2539" s="2">
        <v>26242197</v>
      </c>
      <c r="G2539" s="2" t="s">
        <v>569</v>
      </c>
      <c r="H2539" s="2" t="s">
        <v>570</v>
      </c>
      <c r="I2539" s="2" t="s">
        <v>17</v>
      </c>
      <c r="J2539" s="4">
        <v>-0.19700000000000001</v>
      </c>
      <c r="K2539" s="2" t="s">
        <v>42</v>
      </c>
      <c r="L2539" s="2">
        <v>2023</v>
      </c>
      <c r="M2539" s="2" t="s">
        <v>43</v>
      </c>
      <c r="N2539" s="2" t="s">
        <v>23</v>
      </c>
      <c r="O2539">
        <f t="shared" si="78"/>
        <v>3.3720000000000141</v>
      </c>
      <c r="P2539">
        <f t="shared" si="79"/>
        <v>10.019999999999998</v>
      </c>
    </row>
    <row r="2540" spans="1:16" x14ac:dyDescent="0.35">
      <c r="A2540" s="9" t="s">
        <v>51</v>
      </c>
      <c r="B2540" s="2">
        <v>263.31799999999998</v>
      </c>
      <c r="C2540" s="2">
        <v>270.16800000000001</v>
      </c>
      <c r="D2540" s="2">
        <v>262.83699999999999</v>
      </c>
      <c r="E2540" s="2">
        <v>266.94</v>
      </c>
      <c r="F2540" s="2">
        <v>45363362</v>
      </c>
      <c r="G2540" s="2" t="s">
        <v>569</v>
      </c>
      <c r="H2540" s="2" t="s">
        <v>570</v>
      </c>
      <c r="I2540" s="2" t="s">
        <v>17</v>
      </c>
      <c r="J2540" s="3">
        <v>3.1240000000000001</v>
      </c>
      <c r="K2540" s="2" t="s">
        <v>42</v>
      </c>
      <c r="L2540" s="2">
        <v>2023</v>
      </c>
      <c r="M2540" s="2" t="s">
        <v>43</v>
      </c>
      <c r="N2540" s="2" t="s">
        <v>21</v>
      </c>
      <c r="O2540">
        <f t="shared" si="78"/>
        <v>7.3310000000000173</v>
      </c>
      <c r="P2540">
        <f t="shared" si="79"/>
        <v>13.143999999999998</v>
      </c>
    </row>
    <row r="2541" spans="1:16" x14ac:dyDescent="0.35">
      <c r="A2541" s="9" t="s">
        <v>52</v>
      </c>
      <c r="B2541" s="2">
        <v>268.26799999999997</v>
      </c>
      <c r="C2541" s="2">
        <v>270.52999999999997</v>
      </c>
      <c r="D2541" s="2">
        <v>264.93200000000002</v>
      </c>
      <c r="E2541" s="2">
        <v>267.77499999999998</v>
      </c>
      <c r="F2541" s="2">
        <v>37655919</v>
      </c>
      <c r="G2541" s="2" t="s">
        <v>569</v>
      </c>
      <c r="H2541" s="2" t="s">
        <v>570</v>
      </c>
      <c r="I2541" s="2" t="s">
        <v>17</v>
      </c>
      <c r="J2541" s="3">
        <v>0.313</v>
      </c>
      <c r="K2541" s="2" t="s">
        <v>42</v>
      </c>
      <c r="L2541" s="2">
        <v>2023</v>
      </c>
      <c r="M2541" s="2" t="s">
        <v>43</v>
      </c>
      <c r="N2541" s="2" t="s">
        <v>21</v>
      </c>
      <c r="O2541">
        <f t="shared" si="78"/>
        <v>5.5979999999999563</v>
      </c>
      <c r="P2541">
        <f t="shared" si="79"/>
        <v>13.456999999999999</v>
      </c>
    </row>
    <row r="2542" spans="1:16" x14ac:dyDescent="0.35">
      <c r="A2542" s="9" t="s">
        <v>53</v>
      </c>
      <c r="B2542" s="2">
        <v>264.649</v>
      </c>
      <c r="C2542" s="2">
        <v>267.02600000000001</v>
      </c>
      <c r="D2542" s="2">
        <v>262.53800000000001</v>
      </c>
      <c r="E2542" s="2">
        <v>265.63499999999999</v>
      </c>
      <c r="F2542" s="2">
        <v>29363915</v>
      </c>
      <c r="G2542" s="2" t="s">
        <v>569</v>
      </c>
      <c r="H2542" s="2" t="s">
        <v>570</v>
      </c>
      <c r="I2542" s="2" t="s">
        <v>17</v>
      </c>
      <c r="J2542" s="4">
        <v>-0.79900000000000004</v>
      </c>
      <c r="K2542" s="2" t="s">
        <v>42</v>
      </c>
      <c r="L2542" s="2">
        <v>2023</v>
      </c>
      <c r="M2542" s="2" t="s">
        <v>43</v>
      </c>
      <c r="N2542" s="2" t="s">
        <v>23</v>
      </c>
      <c r="O2542">
        <f t="shared" si="78"/>
        <v>4.4879999999999995</v>
      </c>
      <c r="P2542">
        <f t="shared" si="79"/>
        <v>12.657999999999999</v>
      </c>
    </row>
    <row r="2543" spans="1:16" x14ac:dyDescent="0.35">
      <c r="A2543" s="9" t="s">
        <v>54</v>
      </c>
      <c r="B2543" s="2">
        <v>260.40899999999999</v>
      </c>
      <c r="C2543" s="2">
        <v>263.09100000000001</v>
      </c>
      <c r="D2543" s="2">
        <v>258.31700000000001</v>
      </c>
      <c r="E2543" s="2">
        <v>258.56200000000001</v>
      </c>
      <c r="F2543" s="2">
        <v>30014266</v>
      </c>
      <c r="G2543" s="2" t="s">
        <v>569</v>
      </c>
      <c r="H2543" s="2" t="s">
        <v>570</v>
      </c>
      <c r="I2543" s="2" t="s">
        <v>17</v>
      </c>
      <c r="J2543" s="4">
        <v>-2.6629999999999998</v>
      </c>
      <c r="K2543" s="2" t="s">
        <v>42</v>
      </c>
      <c r="L2543" s="2">
        <v>2023</v>
      </c>
      <c r="M2543" s="2" t="s">
        <v>43</v>
      </c>
      <c r="N2543" s="2" t="s">
        <v>23</v>
      </c>
      <c r="O2543">
        <f t="shared" si="78"/>
        <v>4.7740000000000009</v>
      </c>
      <c r="P2543">
        <f t="shared" si="79"/>
        <v>9.9949999999999992</v>
      </c>
    </row>
    <row r="2544" spans="1:16" x14ac:dyDescent="0.35">
      <c r="A2544" s="9" t="s">
        <v>55</v>
      </c>
      <c r="B2544" s="2">
        <v>255.84100000000001</v>
      </c>
      <c r="C2544" s="2">
        <v>256.53300000000002</v>
      </c>
      <c r="D2544" s="2">
        <v>252.49799999999999</v>
      </c>
      <c r="E2544" s="2">
        <v>254.53</v>
      </c>
      <c r="F2544" s="2">
        <v>30416204</v>
      </c>
      <c r="G2544" s="2" t="s">
        <v>569</v>
      </c>
      <c r="H2544" s="2" t="s">
        <v>570</v>
      </c>
      <c r="I2544" s="2" t="s">
        <v>17</v>
      </c>
      <c r="J2544" s="4">
        <v>-1.5589999999999999</v>
      </c>
      <c r="K2544" s="2" t="s">
        <v>42</v>
      </c>
      <c r="L2544" s="2">
        <v>2023</v>
      </c>
      <c r="M2544" s="2" t="s">
        <v>43</v>
      </c>
      <c r="N2544" s="2" t="s">
        <v>23</v>
      </c>
      <c r="O2544">
        <f t="shared" si="78"/>
        <v>4.035000000000025</v>
      </c>
      <c r="P2544">
        <f t="shared" si="79"/>
        <v>8.4359999999999999</v>
      </c>
    </row>
    <row r="2545" spans="1:16" x14ac:dyDescent="0.35">
      <c r="A2545" s="9" t="s">
        <v>56</v>
      </c>
      <c r="B2545" s="2">
        <v>251</v>
      </c>
      <c r="C2545" s="2">
        <v>251.995</v>
      </c>
      <c r="D2545" s="2">
        <v>248.149</v>
      </c>
      <c r="E2545" s="2">
        <v>249.21299999999999</v>
      </c>
      <c r="F2545" s="2">
        <v>28791362</v>
      </c>
      <c r="G2545" s="2" t="s">
        <v>569</v>
      </c>
      <c r="H2545" s="2" t="s">
        <v>570</v>
      </c>
      <c r="I2545" s="2" t="s">
        <v>17</v>
      </c>
      <c r="J2545" s="4">
        <v>-2.089</v>
      </c>
      <c r="K2545" s="2" t="s">
        <v>42</v>
      </c>
      <c r="L2545" s="2">
        <v>2023</v>
      </c>
      <c r="M2545" s="2" t="s">
        <v>43</v>
      </c>
      <c r="N2545" s="2" t="s">
        <v>23</v>
      </c>
      <c r="O2545">
        <f t="shared" si="78"/>
        <v>3.8460000000000036</v>
      </c>
      <c r="P2545">
        <f t="shared" si="79"/>
        <v>6.3469999999999995</v>
      </c>
    </row>
    <row r="2546" spans="1:16" x14ac:dyDescent="0.35">
      <c r="A2546" s="9" t="s">
        <v>57</v>
      </c>
      <c r="B2546" s="2">
        <v>250.613</v>
      </c>
      <c r="C2546" s="2">
        <v>250.86</v>
      </c>
      <c r="D2546" s="2">
        <v>246.91499999999999</v>
      </c>
      <c r="E2546" s="2">
        <v>248.06899999999999</v>
      </c>
      <c r="F2546" s="2">
        <v>22803043</v>
      </c>
      <c r="G2546" s="2" t="s">
        <v>569</v>
      </c>
      <c r="H2546" s="2" t="s">
        <v>570</v>
      </c>
      <c r="I2546" s="2" t="s">
        <v>17</v>
      </c>
      <c r="J2546" s="4">
        <v>-0.45900000000000002</v>
      </c>
      <c r="K2546" s="2" t="s">
        <v>42</v>
      </c>
      <c r="L2546" s="2">
        <v>2023</v>
      </c>
      <c r="M2546" s="2" t="s">
        <v>43</v>
      </c>
      <c r="N2546" s="2" t="s">
        <v>23</v>
      </c>
      <c r="O2546">
        <f t="shared" si="78"/>
        <v>3.9450000000000216</v>
      </c>
      <c r="P2546">
        <f t="shared" si="79"/>
        <v>5.8879999999999999</v>
      </c>
    </row>
    <row r="2547" spans="1:16" x14ac:dyDescent="0.35">
      <c r="A2547" s="9" t="s">
        <v>58</v>
      </c>
      <c r="B2547" s="2">
        <v>252.06399999999999</v>
      </c>
      <c r="C2547" s="2">
        <v>253.32599999999999</v>
      </c>
      <c r="D2547" s="2">
        <v>247.054</v>
      </c>
      <c r="E2547" s="2">
        <v>251.28399999999999</v>
      </c>
      <c r="F2547" s="2">
        <v>29624411</v>
      </c>
      <c r="G2547" s="2" t="s">
        <v>569</v>
      </c>
      <c r="H2547" s="2" t="s">
        <v>570</v>
      </c>
      <c r="I2547" s="2" t="s">
        <v>17</v>
      </c>
      <c r="J2547" s="3">
        <v>1.296</v>
      </c>
      <c r="K2547" s="2" t="s">
        <v>42</v>
      </c>
      <c r="L2547" s="2">
        <v>2023</v>
      </c>
      <c r="M2547" s="2" t="s">
        <v>43</v>
      </c>
      <c r="N2547" s="2" t="s">
        <v>21</v>
      </c>
      <c r="O2547">
        <f t="shared" si="78"/>
        <v>6.2719999999999914</v>
      </c>
      <c r="P2547">
        <f t="shared" si="79"/>
        <v>7.1840000000000002</v>
      </c>
    </row>
    <row r="2548" spans="1:16" x14ac:dyDescent="0.35">
      <c r="A2548" s="9" t="s">
        <v>59</v>
      </c>
      <c r="B2548" s="2">
        <v>246.542</v>
      </c>
      <c r="C2548" s="2">
        <v>247.566</v>
      </c>
      <c r="D2548" s="2">
        <v>244.70599999999999</v>
      </c>
      <c r="E2548" s="2">
        <v>245.81</v>
      </c>
      <c r="F2548" s="2">
        <v>25337569</v>
      </c>
      <c r="G2548" s="2" t="s">
        <v>569</v>
      </c>
      <c r="H2548" s="2" t="s">
        <v>570</v>
      </c>
      <c r="I2548" s="2" t="s">
        <v>17</v>
      </c>
      <c r="J2548" s="4">
        <v>-2.1779999999999999</v>
      </c>
      <c r="K2548" s="2" t="s">
        <v>42</v>
      </c>
      <c r="L2548" s="2">
        <v>2023</v>
      </c>
      <c r="M2548" s="2" t="s">
        <v>43</v>
      </c>
      <c r="N2548" s="2" t="s">
        <v>23</v>
      </c>
      <c r="O2548">
        <f t="shared" si="78"/>
        <v>2.8600000000000136</v>
      </c>
      <c r="P2548">
        <f t="shared" si="79"/>
        <v>5.0060000000000002</v>
      </c>
    </row>
    <row r="2549" spans="1:16" x14ac:dyDescent="0.35">
      <c r="A2549" s="9" t="s">
        <v>60</v>
      </c>
      <c r="B2549" s="2">
        <v>249.006</v>
      </c>
      <c r="C2549" s="2">
        <v>249.36199999999999</v>
      </c>
      <c r="D2549" s="2">
        <v>245.97900000000001</v>
      </c>
      <c r="E2549" s="2">
        <v>246.73599999999999</v>
      </c>
      <c r="F2549" s="2">
        <v>21483982</v>
      </c>
      <c r="G2549" s="2" t="s">
        <v>569</v>
      </c>
      <c r="H2549" s="2" t="s">
        <v>570</v>
      </c>
      <c r="I2549" s="2" t="s">
        <v>17</v>
      </c>
      <c r="J2549" s="3">
        <v>0.377</v>
      </c>
      <c r="K2549" s="2" t="s">
        <v>42</v>
      </c>
      <c r="L2549" s="2">
        <v>2023</v>
      </c>
      <c r="M2549" s="2" t="s">
        <v>43</v>
      </c>
      <c r="N2549" s="2" t="s">
        <v>21</v>
      </c>
      <c r="O2549">
        <f t="shared" si="78"/>
        <v>3.3829999999999814</v>
      </c>
      <c r="P2549">
        <f t="shared" si="79"/>
        <v>5.383</v>
      </c>
    </row>
    <row r="2550" spans="1:16" x14ac:dyDescent="0.35">
      <c r="A2550" s="9" t="s">
        <v>61</v>
      </c>
      <c r="B2550" s="2">
        <v>245.66200000000001</v>
      </c>
      <c r="C2550" s="2">
        <v>248.04900000000001</v>
      </c>
      <c r="D2550" s="2">
        <v>245.327</v>
      </c>
      <c r="E2550" s="2">
        <v>246.00899999999999</v>
      </c>
      <c r="F2550" s="2">
        <v>22802936</v>
      </c>
      <c r="G2550" s="2" t="s">
        <v>569</v>
      </c>
      <c r="H2550" s="2" t="s">
        <v>570</v>
      </c>
      <c r="I2550" s="2" t="s">
        <v>17</v>
      </c>
      <c r="J2550" s="4">
        <v>-0.29499999999999998</v>
      </c>
      <c r="K2550" s="2" t="s">
        <v>42</v>
      </c>
      <c r="L2550" s="2">
        <v>2023</v>
      </c>
      <c r="M2550" s="2" t="s">
        <v>43</v>
      </c>
      <c r="N2550" s="2" t="s">
        <v>23</v>
      </c>
      <c r="O2550">
        <f t="shared" si="78"/>
        <v>2.7220000000000084</v>
      </c>
      <c r="P2550">
        <f t="shared" si="79"/>
        <v>5.0880000000000001</v>
      </c>
    </row>
    <row r="2551" spans="1:16" x14ac:dyDescent="0.35">
      <c r="A2551" s="9" t="s">
        <v>62</v>
      </c>
      <c r="B2551" s="2">
        <v>247.328</v>
      </c>
      <c r="C2551" s="2">
        <v>247.49799999999999</v>
      </c>
      <c r="D2551" s="2">
        <v>242.42699999999999</v>
      </c>
      <c r="E2551" s="2">
        <v>242.9</v>
      </c>
      <c r="F2551" s="2">
        <v>27947633</v>
      </c>
      <c r="G2551" s="2" t="s">
        <v>569</v>
      </c>
      <c r="H2551" s="2" t="s">
        <v>570</v>
      </c>
      <c r="I2551" s="2" t="s">
        <v>17</v>
      </c>
      <c r="J2551" s="4">
        <v>-1.264</v>
      </c>
      <c r="K2551" s="2" t="s">
        <v>63</v>
      </c>
      <c r="L2551" s="2">
        <v>2023</v>
      </c>
      <c r="M2551" s="2" t="s">
        <v>64</v>
      </c>
      <c r="N2551" s="2" t="s">
        <v>23</v>
      </c>
      <c r="O2551">
        <f t="shared" si="78"/>
        <v>5.070999999999998</v>
      </c>
      <c r="P2551">
        <f t="shared" si="79"/>
        <v>3.8239999999999998</v>
      </c>
    </row>
    <row r="2552" spans="1:16" x14ac:dyDescent="0.35">
      <c r="A2552" s="9" t="s">
        <v>65</v>
      </c>
      <c r="B2552" s="2">
        <v>243.17699999999999</v>
      </c>
      <c r="C2552" s="2">
        <v>247.96100000000001</v>
      </c>
      <c r="D2552" s="2">
        <v>242.249</v>
      </c>
      <c r="E2552" s="2">
        <v>247.67500000000001</v>
      </c>
      <c r="F2552" s="2">
        <v>25178129</v>
      </c>
      <c r="G2552" s="2" t="s">
        <v>569</v>
      </c>
      <c r="H2552" s="2" t="s">
        <v>570</v>
      </c>
      <c r="I2552" s="2" t="s">
        <v>17</v>
      </c>
      <c r="J2552" s="3">
        <v>1.966</v>
      </c>
      <c r="K2552" s="2" t="s">
        <v>63</v>
      </c>
      <c r="L2552" s="2">
        <v>2023</v>
      </c>
      <c r="M2552" s="2" t="s">
        <v>64</v>
      </c>
      <c r="N2552" s="2" t="s">
        <v>21</v>
      </c>
      <c r="O2552">
        <f t="shared" si="78"/>
        <v>5.7120000000000175</v>
      </c>
      <c r="P2552">
        <f t="shared" si="79"/>
        <v>5.79</v>
      </c>
    </row>
    <row r="2553" spans="1:16" x14ac:dyDescent="0.35">
      <c r="A2553" s="9" t="s">
        <v>66</v>
      </c>
      <c r="B2553" s="2">
        <v>248.739</v>
      </c>
      <c r="C2553" s="2">
        <v>252.12200000000001</v>
      </c>
      <c r="D2553" s="2">
        <v>247.95099999999999</v>
      </c>
      <c r="E2553" s="2">
        <v>251.797</v>
      </c>
      <c r="F2553" s="2">
        <v>31186829</v>
      </c>
      <c r="G2553" s="2" t="s">
        <v>569</v>
      </c>
      <c r="H2553" s="2" t="s">
        <v>570</v>
      </c>
      <c r="I2553" s="2" t="s">
        <v>17</v>
      </c>
      <c r="J2553" s="3">
        <v>1.6639999999999999</v>
      </c>
      <c r="K2553" s="2" t="s">
        <v>63</v>
      </c>
      <c r="L2553" s="2">
        <v>2023</v>
      </c>
      <c r="M2553" s="2" t="s">
        <v>64</v>
      </c>
      <c r="N2553" s="2" t="s">
        <v>21</v>
      </c>
      <c r="O2553">
        <f t="shared" si="78"/>
        <v>4.1710000000000207</v>
      </c>
      <c r="P2553">
        <f t="shared" si="79"/>
        <v>7.4539999999999997</v>
      </c>
    </row>
    <row r="2554" spans="1:16" x14ac:dyDescent="0.35">
      <c r="A2554" s="9" t="s">
        <v>67</v>
      </c>
      <c r="B2554" s="2">
        <v>252.917</v>
      </c>
      <c r="C2554" s="2">
        <v>256.56099999999998</v>
      </c>
      <c r="D2554" s="2">
        <v>252.47800000000001</v>
      </c>
      <c r="E2554" s="2">
        <v>253.35499999999999</v>
      </c>
      <c r="F2554" s="2">
        <v>24444291</v>
      </c>
      <c r="G2554" s="2" t="s">
        <v>569</v>
      </c>
      <c r="H2554" s="2" t="s">
        <v>570</v>
      </c>
      <c r="I2554" s="2" t="s">
        <v>17</v>
      </c>
      <c r="J2554" s="3">
        <v>0.61899999999999999</v>
      </c>
      <c r="K2554" s="2" t="s">
        <v>63</v>
      </c>
      <c r="L2554" s="2">
        <v>2023</v>
      </c>
      <c r="M2554" s="2" t="s">
        <v>64</v>
      </c>
      <c r="N2554" s="2" t="s">
        <v>21</v>
      </c>
      <c r="O2554">
        <f t="shared" si="78"/>
        <v>4.08299999999997</v>
      </c>
      <c r="P2554">
        <f t="shared" si="79"/>
        <v>8.0730000000000004</v>
      </c>
    </row>
    <row r="2555" spans="1:16" x14ac:dyDescent="0.35">
      <c r="A2555" s="9" t="s">
        <v>68</v>
      </c>
      <c r="B2555" s="2">
        <v>252.79300000000001</v>
      </c>
      <c r="C2555" s="2">
        <v>254.16399999999999</v>
      </c>
      <c r="D2555" s="2">
        <v>249.923</v>
      </c>
      <c r="E2555" s="2">
        <v>250.672</v>
      </c>
      <c r="F2555" s="2">
        <v>21771046</v>
      </c>
      <c r="G2555" s="2" t="s">
        <v>569</v>
      </c>
      <c r="H2555" s="2" t="s">
        <v>570</v>
      </c>
      <c r="I2555" s="2" t="s">
        <v>17</v>
      </c>
      <c r="J2555" s="4">
        <v>-1.0589999999999999</v>
      </c>
      <c r="K2555" s="2" t="s">
        <v>63</v>
      </c>
      <c r="L2555" s="2">
        <v>2023</v>
      </c>
      <c r="M2555" s="2" t="s">
        <v>64</v>
      </c>
      <c r="N2555" s="2" t="s">
        <v>23</v>
      </c>
      <c r="O2555">
        <f t="shared" si="78"/>
        <v>4.2409999999999854</v>
      </c>
      <c r="P2555">
        <f t="shared" si="79"/>
        <v>7.0140000000000002</v>
      </c>
    </row>
    <row r="2556" spans="1:16" x14ac:dyDescent="0.35">
      <c r="A2556" s="9" t="s">
        <v>69</v>
      </c>
      <c r="B2556" s="2">
        <v>250.56299999999999</v>
      </c>
      <c r="C2556" s="2">
        <v>251.05799999999999</v>
      </c>
      <c r="D2556" s="2">
        <v>247.37799999999999</v>
      </c>
      <c r="E2556" s="2">
        <v>250.22900000000001</v>
      </c>
      <c r="F2556" s="2">
        <v>17580754</v>
      </c>
      <c r="G2556" s="2" t="s">
        <v>569</v>
      </c>
      <c r="H2556" s="2" t="s">
        <v>570</v>
      </c>
      <c r="I2556" s="2" t="s">
        <v>17</v>
      </c>
      <c r="J2556" s="4">
        <v>-0.17699999999999999</v>
      </c>
      <c r="K2556" s="2" t="s">
        <v>63</v>
      </c>
      <c r="L2556" s="2">
        <v>2023</v>
      </c>
      <c r="M2556" s="2" t="s">
        <v>64</v>
      </c>
      <c r="N2556" s="2" t="s">
        <v>23</v>
      </c>
      <c r="O2556">
        <f t="shared" si="78"/>
        <v>3.6800000000000068</v>
      </c>
      <c r="P2556">
        <f t="shared" si="79"/>
        <v>6.8370000000000006</v>
      </c>
    </row>
    <row r="2557" spans="1:16" x14ac:dyDescent="0.35">
      <c r="A2557" s="9" t="s">
        <v>70</v>
      </c>
      <c r="B2557" s="2">
        <v>252.32</v>
      </c>
      <c r="C2557" s="2">
        <v>256.01</v>
      </c>
      <c r="D2557" s="2">
        <v>248.13900000000001</v>
      </c>
      <c r="E2557" s="2">
        <v>248.86799999999999</v>
      </c>
      <c r="F2557" s="2">
        <v>27023112</v>
      </c>
      <c r="G2557" s="2" t="s">
        <v>569</v>
      </c>
      <c r="H2557" s="2" t="s">
        <v>570</v>
      </c>
      <c r="I2557" s="2" t="s">
        <v>17</v>
      </c>
      <c r="J2557" s="4">
        <v>-0.54400000000000004</v>
      </c>
      <c r="K2557" s="2" t="s">
        <v>63</v>
      </c>
      <c r="L2557" s="2">
        <v>2023</v>
      </c>
      <c r="M2557" s="2" t="s">
        <v>64</v>
      </c>
      <c r="N2557" s="2" t="s">
        <v>23</v>
      </c>
      <c r="O2557">
        <f t="shared" si="78"/>
        <v>7.8709999999999809</v>
      </c>
      <c r="P2557">
        <f t="shared" si="79"/>
        <v>6.293000000000001</v>
      </c>
    </row>
    <row r="2558" spans="1:16" x14ac:dyDescent="0.35">
      <c r="A2558" s="9" t="s">
        <v>71</v>
      </c>
      <c r="B2558" s="2">
        <v>247.64500000000001</v>
      </c>
      <c r="C2558" s="2">
        <v>249.33199999999999</v>
      </c>
      <c r="D2558" s="2">
        <v>244.21299999999999</v>
      </c>
      <c r="E2558" s="2">
        <v>245.18899999999999</v>
      </c>
      <c r="F2558" s="2">
        <v>28726967</v>
      </c>
      <c r="G2558" s="2" t="s">
        <v>569</v>
      </c>
      <c r="H2558" s="2" t="s">
        <v>570</v>
      </c>
      <c r="I2558" s="2" t="s">
        <v>17</v>
      </c>
      <c r="J2558" s="4">
        <v>-1.478</v>
      </c>
      <c r="K2558" s="2" t="s">
        <v>63</v>
      </c>
      <c r="L2558" s="2">
        <v>2023</v>
      </c>
      <c r="M2558" s="2" t="s">
        <v>64</v>
      </c>
      <c r="N2558" s="2" t="s">
        <v>23</v>
      </c>
      <c r="O2558">
        <f t="shared" si="78"/>
        <v>5.1189999999999998</v>
      </c>
      <c r="P2558">
        <f t="shared" si="79"/>
        <v>4.8150000000000013</v>
      </c>
    </row>
    <row r="2559" spans="1:16" x14ac:dyDescent="0.35">
      <c r="A2559" s="9" t="s">
        <v>72</v>
      </c>
      <c r="B2559" s="2">
        <v>244.01400000000001</v>
      </c>
      <c r="C2559" s="2">
        <v>254.381</v>
      </c>
      <c r="D2559" s="2">
        <v>242.36699999999999</v>
      </c>
      <c r="E2559" s="2">
        <v>250.447</v>
      </c>
      <c r="F2559" s="2">
        <v>33802197</v>
      </c>
      <c r="G2559" s="2" t="s">
        <v>569</v>
      </c>
      <c r="H2559" s="2" t="s">
        <v>570</v>
      </c>
      <c r="I2559" s="2" t="s">
        <v>17</v>
      </c>
      <c r="J2559" s="3">
        <v>2.1440000000000001</v>
      </c>
      <c r="K2559" s="2" t="s">
        <v>63</v>
      </c>
      <c r="L2559" s="2">
        <v>2023</v>
      </c>
      <c r="M2559" s="2" t="s">
        <v>64</v>
      </c>
      <c r="N2559" s="2" t="s">
        <v>21</v>
      </c>
      <c r="O2559">
        <f t="shared" si="78"/>
        <v>12.01400000000001</v>
      </c>
      <c r="P2559">
        <f t="shared" si="79"/>
        <v>6.9590000000000014</v>
      </c>
    </row>
    <row r="2560" spans="1:16" x14ac:dyDescent="0.35">
      <c r="A2560" s="9" t="s">
        <v>73</v>
      </c>
      <c r="B2560" s="2">
        <v>253.23699999999999</v>
      </c>
      <c r="C2560" s="2">
        <v>257.49900000000002</v>
      </c>
      <c r="D2560" s="2">
        <v>252.36</v>
      </c>
      <c r="E2560" s="2">
        <v>257.221</v>
      </c>
      <c r="F2560" s="2">
        <v>34086661</v>
      </c>
      <c r="G2560" s="2" t="s">
        <v>569</v>
      </c>
      <c r="H2560" s="2" t="s">
        <v>570</v>
      </c>
      <c r="I2560" s="2" t="s">
        <v>17</v>
      </c>
      <c r="J2560" s="3">
        <v>2.7050000000000001</v>
      </c>
      <c r="K2560" s="2" t="s">
        <v>63</v>
      </c>
      <c r="L2560" s="2">
        <v>2023</v>
      </c>
      <c r="M2560" s="2" t="s">
        <v>64</v>
      </c>
      <c r="N2560" s="2" t="s">
        <v>21</v>
      </c>
      <c r="O2560">
        <f t="shared" si="78"/>
        <v>5.13900000000001</v>
      </c>
      <c r="P2560">
        <f t="shared" si="79"/>
        <v>9.6640000000000015</v>
      </c>
    </row>
    <row r="2561" spans="1:16" x14ac:dyDescent="0.35">
      <c r="A2561" s="9" t="s">
        <v>74</v>
      </c>
      <c r="B2561" s="2">
        <v>256.42399999999998</v>
      </c>
      <c r="C2561" s="2">
        <v>262.834</v>
      </c>
      <c r="D2561" s="2">
        <v>255.66399999999999</v>
      </c>
      <c r="E2561" s="2">
        <v>261.80799999999999</v>
      </c>
      <c r="F2561" s="2">
        <v>46666530</v>
      </c>
      <c r="G2561" s="2" t="s">
        <v>569</v>
      </c>
      <c r="H2561" s="2" t="s">
        <v>570</v>
      </c>
      <c r="I2561" s="2" t="s">
        <v>17</v>
      </c>
      <c r="J2561" s="3">
        <v>1.7829999999999999</v>
      </c>
      <c r="K2561" s="2" t="s">
        <v>63</v>
      </c>
      <c r="L2561" s="2">
        <v>2023</v>
      </c>
      <c r="M2561" s="2" t="s">
        <v>64</v>
      </c>
      <c r="N2561" s="2" t="s">
        <v>21</v>
      </c>
      <c r="O2561">
        <f t="shared" si="78"/>
        <v>7.1700000000000159</v>
      </c>
      <c r="P2561">
        <f t="shared" si="79"/>
        <v>11.447000000000001</v>
      </c>
    </row>
    <row r="2562" spans="1:16" x14ac:dyDescent="0.35">
      <c r="A2562" s="9" t="s">
        <v>75</v>
      </c>
      <c r="B2562" s="2">
        <v>261.577</v>
      </c>
      <c r="C2562" s="2">
        <v>272.77600000000001</v>
      </c>
      <c r="D2562" s="2">
        <v>259.678</v>
      </c>
      <c r="E2562" s="2">
        <v>272.42200000000003</v>
      </c>
      <c r="F2562" s="2">
        <v>55592750</v>
      </c>
      <c r="G2562" s="2" t="s">
        <v>569</v>
      </c>
      <c r="H2562" s="2" t="s">
        <v>570</v>
      </c>
      <c r="I2562" s="2" t="s">
        <v>17</v>
      </c>
      <c r="J2562" s="3">
        <v>4.0540000000000003</v>
      </c>
      <c r="K2562" s="2" t="s">
        <v>63</v>
      </c>
      <c r="L2562" s="2">
        <v>2023</v>
      </c>
      <c r="M2562" s="2" t="s">
        <v>64</v>
      </c>
      <c r="N2562" s="2" t="s">
        <v>21</v>
      </c>
      <c r="O2562">
        <f t="shared" si="78"/>
        <v>13.098000000000013</v>
      </c>
      <c r="P2562">
        <f t="shared" si="79"/>
        <v>15.501000000000001</v>
      </c>
    </row>
    <row r="2563" spans="1:16" x14ac:dyDescent="0.35">
      <c r="A2563" s="9" t="s">
        <v>76</v>
      </c>
      <c r="B2563" s="2">
        <v>274.45299999999997</v>
      </c>
      <c r="C2563" s="2">
        <v>279.45400000000001</v>
      </c>
      <c r="D2563" s="2">
        <v>272.53899999999999</v>
      </c>
      <c r="E2563" s="2">
        <v>275.60500000000002</v>
      </c>
      <c r="F2563" s="2">
        <v>70491828</v>
      </c>
      <c r="G2563" s="2" t="s">
        <v>569</v>
      </c>
      <c r="H2563" s="2" t="s">
        <v>570</v>
      </c>
      <c r="I2563" s="2" t="s">
        <v>17</v>
      </c>
      <c r="J2563" s="3">
        <v>1.1679999999999999</v>
      </c>
      <c r="K2563" s="2" t="s">
        <v>63</v>
      </c>
      <c r="L2563" s="2">
        <v>2023</v>
      </c>
      <c r="M2563" s="2" t="s">
        <v>64</v>
      </c>
      <c r="N2563" s="2" t="s">
        <v>21</v>
      </c>
      <c r="O2563">
        <f t="shared" ref="O2563:O2626" si="80">C2563-D2563</f>
        <v>6.9150000000000205</v>
      </c>
      <c r="P2563">
        <f t="shared" si="79"/>
        <v>16.669</v>
      </c>
    </row>
    <row r="2564" spans="1:16" x14ac:dyDescent="0.35">
      <c r="A2564" s="9" t="s">
        <v>77</v>
      </c>
      <c r="B2564" s="2">
        <v>273.19</v>
      </c>
      <c r="C2564" s="2">
        <v>273.68299999999999</v>
      </c>
      <c r="D2564" s="2">
        <v>266.15699999999998</v>
      </c>
      <c r="E2564" s="2">
        <v>268.50599999999997</v>
      </c>
      <c r="F2564" s="2">
        <v>44069602</v>
      </c>
      <c r="G2564" s="2" t="s">
        <v>569</v>
      </c>
      <c r="H2564" s="2" t="s">
        <v>570</v>
      </c>
      <c r="I2564" s="2" t="s">
        <v>17</v>
      </c>
      <c r="J2564" s="4">
        <v>-2.5760000000000001</v>
      </c>
      <c r="K2564" s="2" t="s">
        <v>63</v>
      </c>
      <c r="L2564" s="2">
        <v>2023</v>
      </c>
      <c r="M2564" s="2" t="s">
        <v>64</v>
      </c>
      <c r="N2564" s="2" t="s">
        <v>23</v>
      </c>
      <c r="O2564">
        <f t="shared" si="80"/>
        <v>7.5260000000000105</v>
      </c>
      <c r="P2564">
        <f t="shared" ref="P2564:P2627" si="81">IF(G2564=G2563, P2563+J2564, J2564)</f>
        <v>14.093</v>
      </c>
    </row>
    <row r="2565" spans="1:16" x14ac:dyDescent="0.35">
      <c r="A2565" s="9" t="s">
        <v>78</v>
      </c>
      <c r="B2565" s="2">
        <v>271.11900000000003</v>
      </c>
      <c r="C2565" s="2">
        <v>271.23700000000002</v>
      </c>
      <c r="D2565" s="2">
        <v>265.83199999999999</v>
      </c>
      <c r="E2565" s="2">
        <v>270.03399999999999</v>
      </c>
      <c r="F2565" s="2">
        <v>35038089</v>
      </c>
      <c r="G2565" s="2" t="s">
        <v>569</v>
      </c>
      <c r="H2565" s="2" t="s">
        <v>570</v>
      </c>
      <c r="I2565" s="2" t="s">
        <v>17</v>
      </c>
      <c r="J2565" s="3">
        <v>0.56899999999999995</v>
      </c>
      <c r="K2565" s="2" t="s">
        <v>63</v>
      </c>
      <c r="L2565" s="2">
        <v>2023</v>
      </c>
      <c r="M2565" s="2" t="s">
        <v>64</v>
      </c>
      <c r="N2565" s="2" t="s">
        <v>21</v>
      </c>
      <c r="O2565">
        <f t="shared" si="80"/>
        <v>5.4050000000000296</v>
      </c>
      <c r="P2565">
        <f t="shared" si="81"/>
        <v>14.661999999999999</v>
      </c>
    </row>
    <row r="2566" spans="1:16" x14ac:dyDescent="0.35">
      <c r="A2566" s="9" t="s">
        <v>79</v>
      </c>
      <c r="B2566" s="2">
        <v>269.661</v>
      </c>
      <c r="C2566" s="2">
        <v>277.19499999999999</v>
      </c>
      <c r="D2566" s="2">
        <v>268.45600000000002</v>
      </c>
      <c r="E2566" s="2">
        <v>268.565</v>
      </c>
      <c r="F2566" s="2">
        <v>35357079</v>
      </c>
      <c r="G2566" s="2" t="s">
        <v>569</v>
      </c>
      <c r="H2566" s="2" t="s">
        <v>570</v>
      </c>
      <c r="I2566" s="2" t="s">
        <v>17</v>
      </c>
      <c r="J2566" s="4">
        <v>-0.54400000000000004</v>
      </c>
      <c r="K2566" s="2" t="s">
        <v>63</v>
      </c>
      <c r="L2566" s="2">
        <v>2023</v>
      </c>
      <c r="M2566" s="2" t="s">
        <v>64</v>
      </c>
      <c r="N2566" s="2" t="s">
        <v>23</v>
      </c>
      <c r="O2566">
        <f t="shared" si="80"/>
        <v>8.7389999999999759</v>
      </c>
      <c r="P2566">
        <f t="shared" si="81"/>
        <v>14.117999999999999</v>
      </c>
    </row>
    <row r="2567" spans="1:16" x14ac:dyDescent="0.35">
      <c r="A2567" s="9" t="s">
        <v>80</v>
      </c>
      <c r="B2567" s="2">
        <v>274.137</v>
      </c>
      <c r="C2567" s="2">
        <v>277.21300000000002</v>
      </c>
      <c r="D2567" s="2">
        <v>271.43599999999998</v>
      </c>
      <c r="E2567" s="2">
        <v>273.86099999999999</v>
      </c>
      <c r="F2567" s="2">
        <v>37118731</v>
      </c>
      <c r="G2567" s="2" t="s">
        <v>569</v>
      </c>
      <c r="H2567" s="2" t="s">
        <v>570</v>
      </c>
      <c r="I2567" s="2" t="s">
        <v>17</v>
      </c>
      <c r="J2567" s="3">
        <v>1.972</v>
      </c>
      <c r="K2567" s="2" t="s">
        <v>63</v>
      </c>
      <c r="L2567" s="2">
        <v>2023</v>
      </c>
      <c r="M2567" s="2" t="s">
        <v>64</v>
      </c>
      <c r="N2567" s="2" t="s">
        <v>21</v>
      </c>
      <c r="O2567">
        <f t="shared" si="80"/>
        <v>5.7770000000000437</v>
      </c>
      <c r="P2567">
        <f t="shared" si="81"/>
        <v>16.09</v>
      </c>
    </row>
    <row r="2568" spans="1:16" x14ac:dyDescent="0.35">
      <c r="A2568" s="9" t="s">
        <v>81</v>
      </c>
      <c r="B2568" s="2">
        <v>273.447</v>
      </c>
      <c r="C2568" s="2">
        <v>276.79000000000002</v>
      </c>
      <c r="D2568" s="2">
        <v>271.51499999999999</v>
      </c>
      <c r="E2568" s="2">
        <v>276.73099999999999</v>
      </c>
      <c r="F2568" s="2">
        <v>28591141</v>
      </c>
      <c r="G2568" s="2" t="s">
        <v>569</v>
      </c>
      <c r="H2568" s="2" t="s">
        <v>570</v>
      </c>
      <c r="I2568" s="2" t="s">
        <v>17</v>
      </c>
      <c r="J2568" s="3">
        <v>1.048</v>
      </c>
      <c r="K2568" s="2" t="s">
        <v>63</v>
      </c>
      <c r="L2568" s="2">
        <v>2023</v>
      </c>
      <c r="M2568" s="2" t="s">
        <v>64</v>
      </c>
      <c r="N2568" s="2" t="s">
        <v>21</v>
      </c>
      <c r="O2568">
        <f t="shared" si="80"/>
        <v>5.2750000000000341</v>
      </c>
      <c r="P2568">
        <f t="shared" si="81"/>
        <v>17.137999999999998</v>
      </c>
    </row>
    <row r="2569" spans="1:16" x14ac:dyDescent="0.35">
      <c r="A2569" s="9" t="s">
        <v>82</v>
      </c>
      <c r="B2569" s="2">
        <v>276.66199999999998</v>
      </c>
      <c r="C2569" s="2">
        <v>277.608</v>
      </c>
      <c r="D2569" s="2">
        <v>271.75</v>
      </c>
      <c r="E2569" s="2">
        <v>272.59800000000001</v>
      </c>
      <c r="F2569" s="2">
        <v>27212529</v>
      </c>
      <c r="G2569" s="2" t="s">
        <v>569</v>
      </c>
      <c r="H2569" s="2" t="s">
        <v>570</v>
      </c>
      <c r="I2569" s="2" t="s">
        <v>17</v>
      </c>
      <c r="J2569" s="4">
        <v>-1.494</v>
      </c>
      <c r="K2569" s="2" t="s">
        <v>63</v>
      </c>
      <c r="L2569" s="2">
        <v>2023</v>
      </c>
      <c r="M2569" s="2" t="s">
        <v>64</v>
      </c>
      <c r="N2569" s="2" t="s">
        <v>23</v>
      </c>
      <c r="O2569">
        <f t="shared" si="80"/>
        <v>5.8580000000000041</v>
      </c>
      <c r="P2569">
        <f t="shared" si="81"/>
        <v>15.643999999999998</v>
      </c>
    </row>
    <row r="2570" spans="1:16" x14ac:dyDescent="0.35">
      <c r="A2570" s="9" t="s">
        <v>83</v>
      </c>
      <c r="B2570" s="2">
        <v>272.017</v>
      </c>
      <c r="C2570" s="2">
        <v>272.363</v>
      </c>
      <c r="D2570" s="2">
        <v>268.322</v>
      </c>
      <c r="E2570" s="2">
        <v>271.46499999999997</v>
      </c>
      <c r="F2570" s="2">
        <v>22182139</v>
      </c>
      <c r="G2570" s="2" t="s">
        <v>569</v>
      </c>
      <c r="H2570" s="2" t="s">
        <v>570</v>
      </c>
      <c r="I2570" s="2" t="s">
        <v>17</v>
      </c>
      <c r="J2570" s="4">
        <v>-0.41599999999999998</v>
      </c>
      <c r="K2570" s="2" t="s">
        <v>63</v>
      </c>
      <c r="L2570" s="2">
        <v>2023</v>
      </c>
      <c r="M2570" s="2" t="s">
        <v>64</v>
      </c>
      <c r="N2570" s="2" t="s">
        <v>23</v>
      </c>
      <c r="O2570">
        <f t="shared" si="80"/>
        <v>4.0409999999999968</v>
      </c>
      <c r="P2570">
        <f t="shared" si="81"/>
        <v>15.227999999999998</v>
      </c>
    </row>
    <row r="2571" spans="1:16" x14ac:dyDescent="0.35">
      <c r="A2571" s="9" t="s">
        <v>84</v>
      </c>
      <c r="B2571" s="2">
        <v>275.14299999999997</v>
      </c>
      <c r="C2571" s="2">
        <v>277.29300000000001</v>
      </c>
      <c r="D2571" s="2">
        <v>274.60000000000002</v>
      </c>
      <c r="E2571" s="2">
        <v>276.67099999999999</v>
      </c>
      <c r="F2571" s="2">
        <v>25435029</v>
      </c>
      <c r="G2571" s="2" t="s">
        <v>569</v>
      </c>
      <c r="H2571" s="2" t="s">
        <v>570</v>
      </c>
      <c r="I2571" s="2" t="s">
        <v>17</v>
      </c>
      <c r="J2571" s="3">
        <v>1.9179999999999999</v>
      </c>
      <c r="K2571" s="2" t="s">
        <v>63</v>
      </c>
      <c r="L2571" s="2">
        <v>2023</v>
      </c>
      <c r="M2571" s="2" t="s">
        <v>64</v>
      </c>
      <c r="N2571" s="2" t="s">
        <v>21</v>
      </c>
      <c r="O2571">
        <f t="shared" si="80"/>
        <v>2.6929999999999836</v>
      </c>
      <c r="P2571">
        <f t="shared" si="81"/>
        <v>17.145999999999997</v>
      </c>
    </row>
    <row r="2572" spans="1:16" x14ac:dyDescent="0.35">
      <c r="A2572" s="9" t="s">
        <v>85</v>
      </c>
      <c r="B2572" s="2">
        <v>280.34199999999998</v>
      </c>
      <c r="C2572" s="2">
        <v>280.56700000000001</v>
      </c>
      <c r="D2572" s="2">
        <v>277.62900000000002</v>
      </c>
      <c r="E2572" s="2">
        <v>280.16300000000001</v>
      </c>
      <c r="F2572" s="2">
        <v>25400941</v>
      </c>
      <c r="G2572" s="2" t="s">
        <v>569</v>
      </c>
      <c r="H2572" s="2" t="s">
        <v>570</v>
      </c>
      <c r="I2572" s="2" t="s">
        <v>17</v>
      </c>
      <c r="J2572" s="3">
        <v>1.262</v>
      </c>
      <c r="K2572" s="2" t="s">
        <v>63</v>
      </c>
      <c r="L2572" s="2">
        <v>2023</v>
      </c>
      <c r="M2572" s="2" t="s">
        <v>64</v>
      </c>
      <c r="N2572" s="2" t="s">
        <v>21</v>
      </c>
      <c r="O2572">
        <f t="shared" si="80"/>
        <v>2.9379999999999882</v>
      </c>
      <c r="P2572">
        <f t="shared" si="81"/>
        <v>18.407999999999998</v>
      </c>
    </row>
    <row r="2573" spans="1:16" x14ac:dyDescent="0.35">
      <c r="A2573" s="9" t="s">
        <v>86</v>
      </c>
      <c r="B2573" s="2">
        <v>279.84899999999999</v>
      </c>
      <c r="C2573" s="2">
        <v>285.31200000000001</v>
      </c>
      <c r="D2573" s="2">
        <v>279.12799999999999</v>
      </c>
      <c r="E2573" s="2">
        <v>284.35500000000002</v>
      </c>
      <c r="F2573" s="2">
        <v>33220493</v>
      </c>
      <c r="G2573" s="2" t="s">
        <v>569</v>
      </c>
      <c r="H2573" s="2" t="s">
        <v>570</v>
      </c>
      <c r="I2573" s="2" t="s">
        <v>17</v>
      </c>
      <c r="J2573" s="3">
        <v>1.496</v>
      </c>
      <c r="K2573" s="2" t="s">
        <v>63</v>
      </c>
      <c r="L2573" s="2">
        <v>2023</v>
      </c>
      <c r="M2573" s="2" t="s">
        <v>64</v>
      </c>
      <c r="N2573" s="2" t="s">
        <v>21</v>
      </c>
      <c r="O2573">
        <f t="shared" si="80"/>
        <v>6.1840000000000259</v>
      </c>
      <c r="P2573">
        <f t="shared" si="81"/>
        <v>19.903999999999996</v>
      </c>
    </row>
    <row r="2574" spans="1:16" x14ac:dyDescent="0.35">
      <c r="A2574" s="9" t="s">
        <v>87</v>
      </c>
      <c r="B2574" s="2">
        <v>282.59899999999999</v>
      </c>
      <c r="C2574" s="2">
        <v>284.32600000000002</v>
      </c>
      <c r="D2574" s="2">
        <v>280.06400000000002</v>
      </c>
      <c r="E2574" s="2">
        <v>283.29899999999998</v>
      </c>
      <c r="F2574" s="2">
        <v>25228514</v>
      </c>
      <c r="G2574" s="2" t="s">
        <v>569</v>
      </c>
      <c r="H2574" s="2" t="s">
        <v>570</v>
      </c>
      <c r="I2574" s="2" t="s">
        <v>17</v>
      </c>
      <c r="J2574" s="4">
        <v>-0.371</v>
      </c>
      <c r="K2574" s="2" t="s">
        <v>88</v>
      </c>
      <c r="L2574" s="2">
        <v>2023</v>
      </c>
      <c r="M2574" s="2" t="s">
        <v>89</v>
      </c>
      <c r="N2574" s="2" t="s">
        <v>23</v>
      </c>
      <c r="O2574">
        <f t="shared" si="80"/>
        <v>4.2620000000000005</v>
      </c>
      <c r="P2574">
        <f t="shared" si="81"/>
        <v>19.532999999999998</v>
      </c>
    </row>
    <row r="2575" spans="1:16" x14ac:dyDescent="0.35">
      <c r="A2575" s="9" t="s">
        <v>90</v>
      </c>
      <c r="B2575" s="2">
        <v>283.29899999999998</v>
      </c>
      <c r="C2575" s="2">
        <v>286.476</v>
      </c>
      <c r="D2575" s="2">
        <v>281.762</v>
      </c>
      <c r="E2575" s="2">
        <v>283.25099999999998</v>
      </c>
      <c r="F2575" s="2">
        <v>26182524</v>
      </c>
      <c r="G2575" s="2" t="s">
        <v>569</v>
      </c>
      <c r="H2575" s="2" t="s">
        <v>570</v>
      </c>
      <c r="I2575" s="2" t="s">
        <v>17</v>
      </c>
      <c r="J2575" s="4">
        <v>-1.7000000000000001E-2</v>
      </c>
      <c r="K2575" s="2" t="s">
        <v>88</v>
      </c>
      <c r="L2575" s="2">
        <v>2023</v>
      </c>
      <c r="M2575" s="2" t="s">
        <v>89</v>
      </c>
      <c r="N2575" s="2" t="s">
        <v>23</v>
      </c>
      <c r="O2575">
        <f t="shared" si="80"/>
        <v>4.7139999999999986</v>
      </c>
      <c r="P2575">
        <f t="shared" si="81"/>
        <v>19.515999999999998</v>
      </c>
    </row>
    <row r="2576" spans="1:16" x14ac:dyDescent="0.35">
      <c r="A2576" s="9" t="s">
        <v>91</v>
      </c>
      <c r="B2576" s="2">
        <v>281.93900000000002</v>
      </c>
      <c r="C2576" s="2">
        <v>283.221</v>
      </c>
      <c r="D2576" s="2">
        <v>279.04899999999998</v>
      </c>
      <c r="E2576" s="2">
        <v>280.45100000000002</v>
      </c>
      <c r="F2576" s="2">
        <v>22370844</v>
      </c>
      <c r="G2576" s="2" t="s">
        <v>569</v>
      </c>
      <c r="H2576" s="2" t="s">
        <v>570</v>
      </c>
      <c r="I2576" s="2" t="s">
        <v>17</v>
      </c>
      <c r="J2576" s="4">
        <v>-0.98899999999999999</v>
      </c>
      <c r="K2576" s="2" t="s">
        <v>88</v>
      </c>
      <c r="L2576" s="2">
        <v>2023</v>
      </c>
      <c r="M2576" s="2" t="s">
        <v>89</v>
      </c>
      <c r="N2576" s="2" t="s">
        <v>23</v>
      </c>
      <c r="O2576">
        <f t="shared" si="80"/>
        <v>4.1720000000000255</v>
      </c>
      <c r="P2576">
        <f t="shared" si="81"/>
        <v>18.526999999999997</v>
      </c>
    </row>
    <row r="2577" spans="1:16" x14ac:dyDescent="0.35">
      <c r="A2577" s="9" t="s">
        <v>92</v>
      </c>
      <c r="B2577" s="2">
        <v>279.33600000000001</v>
      </c>
      <c r="C2577" s="2">
        <v>288.08300000000003</v>
      </c>
      <c r="D2577" s="2">
        <v>278.17099999999999</v>
      </c>
      <c r="E2577" s="2">
        <v>287.61</v>
      </c>
      <c r="F2577" s="2">
        <v>30183296</v>
      </c>
      <c r="G2577" s="2" t="s">
        <v>569</v>
      </c>
      <c r="H2577" s="2" t="s">
        <v>570</v>
      </c>
      <c r="I2577" s="2" t="s">
        <v>17</v>
      </c>
      <c r="J2577" s="3">
        <v>2.5529999999999999</v>
      </c>
      <c r="K2577" s="2" t="s">
        <v>88</v>
      </c>
      <c r="L2577" s="2">
        <v>2023</v>
      </c>
      <c r="M2577" s="2" t="s">
        <v>89</v>
      </c>
      <c r="N2577" s="2" t="s">
        <v>21</v>
      </c>
      <c r="O2577">
        <f t="shared" si="80"/>
        <v>9.9120000000000346</v>
      </c>
      <c r="P2577">
        <f t="shared" si="81"/>
        <v>21.08</v>
      </c>
    </row>
    <row r="2578" spans="1:16" x14ac:dyDescent="0.35">
      <c r="A2578" s="9" t="s">
        <v>93</v>
      </c>
      <c r="B2578" s="2">
        <v>285.25200000000001</v>
      </c>
      <c r="C2578" s="2">
        <v>285.637</v>
      </c>
      <c r="D2578" s="2">
        <v>280.81599999999997</v>
      </c>
      <c r="E2578" s="2">
        <v>285.43099999999998</v>
      </c>
      <c r="F2578" s="2">
        <v>23423470</v>
      </c>
      <c r="G2578" s="2" t="s">
        <v>569</v>
      </c>
      <c r="H2578" s="2" t="s">
        <v>570</v>
      </c>
      <c r="I2578" s="2" t="s">
        <v>17</v>
      </c>
      <c r="J2578" s="4">
        <v>-0.75800000000000001</v>
      </c>
      <c r="K2578" s="2" t="s">
        <v>88</v>
      </c>
      <c r="L2578" s="2">
        <v>2023</v>
      </c>
      <c r="M2578" s="2" t="s">
        <v>89</v>
      </c>
      <c r="N2578" s="2" t="s">
        <v>23</v>
      </c>
      <c r="O2578">
        <f t="shared" si="80"/>
        <v>4.8210000000000264</v>
      </c>
      <c r="P2578">
        <f t="shared" si="81"/>
        <v>20.321999999999999</v>
      </c>
    </row>
    <row r="2579" spans="1:16" x14ac:dyDescent="0.35">
      <c r="A2579" s="9" t="s">
        <v>94</v>
      </c>
      <c r="B2579" s="2">
        <v>281.84199999999998</v>
      </c>
      <c r="C2579" s="2">
        <v>282.06599999999997</v>
      </c>
      <c r="D2579" s="2">
        <v>277.786</v>
      </c>
      <c r="E2579" s="2">
        <v>278.96100000000001</v>
      </c>
      <c r="F2579" s="2">
        <v>27654959</v>
      </c>
      <c r="G2579" s="2" t="s">
        <v>569</v>
      </c>
      <c r="H2579" s="2" t="s">
        <v>570</v>
      </c>
      <c r="I2579" s="2" t="s">
        <v>17</v>
      </c>
      <c r="J2579" s="4">
        <v>-2.2669999999999999</v>
      </c>
      <c r="K2579" s="2" t="s">
        <v>88</v>
      </c>
      <c r="L2579" s="2">
        <v>2023</v>
      </c>
      <c r="M2579" s="2" t="s">
        <v>89</v>
      </c>
      <c r="N2579" s="2" t="s">
        <v>23</v>
      </c>
      <c r="O2579">
        <f t="shared" si="80"/>
        <v>4.2799999999999727</v>
      </c>
      <c r="P2579">
        <f t="shared" si="81"/>
        <v>18.055</v>
      </c>
    </row>
    <row r="2580" spans="1:16" x14ac:dyDescent="0.35">
      <c r="A2580" s="9" t="s">
        <v>95</v>
      </c>
      <c r="B2580" s="2">
        <v>280.89499999999998</v>
      </c>
      <c r="C2580" s="2">
        <v>283.08300000000003</v>
      </c>
      <c r="D2580" s="2">
        <v>278.10199999999998</v>
      </c>
      <c r="E2580" s="2">
        <v>279.61099999999999</v>
      </c>
      <c r="F2580" s="2">
        <v>27783562</v>
      </c>
      <c r="G2580" s="2" t="s">
        <v>569</v>
      </c>
      <c r="H2580" s="2" t="s">
        <v>570</v>
      </c>
      <c r="I2580" s="2" t="s">
        <v>17</v>
      </c>
      <c r="J2580" s="3">
        <v>0.23300000000000001</v>
      </c>
      <c r="K2580" s="2" t="s">
        <v>88</v>
      </c>
      <c r="L2580" s="2">
        <v>2023</v>
      </c>
      <c r="M2580" s="2" t="s">
        <v>89</v>
      </c>
      <c r="N2580" s="2" t="s">
        <v>21</v>
      </c>
      <c r="O2580">
        <f t="shared" si="80"/>
        <v>4.9810000000000514</v>
      </c>
      <c r="P2580">
        <f t="shared" si="81"/>
        <v>18.288</v>
      </c>
    </row>
    <row r="2581" spans="1:16" x14ac:dyDescent="0.35">
      <c r="A2581" s="9" t="s">
        <v>96</v>
      </c>
      <c r="B2581" s="2">
        <v>279.70999999999998</v>
      </c>
      <c r="C2581" s="2">
        <v>285.93400000000003</v>
      </c>
      <c r="D2581" s="2">
        <v>279.29599999999999</v>
      </c>
      <c r="E2581" s="2">
        <v>285.87400000000002</v>
      </c>
      <c r="F2581" s="2">
        <v>24558685</v>
      </c>
      <c r="G2581" s="2" t="s">
        <v>569</v>
      </c>
      <c r="H2581" s="2" t="s">
        <v>570</v>
      </c>
      <c r="I2581" s="2" t="s">
        <v>17</v>
      </c>
      <c r="J2581" s="3">
        <v>2.2400000000000002</v>
      </c>
      <c r="K2581" s="2" t="s">
        <v>88</v>
      </c>
      <c r="L2581" s="2">
        <v>2023</v>
      </c>
      <c r="M2581" s="2" t="s">
        <v>89</v>
      </c>
      <c r="N2581" s="2" t="s">
        <v>21</v>
      </c>
      <c r="O2581">
        <f t="shared" si="80"/>
        <v>6.6380000000000337</v>
      </c>
      <c r="P2581">
        <f t="shared" si="81"/>
        <v>20.527999999999999</v>
      </c>
    </row>
    <row r="2582" spans="1:16" x14ac:dyDescent="0.35">
      <c r="A2582" s="9" t="s">
        <v>97</v>
      </c>
      <c r="B2582" s="2">
        <v>283.07299999999998</v>
      </c>
      <c r="C2582" s="2">
        <v>284.53300000000002</v>
      </c>
      <c r="D2582" s="2">
        <v>279.80900000000003</v>
      </c>
      <c r="E2582" s="2">
        <v>282.22500000000002</v>
      </c>
      <c r="F2582" s="2">
        <v>21279053</v>
      </c>
      <c r="G2582" s="2" t="s">
        <v>569</v>
      </c>
      <c r="H2582" s="2" t="s">
        <v>570</v>
      </c>
      <c r="I2582" s="2" t="s">
        <v>17</v>
      </c>
      <c r="J2582" s="4">
        <v>-1.276</v>
      </c>
      <c r="K2582" s="2" t="s">
        <v>88</v>
      </c>
      <c r="L2582" s="2">
        <v>2023</v>
      </c>
      <c r="M2582" s="2" t="s">
        <v>89</v>
      </c>
      <c r="N2582" s="2" t="s">
        <v>23</v>
      </c>
      <c r="O2582">
        <f t="shared" si="80"/>
        <v>4.7239999999999895</v>
      </c>
      <c r="P2582">
        <f t="shared" si="81"/>
        <v>19.251999999999999</v>
      </c>
    </row>
    <row r="2583" spans="1:16" x14ac:dyDescent="0.35">
      <c r="A2583" s="9" t="s">
        <v>98</v>
      </c>
      <c r="B2583" s="2">
        <v>285.964</v>
      </c>
      <c r="C2583" s="2">
        <v>287.61</v>
      </c>
      <c r="D2583" s="2">
        <v>282.245</v>
      </c>
      <c r="E2583" s="2">
        <v>284.84899999999999</v>
      </c>
      <c r="F2583" s="2">
        <v>24166870</v>
      </c>
      <c r="G2583" s="2" t="s">
        <v>569</v>
      </c>
      <c r="H2583" s="2" t="s">
        <v>570</v>
      </c>
      <c r="I2583" s="2" t="s">
        <v>17</v>
      </c>
      <c r="J2583" s="3">
        <v>0.93</v>
      </c>
      <c r="K2583" s="2" t="s">
        <v>88</v>
      </c>
      <c r="L2583" s="2">
        <v>2023</v>
      </c>
      <c r="M2583" s="2" t="s">
        <v>89</v>
      </c>
      <c r="N2583" s="2" t="s">
        <v>21</v>
      </c>
      <c r="O2583">
        <f t="shared" si="80"/>
        <v>5.3650000000000091</v>
      </c>
      <c r="P2583">
        <f t="shared" si="81"/>
        <v>20.181999999999999</v>
      </c>
    </row>
    <row r="2584" spans="1:16" x14ac:dyDescent="0.35">
      <c r="A2584" s="9" t="s">
        <v>99</v>
      </c>
      <c r="B2584" s="2">
        <v>287.58</v>
      </c>
      <c r="C2584" s="2">
        <v>287.76400000000001</v>
      </c>
      <c r="D2584" s="2">
        <v>283.08300000000003</v>
      </c>
      <c r="E2584" s="2">
        <v>284.42399999999998</v>
      </c>
      <c r="F2584" s="2">
        <v>20441522</v>
      </c>
      <c r="G2584" s="2" t="s">
        <v>569</v>
      </c>
      <c r="H2584" s="2" t="s">
        <v>570</v>
      </c>
      <c r="I2584" s="2" t="s">
        <v>17</v>
      </c>
      <c r="J2584" s="4">
        <v>-0.14899999999999999</v>
      </c>
      <c r="K2584" s="2" t="s">
        <v>88</v>
      </c>
      <c r="L2584" s="2">
        <v>2023</v>
      </c>
      <c r="M2584" s="2" t="s">
        <v>89</v>
      </c>
      <c r="N2584" s="2" t="s">
        <v>23</v>
      </c>
      <c r="O2584">
        <f t="shared" si="80"/>
        <v>4.6809999999999832</v>
      </c>
      <c r="P2584">
        <f t="shared" si="81"/>
        <v>20.032999999999998</v>
      </c>
    </row>
    <row r="2585" spans="1:16" x14ac:dyDescent="0.35">
      <c r="A2585" s="9" t="s">
        <v>100</v>
      </c>
      <c r="B2585" s="2">
        <v>282.07600000000002</v>
      </c>
      <c r="C2585" s="2">
        <v>285.09500000000003</v>
      </c>
      <c r="D2585" s="2">
        <v>280.64600000000002</v>
      </c>
      <c r="E2585" s="2">
        <v>284.50400000000002</v>
      </c>
      <c r="F2585" s="2">
        <v>17388173</v>
      </c>
      <c r="G2585" s="2" t="s">
        <v>569</v>
      </c>
      <c r="H2585" s="2" t="s">
        <v>570</v>
      </c>
      <c r="I2585" s="2" t="s">
        <v>17</v>
      </c>
      <c r="J2585" s="3">
        <v>2.8000000000000001E-2</v>
      </c>
      <c r="K2585" s="2" t="s">
        <v>88</v>
      </c>
      <c r="L2585" s="2">
        <v>2023</v>
      </c>
      <c r="M2585" s="2" t="s">
        <v>89</v>
      </c>
      <c r="N2585" s="2" t="s">
        <v>21</v>
      </c>
      <c r="O2585">
        <f t="shared" si="80"/>
        <v>4.4490000000000123</v>
      </c>
      <c r="P2585">
        <f t="shared" si="81"/>
        <v>20.060999999999996</v>
      </c>
    </row>
    <row r="2586" spans="1:16" x14ac:dyDescent="0.35">
      <c r="A2586" s="9" t="s">
        <v>101</v>
      </c>
      <c r="B2586" s="2">
        <v>281.34899999999999</v>
      </c>
      <c r="C2586" s="2">
        <v>285.07600000000002</v>
      </c>
      <c r="D2586" s="2">
        <v>281.17899999999997</v>
      </c>
      <c r="E2586" s="2">
        <v>282.19499999999999</v>
      </c>
      <c r="F2586" s="2">
        <v>23566800</v>
      </c>
      <c r="G2586" s="2" t="s">
        <v>569</v>
      </c>
      <c r="H2586" s="2" t="s">
        <v>570</v>
      </c>
      <c r="I2586" s="2" t="s">
        <v>17</v>
      </c>
      <c r="J2586" s="4">
        <v>-0.81200000000000006</v>
      </c>
      <c r="K2586" s="2" t="s">
        <v>88</v>
      </c>
      <c r="L2586" s="2">
        <v>2023</v>
      </c>
      <c r="M2586" s="2" t="s">
        <v>89</v>
      </c>
      <c r="N2586" s="2" t="s">
        <v>23</v>
      </c>
      <c r="O2586">
        <f t="shared" si="80"/>
        <v>3.8970000000000482</v>
      </c>
      <c r="P2586">
        <f t="shared" si="81"/>
        <v>19.248999999999995</v>
      </c>
    </row>
    <row r="2587" spans="1:16" x14ac:dyDescent="0.35">
      <c r="A2587" s="9" t="s">
        <v>102</v>
      </c>
      <c r="B2587" s="2">
        <v>281.10899999999998</v>
      </c>
      <c r="C2587" s="2">
        <v>282.35500000000002</v>
      </c>
      <c r="D2587" s="2">
        <v>279.18799999999999</v>
      </c>
      <c r="E2587" s="2">
        <v>281.85199999999998</v>
      </c>
      <c r="F2587" s="2">
        <v>21977073</v>
      </c>
      <c r="G2587" s="2" t="s">
        <v>569</v>
      </c>
      <c r="H2587" s="2" t="s">
        <v>570</v>
      </c>
      <c r="I2587" s="2" t="s">
        <v>17</v>
      </c>
      <c r="J2587" s="4">
        <v>-0.122</v>
      </c>
      <c r="K2587" s="2" t="s">
        <v>88</v>
      </c>
      <c r="L2587" s="2">
        <v>2023</v>
      </c>
      <c r="M2587" s="2" t="s">
        <v>89</v>
      </c>
      <c r="N2587" s="2" t="s">
        <v>23</v>
      </c>
      <c r="O2587">
        <f t="shared" si="80"/>
        <v>3.16700000000003</v>
      </c>
      <c r="P2587">
        <f t="shared" si="81"/>
        <v>19.126999999999995</v>
      </c>
    </row>
    <row r="2588" spans="1:16" x14ac:dyDescent="0.35">
      <c r="A2588" s="9" t="s">
        <v>103</v>
      </c>
      <c r="B2588" s="2">
        <v>278.23099999999999</v>
      </c>
      <c r="C2588" s="2">
        <v>281.04899999999998</v>
      </c>
      <c r="D2588" s="2">
        <v>274.90699999999998</v>
      </c>
      <c r="E2588" s="2">
        <v>277.91500000000002</v>
      </c>
      <c r="F2588" s="2">
        <v>26980152</v>
      </c>
      <c r="G2588" s="2" t="s">
        <v>569</v>
      </c>
      <c r="H2588" s="2" t="s">
        <v>570</v>
      </c>
      <c r="I2588" s="2" t="s">
        <v>17</v>
      </c>
      <c r="J2588" s="4">
        <v>-1.397</v>
      </c>
      <c r="K2588" s="2" t="s">
        <v>88</v>
      </c>
      <c r="L2588" s="2">
        <v>2023</v>
      </c>
      <c r="M2588" s="2" t="s">
        <v>89</v>
      </c>
      <c r="N2588" s="2" t="s">
        <v>23</v>
      </c>
      <c r="O2588">
        <f t="shared" si="80"/>
        <v>6.1419999999999959</v>
      </c>
      <c r="P2588">
        <f t="shared" si="81"/>
        <v>17.729999999999997</v>
      </c>
    </row>
    <row r="2589" spans="1:16" x14ac:dyDescent="0.35">
      <c r="A2589" s="9" t="s">
        <v>104</v>
      </c>
      <c r="B2589" s="2">
        <v>275.685</v>
      </c>
      <c r="C2589" s="2">
        <v>277.74599999999998</v>
      </c>
      <c r="D2589" s="2">
        <v>271.601</v>
      </c>
      <c r="E2589" s="2">
        <v>271.65100000000001</v>
      </c>
      <c r="F2589" s="2">
        <v>46407171</v>
      </c>
      <c r="G2589" s="2" t="s">
        <v>569</v>
      </c>
      <c r="H2589" s="2" t="s">
        <v>570</v>
      </c>
      <c r="I2589" s="2" t="s">
        <v>17</v>
      </c>
      <c r="J2589" s="4">
        <v>-2.254</v>
      </c>
      <c r="K2589" s="2" t="s">
        <v>88</v>
      </c>
      <c r="L2589" s="2">
        <v>2023</v>
      </c>
      <c r="M2589" s="2" t="s">
        <v>89</v>
      </c>
      <c r="N2589" s="2" t="s">
        <v>23</v>
      </c>
      <c r="O2589">
        <f t="shared" si="80"/>
        <v>6.1449999999999818</v>
      </c>
      <c r="P2589">
        <f t="shared" si="81"/>
        <v>15.475999999999997</v>
      </c>
    </row>
    <row r="2590" spans="1:16" x14ac:dyDescent="0.35">
      <c r="A2590" s="9" t="s">
        <v>105</v>
      </c>
      <c r="B2590" s="2">
        <v>292.64100000000002</v>
      </c>
      <c r="C2590" s="2">
        <v>295.47199999999998</v>
      </c>
      <c r="D2590" s="2">
        <v>288.72500000000002</v>
      </c>
      <c r="E2590" s="2">
        <v>291.32900000000001</v>
      </c>
      <c r="F2590" s="2">
        <v>65495277</v>
      </c>
      <c r="G2590" s="2" t="s">
        <v>569</v>
      </c>
      <c r="H2590" s="2" t="s">
        <v>570</v>
      </c>
      <c r="I2590" s="2" t="s">
        <v>17</v>
      </c>
      <c r="J2590" s="3">
        <v>7.2439999999999998</v>
      </c>
      <c r="K2590" s="2" t="s">
        <v>88</v>
      </c>
      <c r="L2590" s="2">
        <v>2023</v>
      </c>
      <c r="M2590" s="2" t="s">
        <v>89</v>
      </c>
      <c r="N2590" s="2" t="s">
        <v>21</v>
      </c>
      <c r="O2590">
        <f t="shared" si="80"/>
        <v>6.7469999999999573</v>
      </c>
      <c r="P2590">
        <f t="shared" si="81"/>
        <v>22.72</v>
      </c>
    </row>
    <row r="2591" spans="1:16" x14ac:dyDescent="0.35">
      <c r="A2591" s="9" t="s">
        <v>106</v>
      </c>
      <c r="B2591" s="2">
        <v>291.92</v>
      </c>
      <c r="C2591" s="2">
        <v>301.02300000000002</v>
      </c>
      <c r="D2591" s="2">
        <v>291.21100000000001</v>
      </c>
      <c r="E2591" s="2">
        <v>300.65899999999999</v>
      </c>
      <c r="F2591" s="2">
        <v>47107150</v>
      </c>
      <c r="G2591" s="2" t="s">
        <v>569</v>
      </c>
      <c r="H2591" s="2" t="s">
        <v>570</v>
      </c>
      <c r="I2591" s="2" t="s">
        <v>17</v>
      </c>
      <c r="J2591" s="3">
        <v>3.2029999999999998</v>
      </c>
      <c r="K2591" s="2" t="s">
        <v>88</v>
      </c>
      <c r="L2591" s="2">
        <v>2023</v>
      </c>
      <c r="M2591" s="2" t="s">
        <v>89</v>
      </c>
      <c r="N2591" s="2" t="s">
        <v>21</v>
      </c>
      <c r="O2591">
        <f t="shared" si="80"/>
        <v>9.8120000000000118</v>
      </c>
      <c r="P2591">
        <f t="shared" si="81"/>
        <v>25.922999999999998</v>
      </c>
    </row>
    <row r="2592" spans="1:16" x14ac:dyDescent="0.35">
      <c r="A2592" s="9" t="s">
        <v>107</v>
      </c>
      <c r="B2592" s="2">
        <v>299.85000000000002</v>
      </c>
      <c r="C2592" s="2">
        <v>304.70299999999997</v>
      </c>
      <c r="D2592" s="2">
        <v>299.16000000000003</v>
      </c>
      <c r="E2592" s="2">
        <v>303.05500000000001</v>
      </c>
      <c r="F2592" s="2">
        <v>36975505</v>
      </c>
      <c r="G2592" s="2" t="s">
        <v>569</v>
      </c>
      <c r="H2592" s="2" t="s">
        <v>570</v>
      </c>
      <c r="I2592" s="2" t="s">
        <v>17</v>
      </c>
      <c r="J2592" s="3">
        <v>0.79700000000000004</v>
      </c>
      <c r="K2592" s="2" t="s">
        <v>88</v>
      </c>
      <c r="L2592" s="2">
        <v>2023</v>
      </c>
      <c r="M2592" s="2" t="s">
        <v>89</v>
      </c>
      <c r="N2592" s="2" t="s">
        <v>21</v>
      </c>
      <c r="O2592">
        <f t="shared" si="80"/>
        <v>5.5429999999999495</v>
      </c>
      <c r="P2592">
        <f t="shared" si="81"/>
        <v>26.72</v>
      </c>
    </row>
    <row r="2593" spans="1:16" x14ac:dyDescent="0.35">
      <c r="A2593" s="9" t="s">
        <v>108</v>
      </c>
      <c r="B2593" s="2">
        <v>302.77</v>
      </c>
      <c r="C2593" s="2">
        <v>304.37799999999999</v>
      </c>
      <c r="D2593" s="2">
        <v>300.97500000000002</v>
      </c>
      <c r="E2593" s="2">
        <v>301.38</v>
      </c>
      <c r="F2593" s="2">
        <v>21589498</v>
      </c>
      <c r="G2593" s="2" t="s">
        <v>569</v>
      </c>
      <c r="H2593" s="2" t="s">
        <v>570</v>
      </c>
      <c r="I2593" s="2" t="s">
        <v>17</v>
      </c>
      <c r="J2593" s="4">
        <v>-0.55300000000000005</v>
      </c>
      <c r="K2593" s="2" t="s">
        <v>109</v>
      </c>
      <c r="L2593" s="2">
        <v>2023</v>
      </c>
      <c r="M2593" s="2" t="s">
        <v>110</v>
      </c>
      <c r="N2593" s="2" t="s">
        <v>23</v>
      </c>
      <c r="O2593">
        <f t="shared" si="80"/>
        <v>3.4029999999999632</v>
      </c>
      <c r="P2593">
        <f t="shared" si="81"/>
        <v>26.166999999999998</v>
      </c>
    </row>
    <row r="2594" spans="1:16" x14ac:dyDescent="0.35">
      <c r="A2594" s="9" t="s">
        <v>111</v>
      </c>
      <c r="B2594" s="2">
        <v>303.54899999999998</v>
      </c>
      <c r="C2594" s="2">
        <v>304.95</v>
      </c>
      <c r="D2594" s="2">
        <v>299.75200000000001</v>
      </c>
      <c r="E2594" s="2">
        <v>301.23200000000003</v>
      </c>
      <c r="F2594" s="2">
        <v>26770703</v>
      </c>
      <c r="G2594" s="2" t="s">
        <v>569</v>
      </c>
      <c r="H2594" s="2" t="s">
        <v>570</v>
      </c>
      <c r="I2594" s="2" t="s">
        <v>17</v>
      </c>
      <c r="J2594" s="4">
        <v>-4.9000000000000002E-2</v>
      </c>
      <c r="K2594" s="2" t="s">
        <v>109</v>
      </c>
      <c r="L2594" s="2">
        <v>2023</v>
      </c>
      <c r="M2594" s="2" t="s">
        <v>110</v>
      </c>
      <c r="N2594" s="2" t="s">
        <v>23</v>
      </c>
      <c r="O2594">
        <f t="shared" si="80"/>
        <v>5.1979999999999791</v>
      </c>
      <c r="P2594">
        <f t="shared" si="81"/>
        <v>26.117999999999999</v>
      </c>
    </row>
    <row r="2595" spans="1:16" x14ac:dyDescent="0.35">
      <c r="A2595" s="9" t="s">
        <v>112</v>
      </c>
      <c r="B2595" s="2">
        <v>302.42599999999999</v>
      </c>
      <c r="C2595" s="2">
        <v>304.38799999999998</v>
      </c>
      <c r="D2595" s="2">
        <v>299.93</v>
      </c>
      <c r="E2595" s="2">
        <v>300.23500000000001</v>
      </c>
      <c r="F2595" s="2">
        <v>22670934</v>
      </c>
      <c r="G2595" s="2" t="s">
        <v>569</v>
      </c>
      <c r="H2595" s="2" t="s">
        <v>570</v>
      </c>
      <c r="I2595" s="2" t="s">
        <v>17</v>
      </c>
      <c r="J2595" s="4">
        <v>-0.33100000000000002</v>
      </c>
      <c r="K2595" s="2" t="s">
        <v>109</v>
      </c>
      <c r="L2595" s="2">
        <v>2023</v>
      </c>
      <c r="M2595" s="2" t="s">
        <v>110</v>
      </c>
      <c r="N2595" s="2" t="s">
        <v>23</v>
      </c>
      <c r="O2595">
        <f t="shared" si="80"/>
        <v>4.45799999999997</v>
      </c>
      <c r="P2595">
        <f t="shared" si="81"/>
        <v>25.786999999999999</v>
      </c>
    </row>
    <row r="2596" spans="1:16" x14ac:dyDescent="0.35">
      <c r="A2596" s="9" t="s">
        <v>113</v>
      </c>
      <c r="B2596" s="2">
        <v>302.048</v>
      </c>
      <c r="C2596" s="2">
        <v>303.55099999999999</v>
      </c>
      <c r="D2596" s="2">
        <v>299.24900000000002</v>
      </c>
      <c r="E2596" s="2">
        <v>301.23200000000003</v>
      </c>
      <c r="F2596" s="2">
        <v>22832294</v>
      </c>
      <c r="G2596" s="2" t="s">
        <v>569</v>
      </c>
      <c r="H2596" s="2" t="s">
        <v>570</v>
      </c>
      <c r="I2596" s="2" t="s">
        <v>17</v>
      </c>
      <c r="J2596" s="3">
        <v>0.33200000000000002</v>
      </c>
      <c r="K2596" s="2" t="s">
        <v>109</v>
      </c>
      <c r="L2596" s="2">
        <v>2023</v>
      </c>
      <c r="M2596" s="2" t="s">
        <v>110</v>
      </c>
      <c r="N2596" s="2" t="s">
        <v>21</v>
      </c>
      <c r="O2596">
        <f t="shared" si="80"/>
        <v>4.3019999999999641</v>
      </c>
      <c r="P2596">
        <f t="shared" si="81"/>
        <v>26.119</v>
      </c>
    </row>
    <row r="2597" spans="1:16" x14ac:dyDescent="0.35">
      <c r="A2597" s="9" t="s">
        <v>114</v>
      </c>
      <c r="B2597" s="2">
        <v>301.536</v>
      </c>
      <c r="C2597" s="2">
        <v>307.70100000000002</v>
      </c>
      <c r="D2597" s="2">
        <v>300.10700000000003</v>
      </c>
      <c r="E2597" s="2">
        <v>306.399</v>
      </c>
      <c r="F2597" s="2">
        <v>28588190</v>
      </c>
      <c r="G2597" s="2" t="s">
        <v>569</v>
      </c>
      <c r="H2597" s="2" t="s">
        <v>570</v>
      </c>
      <c r="I2597" s="2" t="s">
        <v>17</v>
      </c>
      <c r="J2597" s="3">
        <v>1.7150000000000001</v>
      </c>
      <c r="K2597" s="2" t="s">
        <v>109</v>
      </c>
      <c r="L2597" s="2">
        <v>2023</v>
      </c>
      <c r="M2597" s="2" t="s">
        <v>110</v>
      </c>
      <c r="N2597" s="2" t="s">
        <v>21</v>
      </c>
      <c r="O2597">
        <f t="shared" si="80"/>
        <v>7.5939999999999941</v>
      </c>
      <c r="P2597">
        <f t="shared" si="81"/>
        <v>27.834</v>
      </c>
    </row>
    <row r="2598" spans="1:16" x14ac:dyDescent="0.35">
      <c r="A2598" s="9" t="s">
        <v>115</v>
      </c>
      <c r="B2598" s="2">
        <v>305.88799999999998</v>
      </c>
      <c r="C2598" s="2">
        <v>305.95499999999998</v>
      </c>
      <c r="D2598" s="2">
        <v>301.90300000000002</v>
      </c>
      <c r="E2598" s="2">
        <v>304.42700000000002</v>
      </c>
      <c r="F2598" s="2">
        <v>21614336</v>
      </c>
      <c r="G2598" s="2" t="s">
        <v>569</v>
      </c>
      <c r="H2598" s="2" t="s">
        <v>570</v>
      </c>
      <c r="I2598" s="2" t="s">
        <v>17</v>
      </c>
      <c r="J2598" s="4">
        <v>-0.64400000000000002</v>
      </c>
      <c r="K2598" s="2" t="s">
        <v>109</v>
      </c>
      <c r="L2598" s="2">
        <v>2023</v>
      </c>
      <c r="M2598" s="2" t="s">
        <v>110</v>
      </c>
      <c r="N2598" s="2" t="s">
        <v>23</v>
      </c>
      <c r="O2598">
        <f t="shared" si="80"/>
        <v>4.0519999999999641</v>
      </c>
      <c r="P2598">
        <f t="shared" si="81"/>
        <v>27.19</v>
      </c>
    </row>
    <row r="2599" spans="1:16" x14ac:dyDescent="0.35">
      <c r="A2599" s="9" t="s">
        <v>116</v>
      </c>
      <c r="B2599" s="2">
        <v>303.786</v>
      </c>
      <c r="C2599" s="2">
        <v>305.798</v>
      </c>
      <c r="D2599" s="2">
        <v>302.11799999999999</v>
      </c>
      <c r="E2599" s="2">
        <v>302.8</v>
      </c>
      <c r="F2599" s="2">
        <v>21636860</v>
      </c>
      <c r="G2599" s="2" t="s">
        <v>569</v>
      </c>
      <c r="H2599" s="2" t="s">
        <v>570</v>
      </c>
      <c r="I2599" s="2" t="s">
        <v>17</v>
      </c>
      <c r="J2599" s="4">
        <v>-0.53400000000000003</v>
      </c>
      <c r="K2599" s="2" t="s">
        <v>109</v>
      </c>
      <c r="L2599" s="2">
        <v>2023</v>
      </c>
      <c r="M2599" s="2" t="s">
        <v>110</v>
      </c>
      <c r="N2599" s="2" t="s">
        <v>23</v>
      </c>
      <c r="O2599">
        <f t="shared" si="80"/>
        <v>3.6800000000000068</v>
      </c>
      <c r="P2599">
        <f t="shared" si="81"/>
        <v>26.656000000000002</v>
      </c>
    </row>
    <row r="2600" spans="1:16" x14ac:dyDescent="0.35">
      <c r="A2600" s="9" t="s">
        <v>117</v>
      </c>
      <c r="B2600" s="2">
        <v>304.39800000000002</v>
      </c>
      <c r="C2600" s="2">
        <v>308.71699999999998</v>
      </c>
      <c r="D2600" s="2">
        <v>303.46100000000001</v>
      </c>
      <c r="E2600" s="2">
        <v>308.03699999999998</v>
      </c>
      <c r="F2600" s="2">
        <v>30495275</v>
      </c>
      <c r="G2600" s="2" t="s">
        <v>569</v>
      </c>
      <c r="H2600" s="2" t="s">
        <v>570</v>
      </c>
      <c r="I2600" s="2" t="s">
        <v>17</v>
      </c>
      <c r="J2600" s="3">
        <v>1.73</v>
      </c>
      <c r="K2600" s="2" t="s">
        <v>109</v>
      </c>
      <c r="L2600" s="2">
        <v>2023</v>
      </c>
      <c r="M2600" s="2" t="s">
        <v>110</v>
      </c>
      <c r="N2600" s="2" t="s">
        <v>21</v>
      </c>
      <c r="O2600">
        <f t="shared" si="80"/>
        <v>5.2559999999999718</v>
      </c>
      <c r="P2600">
        <f t="shared" si="81"/>
        <v>28.386000000000003</v>
      </c>
    </row>
    <row r="2601" spans="1:16" x14ac:dyDescent="0.35">
      <c r="A2601" s="9" t="s">
        <v>118</v>
      </c>
      <c r="B2601" s="2">
        <v>305.858</v>
      </c>
      <c r="C2601" s="2">
        <v>306.863</v>
      </c>
      <c r="D2601" s="2">
        <v>302.06799999999998</v>
      </c>
      <c r="E2601" s="2">
        <v>305.86799999999999</v>
      </c>
      <c r="F2601" s="2">
        <v>32119634</v>
      </c>
      <c r="G2601" s="2" t="s">
        <v>569</v>
      </c>
      <c r="H2601" s="2" t="s">
        <v>570</v>
      </c>
      <c r="I2601" s="2" t="s">
        <v>17</v>
      </c>
      <c r="J2601" s="4">
        <v>-0.70399999999999996</v>
      </c>
      <c r="K2601" s="2" t="s">
        <v>109</v>
      </c>
      <c r="L2601" s="2">
        <v>2023</v>
      </c>
      <c r="M2601" s="2" t="s">
        <v>110</v>
      </c>
      <c r="N2601" s="2" t="s">
        <v>23</v>
      </c>
      <c r="O2601">
        <f t="shared" si="80"/>
        <v>4.7950000000000159</v>
      </c>
      <c r="P2601">
        <f t="shared" si="81"/>
        <v>27.682000000000002</v>
      </c>
    </row>
    <row r="2602" spans="1:16" x14ac:dyDescent="0.35">
      <c r="A2602" s="9" t="s">
        <v>119</v>
      </c>
      <c r="B2602" s="2">
        <v>306.30099999999999</v>
      </c>
      <c r="C2602" s="2">
        <v>306.399</v>
      </c>
      <c r="D2602" s="2">
        <v>302.40600000000001</v>
      </c>
      <c r="E2602" s="2">
        <v>304.74299999999999</v>
      </c>
      <c r="F2602" s="2">
        <v>20049003</v>
      </c>
      <c r="G2602" s="2" t="s">
        <v>569</v>
      </c>
      <c r="H2602" s="2" t="s">
        <v>570</v>
      </c>
      <c r="I2602" s="2" t="s">
        <v>17</v>
      </c>
      <c r="J2602" s="4">
        <v>-0.36799999999999999</v>
      </c>
      <c r="K2602" s="2" t="s">
        <v>109</v>
      </c>
      <c r="L2602" s="2">
        <v>2023</v>
      </c>
      <c r="M2602" s="2" t="s">
        <v>110</v>
      </c>
      <c r="N2602" s="2" t="s">
        <v>23</v>
      </c>
      <c r="O2602">
        <f t="shared" si="80"/>
        <v>3.992999999999995</v>
      </c>
      <c r="P2602">
        <f t="shared" si="81"/>
        <v>27.314000000000004</v>
      </c>
    </row>
    <row r="2603" spans="1:16" x14ac:dyDescent="0.35">
      <c r="A2603" s="9" t="s">
        <v>120</v>
      </c>
      <c r="B2603" s="2">
        <v>304.86599999999999</v>
      </c>
      <c r="C2603" s="2">
        <v>305.666</v>
      </c>
      <c r="D2603" s="2">
        <v>303.38299999999998</v>
      </c>
      <c r="E2603" s="2">
        <v>305.226</v>
      </c>
      <c r="F2603" s="2">
        <v>16563161</v>
      </c>
      <c r="G2603" s="2" t="s">
        <v>569</v>
      </c>
      <c r="H2603" s="2" t="s">
        <v>570</v>
      </c>
      <c r="I2603" s="2" t="s">
        <v>17</v>
      </c>
      <c r="J2603" s="3">
        <v>0.158</v>
      </c>
      <c r="K2603" s="2" t="s">
        <v>109</v>
      </c>
      <c r="L2603" s="2">
        <v>2023</v>
      </c>
      <c r="M2603" s="2" t="s">
        <v>110</v>
      </c>
      <c r="N2603" s="2" t="s">
        <v>21</v>
      </c>
      <c r="O2603">
        <f t="shared" si="80"/>
        <v>2.2830000000000155</v>
      </c>
      <c r="P2603">
        <f t="shared" si="81"/>
        <v>27.472000000000005</v>
      </c>
    </row>
    <row r="2604" spans="1:16" x14ac:dyDescent="0.35">
      <c r="A2604" s="9" t="s">
        <v>121</v>
      </c>
      <c r="B2604" s="2">
        <v>305.59100000000001</v>
      </c>
      <c r="C2604" s="2">
        <v>309.41899999999998</v>
      </c>
      <c r="D2604" s="2">
        <v>305.59100000000001</v>
      </c>
      <c r="E2604" s="2">
        <v>307.47500000000002</v>
      </c>
      <c r="F2604" s="2">
        <v>27101140</v>
      </c>
      <c r="G2604" s="2" t="s">
        <v>569</v>
      </c>
      <c r="H2604" s="2" t="s">
        <v>570</v>
      </c>
      <c r="I2604" s="2" t="s">
        <v>17</v>
      </c>
      <c r="J2604" s="3">
        <v>0.73699999999999999</v>
      </c>
      <c r="K2604" s="2" t="s">
        <v>109</v>
      </c>
      <c r="L2604" s="2">
        <v>2023</v>
      </c>
      <c r="M2604" s="2" t="s">
        <v>110</v>
      </c>
      <c r="N2604" s="2" t="s">
        <v>21</v>
      </c>
      <c r="O2604">
        <f t="shared" si="80"/>
        <v>3.8279999999999745</v>
      </c>
      <c r="P2604">
        <f t="shared" si="81"/>
        <v>28.209000000000003</v>
      </c>
    </row>
    <row r="2605" spans="1:16" x14ac:dyDescent="0.35">
      <c r="A2605" s="9" t="s">
        <v>123</v>
      </c>
      <c r="B2605" s="2">
        <v>308.69</v>
      </c>
      <c r="C2605" s="2">
        <v>310.80599999999998</v>
      </c>
      <c r="D2605" s="2">
        <v>307.15800000000002</v>
      </c>
      <c r="E2605" s="2">
        <v>310.38099999999997</v>
      </c>
      <c r="F2605" s="2">
        <v>24598526</v>
      </c>
      <c r="G2605" s="2" t="s">
        <v>569</v>
      </c>
      <c r="H2605" s="2" t="s">
        <v>570</v>
      </c>
      <c r="I2605" s="2" t="s">
        <v>17</v>
      </c>
      <c r="J2605" s="3">
        <v>0.94499999999999995</v>
      </c>
      <c r="K2605" s="2" t="s">
        <v>109</v>
      </c>
      <c r="L2605" s="2">
        <v>2023</v>
      </c>
      <c r="M2605" s="2" t="s">
        <v>110</v>
      </c>
      <c r="N2605" s="2" t="s">
        <v>21</v>
      </c>
      <c r="O2605">
        <f t="shared" si="80"/>
        <v>3.6479999999999677</v>
      </c>
      <c r="P2605">
        <f t="shared" si="81"/>
        <v>29.154000000000003</v>
      </c>
    </row>
    <row r="2606" spans="1:16" x14ac:dyDescent="0.35">
      <c r="A2606" s="9" t="s">
        <v>124</v>
      </c>
      <c r="B2606" s="2">
        <v>310.90499999999997</v>
      </c>
      <c r="C2606" s="2">
        <v>315.363</v>
      </c>
      <c r="D2606" s="2">
        <v>310.10399999999998</v>
      </c>
      <c r="E2606" s="2">
        <v>314.84800000000001</v>
      </c>
      <c r="F2606" s="2">
        <v>27594030</v>
      </c>
      <c r="G2606" s="2" t="s">
        <v>569</v>
      </c>
      <c r="H2606" s="2" t="s">
        <v>570</v>
      </c>
      <c r="I2606" s="2" t="s">
        <v>17</v>
      </c>
      <c r="J2606" s="3">
        <v>1.4390000000000001</v>
      </c>
      <c r="K2606" s="2" t="s">
        <v>109</v>
      </c>
      <c r="L2606" s="2">
        <v>2023</v>
      </c>
      <c r="M2606" s="2" t="s">
        <v>110</v>
      </c>
      <c r="N2606" s="2" t="s">
        <v>21</v>
      </c>
      <c r="O2606">
        <f t="shared" si="80"/>
        <v>5.2590000000000146</v>
      </c>
      <c r="P2606">
        <f t="shared" si="81"/>
        <v>30.593000000000004</v>
      </c>
    </row>
    <row r="2607" spans="1:16" x14ac:dyDescent="0.35">
      <c r="A2607" s="9" t="s">
        <v>125</v>
      </c>
      <c r="B2607" s="2">
        <v>313.08999999999997</v>
      </c>
      <c r="C2607" s="2">
        <v>315.077</v>
      </c>
      <c r="D2607" s="2">
        <v>312.72399999999999</v>
      </c>
      <c r="E2607" s="2">
        <v>314.67099999999999</v>
      </c>
      <c r="F2607" s="2">
        <v>27867897</v>
      </c>
      <c r="G2607" s="2" t="s">
        <v>569</v>
      </c>
      <c r="H2607" s="2" t="s">
        <v>570</v>
      </c>
      <c r="I2607" s="2" t="s">
        <v>17</v>
      </c>
      <c r="J2607" s="4">
        <v>-5.6000000000000001E-2</v>
      </c>
      <c r="K2607" s="2" t="s">
        <v>109</v>
      </c>
      <c r="L2607" s="2">
        <v>2023</v>
      </c>
      <c r="M2607" s="2" t="s">
        <v>110</v>
      </c>
      <c r="N2607" s="2" t="s">
        <v>23</v>
      </c>
      <c r="O2607">
        <f t="shared" si="80"/>
        <v>2.3530000000000086</v>
      </c>
      <c r="P2607">
        <f t="shared" si="81"/>
        <v>30.537000000000003</v>
      </c>
    </row>
    <row r="2608" spans="1:16" x14ac:dyDescent="0.35">
      <c r="A2608" s="9" t="s">
        <v>126</v>
      </c>
      <c r="B2608" s="2">
        <v>314.928</v>
      </c>
      <c r="C2608" s="2">
        <v>318.87200000000001</v>
      </c>
      <c r="D2608" s="2">
        <v>314.34399999999999</v>
      </c>
      <c r="E2608" s="2">
        <v>317.47899999999998</v>
      </c>
      <c r="F2608" s="2">
        <v>24396854</v>
      </c>
      <c r="G2608" s="2" t="s">
        <v>569</v>
      </c>
      <c r="H2608" s="2" t="s">
        <v>570</v>
      </c>
      <c r="I2608" s="2" t="s">
        <v>17</v>
      </c>
      <c r="J2608" s="3">
        <v>0.89200000000000002</v>
      </c>
      <c r="K2608" s="2" t="s">
        <v>109</v>
      </c>
      <c r="L2608" s="2">
        <v>2023</v>
      </c>
      <c r="M2608" s="2" t="s">
        <v>110</v>
      </c>
      <c r="N2608" s="2" t="s">
        <v>21</v>
      </c>
      <c r="O2608">
        <f t="shared" si="80"/>
        <v>4.52800000000002</v>
      </c>
      <c r="P2608">
        <f t="shared" si="81"/>
        <v>31.429000000000002</v>
      </c>
    </row>
    <row r="2609" spans="1:16" x14ac:dyDescent="0.35">
      <c r="A2609" s="9" t="s">
        <v>127</v>
      </c>
      <c r="B2609" s="2">
        <v>316.34199999999998</v>
      </c>
      <c r="C2609" s="2">
        <v>319</v>
      </c>
      <c r="D2609" s="2">
        <v>311.61700000000002</v>
      </c>
      <c r="E2609" s="2">
        <v>311.62599999999998</v>
      </c>
      <c r="F2609" s="2">
        <v>31156269</v>
      </c>
      <c r="G2609" s="2" t="s">
        <v>569</v>
      </c>
      <c r="H2609" s="2" t="s">
        <v>570</v>
      </c>
      <c r="I2609" s="2" t="s">
        <v>17</v>
      </c>
      <c r="J2609" s="4">
        <v>-1.8440000000000001</v>
      </c>
      <c r="K2609" s="2" t="s">
        <v>109</v>
      </c>
      <c r="L2609" s="2">
        <v>2023</v>
      </c>
      <c r="M2609" s="2" t="s">
        <v>110</v>
      </c>
      <c r="N2609" s="2" t="s">
        <v>23</v>
      </c>
      <c r="O2609">
        <f t="shared" si="80"/>
        <v>7.3829999999999814</v>
      </c>
      <c r="P2609">
        <f t="shared" si="81"/>
        <v>29.585000000000001</v>
      </c>
    </row>
    <row r="2610" spans="1:16" x14ac:dyDescent="0.35">
      <c r="A2610" s="9" t="s">
        <v>128</v>
      </c>
      <c r="B2610" s="2">
        <v>311.10199999999998</v>
      </c>
      <c r="C2610" s="2">
        <v>312.85199999999998</v>
      </c>
      <c r="D2610" s="2">
        <v>309.00700000000001</v>
      </c>
      <c r="E2610" s="2">
        <v>310.233</v>
      </c>
      <c r="F2610" s="2">
        <v>23657556</v>
      </c>
      <c r="G2610" s="2" t="s">
        <v>569</v>
      </c>
      <c r="H2610" s="2" t="s">
        <v>570</v>
      </c>
      <c r="I2610" s="2" t="s">
        <v>17</v>
      </c>
      <c r="J2610" s="4">
        <v>-0.44700000000000001</v>
      </c>
      <c r="K2610" s="2" t="s">
        <v>109</v>
      </c>
      <c r="L2610" s="2">
        <v>2023</v>
      </c>
      <c r="M2610" s="2" t="s">
        <v>110</v>
      </c>
      <c r="N2610" s="2" t="s">
        <v>23</v>
      </c>
      <c r="O2610">
        <f t="shared" si="80"/>
        <v>3.8449999999999704</v>
      </c>
      <c r="P2610">
        <f t="shared" si="81"/>
        <v>29.138000000000002</v>
      </c>
    </row>
    <row r="2611" spans="1:16" x14ac:dyDescent="0.35">
      <c r="A2611" s="9" t="s">
        <v>129</v>
      </c>
      <c r="B2611" s="2">
        <v>319.51400000000001</v>
      </c>
      <c r="C2611" s="2">
        <v>323.13099999999997</v>
      </c>
      <c r="D2611" s="2">
        <v>316.31200000000001</v>
      </c>
      <c r="E2611" s="2">
        <v>322.16300000000001</v>
      </c>
      <c r="F2611" s="2">
        <v>43806644</v>
      </c>
      <c r="G2611" s="2" t="s">
        <v>569</v>
      </c>
      <c r="H2611" s="2" t="s">
        <v>570</v>
      </c>
      <c r="I2611" s="2" t="s">
        <v>17</v>
      </c>
      <c r="J2611" s="3">
        <v>3.8450000000000002</v>
      </c>
      <c r="K2611" s="2" t="s">
        <v>109</v>
      </c>
      <c r="L2611" s="2">
        <v>2023</v>
      </c>
      <c r="M2611" s="2" t="s">
        <v>110</v>
      </c>
      <c r="N2611" s="2" t="s">
        <v>21</v>
      </c>
      <c r="O2611">
        <f t="shared" si="80"/>
        <v>6.81899999999996</v>
      </c>
      <c r="P2611">
        <f t="shared" si="81"/>
        <v>32.983000000000004</v>
      </c>
    </row>
    <row r="2612" spans="1:16" x14ac:dyDescent="0.35">
      <c r="A2612" s="9" t="s">
        <v>130</v>
      </c>
      <c r="B2612" s="2">
        <v>320.28500000000003</v>
      </c>
      <c r="C2612" s="2">
        <v>329.55700000000002</v>
      </c>
      <c r="D2612" s="2">
        <v>320.14699999999999</v>
      </c>
      <c r="E2612" s="2">
        <v>329.053</v>
      </c>
      <c r="F2612" s="2">
        <v>37057748</v>
      </c>
      <c r="G2612" s="2" t="s">
        <v>569</v>
      </c>
      <c r="H2612" s="2" t="s">
        <v>570</v>
      </c>
      <c r="I2612" s="2" t="s">
        <v>17</v>
      </c>
      <c r="J2612" s="3">
        <v>2.1389999999999998</v>
      </c>
      <c r="K2612" s="2" t="s">
        <v>109</v>
      </c>
      <c r="L2612" s="2">
        <v>2023</v>
      </c>
      <c r="M2612" s="2" t="s">
        <v>110</v>
      </c>
      <c r="N2612" s="2" t="s">
        <v>21</v>
      </c>
      <c r="O2612">
        <f t="shared" si="80"/>
        <v>9.410000000000025</v>
      </c>
      <c r="P2612">
        <f t="shared" si="81"/>
        <v>35.122000000000007</v>
      </c>
    </row>
    <row r="2613" spans="1:16" x14ac:dyDescent="0.35">
      <c r="A2613" s="9" t="s">
        <v>131</v>
      </c>
      <c r="B2613" s="2">
        <v>331.36700000000002</v>
      </c>
      <c r="C2613" s="2">
        <v>331.87099999999998</v>
      </c>
      <c r="D2613" s="2">
        <v>326.70999999999998</v>
      </c>
      <c r="E2613" s="2">
        <v>327.39299999999997</v>
      </c>
      <c r="F2613" s="2">
        <v>29847077</v>
      </c>
      <c r="G2613" s="2" t="s">
        <v>569</v>
      </c>
      <c r="H2613" s="2" t="s">
        <v>570</v>
      </c>
      <c r="I2613" s="2" t="s">
        <v>17</v>
      </c>
      <c r="J2613" s="4">
        <v>-0.504</v>
      </c>
      <c r="K2613" s="2" t="s">
        <v>109</v>
      </c>
      <c r="L2613" s="2">
        <v>2023</v>
      </c>
      <c r="M2613" s="2" t="s">
        <v>110</v>
      </c>
      <c r="N2613" s="2" t="s">
        <v>23</v>
      </c>
      <c r="O2613">
        <f t="shared" si="80"/>
        <v>5.1610000000000014</v>
      </c>
      <c r="P2613">
        <f t="shared" si="81"/>
        <v>34.618000000000009</v>
      </c>
    </row>
    <row r="2614" spans="1:16" x14ac:dyDescent="0.35">
      <c r="A2614" s="9" t="s">
        <v>132</v>
      </c>
      <c r="B2614" s="2">
        <v>328.46</v>
      </c>
      <c r="C2614" s="2">
        <v>332.06700000000001</v>
      </c>
      <c r="D2614" s="2">
        <v>323.55599999999998</v>
      </c>
      <c r="E2614" s="2">
        <v>324.60399999999998</v>
      </c>
      <c r="F2614" s="2">
        <v>46486339</v>
      </c>
      <c r="G2614" s="2" t="s">
        <v>569</v>
      </c>
      <c r="H2614" s="2" t="s">
        <v>570</v>
      </c>
      <c r="I2614" s="2" t="s">
        <v>17</v>
      </c>
      <c r="J2614" s="4">
        <v>-0.85199999999999998</v>
      </c>
      <c r="K2614" s="2" t="s">
        <v>109</v>
      </c>
      <c r="L2614" s="2">
        <v>2023</v>
      </c>
      <c r="M2614" s="2" t="s">
        <v>110</v>
      </c>
      <c r="N2614" s="2" t="s">
        <v>23</v>
      </c>
      <c r="O2614">
        <f t="shared" si="80"/>
        <v>8.5110000000000241</v>
      </c>
      <c r="P2614">
        <f t="shared" si="81"/>
        <v>33.766000000000012</v>
      </c>
    </row>
    <row r="2615" spans="1:16" x14ac:dyDescent="0.35">
      <c r="A2615" s="9" t="s">
        <v>133</v>
      </c>
      <c r="B2615" s="2">
        <v>322.173</v>
      </c>
      <c r="C2615" s="2">
        <v>329.68599999999998</v>
      </c>
      <c r="D2615" s="2">
        <v>320.97800000000001</v>
      </c>
      <c r="E2615" s="2">
        <v>328.74700000000001</v>
      </c>
      <c r="F2615" s="2">
        <v>27086035</v>
      </c>
      <c r="G2615" s="2" t="s">
        <v>569</v>
      </c>
      <c r="H2615" s="2" t="s">
        <v>570</v>
      </c>
      <c r="I2615" s="2" t="s">
        <v>17</v>
      </c>
      <c r="J2615" s="3">
        <v>1.276</v>
      </c>
      <c r="K2615" s="2" t="s">
        <v>134</v>
      </c>
      <c r="L2615" s="2">
        <v>2023</v>
      </c>
      <c r="M2615" s="2" t="s">
        <v>135</v>
      </c>
      <c r="N2615" s="2" t="s">
        <v>21</v>
      </c>
      <c r="O2615">
        <f t="shared" si="80"/>
        <v>8.70799999999997</v>
      </c>
      <c r="P2615">
        <f t="shared" si="81"/>
        <v>35.042000000000016</v>
      </c>
    </row>
    <row r="2616" spans="1:16" x14ac:dyDescent="0.35">
      <c r="A2616" s="9" t="s">
        <v>136</v>
      </c>
      <c r="B2616" s="2">
        <v>330.39499999999998</v>
      </c>
      <c r="C2616" s="2">
        <v>333.61</v>
      </c>
      <c r="D2616" s="2">
        <v>328.71699999999998</v>
      </c>
      <c r="E2616" s="2">
        <v>331.53300000000002</v>
      </c>
      <c r="F2616" s="2">
        <v>26175458</v>
      </c>
      <c r="G2616" s="2" t="s">
        <v>569</v>
      </c>
      <c r="H2616" s="2" t="s">
        <v>570</v>
      </c>
      <c r="I2616" s="2" t="s">
        <v>17</v>
      </c>
      <c r="J2616" s="3">
        <v>0.84699999999999998</v>
      </c>
      <c r="K2616" s="2" t="s">
        <v>134</v>
      </c>
      <c r="L2616" s="2">
        <v>2023</v>
      </c>
      <c r="M2616" s="2" t="s">
        <v>135</v>
      </c>
      <c r="N2616" s="2" t="s">
        <v>21</v>
      </c>
      <c r="O2616">
        <f t="shared" si="80"/>
        <v>4.8930000000000291</v>
      </c>
      <c r="P2616">
        <f t="shared" si="81"/>
        <v>35.889000000000017</v>
      </c>
    </row>
    <row r="2617" spans="1:16" x14ac:dyDescent="0.35">
      <c r="A2617" s="9" t="s">
        <v>137</v>
      </c>
      <c r="B2617" s="2">
        <v>331.35700000000003</v>
      </c>
      <c r="C2617" s="2">
        <v>334.65899999999999</v>
      </c>
      <c r="D2617" s="2">
        <v>330.80399999999997</v>
      </c>
      <c r="E2617" s="2">
        <v>332.06700000000001</v>
      </c>
      <c r="F2617" s="2">
        <v>21555494</v>
      </c>
      <c r="G2617" s="2" t="s">
        <v>569</v>
      </c>
      <c r="H2617" s="2" t="s">
        <v>570</v>
      </c>
      <c r="I2617" s="2" t="s">
        <v>17</v>
      </c>
      <c r="J2617" s="3">
        <v>0.161</v>
      </c>
      <c r="K2617" s="2" t="s">
        <v>134</v>
      </c>
      <c r="L2617" s="2">
        <v>2023</v>
      </c>
      <c r="M2617" s="2" t="s">
        <v>135</v>
      </c>
      <c r="N2617" s="2" t="s">
        <v>21</v>
      </c>
      <c r="O2617">
        <f t="shared" si="80"/>
        <v>3.8550000000000182</v>
      </c>
      <c r="P2617">
        <f t="shared" si="81"/>
        <v>36.050000000000018</v>
      </c>
    </row>
    <row r="2618" spans="1:16" x14ac:dyDescent="0.35">
      <c r="A2618" s="9" t="s">
        <v>138</v>
      </c>
      <c r="B2618" s="2">
        <v>331.46600000000001</v>
      </c>
      <c r="C2618" s="2">
        <v>331.50400000000002</v>
      </c>
      <c r="D2618" s="2">
        <v>328.34199999999998</v>
      </c>
      <c r="E2618" s="2">
        <v>329.83499999999998</v>
      </c>
      <c r="F2618" s="2">
        <v>20634044</v>
      </c>
      <c r="G2618" s="2" t="s">
        <v>569</v>
      </c>
      <c r="H2618" s="2" t="s">
        <v>570</v>
      </c>
      <c r="I2618" s="2" t="s">
        <v>17</v>
      </c>
      <c r="J2618" s="4">
        <v>-0.67200000000000004</v>
      </c>
      <c r="K2618" s="2" t="s">
        <v>134</v>
      </c>
      <c r="L2618" s="2">
        <v>2023</v>
      </c>
      <c r="M2618" s="2" t="s">
        <v>135</v>
      </c>
      <c r="N2618" s="2" t="s">
        <v>23</v>
      </c>
      <c r="O2618">
        <f t="shared" si="80"/>
        <v>3.1620000000000346</v>
      </c>
      <c r="P2618">
        <f t="shared" si="81"/>
        <v>35.378000000000021</v>
      </c>
    </row>
    <row r="2619" spans="1:16" x14ac:dyDescent="0.35">
      <c r="A2619" s="9" t="s">
        <v>139</v>
      </c>
      <c r="B2619" s="2">
        <v>327.827</v>
      </c>
      <c r="C2619" s="2">
        <v>330.63400000000001</v>
      </c>
      <c r="D2619" s="2">
        <v>318.78300000000002</v>
      </c>
      <c r="E2619" s="2">
        <v>319.65300000000002</v>
      </c>
      <c r="F2619" s="2">
        <v>41191893</v>
      </c>
      <c r="G2619" s="2" t="s">
        <v>569</v>
      </c>
      <c r="H2619" s="2" t="s">
        <v>570</v>
      </c>
      <c r="I2619" s="2" t="s">
        <v>17</v>
      </c>
      <c r="J2619" s="4">
        <v>-3.0870000000000002</v>
      </c>
      <c r="K2619" s="2" t="s">
        <v>134</v>
      </c>
      <c r="L2619" s="2">
        <v>2023</v>
      </c>
      <c r="M2619" s="2" t="s">
        <v>135</v>
      </c>
      <c r="N2619" s="2" t="s">
        <v>23</v>
      </c>
      <c r="O2619">
        <f t="shared" si="80"/>
        <v>11.850999999999999</v>
      </c>
      <c r="P2619">
        <f t="shared" si="81"/>
        <v>32.291000000000018</v>
      </c>
    </row>
    <row r="2620" spans="1:16" x14ac:dyDescent="0.35">
      <c r="A2620" s="9" t="s">
        <v>140</v>
      </c>
      <c r="B2620" s="2">
        <v>320.202</v>
      </c>
      <c r="C2620" s="2">
        <v>322.87599999999998</v>
      </c>
      <c r="D2620" s="2">
        <v>319.62299999999999</v>
      </c>
      <c r="E2620" s="2">
        <v>321.51100000000002</v>
      </c>
      <c r="F2620" s="2">
        <v>23549127</v>
      </c>
      <c r="G2620" s="2" t="s">
        <v>569</v>
      </c>
      <c r="H2620" s="2" t="s">
        <v>570</v>
      </c>
      <c r="I2620" s="2" t="s">
        <v>17</v>
      </c>
      <c r="J2620" s="3">
        <v>0.58099999999999996</v>
      </c>
      <c r="K2620" s="2" t="s">
        <v>134</v>
      </c>
      <c r="L2620" s="2">
        <v>2023</v>
      </c>
      <c r="M2620" s="2" t="s">
        <v>135</v>
      </c>
      <c r="N2620" s="2" t="s">
        <v>21</v>
      </c>
      <c r="O2620">
        <f t="shared" si="80"/>
        <v>3.2529999999999859</v>
      </c>
      <c r="P2620">
        <f t="shared" si="81"/>
        <v>32.872000000000021</v>
      </c>
    </row>
    <row r="2621" spans="1:16" x14ac:dyDescent="0.35">
      <c r="A2621" s="9" t="s">
        <v>141</v>
      </c>
      <c r="B2621" s="2">
        <v>321.24400000000003</v>
      </c>
      <c r="C2621" s="2">
        <v>326.18599999999998</v>
      </c>
      <c r="D2621" s="2">
        <v>320.67099999999999</v>
      </c>
      <c r="E2621" s="2">
        <v>323.02300000000002</v>
      </c>
      <c r="F2621" s="2">
        <v>22791638</v>
      </c>
      <c r="G2621" s="2" t="s">
        <v>569</v>
      </c>
      <c r="H2621" s="2" t="s">
        <v>570</v>
      </c>
      <c r="I2621" s="2" t="s">
        <v>17</v>
      </c>
      <c r="J2621" s="3">
        <v>0.47</v>
      </c>
      <c r="K2621" s="2" t="s">
        <v>134</v>
      </c>
      <c r="L2621" s="2">
        <v>2023</v>
      </c>
      <c r="M2621" s="2" t="s">
        <v>135</v>
      </c>
      <c r="N2621" s="2" t="s">
        <v>21</v>
      </c>
      <c r="O2621">
        <f t="shared" si="80"/>
        <v>5.5149999999999864</v>
      </c>
      <c r="P2621">
        <f t="shared" si="81"/>
        <v>33.34200000000002</v>
      </c>
    </row>
    <row r="2622" spans="1:16" x14ac:dyDescent="0.35">
      <c r="A2622" s="9" t="s">
        <v>142</v>
      </c>
      <c r="B2622" s="2">
        <v>324.79300000000001</v>
      </c>
      <c r="C2622" s="2">
        <v>328.27300000000002</v>
      </c>
      <c r="D2622" s="2">
        <v>321.41300000000001</v>
      </c>
      <c r="E2622" s="2">
        <v>328.02499999999998</v>
      </c>
      <c r="F2622" s="2">
        <v>24590171</v>
      </c>
      <c r="G2622" s="2" t="s">
        <v>569</v>
      </c>
      <c r="H2622" s="2" t="s">
        <v>570</v>
      </c>
      <c r="I2622" s="2" t="s">
        <v>17</v>
      </c>
      <c r="J2622" s="3">
        <v>1.548</v>
      </c>
      <c r="K2622" s="2" t="s">
        <v>134</v>
      </c>
      <c r="L2622" s="2">
        <v>2023</v>
      </c>
      <c r="M2622" s="2" t="s">
        <v>135</v>
      </c>
      <c r="N2622" s="2" t="s">
        <v>21</v>
      </c>
      <c r="O2622">
        <f t="shared" si="80"/>
        <v>6.8600000000000136</v>
      </c>
      <c r="P2622">
        <f t="shared" si="81"/>
        <v>34.890000000000022</v>
      </c>
    </row>
    <row r="2623" spans="1:16" x14ac:dyDescent="0.35">
      <c r="A2623" s="9" t="s">
        <v>143</v>
      </c>
      <c r="B2623" s="2">
        <v>330.60899999999998</v>
      </c>
      <c r="C2623" s="2">
        <v>333.096</v>
      </c>
      <c r="D2623" s="2">
        <v>326.58199999999999</v>
      </c>
      <c r="E2623" s="2">
        <v>330.43799999999999</v>
      </c>
      <c r="F2623" s="2">
        <v>23218892</v>
      </c>
      <c r="G2623" s="2" t="s">
        <v>569</v>
      </c>
      <c r="H2623" s="2" t="s">
        <v>570</v>
      </c>
      <c r="I2623" s="2" t="s">
        <v>17</v>
      </c>
      <c r="J2623" s="3">
        <v>0.73599999999999999</v>
      </c>
      <c r="K2623" s="2" t="s">
        <v>134</v>
      </c>
      <c r="L2623" s="2">
        <v>2023</v>
      </c>
      <c r="M2623" s="2" t="s">
        <v>135</v>
      </c>
      <c r="N2623" s="2" t="s">
        <v>21</v>
      </c>
      <c r="O2623">
        <f t="shared" si="80"/>
        <v>6.51400000000001</v>
      </c>
      <c r="P2623">
        <f t="shared" si="81"/>
        <v>35.626000000000019</v>
      </c>
    </row>
    <row r="2624" spans="1:16" x14ac:dyDescent="0.35">
      <c r="A2624" s="9" t="s">
        <v>144</v>
      </c>
      <c r="B2624" s="2">
        <v>330.48599999999999</v>
      </c>
      <c r="C2624" s="2">
        <v>335.13299999999998</v>
      </c>
      <c r="D2624" s="2">
        <v>328.97399999999999</v>
      </c>
      <c r="E2624" s="2">
        <v>333.452</v>
      </c>
      <c r="F2624" s="2">
        <v>26306996</v>
      </c>
      <c r="G2624" s="2" t="s">
        <v>569</v>
      </c>
      <c r="H2624" s="2" t="s">
        <v>570</v>
      </c>
      <c r="I2624" s="2" t="s">
        <v>17</v>
      </c>
      <c r="J2624" s="3">
        <v>0.91200000000000003</v>
      </c>
      <c r="K2624" s="2" t="s">
        <v>134</v>
      </c>
      <c r="L2624" s="2">
        <v>2023</v>
      </c>
      <c r="M2624" s="2" t="s">
        <v>135</v>
      </c>
      <c r="N2624" s="2" t="s">
        <v>21</v>
      </c>
      <c r="O2624">
        <f t="shared" si="80"/>
        <v>6.1589999999999918</v>
      </c>
      <c r="P2624">
        <f t="shared" si="81"/>
        <v>36.538000000000018</v>
      </c>
    </row>
    <row r="2625" spans="1:16" x14ac:dyDescent="0.35">
      <c r="A2625" s="9" t="s">
        <v>145</v>
      </c>
      <c r="B2625" s="2">
        <v>333.59100000000001</v>
      </c>
      <c r="C2625" s="2">
        <v>345.80799999999999</v>
      </c>
      <c r="D2625" s="2">
        <v>333.31400000000002</v>
      </c>
      <c r="E2625" s="2">
        <v>344.08800000000002</v>
      </c>
      <c r="F2625" s="2">
        <v>39352640</v>
      </c>
      <c r="G2625" s="2" t="s">
        <v>569</v>
      </c>
      <c r="H2625" s="2" t="s">
        <v>570</v>
      </c>
      <c r="I2625" s="2" t="s">
        <v>17</v>
      </c>
      <c r="J2625" s="3">
        <v>3.19</v>
      </c>
      <c r="K2625" s="2" t="s">
        <v>134</v>
      </c>
      <c r="L2625" s="2">
        <v>2023</v>
      </c>
      <c r="M2625" s="2" t="s">
        <v>135</v>
      </c>
      <c r="N2625" s="2" t="s">
        <v>21</v>
      </c>
      <c r="O2625">
        <f t="shared" si="80"/>
        <v>12.493999999999971</v>
      </c>
      <c r="P2625">
        <f t="shared" si="81"/>
        <v>39.728000000000016</v>
      </c>
    </row>
    <row r="2626" spans="1:16" x14ac:dyDescent="0.35">
      <c r="A2626" s="9" t="s">
        <v>146</v>
      </c>
      <c r="B2626" s="2">
        <v>347.27100000000002</v>
      </c>
      <c r="C2626" s="2">
        <v>347.42</v>
      </c>
      <c r="D2626" s="2">
        <v>338.00900000000001</v>
      </c>
      <c r="E2626" s="2">
        <v>338.38499999999999</v>
      </c>
      <c r="F2626" s="2">
        <v>47094784</v>
      </c>
      <c r="G2626" s="2" t="s">
        <v>569</v>
      </c>
      <c r="H2626" s="2" t="s">
        <v>570</v>
      </c>
      <c r="I2626" s="2" t="s">
        <v>17</v>
      </c>
      <c r="J2626" s="4">
        <v>-1.657</v>
      </c>
      <c r="K2626" s="2" t="s">
        <v>134</v>
      </c>
      <c r="L2626" s="2">
        <v>2023</v>
      </c>
      <c r="M2626" s="2" t="s">
        <v>135</v>
      </c>
      <c r="N2626" s="2" t="s">
        <v>23</v>
      </c>
      <c r="O2626">
        <f t="shared" si="80"/>
        <v>9.4110000000000014</v>
      </c>
      <c r="P2626">
        <f t="shared" si="81"/>
        <v>38.071000000000012</v>
      </c>
    </row>
    <row r="2627" spans="1:16" x14ac:dyDescent="0.35">
      <c r="A2627" s="9" t="s">
        <v>147</v>
      </c>
      <c r="B2627" s="2">
        <v>335.399</v>
      </c>
      <c r="C2627" s="2">
        <v>338.137</v>
      </c>
      <c r="D2627" s="2">
        <v>331.988</v>
      </c>
      <c r="E2627" s="2">
        <v>334.15499999999997</v>
      </c>
      <c r="F2627" s="2">
        <v>26682945</v>
      </c>
      <c r="G2627" s="2" t="s">
        <v>569</v>
      </c>
      <c r="H2627" s="2" t="s">
        <v>570</v>
      </c>
      <c r="I2627" s="2" t="s">
        <v>17</v>
      </c>
      <c r="J2627" s="4">
        <v>-1.25</v>
      </c>
      <c r="K2627" s="2" t="s">
        <v>134</v>
      </c>
      <c r="L2627" s="2">
        <v>2023</v>
      </c>
      <c r="M2627" s="2" t="s">
        <v>135</v>
      </c>
      <c r="N2627" s="2" t="s">
        <v>23</v>
      </c>
      <c r="O2627">
        <f t="shared" ref="O2627:O2690" si="82">C2627-D2627</f>
        <v>6.1490000000000009</v>
      </c>
      <c r="P2627">
        <f t="shared" si="81"/>
        <v>36.821000000000012</v>
      </c>
    </row>
    <row r="2628" spans="1:16" x14ac:dyDescent="0.35">
      <c r="A2628" s="9" t="s">
        <v>148</v>
      </c>
      <c r="B2628" s="2">
        <v>332.49299999999999</v>
      </c>
      <c r="C2628" s="2">
        <v>333.83699999999999</v>
      </c>
      <c r="D2628" s="2">
        <v>328.24299999999999</v>
      </c>
      <c r="E2628" s="2">
        <v>329.71600000000001</v>
      </c>
      <c r="F2628" s="2">
        <v>25410674</v>
      </c>
      <c r="G2628" s="2" t="s">
        <v>569</v>
      </c>
      <c r="H2628" s="2" t="s">
        <v>570</v>
      </c>
      <c r="I2628" s="2" t="s">
        <v>17</v>
      </c>
      <c r="J2628" s="4">
        <v>-1.3280000000000001</v>
      </c>
      <c r="K2628" s="2" t="s">
        <v>134</v>
      </c>
      <c r="L2628" s="2">
        <v>2023</v>
      </c>
      <c r="M2628" s="2" t="s">
        <v>135</v>
      </c>
      <c r="N2628" s="2" t="s">
        <v>23</v>
      </c>
      <c r="O2628">
        <f t="shared" si="82"/>
        <v>5.5939999999999941</v>
      </c>
      <c r="P2628">
        <f t="shared" ref="P2628:P2691" si="83">IF(G2628=G2627, P2627+J2628, J2628)</f>
        <v>35.493000000000009</v>
      </c>
    </row>
    <row r="2629" spans="1:16" x14ac:dyDescent="0.35">
      <c r="A2629" s="9" t="s">
        <v>149</v>
      </c>
      <c r="B2629" s="2">
        <v>330.27</v>
      </c>
      <c r="C2629" s="2">
        <v>336.2</v>
      </c>
      <c r="D2629" s="2">
        <v>329.49700000000001</v>
      </c>
      <c r="E2629" s="2">
        <v>335.79500000000002</v>
      </c>
      <c r="F2629" s="2">
        <v>23831437</v>
      </c>
      <c r="G2629" s="2" t="s">
        <v>569</v>
      </c>
      <c r="H2629" s="2" t="s">
        <v>570</v>
      </c>
      <c r="I2629" s="2" t="s">
        <v>17</v>
      </c>
      <c r="J2629" s="3">
        <v>1.8440000000000001</v>
      </c>
      <c r="K2629" s="2" t="s">
        <v>134</v>
      </c>
      <c r="L2629" s="2">
        <v>2023</v>
      </c>
      <c r="M2629" s="2" t="s">
        <v>135</v>
      </c>
      <c r="N2629" s="2" t="s">
        <v>21</v>
      </c>
      <c r="O2629">
        <f t="shared" si="82"/>
        <v>6.7029999999999745</v>
      </c>
      <c r="P2629">
        <f t="shared" si="83"/>
        <v>37.33700000000001</v>
      </c>
    </row>
    <row r="2630" spans="1:16" x14ac:dyDescent="0.35">
      <c r="A2630" s="9" t="s">
        <v>150</v>
      </c>
      <c r="B2630" s="2">
        <v>330.50599999999997</v>
      </c>
      <c r="C2630" s="2">
        <v>334.065</v>
      </c>
      <c r="D2630" s="2">
        <v>329.60700000000003</v>
      </c>
      <c r="E2630" s="2">
        <v>331.15800000000002</v>
      </c>
      <c r="F2630" s="2">
        <v>23416795</v>
      </c>
      <c r="G2630" s="2" t="s">
        <v>569</v>
      </c>
      <c r="H2630" s="2" t="s">
        <v>570</v>
      </c>
      <c r="I2630" s="2" t="s">
        <v>17</v>
      </c>
      <c r="J2630" s="4">
        <v>-1.381</v>
      </c>
      <c r="K2630" s="2" t="s">
        <v>134</v>
      </c>
      <c r="L2630" s="2">
        <v>2023</v>
      </c>
      <c r="M2630" s="2" t="s">
        <v>135</v>
      </c>
      <c r="N2630" s="2" t="s">
        <v>23</v>
      </c>
      <c r="O2630">
        <f t="shared" si="82"/>
        <v>4.45799999999997</v>
      </c>
      <c r="P2630">
        <f t="shared" si="83"/>
        <v>35.95600000000001</v>
      </c>
    </row>
    <row r="2631" spans="1:16" x14ac:dyDescent="0.35">
      <c r="A2631" s="9" t="s">
        <v>151</v>
      </c>
      <c r="B2631" s="2">
        <v>330.774</v>
      </c>
      <c r="C2631" s="2">
        <v>332.23599999999999</v>
      </c>
      <c r="D2631" s="2">
        <v>324.70400000000001</v>
      </c>
      <c r="E2631" s="2">
        <v>324.81299999999999</v>
      </c>
      <c r="F2631" s="2">
        <v>21771513</v>
      </c>
      <c r="G2631" s="2" t="s">
        <v>569</v>
      </c>
      <c r="H2631" s="2" t="s">
        <v>570</v>
      </c>
      <c r="I2631" s="2" t="s">
        <v>17</v>
      </c>
      <c r="J2631" s="4">
        <v>-1.9159999999999999</v>
      </c>
      <c r="K2631" s="2" t="s">
        <v>134</v>
      </c>
      <c r="L2631" s="2">
        <v>2023</v>
      </c>
      <c r="M2631" s="2" t="s">
        <v>135</v>
      </c>
      <c r="N2631" s="2" t="s">
        <v>23</v>
      </c>
      <c r="O2631">
        <f t="shared" si="82"/>
        <v>7.5319999999999823</v>
      </c>
      <c r="P2631">
        <f t="shared" si="83"/>
        <v>34.040000000000013</v>
      </c>
    </row>
    <row r="2632" spans="1:16" x14ac:dyDescent="0.35">
      <c r="A2632" s="9" t="s">
        <v>152</v>
      </c>
      <c r="B2632" s="2">
        <v>328.03500000000003</v>
      </c>
      <c r="C2632" s="2">
        <v>332.27600000000001</v>
      </c>
      <c r="D2632" s="2">
        <v>325.50400000000002</v>
      </c>
      <c r="E2632" s="2">
        <v>330.714</v>
      </c>
      <c r="F2632" s="2">
        <v>24638080</v>
      </c>
      <c r="G2632" s="2" t="s">
        <v>569</v>
      </c>
      <c r="H2632" s="2" t="s">
        <v>570</v>
      </c>
      <c r="I2632" s="2" t="s">
        <v>17</v>
      </c>
      <c r="J2632" s="3">
        <v>1.8169999999999999</v>
      </c>
      <c r="K2632" s="2" t="s">
        <v>134</v>
      </c>
      <c r="L2632" s="2">
        <v>2023</v>
      </c>
      <c r="M2632" s="2" t="s">
        <v>135</v>
      </c>
      <c r="N2632" s="2" t="s">
        <v>21</v>
      </c>
      <c r="O2632">
        <f t="shared" si="82"/>
        <v>6.7719999999999914</v>
      </c>
      <c r="P2632">
        <f t="shared" si="83"/>
        <v>35.857000000000014</v>
      </c>
    </row>
    <row r="2633" spans="1:16" x14ac:dyDescent="0.35">
      <c r="A2633" s="9" t="s">
        <v>153</v>
      </c>
      <c r="B2633" s="2">
        <v>330.80399999999997</v>
      </c>
      <c r="C2633" s="2">
        <v>334.08499999999998</v>
      </c>
      <c r="D2633" s="2">
        <v>329.96300000000002</v>
      </c>
      <c r="E2633" s="2">
        <v>331.97800000000001</v>
      </c>
      <c r="F2633" s="2">
        <v>20495750</v>
      </c>
      <c r="G2633" s="2" t="s">
        <v>569</v>
      </c>
      <c r="H2633" s="2" t="s">
        <v>570</v>
      </c>
      <c r="I2633" s="2" t="s">
        <v>17</v>
      </c>
      <c r="J2633" s="3">
        <v>0.38200000000000001</v>
      </c>
      <c r="K2633" s="2" t="s">
        <v>134</v>
      </c>
      <c r="L2633" s="2">
        <v>2023</v>
      </c>
      <c r="M2633" s="2" t="s">
        <v>135</v>
      </c>
      <c r="N2633" s="2" t="s">
        <v>21</v>
      </c>
      <c r="O2633">
        <f t="shared" si="82"/>
        <v>4.1219999999999573</v>
      </c>
      <c r="P2633">
        <f t="shared" si="83"/>
        <v>36.239000000000011</v>
      </c>
    </row>
    <row r="2634" spans="1:16" x14ac:dyDescent="0.35">
      <c r="A2634" s="9" t="s">
        <v>154</v>
      </c>
      <c r="B2634" s="2">
        <v>330.85199999999998</v>
      </c>
      <c r="C2634" s="2">
        <v>332.23599999999999</v>
      </c>
      <c r="D2634" s="2">
        <v>328.78699999999998</v>
      </c>
      <c r="E2634" s="2">
        <v>331.18799999999999</v>
      </c>
      <c r="F2634" s="2">
        <v>17195228</v>
      </c>
      <c r="G2634" s="2" t="s">
        <v>569</v>
      </c>
      <c r="H2634" s="2" t="s">
        <v>570</v>
      </c>
      <c r="I2634" s="2" t="s">
        <v>17</v>
      </c>
      <c r="J2634" s="4">
        <v>-0.23799999999999999</v>
      </c>
      <c r="K2634" s="2" t="s">
        <v>134</v>
      </c>
      <c r="L2634" s="2">
        <v>2023</v>
      </c>
      <c r="M2634" s="2" t="s">
        <v>135</v>
      </c>
      <c r="N2634" s="2" t="s">
        <v>23</v>
      </c>
      <c r="O2634">
        <f t="shared" si="82"/>
        <v>3.4490000000000123</v>
      </c>
      <c r="P2634">
        <f t="shared" si="83"/>
        <v>36.001000000000012</v>
      </c>
    </row>
    <row r="2635" spans="1:16" x14ac:dyDescent="0.35">
      <c r="A2635" s="9" t="s">
        <v>155</v>
      </c>
      <c r="B2635" s="2">
        <v>333.85700000000003</v>
      </c>
      <c r="C2635" s="2">
        <v>338.78</v>
      </c>
      <c r="D2635" s="2">
        <v>333.31400000000002</v>
      </c>
      <c r="E2635" s="2">
        <v>336.61599999999999</v>
      </c>
      <c r="F2635" s="2">
        <v>27145627</v>
      </c>
      <c r="G2635" s="2" t="s">
        <v>569</v>
      </c>
      <c r="H2635" s="2" t="s">
        <v>570</v>
      </c>
      <c r="I2635" s="2" t="s">
        <v>17</v>
      </c>
      <c r="J2635" s="3">
        <v>1.639</v>
      </c>
      <c r="K2635" s="2" t="s">
        <v>134</v>
      </c>
      <c r="L2635" s="2">
        <v>2023</v>
      </c>
      <c r="M2635" s="2" t="s">
        <v>135</v>
      </c>
      <c r="N2635" s="2" t="s">
        <v>21</v>
      </c>
      <c r="O2635">
        <f t="shared" si="82"/>
        <v>5.4659999999999513</v>
      </c>
      <c r="P2635">
        <f t="shared" si="83"/>
        <v>37.640000000000015</v>
      </c>
    </row>
    <row r="2636" spans="1:16" x14ac:dyDescent="0.35">
      <c r="A2636" s="9" t="s">
        <v>156</v>
      </c>
      <c r="B2636" s="2">
        <v>335.28</v>
      </c>
      <c r="C2636" s="2">
        <v>336.971</v>
      </c>
      <c r="D2636" s="2">
        <v>332.69200000000001</v>
      </c>
      <c r="E2636" s="2">
        <v>334.09500000000003</v>
      </c>
      <c r="F2636" s="2">
        <v>12654544</v>
      </c>
      <c r="G2636" s="2" t="s">
        <v>569</v>
      </c>
      <c r="H2636" s="2" t="s">
        <v>570</v>
      </c>
      <c r="I2636" s="2" t="s">
        <v>17</v>
      </c>
      <c r="J2636" s="4">
        <v>-0.749</v>
      </c>
      <c r="K2636" s="2" t="s">
        <v>157</v>
      </c>
      <c r="L2636" s="2">
        <v>2023</v>
      </c>
      <c r="M2636" s="2" t="s">
        <v>158</v>
      </c>
      <c r="N2636" s="2" t="s">
        <v>23</v>
      </c>
      <c r="O2636">
        <f t="shared" si="82"/>
        <v>4.2789999999999964</v>
      </c>
      <c r="P2636">
        <f t="shared" si="83"/>
        <v>36.891000000000012</v>
      </c>
    </row>
    <row r="2637" spans="1:16" x14ac:dyDescent="0.35">
      <c r="A2637" s="9" t="s">
        <v>159</v>
      </c>
      <c r="B2637" s="2">
        <v>331.22800000000001</v>
      </c>
      <c r="C2637" s="2">
        <v>337.71199999999999</v>
      </c>
      <c r="D2637" s="2">
        <v>330.86900000000003</v>
      </c>
      <c r="E2637" s="2">
        <v>334.25299999999999</v>
      </c>
      <c r="F2637" s="2">
        <v>18384269</v>
      </c>
      <c r="G2637" s="2" t="s">
        <v>569</v>
      </c>
      <c r="H2637" s="2" t="s">
        <v>570</v>
      </c>
      <c r="I2637" s="2" t="s">
        <v>17</v>
      </c>
      <c r="J2637" s="3">
        <v>4.7E-2</v>
      </c>
      <c r="K2637" s="2" t="s">
        <v>157</v>
      </c>
      <c r="L2637" s="2">
        <v>2023</v>
      </c>
      <c r="M2637" s="2" t="s">
        <v>158</v>
      </c>
      <c r="N2637" s="2" t="s">
        <v>21</v>
      </c>
      <c r="O2637">
        <f t="shared" si="82"/>
        <v>6.8429999999999609</v>
      </c>
      <c r="P2637">
        <f t="shared" si="83"/>
        <v>36.938000000000009</v>
      </c>
    </row>
    <row r="2638" spans="1:16" x14ac:dyDescent="0.35">
      <c r="A2638" s="9" t="s">
        <v>160</v>
      </c>
      <c r="B2638" s="2">
        <v>333.41199999999998</v>
      </c>
      <c r="C2638" s="2">
        <v>339.03699999999998</v>
      </c>
      <c r="D2638" s="2">
        <v>331.63299999999998</v>
      </c>
      <c r="E2638" s="2">
        <v>337.33699999999999</v>
      </c>
      <c r="F2638" s="2">
        <v>28524295</v>
      </c>
      <c r="G2638" s="2" t="s">
        <v>569</v>
      </c>
      <c r="H2638" s="2" t="s">
        <v>570</v>
      </c>
      <c r="I2638" s="2" t="s">
        <v>17</v>
      </c>
      <c r="J2638" s="3">
        <v>0.92300000000000004</v>
      </c>
      <c r="K2638" s="2" t="s">
        <v>157</v>
      </c>
      <c r="L2638" s="2">
        <v>2023</v>
      </c>
      <c r="M2638" s="2" t="s">
        <v>158</v>
      </c>
      <c r="N2638" s="2" t="s">
        <v>21</v>
      </c>
      <c r="O2638">
        <f t="shared" si="82"/>
        <v>7.4039999999999964</v>
      </c>
      <c r="P2638">
        <f t="shared" si="83"/>
        <v>37.861000000000011</v>
      </c>
    </row>
    <row r="2639" spans="1:16" x14ac:dyDescent="0.35">
      <c r="A2639" s="9" t="s">
        <v>161</v>
      </c>
      <c r="B2639" s="2">
        <v>335.40899999999999</v>
      </c>
      <c r="C2639" s="2">
        <v>337.851</v>
      </c>
      <c r="D2639" s="2">
        <v>333.11599999999999</v>
      </c>
      <c r="E2639" s="2">
        <v>333.33300000000003</v>
      </c>
      <c r="F2639" s="2">
        <v>21462190</v>
      </c>
      <c r="G2639" s="2" t="s">
        <v>569</v>
      </c>
      <c r="H2639" s="2" t="s">
        <v>570</v>
      </c>
      <c r="I2639" s="2" t="s">
        <v>17</v>
      </c>
      <c r="J2639" s="4">
        <v>-1.1870000000000001</v>
      </c>
      <c r="K2639" s="2" t="s">
        <v>157</v>
      </c>
      <c r="L2639" s="2">
        <v>2023</v>
      </c>
      <c r="M2639" s="2" t="s">
        <v>158</v>
      </c>
      <c r="N2639" s="2" t="s">
        <v>23</v>
      </c>
      <c r="O2639">
        <f t="shared" si="82"/>
        <v>4.7350000000000136</v>
      </c>
      <c r="P2639">
        <f t="shared" si="83"/>
        <v>36.674000000000014</v>
      </c>
    </row>
    <row r="2640" spans="1:16" x14ac:dyDescent="0.35">
      <c r="A2640" s="9" t="s">
        <v>162</v>
      </c>
      <c r="B2640" s="2">
        <v>330.74400000000003</v>
      </c>
      <c r="C2640" s="2">
        <v>331.36700000000002</v>
      </c>
      <c r="D2640" s="2">
        <v>323.815</v>
      </c>
      <c r="E2640" s="2">
        <v>328.005</v>
      </c>
      <c r="F2640" s="2">
        <v>33173799</v>
      </c>
      <c r="G2640" s="2" t="s">
        <v>569</v>
      </c>
      <c r="H2640" s="2" t="s">
        <v>570</v>
      </c>
      <c r="I2640" s="2" t="s">
        <v>17</v>
      </c>
      <c r="J2640" s="4">
        <v>-1.5980000000000001</v>
      </c>
      <c r="K2640" s="2" t="s">
        <v>157</v>
      </c>
      <c r="L2640" s="2">
        <v>2023</v>
      </c>
      <c r="M2640" s="2" t="s">
        <v>158</v>
      </c>
      <c r="N2640" s="2" t="s">
        <v>23</v>
      </c>
      <c r="O2640">
        <f t="shared" si="82"/>
        <v>7.5520000000000209</v>
      </c>
      <c r="P2640">
        <f t="shared" si="83"/>
        <v>35.076000000000015</v>
      </c>
    </row>
    <row r="2641" spans="1:16" x14ac:dyDescent="0.35">
      <c r="A2641" s="9" t="s">
        <v>163</v>
      </c>
      <c r="B2641" s="2">
        <v>327.24400000000003</v>
      </c>
      <c r="C2641" s="2">
        <v>329.02300000000002</v>
      </c>
      <c r="D2641" s="2">
        <v>323.23099999999999</v>
      </c>
      <c r="E2641" s="2">
        <v>328.63799999999998</v>
      </c>
      <c r="F2641" s="2">
        <v>27009520</v>
      </c>
      <c r="G2641" s="2" t="s">
        <v>569</v>
      </c>
      <c r="H2641" s="2" t="s">
        <v>570</v>
      </c>
      <c r="I2641" s="2" t="s">
        <v>17</v>
      </c>
      <c r="J2641" s="3">
        <v>0.193</v>
      </c>
      <c r="K2641" s="2" t="s">
        <v>157</v>
      </c>
      <c r="L2641" s="2">
        <v>2023</v>
      </c>
      <c r="M2641" s="2" t="s">
        <v>158</v>
      </c>
      <c r="N2641" s="2" t="s">
        <v>21</v>
      </c>
      <c r="O2641">
        <f t="shared" si="82"/>
        <v>5.79200000000003</v>
      </c>
      <c r="P2641">
        <f t="shared" si="83"/>
        <v>35.269000000000013</v>
      </c>
    </row>
    <row r="2642" spans="1:16" x14ac:dyDescent="0.35">
      <c r="A2642" s="9" t="s">
        <v>164</v>
      </c>
      <c r="B2642" s="2">
        <v>332.721</v>
      </c>
      <c r="C2642" s="2">
        <v>337.714</v>
      </c>
      <c r="D2642" s="2">
        <v>331.80200000000002</v>
      </c>
      <c r="E2642" s="2">
        <v>333.31400000000002</v>
      </c>
      <c r="F2642" s="2">
        <v>30345008</v>
      </c>
      <c r="G2642" s="2" t="s">
        <v>569</v>
      </c>
      <c r="H2642" s="2" t="s">
        <v>570</v>
      </c>
      <c r="I2642" s="2" t="s">
        <v>17</v>
      </c>
      <c r="J2642" s="3">
        <v>1.423</v>
      </c>
      <c r="K2642" s="2" t="s">
        <v>157</v>
      </c>
      <c r="L2642" s="2">
        <v>2023</v>
      </c>
      <c r="M2642" s="2" t="s">
        <v>158</v>
      </c>
      <c r="N2642" s="2" t="s">
        <v>21</v>
      </c>
      <c r="O2642">
        <f t="shared" si="82"/>
        <v>5.9119999999999777</v>
      </c>
      <c r="P2642">
        <f t="shared" si="83"/>
        <v>36.692000000000014</v>
      </c>
    </row>
    <row r="2643" spans="1:16" x14ac:dyDescent="0.35">
      <c r="A2643" s="9" t="s">
        <v>165</v>
      </c>
      <c r="B2643" s="2">
        <v>335.64699999999999</v>
      </c>
      <c r="C2643" s="2">
        <v>339.77800000000002</v>
      </c>
      <c r="D2643" s="2">
        <v>335.113</v>
      </c>
      <c r="E2643" s="2">
        <v>338.71</v>
      </c>
      <c r="F2643" s="2">
        <v>20806973</v>
      </c>
      <c r="G2643" s="2" t="s">
        <v>569</v>
      </c>
      <c r="H2643" s="2" t="s">
        <v>570</v>
      </c>
      <c r="I2643" s="2" t="s">
        <v>17</v>
      </c>
      <c r="J2643" s="3">
        <v>1.619</v>
      </c>
      <c r="K2643" s="2" t="s">
        <v>157</v>
      </c>
      <c r="L2643" s="2">
        <v>2023</v>
      </c>
      <c r="M2643" s="2" t="s">
        <v>158</v>
      </c>
      <c r="N2643" s="2" t="s">
        <v>21</v>
      </c>
      <c r="O2643">
        <f t="shared" si="82"/>
        <v>4.6650000000000205</v>
      </c>
      <c r="P2643">
        <f t="shared" si="83"/>
        <v>38.311000000000014</v>
      </c>
    </row>
    <row r="2644" spans="1:16" x14ac:dyDescent="0.35">
      <c r="A2644" s="9" t="s">
        <v>166</v>
      </c>
      <c r="B2644" s="2">
        <v>343.58300000000003</v>
      </c>
      <c r="C2644" s="2">
        <v>347.38099999999997</v>
      </c>
      <c r="D2644" s="2">
        <v>340.34199999999998</v>
      </c>
      <c r="E2644" s="2">
        <v>341.26100000000002</v>
      </c>
      <c r="F2644" s="2">
        <v>28683323</v>
      </c>
      <c r="G2644" s="2" t="s">
        <v>569</v>
      </c>
      <c r="H2644" s="2" t="s">
        <v>570</v>
      </c>
      <c r="I2644" s="2" t="s">
        <v>17</v>
      </c>
      <c r="J2644" s="3">
        <v>0.753</v>
      </c>
      <c r="K2644" s="2" t="s">
        <v>157</v>
      </c>
      <c r="L2644" s="2">
        <v>2023</v>
      </c>
      <c r="M2644" s="2" t="s">
        <v>158</v>
      </c>
      <c r="N2644" s="2" t="s">
        <v>21</v>
      </c>
      <c r="O2644">
        <f t="shared" si="82"/>
        <v>7.0389999999999873</v>
      </c>
      <c r="P2644">
        <f t="shared" si="83"/>
        <v>39.064000000000014</v>
      </c>
    </row>
    <row r="2645" spans="1:16" x14ac:dyDescent="0.35">
      <c r="A2645" s="9" t="s">
        <v>167</v>
      </c>
      <c r="B2645" s="2">
        <v>341.69400000000002</v>
      </c>
      <c r="C2645" s="2">
        <v>342.99099999999999</v>
      </c>
      <c r="D2645" s="2">
        <v>338.25599999999997</v>
      </c>
      <c r="E2645" s="2">
        <v>341.745</v>
      </c>
      <c r="F2645" s="2">
        <v>20601371</v>
      </c>
      <c r="G2645" s="2" t="s">
        <v>569</v>
      </c>
      <c r="H2645" s="2" t="s">
        <v>570</v>
      </c>
      <c r="I2645" s="2" t="s">
        <v>17</v>
      </c>
      <c r="J2645" s="3">
        <v>0.14199999999999999</v>
      </c>
      <c r="K2645" s="2" t="s">
        <v>157</v>
      </c>
      <c r="L2645" s="2">
        <v>2023</v>
      </c>
      <c r="M2645" s="2" t="s">
        <v>158</v>
      </c>
      <c r="N2645" s="2" t="s">
        <v>21</v>
      </c>
      <c r="O2645">
        <f t="shared" si="82"/>
        <v>4.7350000000000136</v>
      </c>
      <c r="P2645">
        <f t="shared" si="83"/>
        <v>39.206000000000017</v>
      </c>
    </row>
    <row r="2646" spans="1:16" x14ac:dyDescent="0.35">
      <c r="A2646" s="9" t="s">
        <v>168</v>
      </c>
      <c r="B2646" s="2">
        <v>341.84399999999999</v>
      </c>
      <c r="C2646" s="2">
        <v>362.553</v>
      </c>
      <c r="D2646" s="2">
        <v>338.226</v>
      </c>
      <c r="E2646" s="2">
        <v>355.346</v>
      </c>
      <c r="F2646" s="2">
        <v>65629124</v>
      </c>
      <c r="G2646" s="2" t="s">
        <v>569</v>
      </c>
      <c r="H2646" s="2" t="s">
        <v>570</v>
      </c>
      <c r="I2646" s="2" t="s">
        <v>17</v>
      </c>
      <c r="J2646" s="3">
        <v>3.98</v>
      </c>
      <c r="K2646" s="2" t="s">
        <v>157</v>
      </c>
      <c r="L2646" s="2">
        <v>2023</v>
      </c>
      <c r="M2646" s="2" t="s">
        <v>158</v>
      </c>
      <c r="N2646" s="2" t="s">
        <v>21</v>
      </c>
      <c r="O2646">
        <f t="shared" si="82"/>
        <v>24.326999999999998</v>
      </c>
      <c r="P2646">
        <f t="shared" si="83"/>
        <v>43.186000000000014</v>
      </c>
    </row>
    <row r="2647" spans="1:16" x14ac:dyDescent="0.35">
      <c r="A2647" s="9" t="s">
        <v>169</v>
      </c>
      <c r="B2647" s="2">
        <v>357.58100000000002</v>
      </c>
      <c r="C2647" s="2">
        <v>358.28199999999998</v>
      </c>
      <c r="D2647" s="2">
        <v>348.37299999999999</v>
      </c>
      <c r="E2647" s="2">
        <v>350.98700000000002</v>
      </c>
      <c r="F2647" s="2">
        <v>40196189</v>
      </c>
      <c r="G2647" s="2" t="s">
        <v>569</v>
      </c>
      <c r="H2647" s="2" t="s">
        <v>570</v>
      </c>
      <c r="I2647" s="2" t="s">
        <v>17</v>
      </c>
      <c r="J2647" s="4">
        <v>-1.2270000000000001</v>
      </c>
      <c r="K2647" s="2" t="s">
        <v>157</v>
      </c>
      <c r="L2647" s="2">
        <v>2023</v>
      </c>
      <c r="M2647" s="2" t="s">
        <v>158</v>
      </c>
      <c r="N2647" s="2" t="s">
        <v>23</v>
      </c>
      <c r="O2647">
        <f t="shared" si="82"/>
        <v>9.9089999999999918</v>
      </c>
      <c r="P2647">
        <f t="shared" si="83"/>
        <v>41.959000000000017</v>
      </c>
    </row>
    <row r="2648" spans="1:16" x14ac:dyDescent="0.35">
      <c r="A2648" s="9" t="s">
        <v>170</v>
      </c>
      <c r="B2648" s="2">
        <v>349.49400000000003</v>
      </c>
      <c r="C2648" s="2">
        <v>353.84399999999999</v>
      </c>
      <c r="D2648" s="2">
        <v>341.38900000000001</v>
      </c>
      <c r="E2648" s="2">
        <v>342.87200000000001</v>
      </c>
      <c r="F2648" s="2">
        <v>34172253</v>
      </c>
      <c r="G2648" s="2" t="s">
        <v>569</v>
      </c>
      <c r="H2648" s="2" t="s">
        <v>570</v>
      </c>
      <c r="I2648" s="2" t="s">
        <v>17</v>
      </c>
      <c r="J2648" s="4">
        <v>-2.3119999999999998</v>
      </c>
      <c r="K2648" s="2" t="s">
        <v>157</v>
      </c>
      <c r="L2648" s="2">
        <v>2023</v>
      </c>
      <c r="M2648" s="2" t="s">
        <v>158</v>
      </c>
      <c r="N2648" s="2" t="s">
        <v>23</v>
      </c>
      <c r="O2648">
        <f t="shared" si="82"/>
        <v>12.454999999999984</v>
      </c>
      <c r="P2648">
        <f t="shared" si="83"/>
        <v>39.64700000000002</v>
      </c>
    </row>
    <row r="2649" spans="1:16" x14ac:dyDescent="0.35">
      <c r="A2649" s="9" t="s">
        <v>171</v>
      </c>
      <c r="B2649" s="2">
        <v>345.125</v>
      </c>
      <c r="C2649" s="2">
        <v>346.26299999999998</v>
      </c>
      <c r="D2649" s="2">
        <v>335.91300000000001</v>
      </c>
      <c r="E2649" s="2">
        <v>339.80799999999999</v>
      </c>
      <c r="F2649" s="2">
        <v>70214653</v>
      </c>
      <c r="G2649" s="2" t="s">
        <v>569</v>
      </c>
      <c r="H2649" s="2" t="s">
        <v>570</v>
      </c>
      <c r="I2649" s="2" t="s">
        <v>17</v>
      </c>
      <c r="J2649" s="4">
        <v>-0.89400000000000002</v>
      </c>
      <c r="K2649" s="2" t="s">
        <v>157</v>
      </c>
      <c r="L2649" s="2">
        <v>2023</v>
      </c>
      <c r="M2649" s="2" t="s">
        <v>158</v>
      </c>
      <c r="N2649" s="2" t="s">
        <v>23</v>
      </c>
      <c r="O2649">
        <f t="shared" si="82"/>
        <v>10.349999999999966</v>
      </c>
      <c r="P2649">
        <f t="shared" si="83"/>
        <v>38.753000000000021</v>
      </c>
    </row>
    <row r="2650" spans="1:16" x14ac:dyDescent="0.35">
      <c r="A2650" s="9" t="s">
        <v>172</v>
      </c>
      <c r="B2650" s="2">
        <v>341.86399999999998</v>
      </c>
      <c r="C2650" s="2">
        <v>342.92200000000003</v>
      </c>
      <c r="D2650" s="2">
        <v>338.36500000000001</v>
      </c>
      <c r="E2650" s="2">
        <v>341.13200000000001</v>
      </c>
      <c r="F2650" s="2">
        <v>27030754</v>
      </c>
      <c r="G2650" s="2" t="s">
        <v>569</v>
      </c>
      <c r="H2650" s="2" t="s">
        <v>570</v>
      </c>
      <c r="I2650" s="2" t="s">
        <v>17</v>
      </c>
      <c r="J2650" s="3">
        <v>0.39</v>
      </c>
      <c r="K2650" s="2" t="s">
        <v>157</v>
      </c>
      <c r="L2650" s="2">
        <v>2023</v>
      </c>
      <c r="M2650" s="2" t="s">
        <v>158</v>
      </c>
      <c r="N2650" s="2" t="s">
        <v>21</v>
      </c>
      <c r="O2650">
        <f t="shared" si="82"/>
        <v>4.5570000000000164</v>
      </c>
      <c r="P2650">
        <f t="shared" si="83"/>
        <v>39.143000000000022</v>
      </c>
    </row>
    <row r="2651" spans="1:16" x14ac:dyDescent="0.35">
      <c r="A2651" s="9" t="s">
        <v>173</v>
      </c>
      <c r="B2651" s="2">
        <v>343.10899999999998</v>
      </c>
      <c r="C2651" s="2">
        <v>347.83499999999998</v>
      </c>
      <c r="D2651" s="2">
        <v>341.09300000000002</v>
      </c>
      <c r="E2651" s="2">
        <v>346.935</v>
      </c>
      <c r="F2651" s="2">
        <v>42123237</v>
      </c>
      <c r="G2651" s="2" t="s">
        <v>569</v>
      </c>
      <c r="H2651" s="2" t="s">
        <v>570</v>
      </c>
      <c r="I2651" s="2" t="s">
        <v>17</v>
      </c>
      <c r="J2651" s="3">
        <v>1.7010000000000001</v>
      </c>
      <c r="K2651" s="2" t="s">
        <v>157</v>
      </c>
      <c r="L2651" s="2">
        <v>2023</v>
      </c>
      <c r="M2651" s="2" t="s">
        <v>158</v>
      </c>
      <c r="N2651" s="2" t="s">
        <v>21</v>
      </c>
      <c r="O2651">
        <f t="shared" si="82"/>
        <v>6.7419999999999618</v>
      </c>
      <c r="P2651">
        <f t="shared" si="83"/>
        <v>40.844000000000023</v>
      </c>
    </row>
    <row r="2652" spans="1:16" x14ac:dyDescent="0.35">
      <c r="A2652" s="9" t="s">
        <v>174</v>
      </c>
      <c r="B2652" s="2">
        <v>337.50400000000002</v>
      </c>
      <c r="C2652" s="2">
        <v>340.697</v>
      </c>
      <c r="D2652" s="2">
        <v>329.27100000000002</v>
      </c>
      <c r="E2652" s="2">
        <v>333.87599999999998</v>
      </c>
      <c r="F2652" s="2">
        <v>59064459</v>
      </c>
      <c r="G2652" s="2" t="s">
        <v>569</v>
      </c>
      <c r="H2652" s="2" t="s">
        <v>570</v>
      </c>
      <c r="I2652" s="2" t="s">
        <v>17</v>
      </c>
      <c r="J2652" s="4">
        <v>-3.7639999999999998</v>
      </c>
      <c r="K2652" s="2" t="s">
        <v>157</v>
      </c>
      <c r="L2652" s="2">
        <v>2023</v>
      </c>
      <c r="M2652" s="2" t="s">
        <v>158</v>
      </c>
      <c r="N2652" s="2" t="s">
        <v>23</v>
      </c>
      <c r="O2652">
        <f t="shared" si="82"/>
        <v>11.425999999999988</v>
      </c>
      <c r="P2652">
        <f t="shared" si="83"/>
        <v>37.08000000000002</v>
      </c>
    </row>
    <row r="2653" spans="1:16" x14ac:dyDescent="0.35">
      <c r="A2653" s="9" t="s">
        <v>175</v>
      </c>
      <c r="B2653" s="2">
        <v>336.55599999999998</v>
      </c>
      <c r="C2653" s="2">
        <v>337.39699999999999</v>
      </c>
      <c r="D2653" s="2">
        <v>325.25799999999998</v>
      </c>
      <c r="E2653" s="2">
        <v>326.90899999999999</v>
      </c>
      <c r="F2653" s="2">
        <v>40097411</v>
      </c>
      <c r="G2653" s="2" t="s">
        <v>569</v>
      </c>
      <c r="H2653" s="2" t="s">
        <v>570</v>
      </c>
      <c r="I2653" s="2" t="s">
        <v>17</v>
      </c>
      <c r="J2653" s="4">
        <v>-2.0870000000000002</v>
      </c>
      <c r="K2653" s="2" t="s">
        <v>157</v>
      </c>
      <c r="L2653" s="2">
        <v>2023</v>
      </c>
      <c r="M2653" s="2" t="s">
        <v>158</v>
      </c>
      <c r="N2653" s="2" t="s">
        <v>23</v>
      </c>
      <c r="O2653">
        <f t="shared" si="82"/>
        <v>12.13900000000001</v>
      </c>
      <c r="P2653">
        <f t="shared" si="83"/>
        <v>34.993000000000016</v>
      </c>
    </row>
    <row r="2654" spans="1:16" x14ac:dyDescent="0.35">
      <c r="A2654" s="9" t="s">
        <v>176</v>
      </c>
      <c r="B2654" s="2">
        <v>329.82499999999999</v>
      </c>
      <c r="C2654" s="2">
        <v>336.09100000000001</v>
      </c>
      <c r="D2654" s="2">
        <v>329.33100000000002</v>
      </c>
      <c r="E2654" s="2">
        <v>334.47</v>
      </c>
      <c r="F2654" s="2">
        <v>28817003</v>
      </c>
      <c r="G2654" s="2" t="s">
        <v>569</v>
      </c>
      <c r="H2654" s="2" t="s">
        <v>570</v>
      </c>
      <c r="I2654" s="2" t="s">
        <v>17</v>
      </c>
      <c r="J2654" s="3">
        <v>2.3130000000000002</v>
      </c>
      <c r="K2654" s="2" t="s">
        <v>157</v>
      </c>
      <c r="L2654" s="2">
        <v>2023</v>
      </c>
      <c r="M2654" s="2" t="s">
        <v>158</v>
      </c>
      <c r="N2654" s="2" t="s">
        <v>21</v>
      </c>
      <c r="O2654">
        <f t="shared" si="82"/>
        <v>6.7599999999999909</v>
      </c>
      <c r="P2654">
        <f t="shared" si="83"/>
        <v>37.306000000000019</v>
      </c>
    </row>
    <row r="2655" spans="1:16" x14ac:dyDescent="0.35">
      <c r="A2655" s="9" t="s">
        <v>177</v>
      </c>
      <c r="B2655" s="2">
        <v>333.03699999999998</v>
      </c>
      <c r="C2655" s="2">
        <v>333.803</v>
      </c>
      <c r="D2655" s="2">
        <v>329.517</v>
      </c>
      <c r="E2655" s="2">
        <v>332.048</v>
      </c>
      <c r="F2655" s="2">
        <v>25742724</v>
      </c>
      <c r="G2655" s="2" t="s">
        <v>569</v>
      </c>
      <c r="H2655" s="2" t="s">
        <v>570</v>
      </c>
      <c r="I2655" s="2" t="s">
        <v>17</v>
      </c>
      <c r="J2655" s="4">
        <v>-0.72399999999999998</v>
      </c>
      <c r="K2655" s="2" t="s">
        <v>157</v>
      </c>
      <c r="L2655" s="2">
        <v>2023</v>
      </c>
      <c r="M2655" s="2" t="s">
        <v>158</v>
      </c>
      <c r="N2655" s="2" t="s">
        <v>23</v>
      </c>
      <c r="O2655">
        <f t="shared" si="82"/>
        <v>4.2860000000000014</v>
      </c>
      <c r="P2655">
        <f t="shared" si="83"/>
        <v>36.582000000000022</v>
      </c>
    </row>
    <row r="2656" spans="1:16" x14ac:dyDescent="0.35">
      <c r="A2656" s="9" t="s">
        <v>178</v>
      </c>
      <c r="B2656" s="2">
        <v>331.327</v>
      </c>
      <c r="C2656" s="2">
        <v>334.63900000000001</v>
      </c>
      <c r="D2656" s="2">
        <v>329.85500000000002</v>
      </c>
      <c r="E2656" s="2">
        <v>332.464</v>
      </c>
      <c r="F2656" s="2">
        <v>18595579</v>
      </c>
      <c r="G2656" s="2" t="s">
        <v>569</v>
      </c>
      <c r="H2656" s="2" t="s">
        <v>570</v>
      </c>
      <c r="I2656" s="2" t="s">
        <v>17</v>
      </c>
      <c r="J2656" s="3">
        <v>0.125</v>
      </c>
      <c r="K2656" s="2" t="s">
        <v>179</v>
      </c>
      <c r="L2656" s="2">
        <v>2023</v>
      </c>
      <c r="M2656" s="2" t="s">
        <v>180</v>
      </c>
      <c r="N2656" s="2" t="s">
        <v>21</v>
      </c>
      <c r="O2656">
        <f t="shared" si="82"/>
        <v>4.7839999999999918</v>
      </c>
      <c r="P2656">
        <f t="shared" si="83"/>
        <v>36.707000000000022</v>
      </c>
    </row>
    <row r="2657" spans="1:16" x14ac:dyDescent="0.35">
      <c r="A2657" s="9" t="s">
        <v>181</v>
      </c>
      <c r="B2657" s="2">
        <v>329.78500000000003</v>
      </c>
      <c r="C2657" s="2">
        <v>329.78500000000003</v>
      </c>
      <c r="D2657" s="2">
        <v>322.59300000000002</v>
      </c>
      <c r="E2657" s="2">
        <v>323.72500000000002</v>
      </c>
      <c r="F2657" s="2">
        <v>28084954</v>
      </c>
      <c r="G2657" s="2" t="s">
        <v>569</v>
      </c>
      <c r="H2657" s="2" t="s">
        <v>570</v>
      </c>
      <c r="I2657" s="2" t="s">
        <v>17</v>
      </c>
      <c r="J2657" s="4">
        <v>-2.629</v>
      </c>
      <c r="K2657" s="2" t="s">
        <v>179</v>
      </c>
      <c r="L2657" s="2">
        <v>2023</v>
      </c>
      <c r="M2657" s="2" t="s">
        <v>180</v>
      </c>
      <c r="N2657" s="2" t="s">
        <v>23</v>
      </c>
      <c r="O2657">
        <f t="shared" si="82"/>
        <v>7.1920000000000073</v>
      </c>
      <c r="P2657">
        <f t="shared" si="83"/>
        <v>34.078000000000024</v>
      </c>
    </row>
    <row r="2658" spans="1:16" x14ac:dyDescent="0.35">
      <c r="A2658" s="9" t="s">
        <v>182</v>
      </c>
      <c r="B2658" s="2">
        <v>322.24299999999999</v>
      </c>
      <c r="C2658" s="2">
        <v>326.07799999999997</v>
      </c>
      <c r="D2658" s="2">
        <v>322.19299999999998</v>
      </c>
      <c r="E2658" s="2">
        <v>322.89600000000002</v>
      </c>
      <c r="F2658" s="2">
        <v>18574434</v>
      </c>
      <c r="G2658" s="2" t="s">
        <v>569</v>
      </c>
      <c r="H2658" s="2" t="s">
        <v>570</v>
      </c>
      <c r="I2658" s="2" t="s">
        <v>17</v>
      </c>
      <c r="J2658" s="4">
        <v>-0.25600000000000001</v>
      </c>
      <c r="K2658" s="2" t="s">
        <v>179</v>
      </c>
      <c r="L2658" s="2">
        <v>2023</v>
      </c>
      <c r="M2658" s="2" t="s">
        <v>180</v>
      </c>
      <c r="N2658" s="2" t="s">
        <v>23</v>
      </c>
      <c r="O2658">
        <f t="shared" si="82"/>
        <v>3.8849999999999909</v>
      </c>
      <c r="P2658">
        <f t="shared" si="83"/>
        <v>33.822000000000024</v>
      </c>
    </row>
    <row r="2659" spans="1:16" x14ac:dyDescent="0.35">
      <c r="A2659" s="9" t="s">
        <v>183</v>
      </c>
      <c r="B2659" s="2">
        <v>328.05500000000001</v>
      </c>
      <c r="C2659" s="2">
        <v>331.27800000000002</v>
      </c>
      <c r="D2659" s="2">
        <v>323.46899999999999</v>
      </c>
      <c r="E2659" s="2">
        <v>324</v>
      </c>
      <c r="F2659" s="2">
        <v>24018311</v>
      </c>
      <c r="G2659" s="2" t="s">
        <v>569</v>
      </c>
      <c r="H2659" s="2" t="s">
        <v>570</v>
      </c>
      <c r="I2659" s="2" t="s">
        <v>17</v>
      </c>
      <c r="J2659" s="3">
        <v>0.34200000000000003</v>
      </c>
      <c r="K2659" s="2" t="s">
        <v>179</v>
      </c>
      <c r="L2659" s="2">
        <v>2023</v>
      </c>
      <c r="M2659" s="2" t="s">
        <v>180</v>
      </c>
      <c r="N2659" s="2" t="s">
        <v>21</v>
      </c>
      <c r="O2659">
        <f t="shared" si="82"/>
        <v>7.8090000000000259</v>
      </c>
      <c r="P2659">
        <f t="shared" si="83"/>
        <v>34.164000000000023</v>
      </c>
    </row>
    <row r="2660" spans="1:16" x14ac:dyDescent="0.35">
      <c r="A2660" s="9" t="s">
        <v>184</v>
      </c>
      <c r="B2660" s="2">
        <v>324.584</v>
      </c>
      <c r="C2660" s="2">
        <v>327.29300000000001</v>
      </c>
      <c r="D2660" s="2">
        <v>323.745</v>
      </c>
      <c r="E2660" s="2">
        <v>326.30599999999998</v>
      </c>
      <c r="F2660" s="2">
        <v>17948393</v>
      </c>
      <c r="G2660" s="2" t="s">
        <v>569</v>
      </c>
      <c r="H2660" s="2" t="s">
        <v>570</v>
      </c>
      <c r="I2660" s="2" t="s">
        <v>17</v>
      </c>
      <c r="J2660" s="3">
        <v>0.71199999999999997</v>
      </c>
      <c r="K2660" s="2" t="s">
        <v>179</v>
      </c>
      <c r="L2660" s="2">
        <v>2023</v>
      </c>
      <c r="M2660" s="2" t="s">
        <v>180</v>
      </c>
      <c r="N2660" s="2" t="s">
        <v>21</v>
      </c>
      <c r="O2660">
        <f t="shared" si="82"/>
        <v>3.5480000000000018</v>
      </c>
      <c r="P2660">
        <f t="shared" si="83"/>
        <v>34.876000000000026</v>
      </c>
    </row>
    <row r="2661" spans="1:16" x14ac:dyDescent="0.35">
      <c r="A2661" s="9" t="s">
        <v>185</v>
      </c>
      <c r="B2661" s="2">
        <v>323.19099999999997</v>
      </c>
      <c r="C2661" s="2">
        <v>324.96199999999999</v>
      </c>
      <c r="D2661" s="2">
        <v>319.27699999999999</v>
      </c>
      <c r="E2661" s="2">
        <v>322.29199999999997</v>
      </c>
      <c r="F2661" s="2">
        <v>22587914</v>
      </c>
      <c r="G2661" s="2" t="s">
        <v>569</v>
      </c>
      <c r="H2661" s="2" t="s">
        <v>570</v>
      </c>
      <c r="I2661" s="2" t="s">
        <v>17</v>
      </c>
      <c r="J2661" s="4">
        <v>-1.23</v>
      </c>
      <c r="K2661" s="2" t="s">
        <v>179</v>
      </c>
      <c r="L2661" s="2">
        <v>2023</v>
      </c>
      <c r="M2661" s="2" t="s">
        <v>180</v>
      </c>
      <c r="N2661" s="2" t="s">
        <v>23</v>
      </c>
      <c r="O2661">
        <f t="shared" si="82"/>
        <v>5.6850000000000023</v>
      </c>
      <c r="P2661">
        <f t="shared" si="83"/>
        <v>33.646000000000029</v>
      </c>
    </row>
    <row r="2662" spans="1:16" x14ac:dyDescent="0.35">
      <c r="A2662" s="9" t="s">
        <v>186</v>
      </c>
      <c r="B2662" s="2">
        <v>322.70699999999999</v>
      </c>
      <c r="C2662" s="2">
        <v>323.34100000000001</v>
      </c>
      <c r="D2662" s="2">
        <v>317.35000000000002</v>
      </c>
      <c r="E2662" s="2">
        <v>318.51600000000002</v>
      </c>
      <c r="F2662" s="2">
        <v>22634141</v>
      </c>
      <c r="G2662" s="2" t="s">
        <v>569</v>
      </c>
      <c r="H2662" s="2" t="s">
        <v>570</v>
      </c>
      <c r="I2662" s="2" t="s">
        <v>17</v>
      </c>
      <c r="J2662" s="4">
        <v>-1.1719999999999999</v>
      </c>
      <c r="K2662" s="2" t="s">
        <v>179</v>
      </c>
      <c r="L2662" s="2">
        <v>2023</v>
      </c>
      <c r="M2662" s="2" t="s">
        <v>180</v>
      </c>
      <c r="N2662" s="2" t="s">
        <v>23</v>
      </c>
      <c r="O2662">
        <f t="shared" si="82"/>
        <v>5.9909999999999854</v>
      </c>
      <c r="P2662">
        <f t="shared" si="83"/>
        <v>32.474000000000032</v>
      </c>
    </row>
    <row r="2663" spans="1:16" x14ac:dyDescent="0.35">
      <c r="A2663" s="9" t="s">
        <v>187</v>
      </c>
      <c r="B2663" s="2">
        <v>322.25799999999998</v>
      </c>
      <c r="C2663" s="2">
        <v>324.47699999999998</v>
      </c>
      <c r="D2663" s="2">
        <v>317.47899999999998</v>
      </c>
      <c r="E2663" s="2">
        <v>319.20800000000003</v>
      </c>
      <c r="F2663" s="2">
        <v>20348252</v>
      </c>
      <c r="G2663" s="2" t="s">
        <v>569</v>
      </c>
      <c r="H2663" s="2" t="s">
        <v>570</v>
      </c>
      <c r="I2663" s="2" t="s">
        <v>17</v>
      </c>
      <c r="J2663" s="3">
        <v>0.217</v>
      </c>
      <c r="K2663" s="2" t="s">
        <v>179</v>
      </c>
      <c r="L2663" s="2">
        <v>2023</v>
      </c>
      <c r="M2663" s="2" t="s">
        <v>180</v>
      </c>
      <c r="N2663" s="2" t="s">
        <v>21</v>
      </c>
      <c r="O2663">
        <f t="shared" si="82"/>
        <v>6.9979999999999905</v>
      </c>
      <c r="P2663">
        <f t="shared" si="83"/>
        <v>32.691000000000031</v>
      </c>
    </row>
    <row r="2664" spans="1:16" x14ac:dyDescent="0.35">
      <c r="A2664" s="9" t="s">
        <v>188</v>
      </c>
      <c r="B2664" s="2">
        <v>316.56799999999998</v>
      </c>
      <c r="C2664" s="2">
        <v>318.69299999999998</v>
      </c>
      <c r="D2664" s="2">
        <v>315.53100000000001</v>
      </c>
      <c r="E2664" s="2">
        <v>317.31</v>
      </c>
      <c r="F2664" s="2">
        <v>24639477</v>
      </c>
      <c r="G2664" s="2" t="s">
        <v>569</v>
      </c>
      <c r="H2664" s="2" t="s">
        <v>570</v>
      </c>
      <c r="I2664" s="2" t="s">
        <v>17</v>
      </c>
      <c r="J2664" s="4">
        <v>-0.59499999999999997</v>
      </c>
      <c r="K2664" s="2" t="s">
        <v>179</v>
      </c>
      <c r="L2664" s="2">
        <v>2023</v>
      </c>
      <c r="M2664" s="2" t="s">
        <v>180</v>
      </c>
      <c r="N2664" s="2" t="s">
        <v>23</v>
      </c>
      <c r="O2664">
        <f t="shared" si="82"/>
        <v>3.1619999999999777</v>
      </c>
      <c r="P2664">
        <f t="shared" si="83"/>
        <v>32.096000000000032</v>
      </c>
    </row>
    <row r="2665" spans="1:16" x14ac:dyDescent="0.35">
      <c r="A2665" s="9" t="s">
        <v>189</v>
      </c>
      <c r="B2665" s="2">
        <v>317.685</v>
      </c>
      <c r="C2665" s="2">
        <v>320.32400000000001</v>
      </c>
      <c r="D2665" s="2">
        <v>316.392</v>
      </c>
      <c r="E2665" s="2">
        <v>320.30500000000001</v>
      </c>
      <c r="F2665" s="2">
        <v>19055769</v>
      </c>
      <c r="G2665" s="2" t="s">
        <v>569</v>
      </c>
      <c r="H2665" s="2" t="s">
        <v>570</v>
      </c>
      <c r="I2665" s="2" t="s">
        <v>17</v>
      </c>
      <c r="J2665" s="3">
        <v>0.94399999999999995</v>
      </c>
      <c r="K2665" s="2" t="s">
        <v>179</v>
      </c>
      <c r="L2665" s="2">
        <v>2023</v>
      </c>
      <c r="M2665" s="2" t="s">
        <v>180</v>
      </c>
      <c r="N2665" s="2" t="s">
        <v>21</v>
      </c>
      <c r="O2665">
        <f t="shared" si="82"/>
        <v>3.9320000000000164</v>
      </c>
      <c r="P2665">
        <f t="shared" si="83"/>
        <v>33.040000000000035</v>
      </c>
    </row>
    <row r="2666" spans="1:16" x14ac:dyDescent="0.35">
      <c r="A2666" s="9" t="s">
        <v>190</v>
      </c>
      <c r="B2666" s="2">
        <v>319.27699999999999</v>
      </c>
      <c r="C2666" s="2">
        <v>321.34300000000002</v>
      </c>
      <c r="D2666" s="2">
        <v>317.20400000000001</v>
      </c>
      <c r="E2666" s="2">
        <v>318.149</v>
      </c>
      <c r="F2666" s="2">
        <v>17164112</v>
      </c>
      <c r="G2666" s="2" t="s">
        <v>569</v>
      </c>
      <c r="H2666" s="2" t="s">
        <v>570</v>
      </c>
      <c r="I2666" s="2" t="s">
        <v>17</v>
      </c>
      <c r="J2666" s="4">
        <v>-0.67300000000000004</v>
      </c>
      <c r="K2666" s="2" t="s">
        <v>179</v>
      </c>
      <c r="L2666" s="2">
        <v>2023</v>
      </c>
      <c r="M2666" s="2" t="s">
        <v>180</v>
      </c>
      <c r="N2666" s="2" t="s">
        <v>23</v>
      </c>
      <c r="O2666">
        <f t="shared" si="82"/>
        <v>4.13900000000001</v>
      </c>
      <c r="P2666">
        <f t="shared" si="83"/>
        <v>32.367000000000033</v>
      </c>
    </row>
    <row r="2667" spans="1:16" x14ac:dyDescent="0.35">
      <c r="A2667" s="9" t="s">
        <v>191</v>
      </c>
      <c r="B2667" s="2">
        <v>317.774</v>
      </c>
      <c r="C2667" s="2">
        <v>321.36</v>
      </c>
      <c r="D2667" s="2">
        <v>316.78699999999998</v>
      </c>
      <c r="E2667" s="2">
        <v>317.37799999999999</v>
      </c>
      <c r="F2667" s="2">
        <v>20895973</v>
      </c>
      <c r="G2667" s="2" t="s">
        <v>569</v>
      </c>
      <c r="H2667" s="2" t="s">
        <v>570</v>
      </c>
      <c r="I2667" s="2" t="s">
        <v>17</v>
      </c>
      <c r="J2667" s="4">
        <v>-0.24199999999999999</v>
      </c>
      <c r="K2667" s="2" t="s">
        <v>179</v>
      </c>
      <c r="L2667" s="2">
        <v>2023</v>
      </c>
      <c r="M2667" s="2" t="s">
        <v>180</v>
      </c>
      <c r="N2667" s="2" t="s">
        <v>23</v>
      </c>
      <c r="O2667">
        <f t="shared" si="82"/>
        <v>4.5730000000000359</v>
      </c>
      <c r="P2667">
        <f t="shared" si="83"/>
        <v>32.125000000000036</v>
      </c>
    </row>
    <row r="2668" spans="1:16" x14ac:dyDescent="0.35">
      <c r="A2668" s="9" t="s">
        <v>192</v>
      </c>
      <c r="B2668" s="2">
        <v>317.517</v>
      </c>
      <c r="C2668" s="2">
        <v>318.834</v>
      </c>
      <c r="D2668" s="2">
        <v>313.22800000000001</v>
      </c>
      <c r="E2668" s="2">
        <v>313.89100000000002</v>
      </c>
      <c r="F2668" s="2">
        <v>21459586</v>
      </c>
      <c r="G2668" s="2" t="s">
        <v>569</v>
      </c>
      <c r="H2668" s="2" t="s">
        <v>570</v>
      </c>
      <c r="I2668" s="2" t="s">
        <v>17</v>
      </c>
      <c r="J2668" s="4">
        <v>-1.099</v>
      </c>
      <c r="K2668" s="2" t="s">
        <v>179</v>
      </c>
      <c r="L2668" s="2">
        <v>2023</v>
      </c>
      <c r="M2668" s="2" t="s">
        <v>180</v>
      </c>
      <c r="N2668" s="2" t="s">
        <v>23</v>
      </c>
      <c r="O2668">
        <f t="shared" si="82"/>
        <v>5.6059999999999945</v>
      </c>
      <c r="P2668">
        <f t="shared" si="83"/>
        <v>31.026000000000035</v>
      </c>
    </row>
    <row r="2669" spans="1:16" x14ac:dyDescent="0.35">
      <c r="A2669" s="9" t="s">
        <v>193</v>
      </c>
      <c r="B2669" s="2">
        <v>311.52300000000002</v>
      </c>
      <c r="C2669" s="2">
        <v>315.37700000000001</v>
      </c>
      <c r="D2669" s="2">
        <v>308.61200000000002</v>
      </c>
      <c r="E2669" s="2">
        <v>313.49400000000003</v>
      </c>
      <c r="F2669" s="2">
        <v>24990746</v>
      </c>
      <c r="G2669" s="2" t="s">
        <v>569</v>
      </c>
      <c r="H2669" s="2" t="s">
        <v>570</v>
      </c>
      <c r="I2669" s="2" t="s">
        <v>17</v>
      </c>
      <c r="J2669" s="4">
        <v>-0.126</v>
      </c>
      <c r="K2669" s="2" t="s">
        <v>179</v>
      </c>
      <c r="L2669" s="2">
        <v>2023</v>
      </c>
      <c r="M2669" s="2" t="s">
        <v>180</v>
      </c>
      <c r="N2669" s="2" t="s">
        <v>23</v>
      </c>
      <c r="O2669">
        <f t="shared" si="82"/>
        <v>6.7649999999999864</v>
      </c>
      <c r="P2669">
        <f t="shared" si="83"/>
        <v>30.900000000000034</v>
      </c>
    </row>
    <row r="2670" spans="1:16" x14ac:dyDescent="0.35">
      <c r="A2670" s="9" t="s">
        <v>194</v>
      </c>
      <c r="B2670" s="2">
        <v>314.93099999999998</v>
      </c>
      <c r="C2670" s="2">
        <v>319.72500000000002</v>
      </c>
      <c r="D2670" s="2">
        <v>314.04899999999998</v>
      </c>
      <c r="E2670" s="2">
        <v>318.84399999999999</v>
      </c>
      <c r="F2670" s="2">
        <v>24268881</v>
      </c>
      <c r="G2670" s="2" t="s">
        <v>569</v>
      </c>
      <c r="H2670" s="2" t="s">
        <v>570</v>
      </c>
      <c r="I2670" s="2" t="s">
        <v>17</v>
      </c>
      <c r="J2670" s="3">
        <v>1.7070000000000001</v>
      </c>
      <c r="K2670" s="2" t="s">
        <v>179</v>
      </c>
      <c r="L2670" s="2">
        <v>2023</v>
      </c>
      <c r="M2670" s="2" t="s">
        <v>180</v>
      </c>
      <c r="N2670" s="2" t="s">
        <v>21</v>
      </c>
      <c r="O2670">
        <f t="shared" si="82"/>
        <v>5.6760000000000446</v>
      </c>
      <c r="P2670">
        <f t="shared" si="83"/>
        <v>32.607000000000035</v>
      </c>
    </row>
    <row r="2671" spans="1:16" x14ac:dyDescent="0.35">
      <c r="A2671" s="9" t="s">
        <v>195</v>
      </c>
      <c r="B2671" s="2">
        <v>322.43</v>
      </c>
      <c r="C2671" s="2">
        <v>322.99900000000002</v>
      </c>
      <c r="D2671" s="2">
        <v>318.428</v>
      </c>
      <c r="E2671" s="2">
        <v>319.41899999999998</v>
      </c>
      <c r="F2671" s="2">
        <v>16255358</v>
      </c>
      <c r="G2671" s="2" t="s">
        <v>569</v>
      </c>
      <c r="H2671" s="2" t="s">
        <v>570</v>
      </c>
      <c r="I2671" s="2" t="s">
        <v>17</v>
      </c>
      <c r="J2671" s="3">
        <v>0.18</v>
      </c>
      <c r="K2671" s="2" t="s">
        <v>179</v>
      </c>
      <c r="L2671" s="2">
        <v>2023</v>
      </c>
      <c r="M2671" s="2" t="s">
        <v>180</v>
      </c>
      <c r="N2671" s="2" t="s">
        <v>21</v>
      </c>
      <c r="O2671">
        <f t="shared" si="82"/>
        <v>4.5710000000000264</v>
      </c>
      <c r="P2671">
        <f t="shared" si="83"/>
        <v>32.787000000000035</v>
      </c>
    </row>
    <row r="2672" spans="1:16" x14ac:dyDescent="0.35">
      <c r="A2672" s="9" t="s">
        <v>196</v>
      </c>
      <c r="B2672" s="2">
        <v>320.76499999999999</v>
      </c>
      <c r="C2672" s="2">
        <v>326.09500000000003</v>
      </c>
      <c r="D2672" s="2">
        <v>320.40899999999999</v>
      </c>
      <c r="E2672" s="2">
        <v>323.91699999999997</v>
      </c>
      <c r="F2672" s="2">
        <v>21367943</v>
      </c>
      <c r="G2672" s="2" t="s">
        <v>569</v>
      </c>
      <c r="H2672" s="2" t="s">
        <v>570</v>
      </c>
      <c r="I2672" s="2" t="s">
        <v>17</v>
      </c>
      <c r="J2672" s="3">
        <v>1.4079999999999999</v>
      </c>
      <c r="K2672" s="2" t="s">
        <v>179</v>
      </c>
      <c r="L2672" s="2">
        <v>2023</v>
      </c>
      <c r="M2672" s="2" t="s">
        <v>180</v>
      </c>
      <c r="N2672" s="2" t="s">
        <v>21</v>
      </c>
      <c r="O2672">
        <f t="shared" si="82"/>
        <v>5.6860000000000355</v>
      </c>
      <c r="P2672">
        <f t="shared" si="83"/>
        <v>34.195000000000036</v>
      </c>
    </row>
    <row r="2673" spans="1:16" x14ac:dyDescent="0.35">
      <c r="A2673" s="9" t="s">
        <v>197</v>
      </c>
      <c r="B2673" s="2">
        <v>329.71100000000001</v>
      </c>
      <c r="C2673" s="2">
        <v>329.84</v>
      </c>
      <c r="D2673" s="2">
        <v>316.94299999999998</v>
      </c>
      <c r="E2673" s="2">
        <v>316.95299999999997</v>
      </c>
      <c r="F2673" s="2">
        <v>23503136</v>
      </c>
      <c r="G2673" s="2" t="s">
        <v>569</v>
      </c>
      <c r="H2673" s="2" t="s">
        <v>570</v>
      </c>
      <c r="I2673" s="2" t="s">
        <v>17</v>
      </c>
      <c r="J2673" s="4">
        <v>-2.15</v>
      </c>
      <c r="K2673" s="2" t="s">
        <v>179</v>
      </c>
      <c r="L2673" s="2">
        <v>2023</v>
      </c>
      <c r="M2673" s="2" t="s">
        <v>180</v>
      </c>
      <c r="N2673" s="2" t="s">
        <v>23</v>
      </c>
      <c r="O2673">
        <f t="shared" si="82"/>
        <v>12.896999999999991</v>
      </c>
      <c r="P2673">
        <f t="shared" si="83"/>
        <v>32.045000000000037</v>
      </c>
    </row>
    <row r="2674" spans="1:16" x14ac:dyDescent="0.35">
      <c r="A2674" s="9" t="s">
        <v>198</v>
      </c>
      <c r="B2674" s="2">
        <v>318.43799999999999</v>
      </c>
      <c r="C2674" s="2">
        <v>322.291</v>
      </c>
      <c r="D2674" s="2">
        <v>315.79300000000001</v>
      </c>
      <c r="E2674" s="2">
        <v>319.93400000000003</v>
      </c>
      <c r="F2674" s="2">
        <v>21890595</v>
      </c>
      <c r="G2674" s="2" t="s">
        <v>569</v>
      </c>
      <c r="H2674" s="2" t="s">
        <v>570</v>
      </c>
      <c r="I2674" s="2" t="s">
        <v>17</v>
      </c>
      <c r="J2674" s="3">
        <v>0.94099999999999995</v>
      </c>
      <c r="K2674" s="2" t="s">
        <v>179</v>
      </c>
      <c r="L2674" s="2">
        <v>2023</v>
      </c>
      <c r="M2674" s="2" t="s">
        <v>180</v>
      </c>
      <c r="N2674" s="2" t="s">
        <v>21</v>
      </c>
      <c r="O2674">
        <f t="shared" si="82"/>
        <v>6.4979999999999905</v>
      </c>
      <c r="P2674">
        <f t="shared" si="83"/>
        <v>32.98600000000004</v>
      </c>
    </row>
    <row r="2675" spans="1:16" x14ac:dyDescent="0.35">
      <c r="A2675" s="9" t="s">
        <v>199</v>
      </c>
      <c r="B2675" s="2">
        <v>322.58699999999999</v>
      </c>
      <c r="C2675" s="2">
        <v>323.07299999999998</v>
      </c>
      <c r="D2675" s="2">
        <v>318.68599999999998</v>
      </c>
      <c r="E2675" s="2">
        <v>320.64600000000002</v>
      </c>
      <c r="F2675" s="2">
        <v>14949498</v>
      </c>
      <c r="G2675" s="2" t="s">
        <v>569</v>
      </c>
      <c r="H2675" s="2" t="s">
        <v>570</v>
      </c>
      <c r="I2675" s="2" t="s">
        <v>17</v>
      </c>
      <c r="J2675" s="3">
        <v>0.223</v>
      </c>
      <c r="K2675" s="2" t="s">
        <v>179</v>
      </c>
      <c r="L2675" s="2">
        <v>2023</v>
      </c>
      <c r="M2675" s="2" t="s">
        <v>180</v>
      </c>
      <c r="N2675" s="2" t="s">
        <v>21</v>
      </c>
      <c r="O2675">
        <f t="shared" si="82"/>
        <v>4.3870000000000005</v>
      </c>
      <c r="P2675">
        <f t="shared" si="83"/>
        <v>33.209000000000039</v>
      </c>
    </row>
    <row r="2676" spans="1:16" x14ac:dyDescent="0.35">
      <c r="A2676" s="9" t="s">
        <v>200</v>
      </c>
      <c r="B2676" s="2">
        <v>318.84399999999999</v>
      </c>
      <c r="C2676" s="2">
        <v>325.88</v>
      </c>
      <c r="D2676" s="2">
        <v>318.84399999999999</v>
      </c>
      <c r="E2676" s="2">
        <v>325.31200000000001</v>
      </c>
      <c r="F2676" s="2">
        <v>19468231</v>
      </c>
      <c r="G2676" s="2" t="s">
        <v>569</v>
      </c>
      <c r="H2676" s="2" t="s">
        <v>570</v>
      </c>
      <c r="I2676" s="2" t="s">
        <v>17</v>
      </c>
      <c r="J2676" s="3">
        <v>1.4550000000000001</v>
      </c>
      <c r="K2676" s="2" t="s">
        <v>179</v>
      </c>
      <c r="L2676" s="2">
        <v>2023</v>
      </c>
      <c r="M2676" s="2" t="s">
        <v>180</v>
      </c>
      <c r="N2676" s="2" t="s">
        <v>21</v>
      </c>
      <c r="O2676">
        <f t="shared" si="82"/>
        <v>7.0360000000000014</v>
      </c>
      <c r="P2676">
        <f t="shared" si="83"/>
        <v>34.664000000000037</v>
      </c>
    </row>
    <row r="2677" spans="1:16" x14ac:dyDescent="0.35">
      <c r="A2677" s="9" t="s">
        <v>201</v>
      </c>
      <c r="B2677" s="2">
        <v>325.57</v>
      </c>
      <c r="C2677" s="2">
        <v>326.69799999999998</v>
      </c>
      <c r="D2677" s="2">
        <v>323.36700000000002</v>
      </c>
      <c r="E2677" s="2">
        <v>325.68799999999999</v>
      </c>
      <c r="F2677" s="2">
        <v>15367065</v>
      </c>
      <c r="G2677" s="2" t="s">
        <v>569</v>
      </c>
      <c r="H2677" s="2" t="s">
        <v>570</v>
      </c>
      <c r="I2677" s="2" t="s">
        <v>17</v>
      </c>
      <c r="J2677" s="3">
        <v>0.11600000000000001</v>
      </c>
      <c r="K2677" s="2" t="s">
        <v>179</v>
      </c>
      <c r="L2677" s="2">
        <v>2023</v>
      </c>
      <c r="M2677" s="2" t="s">
        <v>180</v>
      </c>
      <c r="N2677" s="2" t="s">
        <v>21</v>
      </c>
      <c r="O2677">
        <f t="shared" si="82"/>
        <v>3.3309999999999604</v>
      </c>
      <c r="P2677">
        <f t="shared" si="83"/>
        <v>34.780000000000037</v>
      </c>
    </row>
    <row r="2678" spans="1:16" x14ac:dyDescent="0.35">
      <c r="A2678" s="9" t="s">
        <v>202</v>
      </c>
      <c r="B2678" s="2">
        <v>326.09500000000003</v>
      </c>
      <c r="C2678" s="2">
        <v>327.78899999999999</v>
      </c>
      <c r="D2678" s="2">
        <v>323.697</v>
      </c>
      <c r="E2678" s="2">
        <v>324.66800000000001</v>
      </c>
      <c r="F2678" s="2">
        <v>26662457</v>
      </c>
      <c r="G2678" s="2" t="s">
        <v>569</v>
      </c>
      <c r="H2678" s="2" t="s">
        <v>570</v>
      </c>
      <c r="I2678" s="2" t="s">
        <v>17</v>
      </c>
      <c r="J2678" s="4">
        <v>-0.313</v>
      </c>
      <c r="K2678" s="2" t="s">
        <v>179</v>
      </c>
      <c r="L2678" s="2">
        <v>2023</v>
      </c>
      <c r="M2678" s="2" t="s">
        <v>180</v>
      </c>
      <c r="N2678" s="2" t="s">
        <v>23</v>
      </c>
      <c r="O2678">
        <f t="shared" si="82"/>
        <v>4.0919999999999845</v>
      </c>
      <c r="P2678">
        <f t="shared" si="83"/>
        <v>34.467000000000034</v>
      </c>
    </row>
    <row r="2679" spans="1:16" x14ac:dyDescent="0.35">
      <c r="A2679" s="9" t="s">
        <v>203</v>
      </c>
      <c r="B2679" s="2">
        <v>328.185</v>
      </c>
      <c r="C2679" s="2">
        <v>328.85899999999998</v>
      </c>
      <c r="D2679" s="2">
        <v>323.697</v>
      </c>
      <c r="E2679" s="2">
        <v>325.56</v>
      </c>
      <c r="F2679" s="2">
        <v>15084312</v>
      </c>
      <c r="G2679" s="2" t="s">
        <v>569</v>
      </c>
      <c r="H2679" s="2" t="s">
        <v>570</v>
      </c>
      <c r="I2679" s="2" t="s">
        <v>17</v>
      </c>
      <c r="J2679" s="3">
        <v>0.27500000000000002</v>
      </c>
      <c r="K2679" s="2" t="s">
        <v>204</v>
      </c>
      <c r="L2679" s="2">
        <v>2023</v>
      </c>
      <c r="M2679" s="2" t="s">
        <v>205</v>
      </c>
      <c r="N2679" s="2" t="s">
        <v>21</v>
      </c>
      <c r="O2679">
        <f t="shared" si="82"/>
        <v>5.1619999999999777</v>
      </c>
      <c r="P2679">
        <f t="shared" si="83"/>
        <v>34.742000000000033</v>
      </c>
    </row>
    <row r="2680" spans="1:16" x14ac:dyDescent="0.35">
      <c r="A2680" s="9" t="s">
        <v>206</v>
      </c>
      <c r="B2680" s="2">
        <v>325.89699999999999</v>
      </c>
      <c r="C2680" s="2">
        <v>331.69099999999997</v>
      </c>
      <c r="D2680" s="2">
        <v>325.56</v>
      </c>
      <c r="E2680" s="2">
        <v>330.404</v>
      </c>
      <c r="F2680" s="2">
        <v>18730541</v>
      </c>
      <c r="G2680" s="2" t="s">
        <v>569</v>
      </c>
      <c r="H2680" s="2" t="s">
        <v>570</v>
      </c>
      <c r="I2680" s="2" t="s">
        <v>17</v>
      </c>
      <c r="J2680" s="3">
        <v>1.488</v>
      </c>
      <c r="K2680" s="2" t="s">
        <v>204</v>
      </c>
      <c r="L2680" s="2">
        <v>2023</v>
      </c>
      <c r="M2680" s="2" t="s">
        <v>205</v>
      </c>
      <c r="N2680" s="2" t="s">
        <v>21</v>
      </c>
      <c r="O2680">
        <f t="shared" si="82"/>
        <v>6.1309999999999718</v>
      </c>
      <c r="P2680">
        <f t="shared" si="83"/>
        <v>36.230000000000032</v>
      </c>
    </row>
    <row r="2681" spans="1:16" x14ac:dyDescent="0.35">
      <c r="A2681" s="9" t="s">
        <v>207</v>
      </c>
      <c r="B2681" s="2">
        <v>330.23599999999999</v>
      </c>
      <c r="C2681" s="2">
        <v>331.30599999999998</v>
      </c>
      <c r="D2681" s="2">
        <v>327.065</v>
      </c>
      <c r="E2681" s="2">
        <v>329.74</v>
      </c>
      <c r="F2681" s="2">
        <v>17702761</v>
      </c>
      <c r="G2681" s="2" t="s">
        <v>569</v>
      </c>
      <c r="H2681" s="2" t="s">
        <v>570</v>
      </c>
      <c r="I2681" s="2" t="s">
        <v>17</v>
      </c>
      <c r="J2681" s="4">
        <v>-0.20100000000000001</v>
      </c>
      <c r="K2681" s="2" t="s">
        <v>204</v>
      </c>
      <c r="L2681" s="2">
        <v>2023</v>
      </c>
      <c r="M2681" s="2" t="s">
        <v>205</v>
      </c>
      <c r="N2681" s="2" t="s">
        <v>23</v>
      </c>
      <c r="O2681">
        <f t="shared" si="82"/>
        <v>4.2409999999999854</v>
      </c>
      <c r="P2681">
        <f t="shared" si="83"/>
        <v>36.029000000000032</v>
      </c>
    </row>
    <row r="2682" spans="1:16" x14ac:dyDescent="0.35">
      <c r="A2682" s="9" t="s">
        <v>208</v>
      </c>
      <c r="B2682" s="2">
        <v>328.16500000000002</v>
      </c>
      <c r="C2682" s="2">
        <v>329.93799999999999</v>
      </c>
      <c r="D2682" s="2">
        <v>325.92700000000002</v>
      </c>
      <c r="E2682" s="2">
        <v>326.798</v>
      </c>
      <c r="F2682" s="2">
        <v>18556031</v>
      </c>
      <c r="G2682" s="2" t="s">
        <v>569</v>
      </c>
      <c r="H2682" s="2" t="s">
        <v>570</v>
      </c>
      <c r="I2682" s="2" t="s">
        <v>17</v>
      </c>
      <c r="J2682" s="4">
        <v>-0.89200000000000002</v>
      </c>
      <c r="K2682" s="2" t="s">
        <v>204</v>
      </c>
      <c r="L2682" s="2">
        <v>2023</v>
      </c>
      <c r="M2682" s="2" t="s">
        <v>205</v>
      </c>
      <c r="N2682" s="2" t="s">
        <v>23</v>
      </c>
      <c r="O2682">
        <f t="shared" si="82"/>
        <v>4.0109999999999673</v>
      </c>
      <c r="P2682">
        <f t="shared" si="83"/>
        <v>35.137000000000029</v>
      </c>
    </row>
    <row r="2683" spans="1:16" x14ac:dyDescent="0.35">
      <c r="A2683" s="9" t="s">
        <v>209</v>
      </c>
      <c r="B2683" s="2">
        <v>326.976</v>
      </c>
      <c r="C2683" s="2">
        <v>332.98899999999998</v>
      </c>
      <c r="D2683" s="2">
        <v>326.35300000000001</v>
      </c>
      <c r="E2683" s="2">
        <v>331.11599999999999</v>
      </c>
      <c r="F2683" s="2">
        <v>19734316</v>
      </c>
      <c r="G2683" s="2" t="s">
        <v>569</v>
      </c>
      <c r="H2683" s="2" t="s">
        <v>570</v>
      </c>
      <c r="I2683" s="2" t="s">
        <v>17</v>
      </c>
      <c r="J2683" s="3">
        <v>1.321</v>
      </c>
      <c r="K2683" s="2" t="s">
        <v>204</v>
      </c>
      <c r="L2683" s="2">
        <v>2023</v>
      </c>
      <c r="M2683" s="2" t="s">
        <v>205</v>
      </c>
      <c r="N2683" s="2" t="s">
        <v>21</v>
      </c>
      <c r="O2683">
        <f t="shared" si="82"/>
        <v>6.6359999999999673</v>
      </c>
      <c r="P2683">
        <f t="shared" si="83"/>
        <v>36.458000000000027</v>
      </c>
    </row>
    <row r="2684" spans="1:16" x14ac:dyDescent="0.35">
      <c r="A2684" s="9" t="s">
        <v>210</v>
      </c>
      <c r="B2684" s="2">
        <v>334.05900000000003</v>
      </c>
      <c r="C2684" s="2">
        <v>335.22899999999998</v>
      </c>
      <c r="D2684" s="2">
        <v>332.26600000000002</v>
      </c>
      <c r="E2684" s="2">
        <v>334.75099999999998</v>
      </c>
      <c r="F2684" s="2">
        <v>16741242</v>
      </c>
      <c r="G2684" s="2" t="s">
        <v>569</v>
      </c>
      <c r="H2684" s="2" t="s">
        <v>570</v>
      </c>
      <c r="I2684" s="2" t="s">
        <v>17</v>
      </c>
      <c r="J2684" s="3">
        <v>1.0980000000000001</v>
      </c>
      <c r="K2684" s="2" t="s">
        <v>204</v>
      </c>
      <c r="L2684" s="2">
        <v>2023</v>
      </c>
      <c r="M2684" s="2" t="s">
        <v>205</v>
      </c>
      <c r="N2684" s="2" t="s">
        <v>21</v>
      </c>
      <c r="O2684">
        <f t="shared" si="82"/>
        <v>2.9629999999999654</v>
      </c>
      <c r="P2684">
        <f t="shared" si="83"/>
        <v>37.556000000000026</v>
      </c>
    </row>
    <row r="2685" spans="1:16" x14ac:dyDescent="0.35">
      <c r="A2685" s="9" t="s">
        <v>211</v>
      </c>
      <c r="B2685" s="2">
        <v>332.64699999999999</v>
      </c>
      <c r="C2685" s="2">
        <v>333.613</v>
      </c>
      <c r="D2685" s="2">
        <v>328.35300000000001</v>
      </c>
      <c r="E2685" s="2">
        <v>328.64</v>
      </c>
      <c r="F2685" s="2">
        <v>17732752</v>
      </c>
      <c r="G2685" s="2" t="s">
        <v>569</v>
      </c>
      <c r="H2685" s="2" t="s">
        <v>570</v>
      </c>
      <c r="I2685" s="2" t="s">
        <v>17</v>
      </c>
      <c r="J2685" s="4">
        <v>-1.8260000000000001</v>
      </c>
      <c r="K2685" s="2" t="s">
        <v>204</v>
      </c>
      <c r="L2685" s="2">
        <v>2023</v>
      </c>
      <c r="M2685" s="2" t="s">
        <v>205</v>
      </c>
      <c r="N2685" s="2" t="s">
        <v>23</v>
      </c>
      <c r="O2685">
        <f t="shared" si="82"/>
        <v>5.2599999999999909</v>
      </c>
      <c r="P2685">
        <f t="shared" si="83"/>
        <v>35.730000000000025</v>
      </c>
    </row>
    <row r="2686" spans="1:16" x14ac:dyDescent="0.35">
      <c r="A2686" s="9" t="s">
        <v>212</v>
      </c>
      <c r="B2686" s="2">
        <v>328.185</v>
      </c>
      <c r="C2686" s="2">
        <v>333.67200000000003</v>
      </c>
      <c r="D2686" s="2">
        <v>328.04599999999999</v>
      </c>
      <c r="E2686" s="2">
        <v>332.89</v>
      </c>
      <c r="F2686" s="2">
        <v>16701959</v>
      </c>
      <c r="G2686" s="2" t="s">
        <v>569</v>
      </c>
      <c r="H2686" s="2" t="s">
        <v>570</v>
      </c>
      <c r="I2686" s="2" t="s">
        <v>17</v>
      </c>
      <c r="J2686" s="3">
        <v>1.2929999999999999</v>
      </c>
      <c r="K2686" s="2" t="s">
        <v>204</v>
      </c>
      <c r="L2686" s="2">
        <v>2023</v>
      </c>
      <c r="M2686" s="2" t="s">
        <v>205</v>
      </c>
      <c r="N2686" s="2" t="s">
        <v>21</v>
      </c>
      <c r="O2686">
        <f t="shared" si="82"/>
        <v>5.6260000000000332</v>
      </c>
      <c r="P2686">
        <f t="shared" si="83"/>
        <v>37.023000000000025</v>
      </c>
    </row>
    <row r="2687" spans="1:16" x14ac:dyDescent="0.35">
      <c r="A2687" s="9" t="s">
        <v>213</v>
      </c>
      <c r="B2687" s="2">
        <v>335.94900000000001</v>
      </c>
      <c r="C2687" s="2">
        <v>337.64499999999998</v>
      </c>
      <c r="D2687" s="2">
        <v>333.39499999999998</v>
      </c>
      <c r="E2687" s="2">
        <v>335.505</v>
      </c>
      <c r="F2687" s="2">
        <v>20460045</v>
      </c>
      <c r="G2687" s="2" t="s">
        <v>569</v>
      </c>
      <c r="H2687" s="2" t="s">
        <v>570</v>
      </c>
      <c r="I2687" s="2" t="s">
        <v>17</v>
      </c>
      <c r="J2687" s="3">
        <v>0.78600000000000003</v>
      </c>
      <c r="K2687" s="2" t="s">
        <v>204</v>
      </c>
      <c r="L2687" s="2">
        <v>2023</v>
      </c>
      <c r="M2687" s="2" t="s">
        <v>205</v>
      </c>
      <c r="N2687" s="2" t="s">
        <v>21</v>
      </c>
      <c r="O2687">
        <f t="shared" si="82"/>
        <v>4.25</v>
      </c>
      <c r="P2687">
        <f t="shared" si="83"/>
        <v>37.809000000000026</v>
      </c>
    </row>
    <row r="2688" spans="1:16" x14ac:dyDescent="0.35">
      <c r="A2688" s="9" t="s">
        <v>214</v>
      </c>
      <c r="B2688" s="2">
        <v>333.74200000000002</v>
      </c>
      <c r="C2688" s="2">
        <v>334.214</v>
      </c>
      <c r="D2688" s="2">
        <v>326.54000000000002</v>
      </c>
      <c r="E2688" s="2">
        <v>327.10500000000002</v>
      </c>
      <c r="F2688" s="2">
        <v>38038605</v>
      </c>
      <c r="G2688" s="2" t="s">
        <v>569</v>
      </c>
      <c r="H2688" s="2" t="s">
        <v>570</v>
      </c>
      <c r="I2688" s="2" t="s">
        <v>17</v>
      </c>
      <c r="J2688" s="4">
        <v>-2.504</v>
      </c>
      <c r="K2688" s="2" t="s">
        <v>204</v>
      </c>
      <c r="L2688" s="2">
        <v>2023</v>
      </c>
      <c r="M2688" s="2" t="s">
        <v>205</v>
      </c>
      <c r="N2688" s="2" t="s">
        <v>23</v>
      </c>
      <c r="O2688">
        <f t="shared" si="82"/>
        <v>7.6739999999999782</v>
      </c>
      <c r="P2688">
        <f t="shared" si="83"/>
        <v>35.305000000000028</v>
      </c>
    </row>
    <row r="2689" spans="1:16" x14ac:dyDescent="0.35">
      <c r="A2689" s="9" t="s">
        <v>215</v>
      </c>
      <c r="B2689" s="2">
        <v>324.70800000000003</v>
      </c>
      <c r="C2689" s="2">
        <v>327.28300000000002</v>
      </c>
      <c r="D2689" s="2">
        <v>323.28199999999998</v>
      </c>
      <c r="E2689" s="2">
        <v>325.95600000000002</v>
      </c>
      <c r="F2689" s="2">
        <v>16994515</v>
      </c>
      <c r="G2689" s="2" t="s">
        <v>569</v>
      </c>
      <c r="H2689" s="2" t="s">
        <v>570</v>
      </c>
      <c r="I2689" s="2" t="s">
        <v>17</v>
      </c>
      <c r="J2689" s="4">
        <v>-0.35099999999999998</v>
      </c>
      <c r="K2689" s="2" t="s">
        <v>204</v>
      </c>
      <c r="L2689" s="2">
        <v>2023</v>
      </c>
      <c r="M2689" s="2" t="s">
        <v>205</v>
      </c>
      <c r="N2689" s="2" t="s">
        <v>23</v>
      </c>
      <c r="O2689">
        <f t="shared" si="82"/>
        <v>4.0010000000000332</v>
      </c>
      <c r="P2689">
        <f t="shared" si="83"/>
        <v>34.954000000000029</v>
      </c>
    </row>
    <row r="2690" spans="1:16" x14ac:dyDescent="0.35">
      <c r="A2690" s="9" t="s">
        <v>216</v>
      </c>
      <c r="B2690" s="2">
        <v>323.09199999999998</v>
      </c>
      <c r="C2690" s="2">
        <v>326.28300000000002</v>
      </c>
      <c r="D2690" s="2">
        <v>321.44900000000001</v>
      </c>
      <c r="E2690" s="2">
        <v>325.55</v>
      </c>
      <c r="F2690" s="2">
        <v>16671749</v>
      </c>
      <c r="G2690" s="2" t="s">
        <v>569</v>
      </c>
      <c r="H2690" s="2" t="s">
        <v>570</v>
      </c>
      <c r="I2690" s="2" t="s">
        <v>17</v>
      </c>
      <c r="J2690" s="4">
        <v>-0.125</v>
      </c>
      <c r="K2690" s="2" t="s">
        <v>204</v>
      </c>
      <c r="L2690" s="2">
        <v>2023</v>
      </c>
      <c r="M2690" s="2" t="s">
        <v>205</v>
      </c>
      <c r="N2690" s="2" t="s">
        <v>23</v>
      </c>
      <c r="O2690">
        <f t="shared" si="82"/>
        <v>4.8340000000000032</v>
      </c>
      <c r="P2690">
        <f t="shared" si="83"/>
        <v>34.829000000000029</v>
      </c>
    </row>
    <row r="2691" spans="1:16" x14ac:dyDescent="0.35">
      <c r="A2691" s="9" t="s">
        <v>217</v>
      </c>
      <c r="B2691" s="2">
        <v>326.40300000000002</v>
      </c>
      <c r="C2691" s="2">
        <v>326.48099999999999</v>
      </c>
      <c r="D2691" s="2">
        <v>317.488</v>
      </c>
      <c r="E2691" s="2">
        <v>317.74400000000003</v>
      </c>
      <c r="F2691" s="2">
        <v>21640658</v>
      </c>
      <c r="G2691" s="2" t="s">
        <v>569</v>
      </c>
      <c r="H2691" s="2" t="s">
        <v>570</v>
      </c>
      <c r="I2691" s="2" t="s">
        <v>17</v>
      </c>
      <c r="J2691" s="4">
        <v>-2.3980000000000001</v>
      </c>
      <c r="K2691" s="2" t="s">
        <v>204</v>
      </c>
      <c r="L2691" s="2">
        <v>2023</v>
      </c>
      <c r="M2691" s="2" t="s">
        <v>205</v>
      </c>
      <c r="N2691" s="2" t="s">
        <v>23</v>
      </c>
      <c r="O2691">
        <f t="shared" ref="O2691:O2754" si="84">C2691-D2691</f>
        <v>8.992999999999995</v>
      </c>
      <c r="P2691">
        <f t="shared" si="83"/>
        <v>32.431000000000026</v>
      </c>
    </row>
    <row r="2692" spans="1:16" x14ac:dyDescent="0.35">
      <c r="A2692" s="9" t="s">
        <v>218</v>
      </c>
      <c r="B2692" s="2">
        <v>316.24799999999999</v>
      </c>
      <c r="C2692" s="2">
        <v>322.28100000000001</v>
      </c>
      <c r="D2692" s="2">
        <v>312.02800000000002</v>
      </c>
      <c r="E2692" s="2">
        <v>316.51499999999999</v>
      </c>
      <c r="F2692" s="2">
        <v>35898992</v>
      </c>
      <c r="G2692" s="2" t="s">
        <v>569</v>
      </c>
      <c r="H2692" s="2" t="s">
        <v>570</v>
      </c>
      <c r="I2692" s="2" t="s">
        <v>17</v>
      </c>
      <c r="J2692" s="4">
        <v>-0.38700000000000001</v>
      </c>
      <c r="K2692" s="2" t="s">
        <v>204</v>
      </c>
      <c r="L2692" s="2">
        <v>2023</v>
      </c>
      <c r="M2692" s="2" t="s">
        <v>205</v>
      </c>
      <c r="N2692" s="2" t="s">
        <v>23</v>
      </c>
      <c r="O2692">
        <f t="shared" si="84"/>
        <v>10.252999999999986</v>
      </c>
      <c r="P2692">
        <f t="shared" ref="P2692:P2755" si="85">IF(G2692=G2691, P2691+J2692, J2692)</f>
        <v>32.044000000000025</v>
      </c>
    </row>
    <row r="2693" spans="1:16" x14ac:dyDescent="0.35">
      <c r="A2693" s="9" t="s">
        <v>219</v>
      </c>
      <c r="B2693" s="2">
        <v>318.28899999999999</v>
      </c>
      <c r="C2693" s="2">
        <v>318.41800000000001</v>
      </c>
      <c r="D2693" s="2">
        <v>313.16800000000001</v>
      </c>
      <c r="E2693" s="2">
        <v>314.01900000000001</v>
      </c>
      <c r="F2693" s="2">
        <v>21652128</v>
      </c>
      <c r="G2693" s="2" t="s">
        <v>569</v>
      </c>
      <c r="H2693" s="2" t="s">
        <v>570</v>
      </c>
      <c r="I2693" s="2" t="s">
        <v>17</v>
      </c>
      <c r="J2693" s="4">
        <v>-0.78900000000000003</v>
      </c>
      <c r="K2693" s="2" t="s">
        <v>204</v>
      </c>
      <c r="L2693" s="2">
        <v>2023</v>
      </c>
      <c r="M2693" s="2" t="s">
        <v>205</v>
      </c>
      <c r="N2693" s="2" t="s">
        <v>23</v>
      </c>
      <c r="O2693">
        <f t="shared" si="84"/>
        <v>5.25</v>
      </c>
      <c r="P2693">
        <f t="shared" si="85"/>
        <v>31.255000000000024</v>
      </c>
    </row>
    <row r="2694" spans="1:16" x14ac:dyDescent="0.35">
      <c r="A2694" s="9" t="s">
        <v>220</v>
      </c>
      <c r="B2694" s="2">
        <v>313.60399999999998</v>
      </c>
      <c r="C2694" s="2">
        <v>314.67399999999998</v>
      </c>
      <c r="D2694" s="2">
        <v>312.02800000000002</v>
      </c>
      <c r="E2694" s="2">
        <v>314.54399999999998</v>
      </c>
      <c r="F2694" s="2">
        <v>18005810</v>
      </c>
      <c r="G2694" s="2" t="s">
        <v>569</v>
      </c>
      <c r="H2694" s="2" t="s">
        <v>570</v>
      </c>
      <c r="I2694" s="2" t="s">
        <v>17</v>
      </c>
      <c r="J2694" s="3">
        <v>0.16700000000000001</v>
      </c>
      <c r="K2694" s="2" t="s">
        <v>204</v>
      </c>
      <c r="L2694" s="2">
        <v>2023</v>
      </c>
      <c r="M2694" s="2" t="s">
        <v>205</v>
      </c>
      <c r="N2694" s="2" t="s">
        <v>21</v>
      </c>
      <c r="O2694">
        <f t="shared" si="84"/>
        <v>2.6459999999999582</v>
      </c>
      <c r="P2694">
        <f t="shared" si="85"/>
        <v>31.422000000000025</v>
      </c>
    </row>
    <row r="2695" spans="1:16" x14ac:dyDescent="0.35">
      <c r="A2695" s="9" t="s">
        <v>221</v>
      </c>
      <c r="B2695" s="2">
        <v>312.15699999999998</v>
      </c>
      <c r="C2695" s="2">
        <v>312.89999999999998</v>
      </c>
      <c r="D2695" s="2">
        <v>307.09500000000003</v>
      </c>
      <c r="E2695" s="2">
        <v>309.19600000000003</v>
      </c>
      <c r="F2695" s="2">
        <v>26547997</v>
      </c>
      <c r="G2695" s="2" t="s">
        <v>569</v>
      </c>
      <c r="H2695" s="2" t="s">
        <v>570</v>
      </c>
      <c r="I2695" s="2" t="s">
        <v>17</v>
      </c>
      <c r="J2695" s="4">
        <v>-1.7</v>
      </c>
      <c r="K2695" s="2" t="s">
        <v>204</v>
      </c>
      <c r="L2695" s="2">
        <v>2023</v>
      </c>
      <c r="M2695" s="2" t="s">
        <v>205</v>
      </c>
      <c r="N2695" s="2" t="s">
        <v>23</v>
      </c>
      <c r="O2695">
        <f t="shared" si="84"/>
        <v>5.80499999999995</v>
      </c>
      <c r="P2695">
        <f t="shared" si="85"/>
        <v>29.722000000000026</v>
      </c>
    </row>
    <row r="2696" spans="1:16" x14ac:dyDescent="0.35">
      <c r="A2696" s="9" t="s">
        <v>222</v>
      </c>
      <c r="B2696" s="2">
        <v>309.35399999999998</v>
      </c>
      <c r="C2696" s="2">
        <v>311.334</v>
      </c>
      <c r="D2696" s="2">
        <v>306.77</v>
      </c>
      <c r="E2696" s="2">
        <v>309.839</v>
      </c>
      <c r="F2696" s="2">
        <v>19594918</v>
      </c>
      <c r="G2696" s="2" t="s">
        <v>569</v>
      </c>
      <c r="H2696" s="2" t="s">
        <v>570</v>
      </c>
      <c r="I2696" s="2" t="s">
        <v>17</v>
      </c>
      <c r="J2696" s="3">
        <v>0.20799999999999999</v>
      </c>
      <c r="K2696" s="2" t="s">
        <v>204</v>
      </c>
      <c r="L2696" s="2">
        <v>2023</v>
      </c>
      <c r="M2696" s="2" t="s">
        <v>205</v>
      </c>
      <c r="N2696" s="2" t="s">
        <v>21</v>
      </c>
      <c r="O2696">
        <f t="shared" si="84"/>
        <v>4.5640000000000214</v>
      </c>
      <c r="P2696">
        <f t="shared" si="85"/>
        <v>29.930000000000025</v>
      </c>
    </row>
    <row r="2697" spans="1:16" x14ac:dyDescent="0.35">
      <c r="A2697" s="9" t="s">
        <v>223</v>
      </c>
      <c r="B2697" s="2">
        <v>308.05599999999998</v>
      </c>
      <c r="C2697" s="2">
        <v>312.50400000000002</v>
      </c>
      <c r="D2697" s="2">
        <v>306.52999999999997</v>
      </c>
      <c r="E2697" s="2">
        <v>310.68099999999998</v>
      </c>
      <c r="F2697" s="2">
        <v>19871004</v>
      </c>
      <c r="G2697" s="2" t="s">
        <v>569</v>
      </c>
      <c r="H2697" s="2" t="s">
        <v>570</v>
      </c>
      <c r="I2697" s="2" t="s">
        <v>17</v>
      </c>
      <c r="J2697" s="3">
        <v>0.27200000000000002</v>
      </c>
      <c r="K2697" s="2" t="s">
        <v>204</v>
      </c>
      <c r="L2697" s="2">
        <v>2023</v>
      </c>
      <c r="M2697" s="2" t="s">
        <v>205</v>
      </c>
      <c r="N2697" s="2" t="s">
        <v>21</v>
      </c>
      <c r="O2697">
        <f t="shared" si="84"/>
        <v>5.9740000000000464</v>
      </c>
      <c r="P2697">
        <f t="shared" si="85"/>
        <v>30.202000000000023</v>
      </c>
    </row>
    <row r="2698" spans="1:16" x14ac:dyDescent="0.35">
      <c r="A2698" s="9" t="s">
        <v>224</v>
      </c>
      <c r="B2698" s="2">
        <v>314.75299999999999</v>
      </c>
      <c r="C2698" s="2">
        <v>316.45699999999999</v>
      </c>
      <c r="D2698" s="2">
        <v>312.00900000000001</v>
      </c>
      <c r="E2698" s="2">
        <v>312.77100000000002</v>
      </c>
      <c r="F2698" s="2">
        <v>24377245</v>
      </c>
      <c r="G2698" s="2" t="s">
        <v>569</v>
      </c>
      <c r="H2698" s="2" t="s">
        <v>570</v>
      </c>
      <c r="I2698" s="2" t="s">
        <v>17</v>
      </c>
      <c r="J2698" s="3">
        <v>0.67300000000000004</v>
      </c>
      <c r="K2698" s="2" t="s">
        <v>204</v>
      </c>
      <c r="L2698" s="2">
        <v>2023</v>
      </c>
      <c r="M2698" s="2" t="s">
        <v>205</v>
      </c>
      <c r="N2698" s="2" t="s">
        <v>21</v>
      </c>
      <c r="O2698">
        <f t="shared" si="84"/>
        <v>4.4479999999999791</v>
      </c>
      <c r="P2698">
        <f t="shared" si="85"/>
        <v>30.875000000000021</v>
      </c>
    </row>
    <row r="2699" spans="1:16" x14ac:dyDescent="0.35">
      <c r="A2699" s="9" t="s">
        <v>225</v>
      </c>
      <c r="B2699" s="2">
        <v>313.29599999999999</v>
      </c>
      <c r="C2699" s="2">
        <v>318.85199999999998</v>
      </c>
      <c r="D2699" s="2">
        <v>312.20699999999999</v>
      </c>
      <c r="E2699" s="2">
        <v>318.76400000000001</v>
      </c>
      <c r="F2699" s="2">
        <v>20765888</v>
      </c>
      <c r="G2699" s="2" t="s">
        <v>569</v>
      </c>
      <c r="H2699" s="2" t="s">
        <v>570</v>
      </c>
      <c r="I2699" s="2" t="s">
        <v>17</v>
      </c>
      <c r="J2699" s="3">
        <v>1.9159999999999999</v>
      </c>
      <c r="K2699" s="2" t="s">
        <v>226</v>
      </c>
      <c r="L2699" s="2">
        <v>2023</v>
      </c>
      <c r="M2699" s="2" t="s">
        <v>227</v>
      </c>
      <c r="N2699" s="2" t="s">
        <v>21</v>
      </c>
      <c r="O2699">
        <f t="shared" si="84"/>
        <v>6.6449999999999818</v>
      </c>
      <c r="P2699">
        <f t="shared" si="85"/>
        <v>32.791000000000018</v>
      </c>
    </row>
    <row r="2700" spans="1:16" x14ac:dyDescent="0.35">
      <c r="A2700" s="9" t="s">
        <v>228</v>
      </c>
      <c r="B2700" s="2">
        <v>317.80399999999997</v>
      </c>
      <c r="C2700" s="2">
        <v>318.35899999999998</v>
      </c>
      <c r="D2700" s="2">
        <v>308.27999999999997</v>
      </c>
      <c r="E2700" s="2">
        <v>310.43400000000003</v>
      </c>
      <c r="F2700" s="2">
        <v>21233787</v>
      </c>
      <c r="G2700" s="2" t="s">
        <v>569</v>
      </c>
      <c r="H2700" s="2" t="s">
        <v>570</v>
      </c>
      <c r="I2700" s="2" t="s">
        <v>17</v>
      </c>
      <c r="J2700" s="4">
        <v>-2.613</v>
      </c>
      <c r="K2700" s="2" t="s">
        <v>226</v>
      </c>
      <c r="L2700" s="2">
        <v>2023</v>
      </c>
      <c r="M2700" s="2" t="s">
        <v>227</v>
      </c>
      <c r="N2700" s="2" t="s">
        <v>23</v>
      </c>
      <c r="O2700">
        <f t="shared" si="84"/>
        <v>10.079000000000008</v>
      </c>
      <c r="P2700">
        <f t="shared" si="85"/>
        <v>30.178000000000019</v>
      </c>
    </row>
    <row r="2701" spans="1:16" x14ac:dyDescent="0.35">
      <c r="A2701" s="9" t="s">
        <v>229</v>
      </c>
      <c r="B2701" s="2">
        <v>311.06799999999998</v>
      </c>
      <c r="C2701" s="2">
        <v>317.02</v>
      </c>
      <c r="D2701" s="2">
        <v>311.03800000000001</v>
      </c>
      <c r="E2701" s="2">
        <v>315.94600000000003</v>
      </c>
      <c r="F2701" s="2">
        <v>20917455</v>
      </c>
      <c r="G2701" s="2" t="s">
        <v>569</v>
      </c>
      <c r="H2701" s="2" t="s">
        <v>570</v>
      </c>
      <c r="I2701" s="2" t="s">
        <v>17</v>
      </c>
      <c r="J2701" s="3">
        <v>1.776</v>
      </c>
      <c r="K2701" s="2" t="s">
        <v>226</v>
      </c>
      <c r="L2701" s="2">
        <v>2023</v>
      </c>
      <c r="M2701" s="2" t="s">
        <v>227</v>
      </c>
      <c r="N2701" s="2" t="s">
        <v>21</v>
      </c>
      <c r="O2701">
        <f t="shared" si="84"/>
        <v>5.9819999999999709</v>
      </c>
      <c r="P2701">
        <f t="shared" si="85"/>
        <v>31.954000000000018</v>
      </c>
    </row>
    <row r="2702" spans="1:16" x14ac:dyDescent="0.35">
      <c r="A2702" s="9" t="s">
        <v>230</v>
      </c>
      <c r="B2702" s="2">
        <v>316.08</v>
      </c>
      <c r="C2702" s="2">
        <v>316.96300000000002</v>
      </c>
      <c r="D2702" s="2">
        <v>311.93</v>
      </c>
      <c r="E2702" s="2">
        <v>316.34800000000001</v>
      </c>
      <c r="F2702" s="2">
        <v>17127187</v>
      </c>
      <c r="G2702" s="2" t="s">
        <v>569</v>
      </c>
      <c r="H2702" s="2" t="s">
        <v>570</v>
      </c>
      <c r="I2702" s="2" t="s">
        <v>17</v>
      </c>
      <c r="J2702" s="3">
        <v>0.127</v>
      </c>
      <c r="K2702" s="2" t="s">
        <v>226</v>
      </c>
      <c r="L2702" s="2">
        <v>2023</v>
      </c>
      <c r="M2702" s="2" t="s">
        <v>227</v>
      </c>
      <c r="N2702" s="2" t="s">
        <v>21</v>
      </c>
      <c r="O2702">
        <f t="shared" si="84"/>
        <v>5.0330000000000155</v>
      </c>
      <c r="P2702">
        <f t="shared" si="85"/>
        <v>32.081000000000017</v>
      </c>
    </row>
    <row r="2703" spans="1:16" x14ac:dyDescent="0.35">
      <c r="A2703" s="9" t="s">
        <v>231</v>
      </c>
      <c r="B2703" s="2">
        <v>313.56400000000002</v>
      </c>
      <c r="C2703" s="2">
        <v>326.08499999999998</v>
      </c>
      <c r="D2703" s="2">
        <v>313.31599999999997</v>
      </c>
      <c r="E2703" s="2">
        <v>324.173</v>
      </c>
      <c r="F2703" s="2">
        <v>25918112</v>
      </c>
      <c r="G2703" s="2" t="s">
        <v>569</v>
      </c>
      <c r="H2703" s="2" t="s">
        <v>570</v>
      </c>
      <c r="I2703" s="2" t="s">
        <v>17</v>
      </c>
      <c r="J2703" s="3">
        <v>2.4740000000000002</v>
      </c>
      <c r="K2703" s="2" t="s">
        <v>226</v>
      </c>
      <c r="L2703" s="2">
        <v>2023</v>
      </c>
      <c r="M2703" s="2" t="s">
        <v>227</v>
      </c>
      <c r="N2703" s="2" t="s">
        <v>21</v>
      </c>
      <c r="O2703">
        <f t="shared" si="84"/>
        <v>12.769000000000005</v>
      </c>
      <c r="P2703">
        <f t="shared" si="85"/>
        <v>34.555000000000021</v>
      </c>
    </row>
    <row r="2704" spans="1:16" x14ac:dyDescent="0.35">
      <c r="A2704" s="9" t="s">
        <v>232</v>
      </c>
      <c r="B2704" s="2">
        <v>321.68700000000001</v>
      </c>
      <c r="C2704" s="2">
        <v>327.185</v>
      </c>
      <c r="D2704" s="2">
        <v>320.13099999999997</v>
      </c>
      <c r="E2704" s="2">
        <v>326.70800000000003</v>
      </c>
      <c r="F2704" s="2">
        <v>20080597</v>
      </c>
      <c r="G2704" s="2" t="s">
        <v>569</v>
      </c>
      <c r="H2704" s="2" t="s">
        <v>570</v>
      </c>
      <c r="I2704" s="2" t="s">
        <v>17</v>
      </c>
      <c r="J2704" s="3">
        <v>0.78200000000000003</v>
      </c>
      <c r="K2704" s="2" t="s">
        <v>226</v>
      </c>
      <c r="L2704" s="2">
        <v>2023</v>
      </c>
      <c r="M2704" s="2" t="s">
        <v>227</v>
      </c>
      <c r="N2704" s="2" t="s">
        <v>21</v>
      </c>
      <c r="O2704">
        <f t="shared" si="84"/>
        <v>7.0540000000000305</v>
      </c>
      <c r="P2704">
        <f t="shared" si="85"/>
        <v>35.337000000000018</v>
      </c>
    </row>
    <row r="2705" spans="1:16" x14ac:dyDescent="0.35">
      <c r="A2705" s="9" t="s">
        <v>233</v>
      </c>
      <c r="B2705" s="2">
        <v>327.83800000000002</v>
      </c>
      <c r="C2705" s="2">
        <v>327.97699999999998</v>
      </c>
      <c r="D2705" s="2">
        <v>324.57799999999997</v>
      </c>
      <c r="E2705" s="2">
        <v>325.29300000000001</v>
      </c>
      <c r="F2705" s="2">
        <v>20752853</v>
      </c>
      <c r="G2705" s="2" t="s">
        <v>569</v>
      </c>
      <c r="H2705" s="2" t="s">
        <v>570</v>
      </c>
      <c r="I2705" s="2" t="s">
        <v>17</v>
      </c>
      <c r="J2705" s="4">
        <v>-0.433</v>
      </c>
      <c r="K2705" s="2" t="s">
        <v>226</v>
      </c>
      <c r="L2705" s="2">
        <v>2023</v>
      </c>
      <c r="M2705" s="2" t="s">
        <v>227</v>
      </c>
      <c r="N2705" s="2" t="s">
        <v>23</v>
      </c>
      <c r="O2705">
        <f t="shared" si="84"/>
        <v>3.3990000000000009</v>
      </c>
      <c r="P2705">
        <f t="shared" si="85"/>
        <v>34.904000000000018</v>
      </c>
    </row>
    <row r="2706" spans="1:16" x14ac:dyDescent="0.35">
      <c r="A2706" s="9" t="s">
        <v>234</v>
      </c>
      <c r="B2706" s="2">
        <v>328.08499999999998</v>
      </c>
      <c r="C2706" s="2">
        <v>329.68099999999998</v>
      </c>
      <c r="D2706" s="2">
        <v>326.03500000000003</v>
      </c>
      <c r="E2706" s="2">
        <v>329.28500000000003</v>
      </c>
      <c r="F2706" s="2">
        <v>20254302</v>
      </c>
      <c r="G2706" s="2" t="s">
        <v>569</v>
      </c>
      <c r="H2706" s="2" t="s">
        <v>570</v>
      </c>
      <c r="I2706" s="2" t="s">
        <v>17</v>
      </c>
      <c r="J2706" s="3">
        <v>1.2270000000000001</v>
      </c>
      <c r="K2706" s="2" t="s">
        <v>226</v>
      </c>
      <c r="L2706" s="2">
        <v>2023</v>
      </c>
      <c r="M2706" s="2" t="s">
        <v>227</v>
      </c>
      <c r="N2706" s="2" t="s">
        <v>21</v>
      </c>
      <c r="O2706">
        <f t="shared" si="84"/>
        <v>3.6459999999999582</v>
      </c>
      <c r="P2706">
        <f t="shared" si="85"/>
        <v>36.131000000000014</v>
      </c>
    </row>
    <row r="2707" spans="1:16" x14ac:dyDescent="0.35">
      <c r="A2707" s="9" t="s">
        <v>235</v>
      </c>
      <c r="B2707" s="2">
        <v>327.447</v>
      </c>
      <c r="C2707" s="2">
        <v>330.48200000000003</v>
      </c>
      <c r="D2707" s="2">
        <v>325.61799999999999</v>
      </c>
      <c r="E2707" s="2">
        <v>328.036</v>
      </c>
      <c r="F2707" s="2">
        <v>19497010</v>
      </c>
      <c r="G2707" s="2" t="s">
        <v>569</v>
      </c>
      <c r="H2707" s="2" t="s">
        <v>570</v>
      </c>
      <c r="I2707" s="2" t="s">
        <v>17</v>
      </c>
      <c r="J2707" s="4">
        <v>-0.379</v>
      </c>
      <c r="K2707" s="2" t="s">
        <v>226</v>
      </c>
      <c r="L2707" s="2">
        <v>2023</v>
      </c>
      <c r="M2707" s="2" t="s">
        <v>227</v>
      </c>
      <c r="N2707" s="2" t="s">
        <v>23</v>
      </c>
      <c r="O2707">
        <f t="shared" si="84"/>
        <v>4.8640000000000327</v>
      </c>
      <c r="P2707">
        <f t="shared" si="85"/>
        <v>35.752000000000017</v>
      </c>
    </row>
    <row r="2708" spans="1:16" x14ac:dyDescent="0.35">
      <c r="A2708" s="9" t="s">
        <v>236</v>
      </c>
      <c r="B2708" s="2">
        <v>329.245</v>
      </c>
      <c r="C2708" s="2">
        <v>330.68099999999998</v>
      </c>
      <c r="D2708" s="2">
        <v>323.28199999999998</v>
      </c>
      <c r="E2708" s="2">
        <v>324.63799999999998</v>
      </c>
      <c r="F2708" s="2">
        <v>21286487</v>
      </c>
      <c r="G2708" s="2" t="s">
        <v>569</v>
      </c>
      <c r="H2708" s="2" t="s">
        <v>570</v>
      </c>
      <c r="I2708" s="2" t="s">
        <v>17</v>
      </c>
      <c r="J2708" s="4">
        <v>-1.036</v>
      </c>
      <c r="K2708" s="2" t="s">
        <v>226</v>
      </c>
      <c r="L2708" s="2">
        <v>2023</v>
      </c>
      <c r="M2708" s="2" t="s">
        <v>227</v>
      </c>
      <c r="N2708" s="2" t="s">
        <v>23</v>
      </c>
      <c r="O2708">
        <f t="shared" si="84"/>
        <v>7.3990000000000009</v>
      </c>
      <c r="P2708">
        <f t="shared" si="85"/>
        <v>34.716000000000015</v>
      </c>
    </row>
    <row r="2709" spans="1:16" x14ac:dyDescent="0.35">
      <c r="A2709" s="9" t="s">
        <v>237</v>
      </c>
      <c r="B2709" s="2">
        <v>327.92700000000002</v>
      </c>
      <c r="C2709" s="2">
        <v>332.97</v>
      </c>
      <c r="D2709" s="2">
        <v>327.48099999999999</v>
      </c>
      <c r="E2709" s="2">
        <v>329.50099999999998</v>
      </c>
      <c r="F2709" s="2">
        <v>22369052</v>
      </c>
      <c r="G2709" s="2" t="s">
        <v>569</v>
      </c>
      <c r="H2709" s="2" t="s">
        <v>570</v>
      </c>
      <c r="I2709" s="2" t="s">
        <v>17</v>
      </c>
      <c r="J2709" s="3">
        <v>1.498</v>
      </c>
      <c r="K2709" s="2" t="s">
        <v>226</v>
      </c>
      <c r="L2709" s="2">
        <v>2023</v>
      </c>
      <c r="M2709" s="2" t="s">
        <v>227</v>
      </c>
      <c r="N2709" s="2" t="s">
        <v>21</v>
      </c>
      <c r="O2709">
        <f t="shared" si="84"/>
        <v>5.4890000000000327</v>
      </c>
      <c r="P2709">
        <f t="shared" si="85"/>
        <v>36.214000000000013</v>
      </c>
    </row>
    <row r="2710" spans="1:16" x14ac:dyDescent="0.35">
      <c r="A2710" s="9" t="s">
        <v>238</v>
      </c>
      <c r="B2710" s="2">
        <v>326.48099999999999</v>
      </c>
      <c r="C2710" s="2">
        <v>330.315</v>
      </c>
      <c r="D2710" s="2">
        <v>324.322</v>
      </c>
      <c r="E2710" s="2">
        <v>328.92700000000002</v>
      </c>
      <c r="F2710" s="2">
        <v>18513155</v>
      </c>
      <c r="G2710" s="2" t="s">
        <v>569</v>
      </c>
      <c r="H2710" s="2" t="s">
        <v>570</v>
      </c>
      <c r="I2710" s="2" t="s">
        <v>17</v>
      </c>
      <c r="J2710" s="4">
        <v>-0.17399999999999999</v>
      </c>
      <c r="K2710" s="2" t="s">
        <v>226</v>
      </c>
      <c r="L2710" s="2">
        <v>2023</v>
      </c>
      <c r="M2710" s="2" t="s">
        <v>227</v>
      </c>
      <c r="N2710" s="2" t="s">
        <v>23</v>
      </c>
      <c r="O2710">
        <f t="shared" si="84"/>
        <v>5.992999999999995</v>
      </c>
      <c r="P2710">
        <f t="shared" si="85"/>
        <v>36.040000000000013</v>
      </c>
    </row>
    <row r="2711" spans="1:16" x14ac:dyDescent="0.35">
      <c r="A2711" s="9" t="s">
        <v>239</v>
      </c>
      <c r="B2711" s="2">
        <v>329.35500000000002</v>
      </c>
      <c r="C2711" s="2">
        <v>332.42500000000001</v>
      </c>
      <c r="D2711" s="2">
        <v>325.20299999999997</v>
      </c>
      <c r="E2711" s="2">
        <v>326.995</v>
      </c>
      <c r="F2711" s="2">
        <v>23374086</v>
      </c>
      <c r="G2711" s="2" t="s">
        <v>569</v>
      </c>
      <c r="H2711" s="2" t="s">
        <v>570</v>
      </c>
      <c r="I2711" s="2" t="s">
        <v>17</v>
      </c>
      <c r="J2711" s="4">
        <v>-0.58699999999999997</v>
      </c>
      <c r="K2711" s="2" t="s">
        <v>226</v>
      </c>
      <c r="L2711" s="2">
        <v>2023</v>
      </c>
      <c r="M2711" s="2" t="s">
        <v>227</v>
      </c>
      <c r="N2711" s="2" t="s">
        <v>23</v>
      </c>
      <c r="O2711">
        <f t="shared" si="84"/>
        <v>7.2220000000000368</v>
      </c>
      <c r="P2711">
        <f t="shared" si="85"/>
        <v>35.45300000000001</v>
      </c>
    </row>
    <row r="2712" spans="1:16" x14ac:dyDescent="0.35">
      <c r="A2712" s="9" t="s">
        <v>240</v>
      </c>
      <c r="B2712" s="2">
        <v>329.01600000000002</v>
      </c>
      <c r="C2712" s="2">
        <v>333.702</v>
      </c>
      <c r="D2712" s="2">
        <v>327.78899999999999</v>
      </c>
      <c r="E2712" s="2">
        <v>328.19499999999999</v>
      </c>
      <c r="F2712" s="2">
        <v>25290634</v>
      </c>
      <c r="G2712" s="2" t="s">
        <v>569</v>
      </c>
      <c r="H2712" s="2" t="s">
        <v>570</v>
      </c>
      <c r="I2712" s="2" t="s">
        <v>17</v>
      </c>
      <c r="J2712" s="3">
        <v>0.36699999999999999</v>
      </c>
      <c r="K2712" s="2" t="s">
        <v>226</v>
      </c>
      <c r="L2712" s="2">
        <v>2023</v>
      </c>
      <c r="M2712" s="2" t="s">
        <v>227</v>
      </c>
      <c r="N2712" s="2" t="s">
        <v>21</v>
      </c>
      <c r="O2712">
        <f t="shared" si="84"/>
        <v>5.9130000000000109</v>
      </c>
      <c r="P2712">
        <f t="shared" si="85"/>
        <v>35.820000000000007</v>
      </c>
    </row>
    <row r="2713" spans="1:16" x14ac:dyDescent="0.35">
      <c r="A2713" s="9" t="s">
        <v>241</v>
      </c>
      <c r="B2713" s="2">
        <v>328.59100000000001</v>
      </c>
      <c r="C2713" s="2">
        <v>328.79</v>
      </c>
      <c r="D2713" s="2">
        <v>322.38</v>
      </c>
      <c r="E2713" s="2">
        <v>323.58800000000002</v>
      </c>
      <c r="F2713" s="2">
        <v>25266046</v>
      </c>
      <c r="G2713" s="2" t="s">
        <v>569</v>
      </c>
      <c r="H2713" s="2" t="s">
        <v>570</v>
      </c>
      <c r="I2713" s="2" t="s">
        <v>17</v>
      </c>
      <c r="J2713" s="4">
        <v>-1.4039999999999999</v>
      </c>
      <c r="K2713" s="2" t="s">
        <v>226</v>
      </c>
      <c r="L2713" s="2">
        <v>2023</v>
      </c>
      <c r="M2713" s="2" t="s">
        <v>227</v>
      </c>
      <c r="N2713" s="2" t="s">
        <v>23</v>
      </c>
      <c r="O2713">
        <f t="shared" si="84"/>
        <v>6.410000000000025</v>
      </c>
      <c r="P2713">
        <f t="shared" si="85"/>
        <v>34.416000000000011</v>
      </c>
    </row>
    <row r="2714" spans="1:16" x14ac:dyDescent="0.35">
      <c r="A2714" s="9" t="s">
        <v>242</v>
      </c>
      <c r="B2714" s="2">
        <v>322.39999999999998</v>
      </c>
      <c r="C2714" s="2">
        <v>329.58600000000001</v>
      </c>
      <c r="D2714" s="2">
        <v>321.33</v>
      </c>
      <c r="E2714" s="2">
        <v>326.21300000000002</v>
      </c>
      <c r="F2714" s="2">
        <v>24606861</v>
      </c>
      <c r="G2714" s="2" t="s">
        <v>569</v>
      </c>
      <c r="H2714" s="2" t="s">
        <v>570</v>
      </c>
      <c r="I2714" s="2" t="s">
        <v>17</v>
      </c>
      <c r="J2714" s="3">
        <v>0.81100000000000005</v>
      </c>
      <c r="K2714" s="2" t="s">
        <v>226</v>
      </c>
      <c r="L2714" s="2">
        <v>2023</v>
      </c>
      <c r="M2714" s="2" t="s">
        <v>227</v>
      </c>
      <c r="N2714" s="2" t="s">
        <v>21</v>
      </c>
      <c r="O2714">
        <f t="shared" si="84"/>
        <v>8.2560000000000286</v>
      </c>
      <c r="P2714">
        <f t="shared" si="85"/>
        <v>35.227000000000011</v>
      </c>
    </row>
    <row r="2715" spans="1:16" x14ac:dyDescent="0.35">
      <c r="A2715" s="9" t="s">
        <v>243</v>
      </c>
      <c r="B2715" s="2">
        <v>328.17500000000001</v>
      </c>
      <c r="C2715" s="2">
        <v>328.71</v>
      </c>
      <c r="D2715" s="2">
        <v>324.50900000000001</v>
      </c>
      <c r="E2715" s="2">
        <v>327.41199999999998</v>
      </c>
      <c r="F2715" s="2">
        <v>31450237</v>
      </c>
      <c r="G2715" s="2" t="s">
        <v>569</v>
      </c>
      <c r="H2715" s="2" t="s">
        <v>570</v>
      </c>
      <c r="I2715" s="2" t="s">
        <v>17</v>
      </c>
      <c r="J2715" s="3">
        <v>0.36799999999999999</v>
      </c>
      <c r="K2715" s="2" t="s">
        <v>226</v>
      </c>
      <c r="L2715" s="2">
        <v>2023</v>
      </c>
      <c r="M2715" s="2" t="s">
        <v>227</v>
      </c>
      <c r="N2715" s="2" t="s">
        <v>21</v>
      </c>
      <c r="O2715">
        <f t="shared" si="84"/>
        <v>4.200999999999965</v>
      </c>
      <c r="P2715">
        <f t="shared" si="85"/>
        <v>35.595000000000013</v>
      </c>
    </row>
    <row r="2716" spans="1:16" x14ac:dyDescent="0.35">
      <c r="A2716" s="9" t="s">
        <v>244</v>
      </c>
      <c r="B2716" s="2">
        <v>341.76499999999999</v>
      </c>
      <c r="C2716" s="2">
        <v>342.935</v>
      </c>
      <c r="D2716" s="2">
        <v>334.435</v>
      </c>
      <c r="E2716" s="2">
        <v>337.45699999999999</v>
      </c>
      <c r="F2716" s="2">
        <v>55578089</v>
      </c>
      <c r="G2716" s="2" t="s">
        <v>569</v>
      </c>
      <c r="H2716" s="2" t="s">
        <v>570</v>
      </c>
      <c r="I2716" s="2" t="s">
        <v>17</v>
      </c>
      <c r="J2716" s="3">
        <v>3.0680000000000001</v>
      </c>
      <c r="K2716" s="2" t="s">
        <v>226</v>
      </c>
      <c r="L2716" s="2">
        <v>2023</v>
      </c>
      <c r="M2716" s="2" t="s">
        <v>227</v>
      </c>
      <c r="N2716" s="2" t="s">
        <v>21</v>
      </c>
      <c r="O2716">
        <f t="shared" si="84"/>
        <v>8.5</v>
      </c>
      <c r="P2716">
        <f t="shared" si="85"/>
        <v>38.663000000000011</v>
      </c>
    </row>
    <row r="2717" spans="1:16" x14ac:dyDescent="0.35">
      <c r="A2717" s="9" t="s">
        <v>245</v>
      </c>
      <c r="B2717" s="2">
        <v>337.32799999999997</v>
      </c>
      <c r="C2717" s="2">
        <v>338.40800000000002</v>
      </c>
      <c r="D2717" s="2">
        <v>323.85700000000003</v>
      </c>
      <c r="E2717" s="2">
        <v>324.79700000000003</v>
      </c>
      <c r="F2717" s="2">
        <v>38188773</v>
      </c>
      <c r="G2717" s="2" t="s">
        <v>569</v>
      </c>
      <c r="H2717" s="2" t="s">
        <v>570</v>
      </c>
      <c r="I2717" s="2" t="s">
        <v>17</v>
      </c>
      <c r="J2717" s="4">
        <v>-3.7519999999999998</v>
      </c>
      <c r="K2717" s="2" t="s">
        <v>226</v>
      </c>
      <c r="L2717" s="2">
        <v>2023</v>
      </c>
      <c r="M2717" s="2" t="s">
        <v>227</v>
      </c>
      <c r="N2717" s="2" t="s">
        <v>23</v>
      </c>
      <c r="O2717">
        <f t="shared" si="84"/>
        <v>14.550999999999988</v>
      </c>
      <c r="P2717">
        <f t="shared" si="85"/>
        <v>34.911000000000008</v>
      </c>
    </row>
    <row r="2718" spans="1:16" x14ac:dyDescent="0.35">
      <c r="A2718" s="9" t="s">
        <v>246</v>
      </c>
      <c r="B2718" s="2">
        <v>327.30799999999999</v>
      </c>
      <c r="C2718" s="2">
        <v>333.54399999999998</v>
      </c>
      <c r="D2718" s="2">
        <v>325.303</v>
      </c>
      <c r="E2718" s="2">
        <v>326.69799999999998</v>
      </c>
      <c r="F2718" s="2">
        <v>30140836</v>
      </c>
      <c r="G2718" s="2" t="s">
        <v>569</v>
      </c>
      <c r="H2718" s="2" t="s">
        <v>570</v>
      </c>
      <c r="I2718" s="2" t="s">
        <v>17</v>
      </c>
      <c r="J2718" s="3">
        <v>0.58499999999999996</v>
      </c>
      <c r="K2718" s="2" t="s">
        <v>226</v>
      </c>
      <c r="L2718" s="2">
        <v>2023</v>
      </c>
      <c r="M2718" s="2" t="s">
        <v>227</v>
      </c>
      <c r="N2718" s="2" t="s">
        <v>21</v>
      </c>
      <c r="O2718">
        <f t="shared" si="84"/>
        <v>8.2409999999999854</v>
      </c>
      <c r="P2718">
        <f t="shared" si="85"/>
        <v>35.496000000000009</v>
      </c>
    </row>
    <row r="2719" spans="1:16" x14ac:dyDescent="0.35">
      <c r="A2719" s="9" t="s">
        <v>247</v>
      </c>
      <c r="B2719" s="2">
        <v>330.26600000000002</v>
      </c>
      <c r="C2719" s="2">
        <v>336.24799999999999</v>
      </c>
      <c r="D2719" s="2">
        <v>328.7</v>
      </c>
      <c r="E2719" s="2">
        <v>334.12900000000002</v>
      </c>
      <c r="F2719" s="2">
        <v>23045467</v>
      </c>
      <c r="G2719" s="2" t="s">
        <v>569</v>
      </c>
      <c r="H2719" s="2" t="s">
        <v>570</v>
      </c>
      <c r="I2719" s="2" t="s">
        <v>17</v>
      </c>
      <c r="J2719" s="3">
        <v>2.2749999999999999</v>
      </c>
      <c r="K2719" s="2" t="s">
        <v>226</v>
      </c>
      <c r="L2719" s="2">
        <v>2023</v>
      </c>
      <c r="M2719" s="2" t="s">
        <v>227</v>
      </c>
      <c r="N2719" s="2" t="s">
        <v>21</v>
      </c>
      <c r="O2719">
        <f t="shared" si="84"/>
        <v>7.5480000000000018</v>
      </c>
      <c r="P2719">
        <f t="shared" si="85"/>
        <v>37.771000000000008</v>
      </c>
    </row>
    <row r="2720" spans="1:16" x14ac:dyDescent="0.35">
      <c r="A2720" s="9" t="s">
        <v>248</v>
      </c>
      <c r="B2720" s="2">
        <v>335.654</v>
      </c>
      <c r="C2720" s="2">
        <v>335.803</v>
      </c>
      <c r="D2720" s="2">
        <v>331.53199999999998</v>
      </c>
      <c r="E2720" s="2">
        <v>334.92099999999999</v>
      </c>
      <c r="F2720" s="2">
        <v>20458262</v>
      </c>
      <c r="G2720" s="2" t="s">
        <v>569</v>
      </c>
      <c r="H2720" s="2" t="s">
        <v>570</v>
      </c>
      <c r="I2720" s="2" t="s">
        <v>17</v>
      </c>
      <c r="J2720" s="3">
        <v>0.23699999999999999</v>
      </c>
      <c r="K2720" s="2" t="s">
        <v>226</v>
      </c>
      <c r="L2720" s="2">
        <v>2023</v>
      </c>
      <c r="M2720" s="2" t="s">
        <v>227</v>
      </c>
      <c r="N2720" s="2" t="s">
        <v>21</v>
      </c>
      <c r="O2720">
        <f t="shared" si="84"/>
        <v>4.271000000000015</v>
      </c>
      <c r="P2720">
        <f t="shared" si="85"/>
        <v>38.00800000000001</v>
      </c>
    </row>
    <row r="2721" spans="1:16" x14ac:dyDescent="0.35">
      <c r="A2721" s="9" t="s">
        <v>249</v>
      </c>
      <c r="B2721" s="2">
        <v>336.58499999999998</v>
      </c>
      <c r="C2721" s="2">
        <v>344.142</v>
      </c>
      <c r="D2721" s="2">
        <v>336.44600000000003</v>
      </c>
      <c r="E2721" s="2">
        <v>342.80599999999998</v>
      </c>
      <c r="F2721" s="2">
        <v>28426967</v>
      </c>
      <c r="G2721" s="2" t="s">
        <v>569</v>
      </c>
      <c r="H2721" s="2" t="s">
        <v>570</v>
      </c>
      <c r="I2721" s="2" t="s">
        <v>17</v>
      </c>
      <c r="J2721" s="3">
        <v>2.3540000000000001</v>
      </c>
      <c r="K2721" s="2" t="s">
        <v>250</v>
      </c>
      <c r="L2721" s="2">
        <v>2023</v>
      </c>
      <c r="M2721" s="2" t="s">
        <v>251</v>
      </c>
      <c r="N2721" s="2" t="s">
        <v>21</v>
      </c>
      <c r="O2721">
        <f t="shared" si="84"/>
        <v>7.6959999999999695</v>
      </c>
      <c r="P2721">
        <f t="shared" si="85"/>
        <v>40.362000000000009</v>
      </c>
    </row>
    <row r="2722" spans="1:16" x14ac:dyDescent="0.35">
      <c r="A2722" s="9" t="s">
        <v>252</v>
      </c>
      <c r="B2722" s="2">
        <v>343.96499999999997</v>
      </c>
      <c r="C2722" s="2">
        <v>345.53800000000001</v>
      </c>
      <c r="D2722" s="2">
        <v>341.51799999999997</v>
      </c>
      <c r="E2722" s="2">
        <v>345.03300000000002</v>
      </c>
      <c r="F2722" s="2">
        <v>24579931</v>
      </c>
      <c r="G2722" s="2" t="s">
        <v>569</v>
      </c>
      <c r="H2722" s="2" t="s">
        <v>570</v>
      </c>
      <c r="I2722" s="2" t="s">
        <v>17</v>
      </c>
      <c r="J2722" s="3">
        <v>0.65</v>
      </c>
      <c r="K2722" s="2" t="s">
        <v>250</v>
      </c>
      <c r="L2722" s="2">
        <v>2023</v>
      </c>
      <c r="M2722" s="2" t="s">
        <v>251</v>
      </c>
      <c r="N2722" s="2" t="s">
        <v>21</v>
      </c>
      <c r="O2722">
        <f t="shared" si="84"/>
        <v>4.0200000000000387</v>
      </c>
      <c r="P2722">
        <f t="shared" si="85"/>
        <v>41.012000000000008</v>
      </c>
    </row>
    <row r="2723" spans="1:16" x14ac:dyDescent="0.35">
      <c r="A2723" s="9" t="s">
        <v>253</v>
      </c>
      <c r="B2723" s="2">
        <v>346.33300000000003</v>
      </c>
      <c r="C2723" s="2">
        <v>351.04599999999999</v>
      </c>
      <c r="D2723" s="2">
        <v>344.053</v>
      </c>
      <c r="E2723" s="2">
        <v>349.471</v>
      </c>
      <c r="F2723" s="2">
        <v>23862767</v>
      </c>
      <c r="G2723" s="2" t="s">
        <v>569</v>
      </c>
      <c r="H2723" s="2" t="s">
        <v>570</v>
      </c>
      <c r="I2723" s="2" t="s">
        <v>17</v>
      </c>
      <c r="J2723" s="3">
        <v>1.286</v>
      </c>
      <c r="K2723" s="2" t="s">
        <v>250</v>
      </c>
      <c r="L2723" s="2">
        <v>2023</v>
      </c>
      <c r="M2723" s="2" t="s">
        <v>251</v>
      </c>
      <c r="N2723" s="2" t="s">
        <v>21</v>
      </c>
      <c r="O2723">
        <f t="shared" si="84"/>
        <v>6.992999999999995</v>
      </c>
      <c r="P2723">
        <f t="shared" si="85"/>
        <v>42.298000000000009</v>
      </c>
    </row>
    <row r="2724" spans="1:16" x14ac:dyDescent="0.35">
      <c r="A2724" s="9" t="s">
        <v>254</v>
      </c>
      <c r="B2724" s="2">
        <v>350.11599999999999</v>
      </c>
      <c r="C2724" s="2">
        <v>354.16699999999997</v>
      </c>
      <c r="D2724" s="2">
        <v>350.01600000000002</v>
      </c>
      <c r="E2724" s="2">
        <v>353.16699999999997</v>
      </c>
      <c r="F2724" s="2">
        <v>24055210</v>
      </c>
      <c r="G2724" s="2" t="s">
        <v>569</v>
      </c>
      <c r="H2724" s="2" t="s">
        <v>570</v>
      </c>
      <c r="I2724" s="2" t="s">
        <v>17</v>
      </c>
      <c r="J2724" s="3">
        <v>1.0580000000000001</v>
      </c>
      <c r="K2724" s="2" t="s">
        <v>250</v>
      </c>
      <c r="L2724" s="2">
        <v>2023</v>
      </c>
      <c r="M2724" s="2" t="s">
        <v>251</v>
      </c>
      <c r="N2724" s="2" t="s">
        <v>21</v>
      </c>
      <c r="O2724">
        <f t="shared" si="84"/>
        <v>4.1509999999999536</v>
      </c>
      <c r="P2724">
        <f t="shared" si="85"/>
        <v>43.356000000000009</v>
      </c>
    </row>
    <row r="2725" spans="1:16" x14ac:dyDescent="0.35">
      <c r="A2725" s="9" t="s">
        <v>255</v>
      </c>
      <c r="B2725" s="2">
        <v>356.00900000000001</v>
      </c>
      <c r="C2725" s="2">
        <v>359.041</v>
      </c>
      <c r="D2725" s="2">
        <v>354.25700000000001</v>
      </c>
      <c r="E2725" s="2">
        <v>357.12900000000002</v>
      </c>
      <c r="F2725" s="2">
        <v>26079939</v>
      </c>
      <c r="G2725" s="2" t="s">
        <v>569</v>
      </c>
      <c r="H2725" s="2" t="s">
        <v>570</v>
      </c>
      <c r="I2725" s="2" t="s">
        <v>17</v>
      </c>
      <c r="J2725" s="3">
        <v>1.1220000000000001</v>
      </c>
      <c r="K2725" s="2" t="s">
        <v>250</v>
      </c>
      <c r="L2725" s="2">
        <v>2023</v>
      </c>
      <c r="M2725" s="2" t="s">
        <v>251</v>
      </c>
      <c r="N2725" s="2" t="s">
        <v>21</v>
      </c>
      <c r="O2725">
        <f t="shared" si="84"/>
        <v>4.7839999999999918</v>
      </c>
      <c r="P2725">
        <f t="shared" si="85"/>
        <v>44.478000000000009</v>
      </c>
    </row>
    <row r="2726" spans="1:16" x14ac:dyDescent="0.35">
      <c r="A2726" s="9" t="s">
        <v>256</v>
      </c>
      <c r="B2726" s="2">
        <v>358.26799999999997</v>
      </c>
      <c r="C2726" s="2">
        <v>360.43799999999999</v>
      </c>
      <c r="D2726" s="2">
        <v>357.149</v>
      </c>
      <c r="E2726" s="2">
        <v>359.774</v>
      </c>
      <c r="F2726" s="2">
        <v>27022730</v>
      </c>
      <c r="G2726" s="2" t="s">
        <v>569</v>
      </c>
      <c r="H2726" s="2" t="s">
        <v>570</v>
      </c>
      <c r="I2726" s="2" t="s">
        <v>17</v>
      </c>
      <c r="J2726" s="3">
        <v>0.74099999999999999</v>
      </c>
      <c r="K2726" s="2" t="s">
        <v>250</v>
      </c>
      <c r="L2726" s="2">
        <v>2023</v>
      </c>
      <c r="M2726" s="2" t="s">
        <v>251</v>
      </c>
      <c r="N2726" s="2" t="s">
        <v>21</v>
      </c>
      <c r="O2726">
        <f t="shared" si="84"/>
        <v>3.2889999999999873</v>
      </c>
      <c r="P2726">
        <f t="shared" si="85"/>
        <v>45.219000000000008</v>
      </c>
    </row>
    <row r="2727" spans="1:16" x14ac:dyDescent="0.35">
      <c r="A2727" s="9" t="s">
        <v>257</v>
      </c>
      <c r="B2727" s="2">
        <v>358.88299999999998</v>
      </c>
      <c r="C2727" s="2">
        <v>361.34899999999999</v>
      </c>
      <c r="D2727" s="2">
        <v>356.96199999999999</v>
      </c>
      <c r="E2727" s="2">
        <v>357.28800000000001</v>
      </c>
      <c r="F2727" s="2">
        <v>25083944</v>
      </c>
      <c r="G2727" s="2" t="s">
        <v>569</v>
      </c>
      <c r="H2727" s="2" t="s">
        <v>570</v>
      </c>
      <c r="I2727" s="2" t="s">
        <v>17</v>
      </c>
      <c r="J2727" s="4">
        <v>-0.69099999999999995</v>
      </c>
      <c r="K2727" s="2" t="s">
        <v>250</v>
      </c>
      <c r="L2727" s="2">
        <v>2023</v>
      </c>
      <c r="M2727" s="2" t="s">
        <v>251</v>
      </c>
      <c r="N2727" s="2" t="s">
        <v>23</v>
      </c>
      <c r="O2727">
        <f t="shared" si="84"/>
        <v>4.3870000000000005</v>
      </c>
      <c r="P2727">
        <f t="shared" si="85"/>
        <v>44.528000000000006</v>
      </c>
    </row>
    <row r="2728" spans="1:16" x14ac:dyDescent="0.35">
      <c r="A2728" s="9" t="s">
        <v>258</v>
      </c>
      <c r="B2728" s="2">
        <v>358.08</v>
      </c>
      <c r="C2728" s="2">
        <v>366.608</v>
      </c>
      <c r="D2728" s="2">
        <v>357.66399999999999</v>
      </c>
      <c r="E2728" s="2">
        <v>366.18299999999999</v>
      </c>
      <c r="F2728" s="2">
        <v>28332420</v>
      </c>
      <c r="G2728" s="2" t="s">
        <v>569</v>
      </c>
      <c r="H2728" s="2" t="s">
        <v>570</v>
      </c>
      <c r="I2728" s="2" t="s">
        <v>17</v>
      </c>
      <c r="J2728" s="3">
        <v>2.4900000000000002</v>
      </c>
      <c r="K2728" s="2" t="s">
        <v>250</v>
      </c>
      <c r="L2728" s="2">
        <v>2023</v>
      </c>
      <c r="M2728" s="2" t="s">
        <v>251</v>
      </c>
      <c r="N2728" s="2" t="s">
        <v>21</v>
      </c>
      <c r="O2728">
        <f t="shared" si="84"/>
        <v>8.9440000000000168</v>
      </c>
      <c r="P2728">
        <f t="shared" si="85"/>
        <v>47.018000000000008</v>
      </c>
    </row>
    <row r="2729" spans="1:16" x14ac:dyDescent="0.35">
      <c r="A2729" s="9" t="s">
        <v>259</v>
      </c>
      <c r="B2729" s="2">
        <v>364.74700000000001</v>
      </c>
      <c r="C2729" s="2">
        <v>364.99400000000003</v>
      </c>
      <c r="D2729" s="2">
        <v>362.44900000000001</v>
      </c>
      <c r="E2729" s="2">
        <v>363.221</v>
      </c>
      <c r="F2729" s="2">
        <v>20176831</v>
      </c>
      <c r="G2729" s="2" t="s">
        <v>569</v>
      </c>
      <c r="H2729" s="2" t="s">
        <v>570</v>
      </c>
      <c r="I2729" s="2" t="s">
        <v>17</v>
      </c>
      <c r="J2729" s="4">
        <v>-0.80900000000000005</v>
      </c>
      <c r="K2729" s="2" t="s">
        <v>250</v>
      </c>
      <c r="L2729" s="2">
        <v>2023</v>
      </c>
      <c r="M2729" s="2" t="s">
        <v>251</v>
      </c>
      <c r="N2729" s="2" t="s">
        <v>23</v>
      </c>
      <c r="O2729">
        <f t="shared" si="84"/>
        <v>2.5450000000000159</v>
      </c>
      <c r="P2729">
        <f t="shared" si="85"/>
        <v>46.20900000000001</v>
      </c>
    </row>
    <row r="2730" spans="1:16" x14ac:dyDescent="0.35">
      <c r="A2730" s="9" t="s">
        <v>260</v>
      </c>
      <c r="B2730" s="2">
        <v>367.51100000000002</v>
      </c>
      <c r="C2730" s="2">
        <v>368.44299999999998</v>
      </c>
      <c r="D2730" s="2">
        <v>363.88</v>
      </c>
      <c r="E2730" s="2">
        <v>366.77800000000002</v>
      </c>
      <c r="F2730" s="2">
        <v>27947487</v>
      </c>
      <c r="G2730" s="2" t="s">
        <v>569</v>
      </c>
      <c r="H2730" s="2" t="s">
        <v>570</v>
      </c>
      <c r="I2730" s="2" t="s">
        <v>17</v>
      </c>
      <c r="J2730" s="3">
        <v>0.97899999999999998</v>
      </c>
      <c r="K2730" s="2" t="s">
        <v>250</v>
      </c>
      <c r="L2730" s="2">
        <v>2023</v>
      </c>
      <c r="M2730" s="2" t="s">
        <v>251</v>
      </c>
      <c r="N2730" s="2" t="s">
        <v>21</v>
      </c>
      <c r="O2730">
        <f t="shared" si="84"/>
        <v>4.5629999999999882</v>
      </c>
      <c r="P2730">
        <f t="shared" si="85"/>
        <v>47.188000000000009</v>
      </c>
    </row>
    <row r="2731" spans="1:16" x14ac:dyDescent="0.35">
      <c r="A2731" s="9" t="s">
        <v>261</v>
      </c>
      <c r="B2731" s="2">
        <v>368.524</v>
      </c>
      <c r="C2731" s="2">
        <v>370.36</v>
      </c>
      <c r="D2731" s="2">
        <v>364.38499999999999</v>
      </c>
      <c r="E2731" s="2">
        <v>366.92700000000002</v>
      </c>
      <c r="F2731" s="2">
        <v>27060951</v>
      </c>
      <c r="G2731" s="2" t="s">
        <v>569</v>
      </c>
      <c r="H2731" s="2" t="s">
        <v>570</v>
      </c>
      <c r="I2731" s="2" t="s">
        <v>17</v>
      </c>
      <c r="J2731" s="3">
        <v>4.1000000000000002E-2</v>
      </c>
      <c r="K2731" s="2" t="s">
        <v>250</v>
      </c>
      <c r="L2731" s="2">
        <v>2023</v>
      </c>
      <c r="M2731" s="2" t="s">
        <v>251</v>
      </c>
      <c r="N2731" s="2" t="s">
        <v>21</v>
      </c>
      <c r="O2731">
        <f t="shared" si="84"/>
        <v>5.9750000000000227</v>
      </c>
      <c r="P2731">
        <f t="shared" si="85"/>
        <v>47.229000000000006</v>
      </c>
    </row>
    <row r="2732" spans="1:16" x14ac:dyDescent="0.35">
      <c r="A2732" s="9" t="s">
        <v>262</v>
      </c>
      <c r="B2732" s="2">
        <v>368.20600000000002</v>
      </c>
      <c r="C2732" s="2">
        <v>373.55599999999998</v>
      </c>
      <c r="D2732" s="2">
        <v>367.43299999999999</v>
      </c>
      <c r="E2732" s="2">
        <v>373.37900000000002</v>
      </c>
      <c r="F2732" s="2">
        <v>27385580</v>
      </c>
      <c r="G2732" s="2" t="s">
        <v>569</v>
      </c>
      <c r="H2732" s="2" t="s">
        <v>570</v>
      </c>
      <c r="I2732" s="2" t="s">
        <v>17</v>
      </c>
      <c r="J2732" s="3">
        <v>1.758</v>
      </c>
      <c r="K2732" s="2" t="s">
        <v>250</v>
      </c>
      <c r="L2732" s="2">
        <v>2023</v>
      </c>
      <c r="M2732" s="2" t="s">
        <v>251</v>
      </c>
      <c r="N2732" s="2" t="s">
        <v>21</v>
      </c>
      <c r="O2732">
        <f t="shared" si="84"/>
        <v>6.1229999999999905</v>
      </c>
      <c r="P2732">
        <f t="shared" si="85"/>
        <v>48.987000000000009</v>
      </c>
    </row>
    <row r="2733" spans="1:16" x14ac:dyDescent="0.35">
      <c r="A2733" s="9" t="s">
        <v>263</v>
      </c>
      <c r="B2733" s="2">
        <v>370.83699999999999</v>
      </c>
      <c r="C2733" s="2">
        <v>371.59100000000001</v>
      </c>
      <c r="D2733" s="2">
        <v>364.27600000000001</v>
      </c>
      <c r="E2733" s="2">
        <v>367.10399999999998</v>
      </c>
      <c r="F2733" s="2">
        <v>40626918</v>
      </c>
      <c r="G2733" s="2" t="s">
        <v>569</v>
      </c>
      <c r="H2733" s="2" t="s">
        <v>570</v>
      </c>
      <c r="I2733" s="2" t="s">
        <v>17</v>
      </c>
      <c r="J2733" s="4">
        <v>-1.681</v>
      </c>
      <c r="K2733" s="2" t="s">
        <v>250</v>
      </c>
      <c r="L2733" s="2">
        <v>2023</v>
      </c>
      <c r="M2733" s="2" t="s">
        <v>251</v>
      </c>
      <c r="N2733" s="2" t="s">
        <v>23</v>
      </c>
      <c r="O2733">
        <f t="shared" si="84"/>
        <v>7.3149999999999977</v>
      </c>
      <c r="P2733">
        <f t="shared" si="85"/>
        <v>47.306000000000012</v>
      </c>
    </row>
    <row r="2734" spans="1:16" x14ac:dyDescent="0.35">
      <c r="A2734" s="9" t="s">
        <v>264</v>
      </c>
      <c r="B2734" s="2">
        <v>368.46499999999997</v>
      </c>
      <c r="C2734" s="2">
        <v>376.05799999999999</v>
      </c>
      <c r="D2734" s="2">
        <v>368.24599999999998</v>
      </c>
      <c r="E2734" s="2">
        <v>374.63799999999998</v>
      </c>
      <c r="F2734" s="2">
        <v>52921768</v>
      </c>
      <c r="G2734" s="2" t="s">
        <v>569</v>
      </c>
      <c r="H2734" s="2" t="s">
        <v>570</v>
      </c>
      <c r="I2734" s="2" t="s">
        <v>17</v>
      </c>
      <c r="J2734" s="3">
        <v>2.052</v>
      </c>
      <c r="K2734" s="2" t="s">
        <v>250</v>
      </c>
      <c r="L2734" s="2">
        <v>2023</v>
      </c>
      <c r="M2734" s="2" t="s">
        <v>251</v>
      </c>
      <c r="N2734" s="2" t="s">
        <v>21</v>
      </c>
      <c r="O2734">
        <f t="shared" si="84"/>
        <v>7.8120000000000118</v>
      </c>
      <c r="P2734">
        <f t="shared" si="85"/>
        <v>49.358000000000011</v>
      </c>
    </row>
    <row r="2735" spans="1:16" x14ac:dyDescent="0.35">
      <c r="A2735" s="9" t="s">
        <v>265</v>
      </c>
      <c r="B2735" s="2">
        <v>372.88299999999998</v>
      </c>
      <c r="C2735" s="2">
        <v>373.43</v>
      </c>
      <c r="D2735" s="2">
        <v>368.36599999999999</v>
      </c>
      <c r="E2735" s="2">
        <v>370.30099999999999</v>
      </c>
      <c r="F2735" s="2">
        <v>28635689</v>
      </c>
      <c r="G2735" s="2" t="s">
        <v>569</v>
      </c>
      <c r="H2735" s="2" t="s">
        <v>570</v>
      </c>
      <c r="I2735" s="2" t="s">
        <v>17</v>
      </c>
      <c r="J2735" s="4">
        <v>-1.1579999999999999</v>
      </c>
      <c r="K2735" s="2" t="s">
        <v>250</v>
      </c>
      <c r="L2735" s="2">
        <v>2023</v>
      </c>
      <c r="M2735" s="2" t="s">
        <v>251</v>
      </c>
      <c r="N2735" s="2" t="s">
        <v>23</v>
      </c>
      <c r="O2735">
        <f t="shared" si="84"/>
        <v>5.0640000000000214</v>
      </c>
      <c r="P2735">
        <f t="shared" si="85"/>
        <v>48.20000000000001</v>
      </c>
    </row>
    <row r="2736" spans="1:16" x14ac:dyDescent="0.35">
      <c r="A2736" s="9" t="s">
        <v>266</v>
      </c>
      <c r="B2736" s="2">
        <v>375.19400000000002</v>
      </c>
      <c r="C2736" s="2">
        <v>376.97</v>
      </c>
      <c r="D2736" s="2">
        <v>372.18200000000002</v>
      </c>
      <c r="E2736" s="2">
        <v>375.04599999999999</v>
      </c>
      <c r="F2736" s="2">
        <v>23535875</v>
      </c>
      <c r="G2736" s="2" t="s">
        <v>569</v>
      </c>
      <c r="H2736" s="2" t="s">
        <v>570</v>
      </c>
      <c r="I2736" s="2" t="s">
        <v>17</v>
      </c>
      <c r="J2736" s="3">
        <v>1.2809999999999999</v>
      </c>
      <c r="K2736" s="2" t="s">
        <v>250</v>
      </c>
      <c r="L2736" s="2">
        <v>2023</v>
      </c>
      <c r="M2736" s="2" t="s">
        <v>251</v>
      </c>
      <c r="N2736" s="2" t="s">
        <v>21</v>
      </c>
      <c r="O2736">
        <f t="shared" si="84"/>
        <v>4.7880000000000109</v>
      </c>
      <c r="P2736">
        <f t="shared" si="85"/>
        <v>49.481000000000009</v>
      </c>
    </row>
    <row r="2737" spans="1:16" x14ac:dyDescent="0.35">
      <c r="A2737" s="9" t="s">
        <v>267</v>
      </c>
      <c r="B2737" s="2">
        <v>374.53</v>
      </c>
      <c r="C2737" s="2">
        <v>375.16399999999999</v>
      </c>
      <c r="D2737" s="2">
        <v>372.35199999999998</v>
      </c>
      <c r="E2737" s="2">
        <v>374.62799999999999</v>
      </c>
      <c r="F2737" s="2">
        <v>10252748</v>
      </c>
      <c r="G2737" s="2" t="s">
        <v>569</v>
      </c>
      <c r="H2737" s="2" t="s">
        <v>570</v>
      </c>
      <c r="I2737" s="2" t="s">
        <v>17</v>
      </c>
      <c r="J2737" s="4">
        <v>-0.111</v>
      </c>
      <c r="K2737" s="2" t="s">
        <v>250</v>
      </c>
      <c r="L2737" s="2">
        <v>2023</v>
      </c>
      <c r="M2737" s="2" t="s">
        <v>251</v>
      </c>
      <c r="N2737" s="2" t="s">
        <v>23</v>
      </c>
      <c r="O2737">
        <f t="shared" si="84"/>
        <v>2.8120000000000118</v>
      </c>
      <c r="P2737">
        <f t="shared" si="85"/>
        <v>49.370000000000012</v>
      </c>
    </row>
    <row r="2738" spans="1:16" x14ac:dyDescent="0.35">
      <c r="A2738" s="9" t="s">
        <v>268</v>
      </c>
      <c r="B2738" s="2">
        <v>373.98399999999998</v>
      </c>
      <c r="C2738" s="2">
        <v>377.815</v>
      </c>
      <c r="D2738" s="2">
        <v>373.40899999999999</v>
      </c>
      <c r="E2738" s="2">
        <v>375.8</v>
      </c>
      <c r="F2738" s="2">
        <v>22345081</v>
      </c>
      <c r="G2738" s="2" t="s">
        <v>569</v>
      </c>
      <c r="H2738" s="2" t="s">
        <v>570</v>
      </c>
      <c r="I2738" s="2" t="s">
        <v>17</v>
      </c>
      <c r="J2738" s="3">
        <v>0.313</v>
      </c>
      <c r="K2738" s="2" t="s">
        <v>250</v>
      </c>
      <c r="L2738" s="2">
        <v>2023</v>
      </c>
      <c r="M2738" s="2" t="s">
        <v>251</v>
      </c>
      <c r="N2738" s="2" t="s">
        <v>21</v>
      </c>
      <c r="O2738">
        <f t="shared" si="84"/>
        <v>4.4060000000000059</v>
      </c>
      <c r="P2738">
        <f t="shared" si="85"/>
        <v>49.683000000000014</v>
      </c>
    </row>
    <row r="2739" spans="1:16" x14ac:dyDescent="0.35">
      <c r="A2739" s="9" t="s">
        <v>269</v>
      </c>
      <c r="B2739" s="2">
        <v>375.54199999999997</v>
      </c>
      <c r="C2739" s="2">
        <v>380.15699999999998</v>
      </c>
      <c r="D2739" s="2">
        <v>375.35300000000001</v>
      </c>
      <c r="E2739" s="2">
        <v>379.86</v>
      </c>
      <c r="F2739" s="2">
        <v>20606057</v>
      </c>
      <c r="G2739" s="2" t="s">
        <v>569</v>
      </c>
      <c r="H2739" s="2" t="s">
        <v>570</v>
      </c>
      <c r="I2739" s="2" t="s">
        <v>17</v>
      </c>
      <c r="J2739" s="3">
        <v>1.08</v>
      </c>
      <c r="K2739" s="2" t="s">
        <v>250</v>
      </c>
      <c r="L2739" s="2">
        <v>2023</v>
      </c>
      <c r="M2739" s="2" t="s">
        <v>251</v>
      </c>
      <c r="N2739" s="2" t="s">
        <v>21</v>
      </c>
      <c r="O2739">
        <f t="shared" si="84"/>
        <v>4.8039999999999736</v>
      </c>
      <c r="P2739">
        <f t="shared" si="85"/>
        <v>50.763000000000012</v>
      </c>
    </row>
    <row r="2740" spans="1:16" x14ac:dyDescent="0.35">
      <c r="A2740" s="9" t="s">
        <v>270</v>
      </c>
      <c r="B2740" s="2">
        <v>380.91199999999998</v>
      </c>
      <c r="C2740" s="2">
        <v>381.447</v>
      </c>
      <c r="D2740" s="2">
        <v>374.63799999999998</v>
      </c>
      <c r="E2740" s="2">
        <v>376.03800000000001</v>
      </c>
      <c r="F2740" s="2">
        <v>29179983</v>
      </c>
      <c r="G2740" s="2" t="s">
        <v>569</v>
      </c>
      <c r="H2740" s="2" t="s">
        <v>570</v>
      </c>
      <c r="I2740" s="2" t="s">
        <v>17</v>
      </c>
      <c r="J2740" s="4">
        <v>-1.006</v>
      </c>
      <c r="K2740" s="2" t="s">
        <v>250</v>
      </c>
      <c r="L2740" s="2">
        <v>2023</v>
      </c>
      <c r="M2740" s="2" t="s">
        <v>251</v>
      </c>
      <c r="N2740" s="2" t="s">
        <v>23</v>
      </c>
      <c r="O2740">
        <f t="shared" si="84"/>
        <v>6.8090000000000259</v>
      </c>
      <c r="P2740">
        <f t="shared" si="85"/>
        <v>49.757000000000012</v>
      </c>
    </row>
    <row r="2741" spans="1:16" x14ac:dyDescent="0.35">
      <c r="A2741" s="9" t="s">
        <v>271</v>
      </c>
      <c r="B2741" s="2">
        <v>375.68099999999998</v>
      </c>
      <c r="C2741" s="2">
        <v>377.26900000000001</v>
      </c>
      <c r="D2741" s="2">
        <v>372.68299999999999</v>
      </c>
      <c r="E2741" s="2">
        <v>376.09800000000001</v>
      </c>
      <c r="F2741" s="2">
        <v>30782896</v>
      </c>
      <c r="G2741" s="2" t="s">
        <v>569</v>
      </c>
      <c r="H2741" s="2" t="s">
        <v>570</v>
      </c>
      <c r="I2741" s="2" t="s">
        <v>17</v>
      </c>
      <c r="J2741" s="3">
        <v>1.6E-2</v>
      </c>
      <c r="K2741" s="2" t="s">
        <v>250</v>
      </c>
      <c r="L2741" s="2">
        <v>2023</v>
      </c>
      <c r="M2741" s="2" t="s">
        <v>251</v>
      </c>
      <c r="N2741" s="2" t="s">
        <v>21</v>
      </c>
      <c r="O2741">
        <f t="shared" si="84"/>
        <v>4.5860000000000127</v>
      </c>
      <c r="P2741">
        <f t="shared" si="85"/>
        <v>49.77300000000001</v>
      </c>
    </row>
    <row r="2742" spans="1:16" x14ac:dyDescent="0.35">
      <c r="A2742" s="9" t="s">
        <v>272</v>
      </c>
      <c r="B2742" s="2">
        <v>373.964</v>
      </c>
      <c r="C2742" s="2">
        <v>375.35300000000001</v>
      </c>
      <c r="D2742" s="2">
        <v>368.55399999999997</v>
      </c>
      <c r="E2742" s="2">
        <v>371.73099999999999</v>
      </c>
      <c r="F2742" s="2">
        <v>33287544</v>
      </c>
      <c r="G2742" s="2" t="s">
        <v>569</v>
      </c>
      <c r="H2742" s="2" t="s">
        <v>570</v>
      </c>
      <c r="I2742" s="2" t="s">
        <v>17</v>
      </c>
      <c r="J2742" s="4">
        <v>-1.161</v>
      </c>
      <c r="K2742" s="2" t="s">
        <v>273</v>
      </c>
      <c r="L2742" s="2">
        <v>2023</v>
      </c>
      <c r="M2742" s="2" t="s">
        <v>274</v>
      </c>
      <c r="N2742" s="2" t="s">
        <v>23</v>
      </c>
      <c r="O2742">
        <f t="shared" si="84"/>
        <v>6.799000000000035</v>
      </c>
      <c r="P2742">
        <f t="shared" si="85"/>
        <v>48.612000000000009</v>
      </c>
    </row>
    <row r="2743" spans="1:16" x14ac:dyDescent="0.35">
      <c r="A2743" s="9" t="s">
        <v>275</v>
      </c>
      <c r="B2743" s="2">
        <v>366.36099999999999</v>
      </c>
      <c r="C2743" s="2">
        <v>366.77800000000002</v>
      </c>
      <c r="D2743" s="2">
        <v>360.20600000000002</v>
      </c>
      <c r="E2743" s="2">
        <v>366.40100000000001</v>
      </c>
      <c r="F2743" s="2">
        <v>32303070</v>
      </c>
      <c r="G2743" s="2" t="s">
        <v>569</v>
      </c>
      <c r="H2743" s="2" t="s">
        <v>570</v>
      </c>
      <c r="I2743" s="2" t="s">
        <v>17</v>
      </c>
      <c r="J2743" s="4">
        <v>-1.4339999999999999</v>
      </c>
      <c r="K2743" s="2" t="s">
        <v>273</v>
      </c>
      <c r="L2743" s="2">
        <v>2023</v>
      </c>
      <c r="M2743" s="2" t="s">
        <v>274</v>
      </c>
      <c r="N2743" s="2" t="s">
        <v>23</v>
      </c>
      <c r="O2743">
        <f t="shared" si="84"/>
        <v>6.5720000000000027</v>
      </c>
      <c r="P2743">
        <f t="shared" si="85"/>
        <v>47.178000000000011</v>
      </c>
    </row>
    <row r="2744" spans="1:16" x14ac:dyDescent="0.35">
      <c r="A2744" s="9" t="s">
        <v>276</v>
      </c>
      <c r="B2744" s="2">
        <v>363.73</v>
      </c>
      <c r="C2744" s="2">
        <v>370.30599999999998</v>
      </c>
      <c r="D2744" s="2">
        <v>362.90800000000002</v>
      </c>
      <c r="E2744" s="2">
        <v>369.755</v>
      </c>
      <c r="F2744" s="2">
        <v>23237512</v>
      </c>
      <c r="G2744" s="2" t="s">
        <v>569</v>
      </c>
      <c r="H2744" s="2" t="s">
        <v>570</v>
      </c>
      <c r="I2744" s="2" t="s">
        <v>17</v>
      </c>
      <c r="J2744" s="3">
        <v>0.91500000000000004</v>
      </c>
      <c r="K2744" s="2" t="s">
        <v>273</v>
      </c>
      <c r="L2744" s="2">
        <v>2023</v>
      </c>
      <c r="M2744" s="2" t="s">
        <v>274</v>
      </c>
      <c r="N2744" s="2" t="s">
        <v>21</v>
      </c>
      <c r="O2744">
        <f t="shared" si="84"/>
        <v>7.3979999999999677</v>
      </c>
      <c r="P2744">
        <f t="shared" si="85"/>
        <v>48.093000000000011</v>
      </c>
    </row>
    <row r="2745" spans="1:16" x14ac:dyDescent="0.35">
      <c r="A2745" s="9" t="s">
        <v>277</v>
      </c>
      <c r="B2745" s="2">
        <v>370.76799999999997</v>
      </c>
      <c r="C2745" s="2">
        <v>371.40300000000002</v>
      </c>
      <c r="D2745" s="2">
        <v>365.29899999999998</v>
      </c>
      <c r="E2745" s="2">
        <v>366.06200000000001</v>
      </c>
      <c r="F2745" s="2">
        <v>21340468</v>
      </c>
      <c r="G2745" s="2" t="s">
        <v>569</v>
      </c>
      <c r="H2745" s="2" t="s">
        <v>570</v>
      </c>
      <c r="I2745" s="2" t="s">
        <v>17</v>
      </c>
      <c r="J2745" s="4">
        <v>-0.999</v>
      </c>
      <c r="K2745" s="2" t="s">
        <v>273</v>
      </c>
      <c r="L2745" s="2">
        <v>2023</v>
      </c>
      <c r="M2745" s="2" t="s">
        <v>274</v>
      </c>
      <c r="N2745" s="2" t="s">
        <v>23</v>
      </c>
      <c r="O2745">
        <f t="shared" si="84"/>
        <v>6.1040000000000418</v>
      </c>
      <c r="P2745">
        <f t="shared" si="85"/>
        <v>47.094000000000008</v>
      </c>
    </row>
    <row r="2746" spans="1:16" x14ac:dyDescent="0.35">
      <c r="A2746" s="9" t="s">
        <v>278</v>
      </c>
      <c r="B2746" s="2">
        <v>365.49599999999998</v>
      </c>
      <c r="C2746" s="2">
        <v>368.69499999999999</v>
      </c>
      <c r="D2746" s="2">
        <v>363.601</v>
      </c>
      <c r="E2746" s="2">
        <v>368.19600000000003</v>
      </c>
      <c r="F2746" s="2">
        <v>23291743</v>
      </c>
      <c r="G2746" s="2" t="s">
        <v>569</v>
      </c>
      <c r="H2746" s="2" t="s">
        <v>570</v>
      </c>
      <c r="I2746" s="2" t="s">
        <v>17</v>
      </c>
      <c r="J2746" s="3">
        <v>0.58299999999999996</v>
      </c>
      <c r="K2746" s="2" t="s">
        <v>273</v>
      </c>
      <c r="L2746" s="2">
        <v>2023</v>
      </c>
      <c r="M2746" s="2" t="s">
        <v>274</v>
      </c>
      <c r="N2746" s="2" t="s">
        <v>21</v>
      </c>
      <c r="O2746">
        <f t="shared" si="84"/>
        <v>5.0939999999999941</v>
      </c>
      <c r="P2746">
        <f t="shared" si="85"/>
        <v>47.677000000000007</v>
      </c>
    </row>
    <row r="2747" spans="1:16" x14ac:dyDescent="0.35">
      <c r="A2747" s="9" t="s">
        <v>279</v>
      </c>
      <c r="B2747" s="2">
        <v>366.459</v>
      </c>
      <c r="C2747" s="2">
        <v>371.68099999999998</v>
      </c>
      <c r="D2747" s="2">
        <v>365.49599999999998</v>
      </c>
      <c r="E2747" s="2">
        <v>371.45100000000002</v>
      </c>
      <c r="F2747" s="2">
        <v>20305077</v>
      </c>
      <c r="G2747" s="2" t="s">
        <v>569</v>
      </c>
      <c r="H2747" s="2" t="s">
        <v>570</v>
      </c>
      <c r="I2747" s="2" t="s">
        <v>17</v>
      </c>
      <c r="J2747" s="3">
        <v>0.88400000000000001</v>
      </c>
      <c r="K2747" s="2" t="s">
        <v>273</v>
      </c>
      <c r="L2747" s="2">
        <v>2023</v>
      </c>
      <c r="M2747" s="2" t="s">
        <v>274</v>
      </c>
      <c r="N2747" s="2" t="s">
        <v>21</v>
      </c>
      <c r="O2747">
        <f t="shared" si="84"/>
        <v>6.1850000000000023</v>
      </c>
      <c r="P2747">
        <f t="shared" si="85"/>
        <v>48.561000000000007</v>
      </c>
    </row>
    <row r="2748" spans="1:16" x14ac:dyDescent="0.35">
      <c r="A2748" s="9" t="s">
        <v>280</v>
      </c>
      <c r="B2748" s="2">
        <v>365.745</v>
      </c>
      <c r="C2748" s="2">
        <v>368.84199999999998</v>
      </c>
      <c r="D2748" s="2">
        <v>363.38299999999998</v>
      </c>
      <c r="E2748" s="2">
        <v>368.54399999999998</v>
      </c>
      <c r="F2748" s="2">
        <v>27915959</v>
      </c>
      <c r="G2748" s="2" t="s">
        <v>569</v>
      </c>
      <c r="H2748" s="2" t="s">
        <v>570</v>
      </c>
      <c r="I2748" s="2" t="s">
        <v>17</v>
      </c>
      <c r="J2748" s="4">
        <v>-0.78300000000000003</v>
      </c>
      <c r="K2748" s="2" t="s">
        <v>273</v>
      </c>
      <c r="L2748" s="2">
        <v>2023</v>
      </c>
      <c r="M2748" s="2" t="s">
        <v>274</v>
      </c>
      <c r="N2748" s="2" t="s">
        <v>23</v>
      </c>
      <c r="O2748">
        <f t="shared" si="84"/>
        <v>5.4590000000000032</v>
      </c>
      <c r="P2748">
        <f t="shared" si="85"/>
        <v>47.778000000000006</v>
      </c>
    </row>
    <row r="2749" spans="1:16" x14ac:dyDescent="0.35">
      <c r="A2749" s="9" t="s">
        <v>281</v>
      </c>
      <c r="B2749" s="2">
        <v>368.09699999999998</v>
      </c>
      <c r="C2749" s="2">
        <v>371.64100000000002</v>
      </c>
      <c r="D2749" s="2">
        <v>367.71</v>
      </c>
      <c r="E2749" s="2">
        <v>371.601</v>
      </c>
      <c r="F2749" s="2">
        <v>25023990</v>
      </c>
      <c r="G2749" s="2" t="s">
        <v>569</v>
      </c>
      <c r="H2749" s="2" t="s">
        <v>570</v>
      </c>
      <c r="I2749" s="2" t="s">
        <v>17</v>
      </c>
      <c r="J2749" s="3">
        <v>0.82899999999999996</v>
      </c>
      <c r="K2749" s="2" t="s">
        <v>273</v>
      </c>
      <c r="L2749" s="2">
        <v>2023</v>
      </c>
      <c r="M2749" s="2" t="s">
        <v>274</v>
      </c>
      <c r="N2749" s="2" t="s">
        <v>21</v>
      </c>
      <c r="O2749">
        <f t="shared" si="84"/>
        <v>3.93100000000004</v>
      </c>
      <c r="P2749">
        <f t="shared" si="85"/>
        <v>48.607000000000006</v>
      </c>
    </row>
    <row r="2750" spans="1:16" x14ac:dyDescent="0.35">
      <c r="A2750" s="9" t="s">
        <v>282</v>
      </c>
      <c r="B2750" s="2">
        <v>373.22899999999998</v>
      </c>
      <c r="C2750" s="2">
        <v>374.83300000000003</v>
      </c>
      <c r="D2750" s="2">
        <v>368.01799999999997</v>
      </c>
      <c r="E2750" s="2">
        <v>371.59100000000001</v>
      </c>
      <c r="F2750" s="2">
        <v>31187012</v>
      </c>
      <c r="G2750" s="2" t="s">
        <v>569</v>
      </c>
      <c r="H2750" s="2" t="s">
        <v>570</v>
      </c>
      <c r="I2750" s="2" t="s">
        <v>17</v>
      </c>
      <c r="J2750" s="4">
        <v>-3.0000000000000001E-3</v>
      </c>
      <c r="K2750" s="2" t="s">
        <v>273</v>
      </c>
      <c r="L2750" s="2">
        <v>2023</v>
      </c>
      <c r="M2750" s="2" t="s">
        <v>274</v>
      </c>
      <c r="N2750" s="2" t="s">
        <v>23</v>
      </c>
      <c r="O2750">
        <f t="shared" si="84"/>
        <v>6.8150000000000546</v>
      </c>
      <c r="P2750">
        <f t="shared" si="85"/>
        <v>48.604000000000006</v>
      </c>
    </row>
    <row r="2751" spans="1:16" x14ac:dyDescent="0.35">
      <c r="A2751" s="9" t="s">
        <v>283</v>
      </c>
      <c r="B2751" s="2">
        <v>370.53899999999999</v>
      </c>
      <c r="C2751" s="2">
        <v>370.98500000000001</v>
      </c>
      <c r="D2751" s="2">
        <v>361.428</v>
      </c>
      <c r="E2751" s="2">
        <v>363.214</v>
      </c>
      <c r="F2751" s="2">
        <v>43601084</v>
      </c>
      <c r="G2751" s="2" t="s">
        <v>569</v>
      </c>
      <c r="H2751" s="2" t="s">
        <v>570</v>
      </c>
      <c r="I2751" s="2" t="s">
        <v>17</v>
      </c>
      <c r="J2751" s="4">
        <v>-2.254</v>
      </c>
      <c r="K2751" s="2" t="s">
        <v>273</v>
      </c>
      <c r="L2751" s="2">
        <v>2023</v>
      </c>
      <c r="M2751" s="2" t="s">
        <v>274</v>
      </c>
      <c r="N2751" s="2" t="s">
        <v>23</v>
      </c>
      <c r="O2751">
        <f t="shared" si="84"/>
        <v>9.5570000000000164</v>
      </c>
      <c r="P2751">
        <f t="shared" si="85"/>
        <v>46.350000000000009</v>
      </c>
    </row>
    <row r="2752" spans="1:16" x14ac:dyDescent="0.35">
      <c r="A2752" s="9" t="s">
        <v>284</v>
      </c>
      <c r="B2752" s="2">
        <v>364.12700000000001</v>
      </c>
      <c r="C2752" s="2">
        <v>369.63600000000002</v>
      </c>
      <c r="D2752" s="2">
        <v>363.56099999999998</v>
      </c>
      <c r="E2752" s="2">
        <v>367.97800000000001</v>
      </c>
      <c r="F2752" s="2">
        <v>79089354</v>
      </c>
      <c r="G2752" s="2" t="s">
        <v>569</v>
      </c>
      <c r="H2752" s="2" t="s">
        <v>570</v>
      </c>
      <c r="I2752" s="2" t="s">
        <v>17</v>
      </c>
      <c r="J2752" s="3">
        <v>1.3120000000000001</v>
      </c>
      <c r="K2752" s="2" t="s">
        <v>273</v>
      </c>
      <c r="L2752" s="2">
        <v>2023</v>
      </c>
      <c r="M2752" s="2" t="s">
        <v>274</v>
      </c>
      <c r="N2752" s="2" t="s">
        <v>21</v>
      </c>
      <c r="O2752">
        <f t="shared" si="84"/>
        <v>6.0750000000000455</v>
      </c>
      <c r="P2752">
        <f t="shared" si="85"/>
        <v>47.662000000000006</v>
      </c>
    </row>
    <row r="2753" spans="1:16" x14ac:dyDescent="0.35">
      <c r="A2753" s="9" t="s">
        <v>285</v>
      </c>
      <c r="B2753" s="2">
        <v>366.70800000000003</v>
      </c>
      <c r="C2753" s="2">
        <v>370.23200000000003</v>
      </c>
      <c r="D2753" s="2">
        <v>365.94299999999998</v>
      </c>
      <c r="E2753" s="2">
        <v>369.88400000000001</v>
      </c>
      <c r="F2753" s="2">
        <v>21965917</v>
      </c>
      <c r="G2753" s="2" t="s">
        <v>569</v>
      </c>
      <c r="H2753" s="2" t="s">
        <v>570</v>
      </c>
      <c r="I2753" s="2" t="s">
        <v>17</v>
      </c>
      <c r="J2753" s="3">
        <v>0.51800000000000002</v>
      </c>
      <c r="K2753" s="2" t="s">
        <v>273</v>
      </c>
      <c r="L2753" s="2">
        <v>2023</v>
      </c>
      <c r="M2753" s="2" t="s">
        <v>274</v>
      </c>
      <c r="N2753" s="2" t="s">
        <v>21</v>
      </c>
      <c r="O2753">
        <f t="shared" si="84"/>
        <v>4.2890000000000441</v>
      </c>
      <c r="P2753">
        <f t="shared" si="85"/>
        <v>48.180000000000007</v>
      </c>
    </row>
    <row r="2754" spans="1:16" x14ac:dyDescent="0.35">
      <c r="A2754" s="9" t="s">
        <v>286</v>
      </c>
      <c r="B2754" s="2">
        <v>368.73200000000003</v>
      </c>
      <c r="C2754" s="2">
        <v>370.48899999999998</v>
      </c>
      <c r="D2754" s="2">
        <v>367.09399999999999</v>
      </c>
      <c r="E2754" s="2">
        <v>370.48899999999998</v>
      </c>
      <c r="F2754" s="2">
        <v>20757729</v>
      </c>
      <c r="G2754" s="2" t="s">
        <v>569</v>
      </c>
      <c r="H2754" s="2" t="s">
        <v>570</v>
      </c>
      <c r="I2754" s="2" t="s">
        <v>17</v>
      </c>
      <c r="J2754" s="3">
        <v>0.16400000000000001</v>
      </c>
      <c r="K2754" s="2" t="s">
        <v>273</v>
      </c>
      <c r="L2754" s="2">
        <v>2023</v>
      </c>
      <c r="M2754" s="2" t="s">
        <v>274</v>
      </c>
      <c r="N2754" s="2" t="s">
        <v>21</v>
      </c>
      <c r="O2754">
        <f t="shared" si="84"/>
        <v>3.3949999999999818</v>
      </c>
      <c r="P2754">
        <f t="shared" si="85"/>
        <v>48.344000000000008</v>
      </c>
    </row>
    <row r="2755" spans="1:16" x14ac:dyDescent="0.35">
      <c r="A2755" s="9" t="s">
        <v>287</v>
      </c>
      <c r="B2755" s="2">
        <v>372.21699999999998</v>
      </c>
      <c r="C2755" s="2">
        <v>373.23899999999998</v>
      </c>
      <c r="D2755" s="2">
        <v>367.78</v>
      </c>
      <c r="E2755" s="2">
        <v>367.87</v>
      </c>
      <c r="F2755" s="2">
        <v>26513442</v>
      </c>
      <c r="G2755" s="2" t="s">
        <v>569</v>
      </c>
      <c r="H2755" s="2" t="s">
        <v>570</v>
      </c>
      <c r="I2755" s="2" t="s">
        <v>17</v>
      </c>
      <c r="J2755" s="4">
        <v>-0.70699999999999996</v>
      </c>
      <c r="K2755" s="2" t="s">
        <v>273</v>
      </c>
      <c r="L2755" s="2">
        <v>2023</v>
      </c>
      <c r="M2755" s="2" t="s">
        <v>274</v>
      </c>
      <c r="N2755" s="2" t="s">
        <v>23</v>
      </c>
      <c r="O2755">
        <f t="shared" ref="O2755:O2818" si="86">C2755-D2755</f>
        <v>5.4590000000000032</v>
      </c>
      <c r="P2755">
        <f t="shared" si="85"/>
        <v>47.637000000000008</v>
      </c>
    </row>
    <row r="2756" spans="1:16" x14ac:dyDescent="0.35">
      <c r="A2756" s="9" t="s">
        <v>288</v>
      </c>
      <c r="B2756" s="2">
        <v>369.79399999999998</v>
      </c>
      <c r="C2756" s="2">
        <v>371.63099999999997</v>
      </c>
      <c r="D2756" s="2">
        <v>367.29399999999998</v>
      </c>
      <c r="E2756" s="2">
        <v>370.76799999999997</v>
      </c>
      <c r="F2756" s="2">
        <v>17840424</v>
      </c>
      <c r="G2756" s="2" t="s">
        <v>569</v>
      </c>
      <c r="H2756" s="2" t="s">
        <v>570</v>
      </c>
      <c r="I2756" s="2" t="s">
        <v>17</v>
      </c>
      <c r="J2756" s="3">
        <v>0.78800000000000003</v>
      </c>
      <c r="K2756" s="2" t="s">
        <v>273</v>
      </c>
      <c r="L2756" s="2">
        <v>2023</v>
      </c>
      <c r="M2756" s="2" t="s">
        <v>274</v>
      </c>
      <c r="N2756" s="2" t="s">
        <v>21</v>
      </c>
      <c r="O2756">
        <f t="shared" si="86"/>
        <v>4.3369999999999891</v>
      </c>
      <c r="P2756">
        <f t="shared" ref="P2756:P2819" si="87">IF(G2756=G2755, P2755+J2756, J2756)</f>
        <v>48.425000000000004</v>
      </c>
    </row>
    <row r="2757" spans="1:16" x14ac:dyDescent="0.35">
      <c r="A2757" s="9" t="s">
        <v>289</v>
      </c>
      <c r="B2757" s="2">
        <v>370.90600000000001</v>
      </c>
      <c r="C2757" s="2">
        <v>372.39499999999998</v>
      </c>
      <c r="D2757" s="2">
        <v>369.94400000000002</v>
      </c>
      <c r="E2757" s="2">
        <v>371.80099999999999</v>
      </c>
      <c r="F2757" s="2">
        <v>17235411</v>
      </c>
      <c r="G2757" s="2" t="s">
        <v>569</v>
      </c>
      <c r="H2757" s="2" t="s">
        <v>570</v>
      </c>
      <c r="I2757" s="2" t="s">
        <v>17</v>
      </c>
      <c r="J2757" s="3">
        <v>0.27900000000000003</v>
      </c>
      <c r="K2757" s="2" t="s">
        <v>273</v>
      </c>
      <c r="L2757" s="2">
        <v>2023</v>
      </c>
      <c r="M2757" s="2" t="s">
        <v>274</v>
      </c>
      <c r="N2757" s="2" t="s">
        <v>21</v>
      </c>
      <c r="O2757">
        <f t="shared" si="86"/>
        <v>2.450999999999965</v>
      </c>
      <c r="P2757">
        <f t="shared" si="87"/>
        <v>48.704000000000008</v>
      </c>
    </row>
    <row r="2758" spans="1:16" x14ac:dyDescent="0.35">
      <c r="A2758" s="9" t="s">
        <v>290</v>
      </c>
      <c r="B2758" s="2">
        <v>372.21699999999998</v>
      </c>
      <c r="C2758" s="2">
        <v>374.142</v>
      </c>
      <c r="D2758" s="2">
        <v>370.72800000000001</v>
      </c>
      <c r="E2758" s="2">
        <v>371.87900000000002</v>
      </c>
      <c r="F2758" s="2">
        <v>12767817</v>
      </c>
      <c r="G2758" s="2" t="s">
        <v>569</v>
      </c>
      <c r="H2758" s="2" t="s">
        <v>570</v>
      </c>
      <c r="I2758" s="2" t="s">
        <v>17</v>
      </c>
      <c r="J2758" s="3">
        <v>2.1000000000000001E-2</v>
      </c>
      <c r="K2758" s="2" t="s">
        <v>273</v>
      </c>
      <c r="L2758" s="2">
        <v>2023</v>
      </c>
      <c r="M2758" s="2" t="s">
        <v>274</v>
      </c>
      <c r="N2758" s="2" t="s">
        <v>21</v>
      </c>
      <c r="O2758">
        <f t="shared" si="86"/>
        <v>3.4139999999999873</v>
      </c>
      <c r="P2758">
        <f t="shared" si="87"/>
        <v>48.725000000000009</v>
      </c>
    </row>
    <row r="2759" spans="1:16" x14ac:dyDescent="0.35">
      <c r="A2759" s="9" t="s">
        <v>291</v>
      </c>
      <c r="B2759" s="2">
        <v>370.916</v>
      </c>
      <c r="C2759" s="2">
        <v>372.27699999999999</v>
      </c>
      <c r="D2759" s="2">
        <v>370.04399999999998</v>
      </c>
      <c r="E2759" s="2">
        <v>371.29399999999998</v>
      </c>
      <c r="F2759" s="2">
        <v>15016872</v>
      </c>
      <c r="G2759" s="2" t="s">
        <v>569</v>
      </c>
      <c r="H2759" s="2" t="s">
        <v>570</v>
      </c>
      <c r="I2759" s="2" t="s">
        <v>17</v>
      </c>
      <c r="J2759" s="4">
        <v>-0.157</v>
      </c>
      <c r="K2759" s="2" t="s">
        <v>273</v>
      </c>
      <c r="L2759" s="2">
        <v>2023</v>
      </c>
      <c r="M2759" s="2" t="s">
        <v>274</v>
      </c>
      <c r="N2759" s="2" t="s">
        <v>23</v>
      </c>
      <c r="O2759">
        <f t="shared" si="86"/>
        <v>2.2330000000000041</v>
      </c>
      <c r="P2759">
        <f t="shared" si="87"/>
        <v>48.568000000000012</v>
      </c>
    </row>
    <row r="2760" spans="1:16" x14ac:dyDescent="0.35">
      <c r="A2760" s="9" t="s">
        <v>292</v>
      </c>
      <c r="B2760" s="2">
        <v>372.58300000000003</v>
      </c>
      <c r="C2760" s="2">
        <v>373.66300000000001</v>
      </c>
      <c r="D2760" s="2">
        <v>371.38299999999998</v>
      </c>
      <c r="E2760" s="2">
        <v>372.49400000000003</v>
      </c>
      <c r="F2760" s="2">
        <v>14434148</v>
      </c>
      <c r="G2760" s="2" t="s">
        <v>569</v>
      </c>
      <c r="H2760" s="2" t="s">
        <v>570</v>
      </c>
      <c r="I2760" s="2" t="s">
        <v>17</v>
      </c>
      <c r="J2760" s="3">
        <v>0.32300000000000001</v>
      </c>
      <c r="K2760" s="2" t="s">
        <v>273</v>
      </c>
      <c r="L2760" s="2">
        <v>2023</v>
      </c>
      <c r="M2760" s="2" t="s">
        <v>274</v>
      </c>
      <c r="N2760" s="2" t="s">
        <v>21</v>
      </c>
      <c r="O2760">
        <f t="shared" si="86"/>
        <v>2.2800000000000296</v>
      </c>
      <c r="P2760">
        <f t="shared" si="87"/>
        <v>48.891000000000012</v>
      </c>
    </row>
    <row r="2761" spans="1:16" x14ac:dyDescent="0.35">
      <c r="A2761" s="9" t="s">
        <v>293</v>
      </c>
      <c r="B2761" s="2">
        <v>373.209</v>
      </c>
      <c r="C2761" s="2">
        <v>374.36099999999999</v>
      </c>
      <c r="D2761" s="2">
        <v>370.70800000000003</v>
      </c>
      <c r="E2761" s="2">
        <v>373.24900000000002</v>
      </c>
      <c r="F2761" s="2">
        <v>18870904</v>
      </c>
      <c r="G2761" s="2" t="s">
        <v>569</v>
      </c>
      <c r="H2761" s="2" t="s">
        <v>570</v>
      </c>
      <c r="I2761" s="2" t="s">
        <v>17</v>
      </c>
      <c r="J2761" s="3">
        <v>0.20300000000000001</v>
      </c>
      <c r="K2761" s="2" t="s">
        <v>273</v>
      </c>
      <c r="L2761" s="2">
        <v>2023</v>
      </c>
      <c r="M2761" s="2" t="s">
        <v>274</v>
      </c>
      <c r="N2761" s="2" t="s">
        <v>21</v>
      </c>
      <c r="O2761">
        <f t="shared" si="86"/>
        <v>3.6529999999999632</v>
      </c>
      <c r="P2761">
        <f t="shared" si="87"/>
        <v>49.094000000000015</v>
      </c>
    </row>
    <row r="2762" spans="1:16" x14ac:dyDescent="0.35">
      <c r="A2762" s="9" t="s">
        <v>294</v>
      </c>
      <c r="B2762" s="2">
        <v>371.08499999999998</v>
      </c>
      <c r="C2762" s="2">
        <v>373.10899999999998</v>
      </c>
      <c r="D2762" s="2">
        <v>364.04899999999998</v>
      </c>
      <c r="E2762" s="2">
        <v>368.11599999999999</v>
      </c>
      <c r="F2762" s="2">
        <v>25447513</v>
      </c>
      <c r="G2762" s="2" t="s">
        <v>569</v>
      </c>
      <c r="H2762" s="2" t="s">
        <v>570</v>
      </c>
      <c r="I2762" s="2" t="s">
        <v>17</v>
      </c>
      <c r="J2762" s="4">
        <v>-1.375</v>
      </c>
      <c r="K2762" s="2" t="s">
        <v>295</v>
      </c>
      <c r="L2762" s="2">
        <v>2024</v>
      </c>
      <c r="M2762" s="2" t="s">
        <v>19</v>
      </c>
      <c r="N2762" s="2" t="s">
        <v>23</v>
      </c>
      <c r="O2762">
        <f t="shared" si="86"/>
        <v>9.0600000000000023</v>
      </c>
      <c r="P2762">
        <f t="shared" si="87"/>
        <v>47.719000000000015</v>
      </c>
    </row>
    <row r="2763" spans="1:16" x14ac:dyDescent="0.35">
      <c r="A2763" s="9" t="s">
        <v>296</v>
      </c>
      <c r="B2763" s="2">
        <v>366.27199999999999</v>
      </c>
      <c r="C2763" s="2">
        <v>370.48500000000001</v>
      </c>
      <c r="D2763" s="2">
        <v>365.77499999999998</v>
      </c>
      <c r="E2763" s="2">
        <v>367.85</v>
      </c>
      <c r="F2763" s="2">
        <v>23256080</v>
      </c>
      <c r="G2763" s="2" t="s">
        <v>569</v>
      </c>
      <c r="H2763" s="2" t="s">
        <v>570</v>
      </c>
      <c r="I2763" s="2" t="s">
        <v>17</v>
      </c>
      <c r="J2763" s="4">
        <v>-7.1999999999999995E-2</v>
      </c>
      <c r="K2763" s="2" t="s">
        <v>295</v>
      </c>
      <c r="L2763" s="2">
        <v>2024</v>
      </c>
      <c r="M2763" s="2" t="s">
        <v>19</v>
      </c>
      <c r="N2763" s="2" t="s">
        <v>23</v>
      </c>
      <c r="O2763">
        <f t="shared" si="86"/>
        <v>4.7100000000000364</v>
      </c>
      <c r="P2763">
        <f t="shared" si="87"/>
        <v>47.647000000000013</v>
      </c>
    </row>
    <row r="2764" spans="1:16" x14ac:dyDescent="0.35">
      <c r="A2764" s="9" t="s">
        <v>297</v>
      </c>
      <c r="B2764" s="2">
        <v>367.91500000000002</v>
      </c>
      <c r="C2764" s="2">
        <v>370.33</v>
      </c>
      <c r="D2764" s="2">
        <v>364.44499999999999</v>
      </c>
      <c r="E2764" s="2">
        <v>365.209</v>
      </c>
      <c r="F2764" s="2">
        <v>21057800</v>
      </c>
      <c r="G2764" s="2" t="s">
        <v>569</v>
      </c>
      <c r="H2764" s="2" t="s">
        <v>570</v>
      </c>
      <c r="I2764" s="2" t="s">
        <v>17</v>
      </c>
      <c r="J2764" s="4">
        <v>-0.71799999999999997</v>
      </c>
      <c r="K2764" s="2" t="s">
        <v>295</v>
      </c>
      <c r="L2764" s="2">
        <v>2024</v>
      </c>
      <c r="M2764" s="2" t="s">
        <v>19</v>
      </c>
      <c r="N2764" s="2" t="s">
        <v>23</v>
      </c>
      <c r="O2764">
        <f t="shared" si="86"/>
        <v>5.8849999999999909</v>
      </c>
      <c r="P2764">
        <f t="shared" si="87"/>
        <v>46.929000000000016</v>
      </c>
    </row>
    <row r="2765" spans="1:16" x14ac:dyDescent="0.35">
      <c r="A2765" s="9" t="s">
        <v>298</v>
      </c>
      <c r="B2765" s="2">
        <v>366.23200000000003</v>
      </c>
      <c r="C2765" s="2">
        <v>369.298</v>
      </c>
      <c r="D2765" s="2">
        <v>363.78</v>
      </c>
      <c r="E2765" s="2">
        <v>365.02</v>
      </c>
      <c r="F2765" s="2">
        <v>21161644</v>
      </c>
      <c r="G2765" s="2" t="s">
        <v>569</v>
      </c>
      <c r="H2765" s="2" t="s">
        <v>570</v>
      </c>
      <c r="I2765" s="2" t="s">
        <v>17</v>
      </c>
      <c r="J2765" s="4">
        <v>-5.1999999999999998E-2</v>
      </c>
      <c r="K2765" s="2" t="s">
        <v>295</v>
      </c>
      <c r="L2765" s="2">
        <v>2024</v>
      </c>
      <c r="M2765" s="2" t="s">
        <v>19</v>
      </c>
      <c r="N2765" s="2" t="s">
        <v>23</v>
      </c>
      <c r="O2765">
        <f t="shared" si="86"/>
        <v>5.5180000000000291</v>
      </c>
      <c r="P2765">
        <f t="shared" si="87"/>
        <v>46.877000000000017</v>
      </c>
    </row>
    <row r="2766" spans="1:16" x14ac:dyDescent="0.35">
      <c r="A2766" s="9" t="s">
        <v>299</v>
      </c>
      <c r="B2766" s="2">
        <v>366.55799999999999</v>
      </c>
      <c r="C2766" s="2">
        <v>372.41500000000002</v>
      </c>
      <c r="D2766" s="2">
        <v>366.27199999999999</v>
      </c>
      <c r="E2766" s="2">
        <v>371.90899999999999</v>
      </c>
      <c r="F2766" s="2">
        <v>23306959</v>
      </c>
      <c r="G2766" s="2" t="s">
        <v>569</v>
      </c>
      <c r="H2766" s="2" t="s">
        <v>570</v>
      </c>
      <c r="I2766" s="2" t="s">
        <v>17</v>
      </c>
      <c r="J2766" s="3">
        <v>1.887</v>
      </c>
      <c r="K2766" s="2" t="s">
        <v>295</v>
      </c>
      <c r="L2766" s="2">
        <v>2024</v>
      </c>
      <c r="M2766" s="2" t="s">
        <v>19</v>
      </c>
      <c r="N2766" s="2" t="s">
        <v>21</v>
      </c>
      <c r="O2766">
        <f t="shared" si="86"/>
        <v>6.1430000000000291</v>
      </c>
      <c r="P2766">
        <f t="shared" si="87"/>
        <v>48.764000000000017</v>
      </c>
    </row>
    <row r="2767" spans="1:16" x14ac:dyDescent="0.35">
      <c r="A2767" s="9" t="s">
        <v>300</v>
      </c>
      <c r="B2767" s="2">
        <v>369.24799999999999</v>
      </c>
      <c r="C2767" s="2">
        <v>373.19900000000001</v>
      </c>
      <c r="D2767" s="2">
        <v>368.43599999999998</v>
      </c>
      <c r="E2767" s="2">
        <v>373</v>
      </c>
      <c r="F2767" s="2">
        <v>20985716</v>
      </c>
      <c r="G2767" s="2" t="s">
        <v>569</v>
      </c>
      <c r="H2767" s="2" t="s">
        <v>570</v>
      </c>
      <c r="I2767" s="2" t="s">
        <v>17</v>
      </c>
      <c r="J2767" s="3">
        <v>0.29299999999999998</v>
      </c>
      <c r="K2767" s="2" t="s">
        <v>295</v>
      </c>
      <c r="L2767" s="2">
        <v>2024</v>
      </c>
      <c r="M2767" s="2" t="s">
        <v>19</v>
      </c>
      <c r="N2767" s="2" t="s">
        <v>21</v>
      </c>
      <c r="O2767">
        <f t="shared" si="86"/>
        <v>4.7630000000000337</v>
      </c>
      <c r="P2767">
        <f t="shared" si="87"/>
        <v>49.057000000000016</v>
      </c>
    </row>
    <row r="2768" spans="1:16" x14ac:dyDescent="0.35">
      <c r="A2768" s="9" t="s">
        <v>301</v>
      </c>
      <c r="B2768" s="2">
        <v>373.57600000000002</v>
      </c>
      <c r="C2768" s="2">
        <v>381.31900000000002</v>
      </c>
      <c r="D2768" s="2">
        <v>373.52600000000001</v>
      </c>
      <c r="E2768" s="2">
        <v>379.92899999999997</v>
      </c>
      <c r="F2768" s="2">
        <v>25705037</v>
      </c>
      <c r="G2768" s="2" t="s">
        <v>569</v>
      </c>
      <c r="H2768" s="2" t="s">
        <v>570</v>
      </c>
      <c r="I2768" s="2" t="s">
        <v>17</v>
      </c>
      <c r="J2768" s="3">
        <v>1.8580000000000001</v>
      </c>
      <c r="K2768" s="2" t="s">
        <v>295</v>
      </c>
      <c r="L2768" s="2">
        <v>2024</v>
      </c>
      <c r="M2768" s="2" t="s">
        <v>19</v>
      </c>
      <c r="N2768" s="2" t="s">
        <v>21</v>
      </c>
      <c r="O2768">
        <f t="shared" si="86"/>
        <v>7.7930000000000064</v>
      </c>
      <c r="P2768">
        <f t="shared" si="87"/>
        <v>50.915000000000013</v>
      </c>
    </row>
    <row r="2769" spans="1:16" x14ac:dyDescent="0.35">
      <c r="A2769" s="9" t="s">
        <v>302</v>
      </c>
      <c r="B2769" s="2">
        <v>383.13499999999999</v>
      </c>
      <c r="C2769" s="2">
        <v>387.78100000000001</v>
      </c>
      <c r="D2769" s="2">
        <v>377.55599999999998</v>
      </c>
      <c r="E2769" s="2">
        <v>381.77600000000001</v>
      </c>
      <c r="F2769" s="2">
        <v>28059111</v>
      </c>
      <c r="G2769" s="2" t="s">
        <v>569</v>
      </c>
      <c r="H2769" s="2" t="s">
        <v>570</v>
      </c>
      <c r="I2769" s="2" t="s">
        <v>17</v>
      </c>
      <c r="J2769" s="3">
        <v>0.48599999999999999</v>
      </c>
      <c r="K2769" s="2" t="s">
        <v>295</v>
      </c>
      <c r="L2769" s="2">
        <v>2024</v>
      </c>
      <c r="M2769" s="2" t="s">
        <v>19</v>
      </c>
      <c r="N2769" s="2" t="s">
        <v>21</v>
      </c>
      <c r="O2769">
        <f t="shared" si="86"/>
        <v>10.225000000000023</v>
      </c>
      <c r="P2769">
        <f t="shared" si="87"/>
        <v>51.40100000000001</v>
      </c>
    </row>
    <row r="2770" spans="1:16" x14ac:dyDescent="0.35">
      <c r="A2770" s="9" t="s">
        <v>303</v>
      </c>
      <c r="B2770" s="2">
        <v>382.62799999999999</v>
      </c>
      <c r="C2770" s="2">
        <v>385.79500000000002</v>
      </c>
      <c r="D2770" s="2">
        <v>381.79500000000002</v>
      </c>
      <c r="E2770" s="2">
        <v>385.58699999999999</v>
      </c>
      <c r="F2770" s="2">
        <v>21823132</v>
      </c>
      <c r="G2770" s="2" t="s">
        <v>569</v>
      </c>
      <c r="H2770" s="2" t="s">
        <v>570</v>
      </c>
      <c r="I2770" s="2" t="s">
        <v>17</v>
      </c>
      <c r="J2770" s="3">
        <v>0.998</v>
      </c>
      <c r="K2770" s="2" t="s">
        <v>295</v>
      </c>
      <c r="L2770" s="2">
        <v>2024</v>
      </c>
      <c r="M2770" s="2" t="s">
        <v>19</v>
      </c>
      <c r="N2770" s="2" t="s">
        <v>21</v>
      </c>
      <c r="O2770">
        <f t="shared" si="86"/>
        <v>4</v>
      </c>
      <c r="P2770">
        <f t="shared" si="87"/>
        <v>52.399000000000008</v>
      </c>
    </row>
    <row r="2771" spans="1:16" x14ac:dyDescent="0.35">
      <c r="A2771" s="9" t="s">
        <v>304</v>
      </c>
      <c r="B2771" s="2">
        <v>390.738</v>
      </c>
      <c r="C2771" s="2">
        <v>391.10599999999999</v>
      </c>
      <c r="D2771" s="2">
        <v>384.745</v>
      </c>
      <c r="E2771" s="2">
        <v>387.37400000000002</v>
      </c>
      <c r="F2771" s="2">
        <v>27405683</v>
      </c>
      <c r="G2771" s="2" t="s">
        <v>569</v>
      </c>
      <c r="H2771" s="2" t="s">
        <v>570</v>
      </c>
      <c r="I2771" s="2" t="s">
        <v>17</v>
      </c>
      <c r="J2771" s="3">
        <v>0.46300000000000002</v>
      </c>
      <c r="K2771" s="2" t="s">
        <v>295</v>
      </c>
      <c r="L2771" s="2">
        <v>2024</v>
      </c>
      <c r="M2771" s="2" t="s">
        <v>19</v>
      </c>
      <c r="N2771" s="2" t="s">
        <v>21</v>
      </c>
      <c r="O2771">
        <f t="shared" si="86"/>
        <v>6.36099999999999</v>
      </c>
      <c r="P2771">
        <f t="shared" si="87"/>
        <v>52.862000000000009</v>
      </c>
    </row>
    <row r="2772" spans="1:16" x14ac:dyDescent="0.35">
      <c r="A2772" s="9" t="s">
        <v>305</v>
      </c>
      <c r="B2772" s="2">
        <v>385.101</v>
      </c>
      <c r="C2772" s="2">
        <v>387.21499999999997</v>
      </c>
      <c r="D2772" s="2">
        <v>381.95299999999997</v>
      </c>
      <c r="E2772" s="2">
        <v>386.57900000000001</v>
      </c>
      <c r="F2772" s="2">
        <v>22400371</v>
      </c>
      <c r="G2772" s="2" t="s">
        <v>569</v>
      </c>
      <c r="H2772" s="2" t="s">
        <v>570</v>
      </c>
      <c r="I2772" s="2" t="s">
        <v>17</v>
      </c>
      <c r="J2772" s="4">
        <v>-0.20499999999999999</v>
      </c>
      <c r="K2772" s="2" t="s">
        <v>295</v>
      </c>
      <c r="L2772" s="2">
        <v>2024</v>
      </c>
      <c r="M2772" s="2" t="s">
        <v>19</v>
      </c>
      <c r="N2772" s="2" t="s">
        <v>23</v>
      </c>
      <c r="O2772">
        <f t="shared" si="86"/>
        <v>5.2620000000000005</v>
      </c>
      <c r="P2772">
        <f t="shared" si="87"/>
        <v>52.657000000000011</v>
      </c>
    </row>
    <row r="2773" spans="1:16" x14ac:dyDescent="0.35">
      <c r="A2773" s="9" t="s">
        <v>306</v>
      </c>
      <c r="B2773" s="2">
        <v>388.81299999999999</v>
      </c>
      <c r="C2773" s="2">
        <v>391.06599999999997</v>
      </c>
      <c r="D2773" s="2">
        <v>387.22500000000002</v>
      </c>
      <c r="E2773" s="2">
        <v>390.94600000000003</v>
      </c>
      <c r="F2773" s="2">
        <v>23566990</v>
      </c>
      <c r="G2773" s="2" t="s">
        <v>569</v>
      </c>
      <c r="H2773" s="2" t="s">
        <v>570</v>
      </c>
      <c r="I2773" s="2" t="s">
        <v>17</v>
      </c>
      <c r="J2773" s="3">
        <v>1.1299999999999999</v>
      </c>
      <c r="K2773" s="2" t="s">
        <v>295</v>
      </c>
      <c r="L2773" s="2">
        <v>2024</v>
      </c>
      <c r="M2773" s="2" t="s">
        <v>19</v>
      </c>
      <c r="N2773" s="2" t="s">
        <v>21</v>
      </c>
      <c r="O2773">
        <f t="shared" si="86"/>
        <v>3.8409999999999513</v>
      </c>
      <c r="P2773">
        <f t="shared" si="87"/>
        <v>53.787000000000013</v>
      </c>
    </row>
    <row r="2774" spans="1:16" x14ac:dyDescent="0.35">
      <c r="A2774" s="9" t="s">
        <v>307</v>
      </c>
      <c r="B2774" s="2">
        <v>392.82299999999998</v>
      </c>
      <c r="C2774" s="2">
        <v>395.71100000000001</v>
      </c>
      <c r="D2774" s="2">
        <v>390.58</v>
      </c>
      <c r="E2774" s="2">
        <v>395.71100000000001</v>
      </c>
      <c r="F2774" s="2">
        <v>29550470</v>
      </c>
      <c r="G2774" s="2" t="s">
        <v>569</v>
      </c>
      <c r="H2774" s="2" t="s">
        <v>570</v>
      </c>
      <c r="I2774" s="2" t="s">
        <v>17</v>
      </c>
      <c r="J2774" s="3">
        <v>1.2190000000000001</v>
      </c>
      <c r="K2774" s="2" t="s">
        <v>295</v>
      </c>
      <c r="L2774" s="2">
        <v>2024</v>
      </c>
      <c r="M2774" s="2" t="s">
        <v>19</v>
      </c>
      <c r="N2774" s="2" t="s">
        <v>21</v>
      </c>
      <c r="O2774">
        <f t="shared" si="86"/>
        <v>5.1310000000000286</v>
      </c>
      <c r="P2774">
        <f t="shared" si="87"/>
        <v>55.006000000000014</v>
      </c>
    </row>
    <row r="2775" spans="1:16" x14ac:dyDescent="0.35">
      <c r="A2775" s="9" t="s">
        <v>308</v>
      </c>
      <c r="B2775" s="2">
        <v>397.05099999999999</v>
      </c>
      <c r="C2775" s="2">
        <v>397.64699999999999</v>
      </c>
      <c r="D2775" s="2">
        <v>390.66800000000001</v>
      </c>
      <c r="E2775" s="2">
        <v>393.56599999999997</v>
      </c>
      <c r="F2775" s="2">
        <v>27218930</v>
      </c>
      <c r="G2775" s="2" t="s">
        <v>569</v>
      </c>
      <c r="H2775" s="2" t="s">
        <v>570</v>
      </c>
      <c r="I2775" s="2" t="s">
        <v>17</v>
      </c>
      <c r="J2775" s="4">
        <v>-0.54200000000000004</v>
      </c>
      <c r="K2775" s="2" t="s">
        <v>295</v>
      </c>
      <c r="L2775" s="2">
        <v>2024</v>
      </c>
      <c r="M2775" s="2" t="s">
        <v>19</v>
      </c>
      <c r="N2775" s="2" t="s">
        <v>23</v>
      </c>
      <c r="O2775">
        <f t="shared" si="86"/>
        <v>6.978999999999985</v>
      </c>
      <c r="P2775">
        <f t="shared" si="87"/>
        <v>54.464000000000013</v>
      </c>
    </row>
    <row r="2776" spans="1:16" x14ac:dyDescent="0.35">
      <c r="A2776" s="9" t="s">
        <v>309</v>
      </c>
      <c r="B2776" s="2">
        <v>392.81400000000002</v>
      </c>
      <c r="C2776" s="2">
        <v>396.416</v>
      </c>
      <c r="D2776" s="2">
        <v>391.00599999999997</v>
      </c>
      <c r="E2776" s="2">
        <v>395.93900000000002</v>
      </c>
      <c r="F2776" s="2">
        <v>20679371</v>
      </c>
      <c r="G2776" s="2" t="s">
        <v>569</v>
      </c>
      <c r="H2776" s="2" t="s">
        <v>570</v>
      </c>
      <c r="I2776" s="2" t="s">
        <v>17</v>
      </c>
      <c r="J2776" s="3">
        <v>0.60299999999999998</v>
      </c>
      <c r="K2776" s="2" t="s">
        <v>295</v>
      </c>
      <c r="L2776" s="2">
        <v>2024</v>
      </c>
      <c r="M2776" s="2" t="s">
        <v>19</v>
      </c>
      <c r="N2776" s="2" t="s">
        <v>21</v>
      </c>
      <c r="O2776">
        <f t="shared" si="86"/>
        <v>5.410000000000025</v>
      </c>
      <c r="P2776">
        <f t="shared" si="87"/>
        <v>55.067000000000014</v>
      </c>
    </row>
    <row r="2777" spans="1:16" x14ac:dyDescent="0.35">
      <c r="A2777" s="9" t="s">
        <v>310</v>
      </c>
      <c r="B2777" s="2">
        <v>398.55900000000003</v>
      </c>
      <c r="C2777" s="2">
        <v>402.61900000000003</v>
      </c>
      <c r="D2777" s="2">
        <v>397.47699999999998</v>
      </c>
      <c r="E2777" s="2">
        <v>399.572</v>
      </c>
      <c r="F2777" s="2">
        <v>25052904</v>
      </c>
      <c r="G2777" s="2" t="s">
        <v>569</v>
      </c>
      <c r="H2777" s="2" t="s">
        <v>570</v>
      </c>
      <c r="I2777" s="2" t="s">
        <v>17</v>
      </c>
      <c r="J2777" s="3">
        <v>0.91800000000000004</v>
      </c>
      <c r="K2777" s="2" t="s">
        <v>295</v>
      </c>
      <c r="L2777" s="2">
        <v>2024</v>
      </c>
      <c r="M2777" s="2" t="s">
        <v>19</v>
      </c>
      <c r="N2777" s="2" t="s">
        <v>21</v>
      </c>
      <c r="O2777">
        <f t="shared" si="86"/>
        <v>5.1420000000000528</v>
      </c>
      <c r="P2777">
        <f t="shared" si="87"/>
        <v>55.985000000000014</v>
      </c>
    </row>
    <row r="2778" spans="1:16" x14ac:dyDescent="0.35">
      <c r="A2778" s="9" t="s">
        <v>311</v>
      </c>
      <c r="B2778" s="2">
        <v>401.31900000000002</v>
      </c>
      <c r="C2778" s="2">
        <v>403.98899999999998</v>
      </c>
      <c r="D2778" s="2">
        <v>399.541</v>
      </c>
      <c r="E2778" s="2">
        <v>401.86500000000001</v>
      </c>
      <c r="F2778" s="2">
        <v>21178348</v>
      </c>
      <c r="G2778" s="2" t="s">
        <v>569</v>
      </c>
      <c r="H2778" s="2" t="s">
        <v>570</v>
      </c>
      <c r="I2778" s="2" t="s">
        <v>17</v>
      </c>
      <c r="J2778" s="3">
        <v>0.57399999999999995</v>
      </c>
      <c r="K2778" s="2" t="s">
        <v>295</v>
      </c>
      <c r="L2778" s="2">
        <v>2024</v>
      </c>
      <c r="M2778" s="2" t="s">
        <v>19</v>
      </c>
      <c r="N2778" s="2" t="s">
        <v>21</v>
      </c>
      <c r="O2778">
        <f t="shared" si="86"/>
        <v>4.4479999999999791</v>
      </c>
      <c r="P2778">
        <f t="shared" si="87"/>
        <v>56.559000000000012</v>
      </c>
    </row>
    <row r="2779" spans="1:16" x14ac:dyDescent="0.35">
      <c r="A2779" s="9" t="s">
        <v>312</v>
      </c>
      <c r="B2779" s="2">
        <v>401.36900000000003</v>
      </c>
      <c r="C2779" s="2">
        <v>403.15499999999997</v>
      </c>
      <c r="D2779" s="2">
        <v>399.44299999999998</v>
      </c>
      <c r="E2779" s="2">
        <v>400.93099999999998</v>
      </c>
      <c r="F2779" s="2">
        <v>17936401</v>
      </c>
      <c r="G2779" s="2" t="s">
        <v>569</v>
      </c>
      <c r="H2779" s="2" t="s">
        <v>570</v>
      </c>
      <c r="I2779" s="2" t="s">
        <v>17</v>
      </c>
      <c r="J2779" s="4">
        <v>-0.23200000000000001</v>
      </c>
      <c r="K2779" s="2" t="s">
        <v>295</v>
      </c>
      <c r="L2779" s="2">
        <v>2024</v>
      </c>
      <c r="M2779" s="2" t="s">
        <v>19</v>
      </c>
      <c r="N2779" s="2" t="s">
        <v>23</v>
      </c>
      <c r="O2779">
        <f t="shared" si="86"/>
        <v>3.7119999999999891</v>
      </c>
      <c r="P2779">
        <f t="shared" si="87"/>
        <v>56.327000000000012</v>
      </c>
    </row>
    <row r="2780" spans="1:16" x14ac:dyDescent="0.35">
      <c r="A2780" s="9" t="s">
        <v>313</v>
      </c>
      <c r="B2780" s="2">
        <v>403.04500000000002</v>
      </c>
      <c r="C2780" s="2">
        <v>406.93599999999998</v>
      </c>
      <c r="D2780" s="2">
        <v>401.32900000000001</v>
      </c>
      <c r="E2780" s="2">
        <v>406.68</v>
      </c>
      <c r="F2780" s="2">
        <v>24693520</v>
      </c>
      <c r="G2780" s="2" t="s">
        <v>569</v>
      </c>
      <c r="H2780" s="2" t="s">
        <v>570</v>
      </c>
      <c r="I2780" s="2" t="s">
        <v>17</v>
      </c>
      <c r="J2780" s="3">
        <v>1.4339999999999999</v>
      </c>
      <c r="K2780" s="2" t="s">
        <v>295</v>
      </c>
      <c r="L2780" s="2">
        <v>2024</v>
      </c>
      <c r="M2780" s="2" t="s">
        <v>19</v>
      </c>
      <c r="N2780" s="2" t="s">
        <v>21</v>
      </c>
      <c r="O2780">
        <f t="shared" si="86"/>
        <v>5.6069999999999709</v>
      </c>
      <c r="P2780">
        <f t="shared" si="87"/>
        <v>57.76100000000001</v>
      </c>
    </row>
    <row r="2781" spans="1:16" x14ac:dyDescent="0.35">
      <c r="A2781" s="9" t="s">
        <v>314</v>
      </c>
      <c r="B2781" s="2">
        <v>409.2</v>
      </c>
      <c r="C2781" s="2">
        <v>409.98500000000001</v>
      </c>
      <c r="D2781" s="2">
        <v>403.43299999999999</v>
      </c>
      <c r="E2781" s="2">
        <v>405.55799999999999</v>
      </c>
      <c r="F2781" s="2">
        <v>33727951</v>
      </c>
      <c r="G2781" s="2" t="s">
        <v>569</v>
      </c>
      <c r="H2781" s="2" t="s">
        <v>570</v>
      </c>
      <c r="I2781" s="2" t="s">
        <v>17</v>
      </c>
      <c r="J2781" s="4">
        <v>-0.27600000000000002</v>
      </c>
      <c r="K2781" s="2" t="s">
        <v>295</v>
      </c>
      <c r="L2781" s="2">
        <v>2024</v>
      </c>
      <c r="M2781" s="2" t="s">
        <v>19</v>
      </c>
      <c r="N2781" s="2" t="s">
        <v>23</v>
      </c>
      <c r="O2781">
        <f t="shared" si="86"/>
        <v>6.5520000000000209</v>
      </c>
      <c r="P2781">
        <f t="shared" si="87"/>
        <v>57.485000000000007</v>
      </c>
    </row>
    <row r="2782" spans="1:16" x14ac:dyDescent="0.35">
      <c r="A2782" s="9" t="s">
        <v>315</v>
      </c>
      <c r="B2782" s="2">
        <v>403.93900000000002</v>
      </c>
      <c r="C2782" s="2">
        <v>412.23700000000002</v>
      </c>
      <c r="D2782" s="2">
        <v>394.262</v>
      </c>
      <c r="E2782" s="2">
        <v>394.62799999999999</v>
      </c>
      <c r="F2782" s="2">
        <v>48229070</v>
      </c>
      <c r="G2782" s="2" t="s">
        <v>569</v>
      </c>
      <c r="H2782" s="2" t="s">
        <v>570</v>
      </c>
      <c r="I2782" s="2" t="s">
        <v>17</v>
      </c>
      <c r="J2782" s="4">
        <v>-2.6949999999999998</v>
      </c>
      <c r="K2782" s="2" t="s">
        <v>295</v>
      </c>
      <c r="L2782" s="2">
        <v>2024</v>
      </c>
      <c r="M2782" s="2" t="s">
        <v>19</v>
      </c>
      <c r="N2782" s="2" t="s">
        <v>23</v>
      </c>
      <c r="O2782">
        <f t="shared" si="86"/>
        <v>17.975000000000023</v>
      </c>
      <c r="P2782">
        <f t="shared" si="87"/>
        <v>54.790000000000006</v>
      </c>
    </row>
    <row r="2783" spans="1:16" x14ac:dyDescent="0.35">
      <c r="A2783" s="9" t="s">
        <v>316</v>
      </c>
      <c r="B2783" s="2">
        <v>398.84800000000001</v>
      </c>
      <c r="C2783" s="2">
        <v>404.97199999999998</v>
      </c>
      <c r="D2783" s="2">
        <v>398.81799999999998</v>
      </c>
      <c r="E2783" s="2">
        <v>400.78300000000002</v>
      </c>
      <c r="F2783" s="2">
        <v>30886980</v>
      </c>
      <c r="G2783" s="2" t="s">
        <v>569</v>
      </c>
      <c r="H2783" s="2" t="s">
        <v>570</v>
      </c>
      <c r="I2783" s="2" t="s">
        <v>17</v>
      </c>
      <c r="J2783" s="3">
        <v>1.56</v>
      </c>
      <c r="K2783" s="2" t="s">
        <v>317</v>
      </c>
      <c r="L2783" s="2">
        <v>2024</v>
      </c>
      <c r="M2783" s="2" t="s">
        <v>43</v>
      </c>
      <c r="N2783" s="2" t="s">
        <v>21</v>
      </c>
      <c r="O2783">
        <f t="shared" si="86"/>
        <v>6.1539999999999964</v>
      </c>
      <c r="P2783">
        <f t="shared" si="87"/>
        <v>56.350000000000009</v>
      </c>
    </row>
    <row r="2784" spans="1:16" x14ac:dyDescent="0.35">
      <c r="A2784" s="9" t="s">
        <v>318</v>
      </c>
      <c r="B2784" s="2">
        <v>400.81299999999999</v>
      </c>
      <c r="C2784" s="2">
        <v>409.58600000000001</v>
      </c>
      <c r="D2784" s="2">
        <v>400.565</v>
      </c>
      <c r="E2784" s="2">
        <v>408.16800000000001</v>
      </c>
      <c r="F2784" s="2">
        <v>28467969</v>
      </c>
      <c r="G2784" s="2" t="s">
        <v>569</v>
      </c>
      <c r="H2784" s="2" t="s">
        <v>570</v>
      </c>
      <c r="I2784" s="2" t="s">
        <v>17</v>
      </c>
      <c r="J2784" s="3">
        <v>1.843</v>
      </c>
      <c r="K2784" s="2" t="s">
        <v>317</v>
      </c>
      <c r="L2784" s="2">
        <v>2024</v>
      </c>
      <c r="M2784" s="2" t="s">
        <v>43</v>
      </c>
      <c r="N2784" s="2" t="s">
        <v>21</v>
      </c>
      <c r="O2784">
        <f t="shared" si="86"/>
        <v>9.021000000000015</v>
      </c>
      <c r="P2784">
        <f t="shared" si="87"/>
        <v>58.193000000000012</v>
      </c>
    </row>
    <row r="2785" spans="1:16" x14ac:dyDescent="0.35">
      <c r="A2785" s="9" t="s">
        <v>319</v>
      </c>
      <c r="B2785" s="2">
        <v>406.85700000000003</v>
      </c>
      <c r="C2785" s="2">
        <v>408.108</v>
      </c>
      <c r="D2785" s="2">
        <v>400.99099999999999</v>
      </c>
      <c r="E2785" s="2">
        <v>402.63900000000001</v>
      </c>
      <c r="F2785" s="2">
        <v>25541867</v>
      </c>
      <c r="G2785" s="2" t="s">
        <v>569</v>
      </c>
      <c r="H2785" s="2" t="s">
        <v>570</v>
      </c>
      <c r="I2785" s="2" t="s">
        <v>17</v>
      </c>
      <c r="J2785" s="4">
        <v>-1.355</v>
      </c>
      <c r="K2785" s="2" t="s">
        <v>317</v>
      </c>
      <c r="L2785" s="2">
        <v>2024</v>
      </c>
      <c r="M2785" s="2" t="s">
        <v>43</v>
      </c>
      <c r="N2785" s="2" t="s">
        <v>23</v>
      </c>
      <c r="O2785">
        <f t="shared" si="86"/>
        <v>7.1170000000000186</v>
      </c>
      <c r="P2785">
        <f t="shared" si="87"/>
        <v>56.838000000000015</v>
      </c>
    </row>
    <row r="2786" spans="1:16" x14ac:dyDescent="0.35">
      <c r="A2786" s="9" t="s">
        <v>320</v>
      </c>
      <c r="B2786" s="2">
        <v>402.86799999999999</v>
      </c>
      <c r="C2786" s="2">
        <v>404.94200000000001</v>
      </c>
      <c r="D2786" s="2">
        <v>399.92</v>
      </c>
      <c r="E2786" s="2">
        <v>402.48</v>
      </c>
      <c r="F2786" s="2">
        <v>18520086</v>
      </c>
      <c r="G2786" s="2" t="s">
        <v>569</v>
      </c>
      <c r="H2786" s="2" t="s">
        <v>570</v>
      </c>
      <c r="I2786" s="2" t="s">
        <v>17</v>
      </c>
      <c r="J2786" s="4">
        <v>-3.9E-2</v>
      </c>
      <c r="K2786" s="2" t="s">
        <v>317</v>
      </c>
      <c r="L2786" s="2">
        <v>2024</v>
      </c>
      <c r="M2786" s="2" t="s">
        <v>43</v>
      </c>
      <c r="N2786" s="2" t="s">
        <v>23</v>
      </c>
      <c r="O2786">
        <f t="shared" si="86"/>
        <v>5.0219999999999914</v>
      </c>
      <c r="P2786">
        <f t="shared" si="87"/>
        <v>56.799000000000014</v>
      </c>
    </row>
    <row r="2787" spans="1:16" x14ac:dyDescent="0.35">
      <c r="A2787" s="9" t="s">
        <v>321</v>
      </c>
      <c r="B2787" s="2">
        <v>404.41699999999997</v>
      </c>
      <c r="C2787" s="2">
        <v>411.22399999999999</v>
      </c>
      <c r="D2787" s="2">
        <v>404.37700000000001</v>
      </c>
      <c r="E2787" s="2">
        <v>410.97699999999998</v>
      </c>
      <c r="F2787" s="2">
        <v>22507585</v>
      </c>
      <c r="G2787" s="2" t="s">
        <v>569</v>
      </c>
      <c r="H2787" s="2" t="s">
        <v>570</v>
      </c>
      <c r="I2787" s="2" t="s">
        <v>17</v>
      </c>
      <c r="J2787" s="3">
        <v>2.1110000000000002</v>
      </c>
      <c r="K2787" s="2" t="s">
        <v>317</v>
      </c>
      <c r="L2787" s="2">
        <v>2024</v>
      </c>
      <c r="M2787" s="2" t="s">
        <v>43</v>
      </c>
      <c r="N2787" s="2" t="s">
        <v>21</v>
      </c>
      <c r="O2787">
        <f t="shared" si="86"/>
        <v>6.84699999999998</v>
      </c>
      <c r="P2787">
        <f t="shared" si="87"/>
        <v>58.910000000000011</v>
      </c>
    </row>
    <row r="2788" spans="1:16" x14ac:dyDescent="0.35">
      <c r="A2788" s="9" t="s">
        <v>322</v>
      </c>
      <c r="B2788" s="2">
        <v>410.97699999999998</v>
      </c>
      <c r="C2788" s="2">
        <v>412.47500000000002</v>
      </c>
      <c r="D2788" s="2">
        <v>409.46800000000002</v>
      </c>
      <c r="E2788" s="2">
        <v>411.03699999999998</v>
      </c>
      <c r="F2788" s="2">
        <v>21383976</v>
      </c>
      <c r="G2788" s="2" t="s">
        <v>569</v>
      </c>
      <c r="H2788" s="2" t="s">
        <v>570</v>
      </c>
      <c r="I2788" s="2" t="s">
        <v>17</v>
      </c>
      <c r="J2788" s="3">
        <v>1.4999999999999999E-2</v>
      </c>
      <c r="K2788" s="2" t="s">
        <v>317</v>
      </c>
      <c r="L2788" s="2">
        <v>2024</v>
      </c>
      <c r="M2788" s="2" t="s">
        <v>43</v>
      </c>
      <c r="N2788" s="2" t="s">
        <v>21</v>
      </c>
      <c r="O2788">
        <f t="shared" si="86"/>
        <v>3.007000000000005</v>
      </c>
      <c r="P2788">
        <f t="shared" si="87"/>
        <v>58.925000000000011</v>
      </c>
    </row>
    <row r="2789" spans="1:16" x14ac:dyDescent="0.35">
      <c r="A2789" s="9" t="s">
        <v>323</v>
      </c>
      <c r="B2789" s="2">
        <v>412.16899999999998</v>
      </c>
      <c r="C2789" s="2">
        <v>417.697</v>
      </c>
      <c r="D2789" s="2">
        <v>412.00900000000001</v>
      </c>
      <c r="E2789" s="2">
        <v>417.428</v>
      </c>
      <c r="F2789" s="2">
        <v>22197602</v>
      </c>
      <c r="G2789" s="2" t="s">
        <v>569</v>
      </c>
      <c r="H2789" s="2" t="s">
        <v>570</v>
      </c>
      <c r="I2789" s="2" t="s">
        <v>17</v>
      </c>
      <c r="J2789" s="3">
        <v>1.5549999999999999</v>
      </c>
      <c r="K2789" s="2" t="s">
        <v>317</v>
      </c>
      <c r="L2789" s="2">
        <v>2024</v>
      </c>
      <c r="M2789" s="2" t="s">
        <v>43</v>
      </c>
      <c r="N2789" s="2" t="s">
        <v>21</v>
      </c>
      <c r="O2789">
        <f t="shared" si="86"/>
        <v>5.6879999999999882</v>
      </c>
      <c r="P2789">
        <f t="shared" si="87"/>
        <v>60.480000000000011</v>
      </c>
    </row>
    <row r="2790" spans="1:16" x14ac:dyDescent="0.35">
      <c r="A2790" s="9" t="s">
        <v>324</v>
      </c>
      <c r="B2790" s="2">
        <v>417.43299999999999</v>
      </c>
      <c r="C2790" s="2">
        <v>417.61700000000002</v>
      </c>
      <c r="D2790" s="2">
        <v>411.67200000000003</v>
      </c>
      <c r="E2790" s="2">
        <v>412.178</v>
      </c>
      <c r="F2790" s="2">
        <v>21361473</v>
      </c>
      <c r="G2790" s="2" t="s">
        <v>569</v>
      </c>
      <c r="H2790" s="2" t="s">
        <v>570</v>
      </c>
      <c r="I2790" s="2" t="s">
        <v>17</v>
      </c>
      <c r="J2790" s="4">
        <v>-1.258</v>
      </c>
      <c r="K2790" s="2" t="s">
        <v>317</v>
      </c>
      <c r="L2790" s="2">
        <v>2024</v>
      </c>
      <c r="M2790" s="2" t="s">
        <v>43</v>
      </c>
      <c r="N2790" s="2" t="s">
        <v>23</v>
      </c>
      <c r="O2790">
        <f t="shared" si="86"/>
        <v>5.9449999999999932</v>
      </c>
      <c r="P2790">
        <f t="shared" si="87"/>
        <v>59.222000000000008</v>
      </c>
    </row>
    <row r="2791" spans="1:16" x14ac:dyDescent="0.35">
      <c r="A2791" s="9" t="s">
        <v>325</v>
      </c>
      <c r="B2791" s="2">
        <v>401.93400000000003</v>
      </c>
      <c r="C2791" s="2">
        <v>407.02699999999999</v>
      </c>
      <c r="D2791" s="2">
        <v>400.39600000000002</v>
      </c>
      <c r="E2791" s="2">
        <v>403.30500000000001</v>
      </c>
      <c r="F2791" s="2">
        <v>28033007</v>
      </c>
      <c r="G2791" s="2" t="s">
        <v>569</v>
      </c>
      <c r="H2791" s="2" t="s">
        <v>570</v>
      </c>
      <c r="I2791" s="2" t="s">
        <v>17</v>
      </c>
      <c r="J2791" s="4">
        <v>-2.153</v>
      </c>
      <c r="K2791" s="2" t="s">
        <v>317</v>
      </c>
      <c r="L2791" s="2">
        <v>2024</v>
      </c>
      <c r="M2791" s="2" t="s">
        <v>43</v>
      </c>
      <c r="N2791" s="2" t="s">
        <v>23</v>
      </c>
      <c r="O2791">
        <f t="shared" si="86"/>
        <v>6.6309999999999718</v>
      </c>
      <c r="P2791">
        <f t="shared" si="87"/>
        <v>57.06900000000001</v>
      </c>
    </row>
    <row r="2792" spans="1:16" x14ac:dyDescent="0.35">
      <c r="A2792" s="9" t="s">
        <v>326</v>
      </c>
      <c r="B2792" s="2">
        <v>405.79</v>
      </c>
      <c r="C2792" s="2">
        <v>407.55</v>
      </c>
      <c r="D2792" s="2">
        <v>402.31</v>
      </c>
      <c r="E2792" s="2">
        <v>407.20299999999997</v>
      </c>
      <c r="F2792" s="2">
        <v>20515808</v>
      </c>
      <c r="G2792" s="2" t="s">
        <v>569</v>
      </c>
      <c r="H2792" s="2" t="s">
        <v>570</v>
      </c>
      <c r="I2792" s="2" t="s">
        <v>17</v>
      </c>
      <c r="J2792" s="3">
        <v>0.96699999999999997</v>
      </c>
      <c r="K2792" s="2" t="s">
        <v>317</v>
      </c>
      <c r="L2792" s="2">
        <v>2024</v>
      </c>
      <c r="M2792" s="2" t="s">
        <v>43</v>
      </c>
      <c r="N2792" s="2" t="s">
        <v>21</v>
      </c>
      <c r="O2792">
        <f t="shared" si="86"/>
        <v>5.2400000000000091</v>
      </c>
      <c r="P2792">
        <f t="shared" si="87"/>
        <v>58.036000000000008</v>
      </c>
    </row>
    <row r="2793" spans="1:16" x14ac:dyDescent="0.35">
      <c r="A2793" s="9" t="s">
        <v>327</v>
      </c>
      <c r="B2793" s="2">
        <v>405.86</v>
      </c>
      <c r="C2793" s="2">
        <v>406.84399999999999</v>
      </c>
      <c r="D2793" s="2">
        <v>402.03100000000001</v>
      </c>
      <c r="E2793" s="2">
        <v>404.28899999999999</v>
      </c>
      <c r="F2793" s="2">
        <v>21948145</v>
      </c>
      <c r="G2793" s="2" t="s">
        <v>569</v>
      </c>
      <c r="H2793" s="2" t="s">
        <v>570</v>
      </c>
      <c r="I2793" s="2" t="s">
        <v>17</v>
      </c>
      <c r="J2793" s="4">
        <v>-0.71599999999999997</v>
      </c>
      <c r="K2793" s="2" t="s">
        <v>317</v>
      </c>
      <c r="L2793" s="2">
        <v>2024</v>
      </c>
      <c r="M2793" s="2" t="s">
        <v>43</v>
      </c>
      <c r="N2793" s="2" t="s">
        <v>23</v>
      </c>
      <c r="O2793">
        <f t="shared" si="86"/>
        <v>4.8129999999999882</v>
      </c>
      <c r="P2793">
        <f t="shared" si="87"/>
        <v>57.320000000000007</v>
      </c>
    </row>
    <row r="2794" spans="1:16" x14ac:dyDescent="0.35">
      <c r="A2794" s="9" t="s">
        <v>328</v>
      </c>
      <c r="B2794" s="2">
        <v>405.68</v>
      </c>
      <c r="C2794" s="2">
        <v>406.00900000000001</v>
      </c>
      <c r="D2794" s="2">
        <v>401.18599999999998</v>
      </c>
      <c r="E2794" s="2">
        <v>401.803</v>
      </c>
      <c r="F2794" s="2">
        <v>22421761</v>
      </c>
      <c r="G2794" s="2" t="s">
        <v>569</v>
      </c>
      <c r="H2794" s="2" t="s">
        <v>570</v>
      </c>
      <c r="I2794" s="2" t="s">
        <v>17</v>
      </c>
      <c r="J2794" s="4">
        <v>-0.61499999999999999</v>
      </c>
      <c r="K2794" s="2" t="s">
        <v>317</v>
      </c>
      <c r="L2794" s="2">
        <v>2024</v>
      </c>
      <c r="M2794" s="2" t="s">
        <v>43</v>
      </c>
      <c r="N2794" s="2" t="s">
        <v>23</v>
      </c>
      <c r="O2794">
        <f t="shared" si="86"/>
        <v>4.8230000000000359</v>
      </c>
      <c r="P2794">
        <f t="shared" si="87"/>
        <v>56.705000000000005</v>
      </c>
    </row>
    <row r="2795" spans="1:16" x14ac:dyDescent="0.35">
      <c r="A2795" s="9" t="s">
        <v>329</v>
      </c>
      <c r="B2795" s="2">
        <v>400.98700000000002</v>
      </c>
      <c r="C2795" s="2">
        <v>402.23099999999999</v>
      </c>
      <c r="D2795" s="2">
        <v>395.786</v>
      </c>
      <c r="E2795" s="2">
        <v>400.54</v>
      </c>
      <c r="F2795" s="2">
        <v>24444482</v>
      </c>
      <c r="G2795" s="2" t="s">
        <v>569</v>
      </c>
      <c r="H2795" s="2" t="s">
        <v>570</v>
      </c>
      <c r="I2795" s="2" t="s">
        <v>17</v>
      </c>
      <c r="J2795" s="4">
        <v>-0.314</v>
      </c>
      <c r="K2795" s="2" t="s">
        <v>317</v>
      </c>
      <c r="L2795" s="2">
        <v>2024</v>
      </c>
      <c r="M2795" s="2" t="s">
        <v>43</v>
      </c>
      <c r="N2795" s="2" t="s">
        <v>23</v>
      </c>
      <c r="O2795">
        <f t="shared" si="86"/>
        <v>6.4449999999999932</v>
      </c>
      <c r="P2795">
        <f t="shared" si="87"/>
        <v>56.391000000000005</v>
      </c>
    </row>
    <row r="2796" spans="1:16" x14ac:dyDescent="0.35">
      <c r="A2796" s="9" t="s">
        <v>330</v>
      </c>
      <c r="B2796" s="2">
        <v>397.93400000000003</v>
      </c>
      <c r="C2796" s="2">
        <v>400.04300000000001</v>
      </c>
      <c r="D2796" s="2">
        <v>395.00099999999998</v>
      </c>
      <c r="E2796" s="2">
        <v>399.93299999999999</v>
      </c>
      <c r="F2796" s="2">
        <v>18735745</v>
      </c>
      <c r="G2796" s="2" t="s">
        <v>569</v>
      </c>
      <c r="H2796" s="2" t="s">
        <v>570</v>
      </c>
      <c r="I2796" s="2" t="s">
        <v>17</v>
      </c>
      <c r="J2796" s="4">
        <v>-0.152</v>
      </c>
      <c r="K2796" s="2" t="s">
        <v>317</v>
      </c>
      <c r="L2796" s="2">
        <v>2024</v>
      </c>
      <c r="M2796" s="2" t="s">
        <v>43</v>
      </c>
      <c r="N2796" s="2" t="s">
        <v>23</v>
      </c>
      <c r="O2796">
        <f t="shared" si="86"/>
        <v>5.04200000000003</v>
      </c>
      <c r="P2796">
        <f t="shared" si="87"/>
        <v>56.239000000000004</v>
      </c>
    </row>
    <row r="2797" spans="1:16" x14ac:dyDescent="0.35">
      <c r="A2797" s="9" t="s">
        <v>331</v>
      </c>
      <c r="B2797" s="2">
        <v>407.89800000000002</v>
      </c>
      <c r="C2797" s="2">
        <v>410.524</v>
      </c>
      <c r="D2797" s="2">
        <v>406.28699999999998</v>
      </c>
      <c r="E2797" s="2">
        <v>409.351</v>
      </c>
      <c r="F2797" s="2">
        <v>27161616</v>
      </c>
      <c r="G2797" s="2" t="s">
        <v>569</v>
      </c>
      <c r="H2797" s="2" t="s">
        <v>570</v>
      </c>
      <c r="I2797" s="2" t="s">
        <v>17</v>
      </c>
      <c r="J2797" s="3">
        <v>2.355</v>
      </c>
      <c r="K2797" s="2" t="s">
        <v>317</v>
      </c>
      <c r="L2797" s="2">
        <v>2024</v>
      </c>
      <c r="M2797" s="2" t="s">
        <v>43</v>
      </c>
      <c r="N2797" s="2" t="s">
        <v>21</v>
      </c>
      <c r="O2797">
        <f t="shared" si="86"/>
        <v>4.2370000000000232</v>
      </c>
      <c r="P2797">
        <f t="shared" si="87"/>
        <v>58.594000000000001</v>
      </c>
    </row>
    <row r="2798" spans="1:16" x14ac:dyDescent="0.35">
      <c r="A2798" s="9" t="s">
        <v>332</v>
      </c>
      <c r="B2798" s="2">
        <v>413.34800000000001</v>
      </c>
      <c r="C2798" s="2">
        <v>413.536</v>
      </c>
      <c r="D2798" s="2">
        <v>406.68599999999998</v>
      </c>
      <c r="E2798" s="2">
        <v>408.04700000000003</v>
      </c>
      <c r="F2798" s="2">
        <v>16387433</v>
      </c>
      <c r="G2798" s="2" t="s">
        <v>569</v>
      </c>
      <c r="H2798" s="2" t="s">
        <v>570</v>
      </c>
      <c r="I2798" s="2" t="s">
        <v>17</v>
      </c>
      <c r="J2798" s="4">
        <v>-0.31900000000000001</v>
      </c>
      <c r="K2798" s="2" t="s">
        <v>317</v>
      </c>
      <c r="L2798" s="2">
        <v>2024</v>
      </c>
      <c r="M2798" s="2" t="s">
        <v>43</v>
      </c>
      <c r="N2798" s="2" t="s">
        <v>23</v>
      </c>
      <c r="O2798">
        <f t="shared" si="86"/>
        <v>6.8500000000000227</v>
      </c>
      <c r="P2798">
        <f t="shared" si="87"/>
        <v>58.274999999999999</v>
      </c>
    </row>
    <row r="2799" spans="1:16" x14ac:dyDescent="0.35">
      <c r="A2799" s="9" t="s">
        <v>333</v>
      </c>
      <c r="B2799" s="2">
        <v>409.15600000000001</v>
      </c>
      <c r="C2799" s="2">
        <v>409.858</v>
      </c>
      <c r="D2799" s="2">
        <v>405.084</v>
      </c>
      <c r="E2799" s="2">
        <v>405.26299999999998</v>
      </c>
      <c r="F2799" s="2">
        <v>16284483</v>
      </c>
      <c r="G2799" s="2" t="s">
        <v>569</v>
      </c>
      <c r="H2799" s="2" t="s">
        <v>570</v>
      </c>
      <c r="I2799" s="2" t="s">
        <v>17</v>
      </c>
      <c r="J2799" s="4">
        <v>-0.68200000000000005</v>
      </c>
      <c r="K2799" s="2" t="s">
        <v>317</v>
      </c>
      <c r="L2799" s="2">
        <v>2024</v>
      </c>
      <c r="M2799" s="2" t="s">
        <v>43</v>
      </c>
      <c r="N2799" s="2" t="s">
        <v>23</v>
      </c>
      <c r="O2799">
        <f t="shared" si="86"/>
        <v>4.7740000000000009</v>
      </c>
      <c r="P2799">
        <f t="shared" si="87"/>
        <v>57.592999999999996</v>
      </c>
    </row>
    <row r="2800" spans="1:16" x14ac:dyDescent="0.35">
      <c r="A2800" s="9" t="s">
        <v>334</v>
      </c>
      <c r="B2800" s="2">
        <v>405.71</v>
      </c>
      <c r="C2800" s="2">
        <v>406.03899999999999</v>
      </c>
      <c r="D2800" s="2">
        <v>401.59399999999999</v>
      </c>
      <c r="E2800" s="2">
        <v>405.20299999999997</v>
      </c>
      <c r="F2800" s="2">
        <v>14919178</v>
      </c>
      <c r="G2800" s="2" t="s">
        <v>569</v>
      </c>
      <c r="H2800" s="2" t="s">
        <v>570</v>
      </c>
      <c r="I2800" s="2" t="s">
        <v>17</v>
      </c>
      <c r="J2800" s="4">
        <v>-1.4999999999999999E-2</v>
      </c>
      <c r="K2800" s="2" t="s">
        <v>317</v>
      </c>
      <c r="L2800" s="2">
        <v>2024</v>
      </c>
      <c r="M2800" s="2" t="s">
        <v>43</v>
      </c>
      <c r="N2800" s="2" t="s">
        <v>23</v>
      </c>
      <c r="O2800">
        <f t="shared" si="86"/>
        <v>4.4449999999999932</v>
      </c>
      <c r="P2800">
        <f t="shared" si="87"/>
        <v>57.577999999999996</v>
      </c>
    </row>
    <row r="2801" spans="1:16" x14ac:dyDescent="0.35">
      <c r="A2801" s="9" t="s">
        <v>335</v>
      </c>
      <c r="B2801" s="2">
        <v>405.89499999999998</v>
      </c>
      <c r="C2801" s="2">
        <v>407.01299999999998</v>
      </c>
      <c r="D2801" s="2">
        <v>403.05500000000001</v>
      </c>
      <c r="E2801" s="2">
        <v>405.44200000000001</v>
      </c>
      <c r="F2801" s="2">
        <v>13257190</v>
      </c>
      <c r="G2801" s="2" t="s">
        <v>569</v>
      </c>
      <c r="H2801" s="2" t="s">
        <v>570</v>
      </c>
      <c r="I2801" s="2" t="s">
        <v>17</v>
      </c>
      <c r="J2801" s="3">
        <v>5.8999999999999997E-2</v>
      </c>
      <c r="K2801" s="2" t="s">
        <v>317</v>
      </c>
      <c r="L2801" s="2">
        <v>2024</v>
      </c>
      <c r="M2801" s="2" t="s">
        <v>43</v>
      </c>
      <c r="N2801" s="2" t="s">
        <v>21</v>
      </c>
      <c r="O2801">
        <f t="shared" si="86"/>
        <v>3.95799999999997</v>
      </c>
      <c r="P2801">
        <f t="shared" si="87"/>
        <v>57.636999999999993</v>
      </c>
    </row>
    <row r="2802" spans="1:16" x14ac:dyDescent="0.35">
      <c r="A2802" s="9" t="s">
        <v>336</v>
      </c>
      <c r="B2802" s="2">
        <v>406.35700000000003</v>
      </c>
      <c r="C2802" s="2">
        <v>411.88600000000002</v>
      </c>
      <c r="D2802" s="2">
        <v>403.65199999999999</v>
      </c>
      <c r="E2802" s="2">
        <v>411.32900000000001</v>
      </c>
      <c r="F2802" s="2">
        <v>32126750</v>
      </c>
      <c r="G2802" s="2" t="s">
        <v>569</v>
      </c>
      <c r="H2802" s="2" t="s">
        <v>570</v>
      </c>
      <c r="I2802" s="2" t="s">
        <v>17</v>
      </c>
      <c r="J2802" s="3">
        <v>1.452</v>
      </c>
      <c r="K2802" s="2" t="s">
        <v>317</v>
      </c>
      <c r="L2802" s="2">
        <v>2024</v>
      </c>
      <c r="M2802" s="2" t="s">
        <v>43</v>
      </c>
      <c r="N2802" s="2" t="s">
        <v>21</v>
      </c>
      <c r="O2802">
        <f t="shared" si="86"/>
        <v>8.2340000000000373</v>
      </c>
      <c r="P2802">
        <f t="shared" si="87"/>
        <v>59.088999999999992</v>
      </c>
    </row>
    <row r="2803" spans="1:16" x14ac:dyDescent="0.35">
      <c r="A2803" s="9" t="s">
        <v>337</v>
      </c>
      <c r="B2803" s="2">
        <v>408.97199999999998</v>
      </c>
      <c r="C2803" s="2">
        <v>413.54599999999999</v>
      </c>
      <c r="D2803" s="2">
        <v>408.584</v>
      </c>
      <c r="E2803" s="2">
        <v>413.17899999999997</v>
      </c>
      <c r="F2803" s="2">
        <v>17923581</v>
      </c>
      <c r="G2803" s="2" t="s">
        <v>569</v>
      </c>
      <c r="H2803" s="2" t="s">
        <v>570</v>
      </c>
      <c r="I2803" s="2" t="s">
        <v>17</v>
      </c>
      <c r="J2803" s="3">
        <v>0.45</v>
      </c>
      <c r="K2803" s="2" t="s">
        <v>338</v>
      </c>
      <c r="L2803" s="2">
        <v>2024</v>
      </c>
      <c r="M2803" s="2" t="s">
        <v>64</v>
      </c>
      <c r="N2803" s="2" t="s">
        <v>21</v>
      </c>
      <c r="O2803">
        <f t="shared" si="86"/>
        <v>4.9619999999999891</v>
      </c>
      <c r="P2803">
        <f t="shared" si="87"/>
        <v>59.538999999999994</v>
      </c>
    </row>
    <row r="2804" spans="1:16" x14ac:dyDescent="0.35">
      <c r="A2804" s="9" t="s">
        <v>339</v>
      </c>
      <c r="B2804" s="2">
        <v>411.13</v>
      </c>
      <c r="C2804" s="2">
        <v>415.01799999999997</v>
      </c>
      <c r="D2804" s="2">
        <v>410.017</v>
      </c>
      <c r="E2804" s="2">
        <v>412.60199999999998</v>
      </c>
      <c r="F2804" s="2">
        <v>17694814</v>
      </c>
      <c r="G2804" s="2" t="s">
        <v>569</v>
      </c>
      <c r="H2804" s="2" t="s">
        <v>570</v>
      </c>
      <c r="I2804" s="2" t="s">
        <v>17</v>
      </c>
      <c r="J2804" s="4">
        <v>-0.14000000000000001</v>
      </c>
      <c r="K2804" s="2" t="s">
        <v>338</v>
      </c>
      <c r="L2804" s="2">
        <v>2024</v>
      </c>
      <c r="M2804" s="2" t="s">
        <v>64</v>
      </c>
      <c r="N2804" s="2" t="s">
        <v>23</v>
      </c>
      <c r="O2804">
        <f t="shared" si="86"/>
        <v>5.0009999999999764</v>
      </c>
      <c r="P2804">
        <f t="shared" si="87"/>
        <v>59.398999999999994</v>
      </c>
    </row>
    <row r="2805" spans="1:16" x14ac:dyDescent="0.35">
      <c r="A2805" s="9" t="s">
        <v>340</v>
      </c>
      <c r="B2805" s="2">
        <v>411.64800000000002</v>
      </c>
      <c r="C2805" s="2">
        <v>411.935</v>
      </c>
      <c r="D2805" s="2">
        <v>398.40199999999999</v>
      </c>
      <c r="E2805" s="2">
        <v>400.40100000000001</v>
      </c>
      <c r="F2805" s="2">
        <v>27070415</v>
      </c>
      <c r="G2805" s="2" t="s">
        <v>569</v>
      </c>
      <c r="H2805" s="2" t="s">
        <v>570</v>
      </c>
      <c r="I2805" s="2" t="s">
        <v>17</v>
      </c>
      <c r="J2805" s="4">
        <v>-2.9569999999999999</v>
      </c>
      <c r="K2805" s="2" t="s">
        <v>338</v>
      </c>
      <c r="L2805" s="2">
        <v>2024</v>
      </c>
      <c r="M2805" s="2" t="s">
        <v>64</v>
      </c>
      <c r="N2805" s="2" t="s">
        <v>23</v>
      </c>
      <c r="O2805">
        <f t="shared" si="86"/>
        <v>13.533000000000015</v>
      </c>
      <c r="P2805">
        <f t="shared" si="87"/>
        <v>56.441999999999993</v>
      </c>
    </row>
    <row r="2806" spans="1:16" x14ac:dyDescent="0.35">
      <c r="A2806" s="9" t="s">
        <v>341</v>
      </c>
      <c r="B2806" s="2">
        <v>400.71800000000002</v>
      </c>
      <c r="C2806" s="2">
        <v>402.89699999999999</v>
      </c>
      <c r="D2806" s="2">
        <v>396.16500000000002</v>
      </c>
      <c r="E2806" s="2">
        <v>399.84399999999999</v>
      </c>
      <c r="F2806" s="2">
        <v>22469683</v>
      </c>
      <c r="G2806" s="2" t="s">
        <v>569</v>
      </c>
      <c r="H2806" s="2" t="s">
        <v>570</v>
      </c>
      <c r="I2806" s="2" t="s">
        <v>17</v>
      </c>
      <c r="J2806" s="4">
        <v>-0.13900000000000001</v>
      </c>
      <c r="K2806" s="2" t="s">
        <v>338</v>
      </c>
      <c r="L2806" s="2">
        <v>2024</v>
      </c>
      <c r="M2806" s="2" t="s">
        <v>64</v>
      </c>
      <c r="N2806" s="2" t="s">
        <v>23</v>
      </c>
      <c r="O2806">
        <f t="shared" si="86"/>
        <v>6.7319999999999709</v>
      </c>
      <c r="P2806">
        <f t="shared" si="87"/>
        <v>56.30299999999999</v>
      </c>
    </row>
    <row r="2807" spans="1:16" x14ac:dyDescent="0.35">
      <c r="A2807" s="9" t="s">
        <v>342</v>
      </c>
      <c r="B2807" s="2">
        <v>403.85199999999998</v>
      </c>
      <c r="C2807" s="2">
        <v>407.49</v>
      </c>
      <c r="D2807" s="2">
        <v>399.99299999999999</v>
      </c>
      <c r="E2807" s="2">
        <v>406.85399999999998</v>
      </c>
      <c r="F2807" s="2">
        <v>18823643</v>
      </c>
      <c r="G2807" s="2" t="s">
        <v>569</v>
      </c>
      <c r="H2807" s="2" t="s">
        <v>570</v>
      </c>
      <c r="I2807" s="2" t="s">
        <v>17</v>
      </c>
      <c r="J2807" s="3">
        <v>1.7529999999999999</v>
      </c>
      <c r="K2807" s="2" t="s">
        <v>338</v>
      </c>
      <c r="L2807" s="2">
        <v>2024</v>
      </c>
      <c r="M2807" s="2" t="s">
        <v>64</v>
      </c>
      <c r="N2807" s="2" t="s">
        <v>21</v>
      </c>
      <c r="O2807">
        <f t="shared" si="86"/>
        <v>7.4970000000000141</v>
      </c>
      <c r="P2807">
        <f t="shared" si="87"/>
        <v>58.05599999999999</v>
      </c>
    </row>
    <row r="2808" spans="1:16" x14ac:dyDescent="0.35">
      <c r="A2808" s="9" t="s">
        <v>343</v>
      </c>
      <c r="B2808" s="2">
        <v>405.68</v>
      </c>
      <c r="C2808" s="2">
        <v>408.12700000000001</v>
      </c>
      <c r="D2808" s="2">
        <v>402.07100000000003</v>
      </c>
      <c r="E2808" s="2">
        <v>403.95</v>
      </c>
      <c r="F2808" s="2">
        <v>18103326</v>
      </c>
      <c r="G2808" s="2" t="s">
        <v>569</v>
      </c>
      <c r="H2808" s="2" t="s">
        <v>570</v>
      </c>
      <c r="I2808" s="2" t="s">
        <v>17</v>
      </c>
      <c r="J2808" s="4">
        <v>-0.71399999999999997</v>
      </c>
      <c r="K2808" s="2" t="s">
        <v>338</v>
      </c>
      <c r="L2808" s="2">
        <v>2024</v>
      </c>
      <c r="M2808" s="2" t="s">
        <v>64</v>
      </c>
      <c r="N2808" s="2" t="s">
        <v>23</v>
      </c>
      <c r="O2808">
        <f t="shared" si="86"/>
        <v>6.0559999999999832</v>
      </c>
      <c r="P2808">
        <f t="shared" si="87"/>
        <v>57.341999999999992</v>
      </c>
    </row>
    <row r="2809" spans="1:16" x14ac:dyDescent="0.35">
      <c r="A2809" s="9" t="s">
        <v>344</v>
      </c>
      <c r="B2809" s="2">
        <v>401.50599999999997</v>
      </c>
      <c r="C2809" s="2">
        <v>403.41399999999999</v>
      </c>
      <c r="D2809" s="2">
        <v>399.01799999999997</v>
      </c>
      <c r="E2809" s="2">
        <v>402.26100000000002</v>
      </c>
      <c r="F2809" s="2">
        <v>16211322</v>
      </c>
      <c r="G2809" s="2" t="s">
        <v>569</v>
      </c>
      <c r="H2809" s="2" t="s">
        <v>570</v>
      </c>
      <c r="I2809" s="2" t="s">
        <v>17</v>
      </c>
      <c r="J2809" s="4">
        <v>-0.41799999999999998</v>
      </c>
      <c r="K2809" s="2" t="s">
        <v>338</v>
      </c>
      <c r="L2809" s="2">
        <v>2024</v>
      </c>
      <c r="M2809" s="2" t="s">
        <v>64</v>
      </c>
      <c r="N2809" s="2" t="s">
        <v>23</v>
      </c>
      <c r="O2809">
        <f t="shared" si="86"/>
        <v>4.396000000000015</v>
      </c>
      <c r="P2809">
        <f t="shared" si="87"/>
        <v>56.923999999999992</v>
      </c>
    </row>
    <row r="2810" spans="1:16" x14ac:dyDescent="0.35">
      <c r="A2810" s="9" t="s">
        <v>345</v>
      </c>
      <c r="B2810" s="2">
        <v>405.34300000000002</v>
      </c>
      <c r="C2810" s="2">
        <v>413.24900000000002</v>
      </c>
      <c r="D2810" s="2">
        <v>404.517</v>
      </c>
      <c r="E2810" s="2">
        <v>412.959</v>
      </c>
      <c r="F2810" s="2">
        <v>22583171</v>
      </c>
      <c r="G2810" s="2" t="s">
        <v>569</v>
      </c>
      <c r="H2810" s="2" t="s">
        <v>570</v>
      </c>
      <c r="I2810" s="2" t="s">
        <v>17</v>
      </c>
      <c r="J2810" s="3">
        <v>2.6589999999999998</v>
      </c>
      <c r="K2810" s="2" t="s">
        <v>338</v>
      </c>
      <c r="L2810" s="2">
        <v>2024</v>
      </c>
      <c r="M2810" s="2" t="s">
        <v>64</v>
      </c>
      <c r="N2810" s="2" t="s">
        <v>21</v>
      </c>
      <c r="O2810">
        <f t="shared" si="86"/>
        <v>8.7320000000000277</v>
      </c>
      <c r="P2810">
        <f t="shared" si="87"/>
        <v>59.582999999999991</v>
      </c>
    </row>
    <row r="2811" spans="1:16" x14ac:dyDescent="0.35">
      <c r="A2811" s="9" t="s">
        <v>346</v>
      </c>
      <c r="B2811" s="2">
        <v>415.76400000000001</v>
      </c>
      <c r="C2811" s="2">
        <v>415.84399999999999</v>
      </c>
      <c r="D2811" s="2">
        <v>409.15100000000001</v>
      </c>
      <c r="E2811" s="2">
        <v>412.78199999999998</v>
      </c>
      <c r="F2811" s="2">
        <v>17212092</v>
      </c>
      <c r="G2811" s="2" t="s">
        <v>569</v>
      </c>
      <c r="H2811" s="2" t="s">
        <v>570</v>
      </c>
      <c r="I2811" s="2" t="s">
        <v>17</v>
      </c>
      <c r="J2811" s="4">
        <v>-4.2999999999999997E-2</v>
      </c>
      <c r="K2811" s="2" t="s">
        <v>338</v>
      </c>
      <c r="L2811" s="2">
        <v>2024</v>
      </c>
      <c r="M2811" s="2" t="s">
        <v>64</v>
      </c>
      <c r="N2811" s="2" t="s">
        <v>23</v>
      </c>
      <c r="O2811">
        <f t="shared" si="86"/>
        <v>6.6929999999999836</v>
      </c>
      <c r="P2811">
        <f t="shared" si="87"/>
        <v>59.539999999999992</v>
      </c>
    </row>
    <row r="2812" spans="1:16" x14ac:dyDescent="0.35">
      <c r="A2812" s="9" t="s">
        <v>347</v>
      </c>
      <c r="B2812" s="2">
        <v>417.892</v>
      </c>
      <c r="C2812" s="2">
        <v>425.43</v>
      </c>
      <c r="D2812" s="2">
        <v>415.654</v>
      </c>
      <c r="E2812" s="2">
        <v>422.84399999999999</v>
      </c>
      <c r="F2812" s="2">
        <v>34349202</v>
      </c>
      <c r="G2812" s="2" t="s">
        <v>569</v>
      </c>
      <c r="H2812" s="2" t="s">
        <v>570</v>
      </c>
      <c r="I2812" s="2" t="s">
        <v>17</v>
      </c>
      <c r="J2812" s="3">
        <v>2.4380000000000002</v>
      </c>
      <c r="K2812" s="2" t="s">
        <v>338</v>
      </c>
      <c r="L2812" s="2">
        <v>2024</v>
      </c>
      <c r="M2812" s="2" t="s">
        <v>64</v>
      </c>
      <c r="N2812" s="2" t="s">
        <v>21</v>
      </c>
      <c r="O2812">
        <f t="shared" si="86"/>
        <v>9.7760000000000105</v>
      </c>
      <c r="P2812">
        <f t="shared" si="87"/>
        <v>61.977999999999994</v>
      </c>
    </row>
    <row r="2813" spans="1:16" x14ac:dyDescent="0.35">
      <c r="A2813" s="9" t="s">
        <v>348</v>
      </c>
      <c r="B2813" s="2">
        <v>416.947</v>
      </c>
      <c r="C2813" s="2">
        <v>420.23899999999998</v>
      </c>
      <c r="D2813" s="2">
        <v>410.48399999999998</v>
      </c>
      <c r="E2813" s="2">
        <v>414.09300000000002</v>
      </c>
      <c r="F2813" s="2">
        <v>45333172</v>
      </c>
      <c r="G2813" s="2" t="s">
        <v>569</v>
      </c>
      <c r="H2813" s="2" t="s">
        <v>570</v>
      </c>
      <c r="I2813" s="2" t="s">
        <v>17</v>
      </c>
      <c r="J2813" s="4">
        <v>-2.0699999999999998</v>
      </c>
      <c r="K2813" s="2" t="s">
        <v>338</v>
      </c>
      <c r="L2813" s="2">
        <v>2024</v>
      </c>
      <c r="M2813" s="2" t="s">
        <v>64</v>
      </c>
      <c r="N2813" s="2" t="s">
        <v>23</v>
      </c>
      <c r="O2813">
        <f t="shared" si="86"/>
        <v>9.7549999999999955</v>
      </c>
      <c r="P2813">
        <f t="shared" si="87"/>
        <v>59.907999999999994</v>
      </c>
    </row>
    <row r="2814" spans="1:16" x14ac:dyDescent="0.35">
      <c r="A2814" s="9" t="s">
        <v>349</v>
      </c>
      <c r="B2814" s="2">
        <v>411.935</v>
      </c>
      <c r="C2814" s="2">
        <v>418.37900000000002</v>
      </c>
      <c r="D2814" s="2">
        <v>411.46800000000002</v>
      </c>
      <c r="E2814" s="2">
        <v>414.98899999999998</v>
      </c>
      <c r="F2814" s="2">
        <v>20218937</v>
      </c>
      <c r="G2814" s="2" t="s">
        <v>569</v>
      </c>
      <c r="H2814" s="2" t="s">
        <v>570</v>
      </c>
      <c r="I2814" s="2" t="s">
        <v>17</v>
      </c>
      <c r="J2814" s="3">
        <v>0.216</v>
      </c>
      <c r="K2814" s="2" t="s">
        <v>338</v>
      </c>
      <c r="L2814" s="2">
        <v>2024</v>
      </c>
      <c r="M2814" s="2" t="s">
        <v>64</v>
      </c>
      <c r="N2814" s="2" t="s">
        <v>21</v>
      </c>
      <c r="O2814">
        <f t="shared" si="86"/>
        <v>6.9110000000000014</v>
      </c>
      <c r="P2814">
        <f t="shared" si="87"/>
        <v>60.123999999999995</v>
      </c>
    </row>
    <row r="2815" spans="1:16" x14ac:dyDescent="0.35">
      <c r="A2815" s="9" t="s">
        <v>350</v>
      </c>
      <c r="B2815" s="2">
        <v>415.49599999999998</v>
      </c>
      <c r="C2815" s="2">
        <v>419.31</v>
      </c>
      <c r="D2815" s="2">
        <v>413.22899999999998</v>
      </c>
      <c r="E2815" s="2">
        <v>419.05500000000001</v>
      </c>
      <c r="F2815" s="2">
        <v>19949369</v>
      </c>
      <c r="G2815" s="2" t="s">
        <v>569</v>
      </c>
      <c r="H2815" s="2" t="s">
        <v>570</v>
      </c>
      <c r="I2815" s="2" t="s">
        <v>17</v>
      </c>
      <c r="J2815" s="3">
        <v>0.98</v>
      </c>
      <c r="K2815" s="2" t="s">
        <v>338</v>
      </c>
      <c r="L2815" s="2">
        <v>2024</v>
      </c>
      <c r="M2815" s="2" t="s">
        <v>64</v>
      </c>
      <c r="N2815" s="2" t="s">
        <v>21</v>
      </c>
      <c r="O2815">
        <f t="shared" si="86"/>
        <v>6.0810000000000173</v>
      </c>
      <c r="P2815">
        <f t="shared" si="87"/>
        <v>61.103999999999992</v>
      </c>
    </row>
    <row r="2816" spans="1:16" x14ac:dyDescent="0.35">
      <c r="A2816" s="9" t="s">
        <v>351</v>
      </c>
      <c r="B2816" s="2">
        <v>419.642</v>
      </c>
      <c r="C2816" s="2">
        <v>423.58</v>
      </c>
      <c r="D2816" s="2">
        <v>418.31099999999998</v>
      </c>
      <c r="E2816" s="2">
        <v>422.85399999999998</v>
      </c>
      <c r="F2816" s="2">
        <v>17960427</v>
      </c>
      <c r="G2816" s="2" t="s">
        <v>569</v>
      </c>
      <c r="H2816" s="2" t="s">
        <v>570</v>
      </c>
      <c r="I2816" s="2" t="s">
        <v>17</v>
      </c>
      <c r="J2816" s="3">
        <v>0.90700000000000003</v>
      </c>
      <c r="K2816" s="2" t="s">
        <v>338</v>
      </c>
      <c r="L2816" s="2">
        <v>2024</v>
      </c>
      <c r="M2816" s="2" t="s">
        <v>64</v>
      </c>
      <c r="N2816" s="2" t="s">
        <v>21</v>
      </c>
      <c r="O2816">
        <f t="shared" si="86"/>
        <v>5.2690000000000055</v>
      </c>
      <c r="P2816">
        <f t="shared" si="87"/>
        <v>62.010999999999996</v>
      </c>
    </row>
    <row r="2817" spans="1:16" x14ac:dyDescent="0.35">
      <c r="A2817" s="9" t="s">
        <v>352</v>
      </c>
      <c r="B2817" s="2">
        <v>427.428</v>
      </c>
      <c r="C2817" s="2">
        <v>428.41199999999998</v>
      </c>
      <c r="D2817" s="2">
        <v>424.774</v>
      </c>
      <c r="E2817" s="2">
        <v>426.971</v>
      </c>
      <c r="F2817" s="2">
        <v>21415869</v>
      </c>
      <c r="G2817" s="2" t="s">
        <v>569</v>
      </c>
      <c r="H2817" s="2" t="s">
        <v>570</v>
      </c>
      <c r="I2817" s="2" t="s">
        <v>17</v>
      </c>
      <c r="J2817" s="3">
        <v>0.97399999999999998</v>
      </c>
      <c r="K2817" s="2" t="s">
        <v>338</v>
      </c>
      <c r="L2817" s="2">
        <v>2024</v>
      </c>
      <c r="M2817" s="2" t="s">
        <v>64</v>
      </c>
      <c r="N2817" s="2" t="s">
        <v>21</v>
      </c>
      <c r="O2817">
        <f t="shared" si="86"/>
        <v>3.6379999999999768</v>
      </c>
      <c r="P2817">
        <f t="shared" si="87"/>
        <v>62.984999999999992</v>
      </c>
    </row>
    <row r="2818" spans="1:16" x14ac:dyDescent="0.35">
      <c r="A2818" s="9" t="s">
        <v>353</v>
      </c>
      <c r="B2818" s="2">
        <v>427.29899999999998</v>
      </c>
      <c r="C2818" s="2">
        <v>427.45800000000003</v>
      </c>
      <c r="D2818" s="2">
        <v>423.69</v>
      </c>
      <c r="E2818" s="2">
        <v>426.34500000000003</v>
      </c>
      <c r="F2818" s="2">
        <v>17747626</v>
      </c>
      <c r="G2818" s="2" t="s">
        <v>569</v>
      </c>
      <c r="H2818" s="2" t="s">
        <v>570</v>
      </c>
      <c r="I2818" s="2" t="s">
        <v>17</v>
      </c>
      <c r="J2818" s="4">
        <v>-0.14699999999999999</v>
      </c>
      <c r="K2818" s="2" t="s">
        <v>338</v>
      </c>
      <c r="L2818" s="2">
        <v>2024</v>
      </c>
      <c r="M2818" s="2" t="s">
        <v>64</v>
      </c>
      <c r="N2818" s="2" t="s">
        <v>23</v>
      </c>
      <c r="O2818">
        <f t="shared" si="86"/>
        <v>3.7680000000000291</v>
      </c>
      <c r="P2818">
        <f t="shared" si="87"/>
        <v>62.837999999999994</v>
      </c>
    </row>
    <row r="2819" spans="1:16" x14ac:dyDescent="0.35">
      <c r="A2819" s="9" t="s">
        <v>354</v>
      </c>
      <c r="B2819" s="2">
        <v>422.86399999999998</v>
      </c>
      <c r="C2819" s="2">
        <v>425.02100000000002</v>
      </c>
      <c r="D2819" s="2">
        <v>419.255</v>
      </c>
      <c r="E2819" s="2">
        <v>420.49799999999999</v>
      </c>
      <c r="F2819" s="2">
        <v>18161917</v>
      </c>
      <c r="G2819" s="2" t="s">
        <v>569</v>
      </c>
      <c r="H2819" s="2" t="s">
        <v>570</v>
      </c>
      <c r="I2819" s="2" t="s">
        <v>17</v>
      </c>
      <c r="J2819" s="4">
        <v>-1.371</v>
      </c>
      <c r="K2819" s="2" t="s">
        <v>338</v>
      </c>
      <c r="L2819" s="2">
        <v>2024</v>
      </c>
      <c r="M2819" s="2" t="s">
        <v>64</v>
      </c>
      <c r="N2819" s="2" t="s">
        <v>23</v>
      </c>
      <c r="O2819">
        <f t="shared" ref="O2819:O2882" si="88">C2819-D2819</f>
        <v>5.7660000000000196</v>
      </c>
      <c r="P2819">
        <f t="shared" si="87"/>
        <v>61.466999999999992</v>
      </c>
    </row>
    <row r="2820" spans="1:16" x14ac:dyDescent="0.35">
      <c r="A2820" s="9" t="s">
        <v>355</v>
      </c>
      <c r="B2820" s="2">
        <v>423.233</v>
      </c>
      <c r="C2820" s="2">
        <v>423.61</v>
      </c>
      <c r="D2820" s="2">
        <v>418.995</v>
      </c>
      <c r="E2820" s="2">
        <v>419.29500000000002</v>
      </c>
      <c r="F2820" s="2">
        <v>16819615</v>
      </c>
      <c r="G2820" s="2" t="s">
        <v>569</v>
      </c>
      <c r="H2820" s="2" t="s">
        <v>570</v>
      </c>
      <c r="I2820" s="2" t="s">
        <v>17</v>
      </c>
      <c r="J2820" s="4">
        <v>-0.28599999999999998</v>
      </c>
      <c r="K2820" s="2" t="s">
        <v>338</v>
      </c>
      <c r="L2820" s="2">
        <v>2024</v>
      </c>
      <c r="M2820" s="2" t="s">
        <v>64</v>
      </c>
      <c r="N2820" s="2" t="s">
        <v>23</v>
      </c>
      <c r="O2820">
        <f t="shared" si="88"/>
        <v>4.6150000000000091</v>
      </c>
      <c r="P2820">
        <f t="shared" ref="P2820:P2883" si="89">IF(G2820=G2819, P2819+J2820, J2820)</f>
        <v>61.18099999999999</v>
      </c>
    </row>
    <row r="2821" spans="1:16" x14ac:dyDescent="0.35">
      <c r="A2821" s="9" t="s">
        <v>356</v>
      </c>
      <c r="B2821" s="2">
        <v>422.06900000000002</v>
      </c>
      <c r="C2821" s="2">
        <v>422.07900000000001</v>
      </c>
      <c r="D2821" s="2">
        <v>416.66899999999998</v>
      </c>
      <c r="E2821" s="2">
        <v>419.07499999999999</v>
      </c>
      <c r="F2821" s="2">
        <v>16798830</v>
      </c>
      <c r="G2821" s="2" t="s">
        <v>569</v>
      </c>
      <c r="H2821" s="2" t="s">
        <v>570</v>
      </c>
      <c r="I2821" s="2" t="s">
        <v>17</v>
      </c>
      <c r="J2821" s="4">
        <v>-5.1999999999999998E-2</v>
      </c>
      <c r="K2821" s="2" t="s">
        <v>338</v>
      </c>
      <c r="L2821" s="2">
        <v>2024</v>
      </c>
      <c r="M2821" s="2" t="s">
        <v>64</v>
      </c>
      <c r="N2821" s="2" t="s">
        <v>23</v>
      </c>
      <c r="O2821">
        <f t="shared" si="88"/>
        <v>5.410000000000025</v>
      </c>
      <c r="P2821">
        <f t="shared" si="89"/>
        <v>61.128999999999991</v>
      </c>
    </row>
    <row r="2822" spans="1:16" x14ac:dyDescent="0.35">
      <c r="A2822" s="9" t="s">
        <v>357</v>
      </c>
      <c r="B2822" s="2">
        <v>418.608</v>
      </c>
      <c r="C2822" s="2">
        <v>419.512</v>
      </c>
      <c r="D2822" s="2">
        <v>416.77800000000002</v>
      </c>
      <c r="E2822" s="2">
        <v>418.37</v>
      </c>
      <c r="F2822" s="2">
        <v>21994038</v>
      </c>
      <c r="G2822" s="2" t="s">
        <v>569</v>
      </c>
      <c r="H2822" s="2" t="s">
        <v>570</v>
      </c>
      <c r="I2822" s="2" t="s">
        <v>17</v>
      </c>
      <c r="J2822" s="4">
        <v>-0.16800000000000001</v>
      </c>
      <c r="K2822" s="2" t="s">
        <v>338</v>
      </c>
      <c r="L2822" s="2">
        <v>2024</v>
      </c>
      <c r="M2822" s="2" t="s">
        <v>64</v>
      </c>
      <c r="N2822" s="2" t="s">
        <v>23</v>
      </c>
      <c r="O2822">
        <f t="shared" si="88"/>
        <v>2.7339999999999804</v>
      </c>
      <c r="P2822">
        <f t="shared" si="89"/>
        <v>60.960999999999991</v>
      </c>
    </row>
    <row r="2823" spans="1:16" x14ac:dyDescent="0.35">
      <c r="A2823" s="9" t="s">
        <v>358</v>
      </c>
      <c r="B2823" s="2">
        <v>421.58199999999999</v>
      </c>
      <c r="C2823" s="2">
        <v>425.5</v>
      </c>
      <c r="D2823" s="2">
        <v>419.86200000000002</v>
      </c>
      <c r="E2823" s="2">
        <v>422.19900000000001</v>
      </c>
      <c r="F2823" s="2">
        <v>16407627</v>
      </c>
      <c r="G2823" s="2" t="s">
        <v>569</v>
      </c>
      <c r="H2823" s="2" t="s">
        <v>570</v>
      </c>
      <c r="I2823" s="2" t="s">
        <v>17</v>
      </c>
      <c r="J2823" s="3">
        <v>0.91500000000000004</v>
      </c>
      <c r="K2823" s="2" t="s">
        <v>359</v>
      </c>
      <c r="L2823" s="2">
        <v>2024</v>
      </c>
      <c r="M2823" s="2" t="s">
        <v>89</v>
      </c>
      <c r="N2823" s="2" t="s">
        <v>21</v>
      </c>
      <c r="O2823">
        <f t="shared" si="88"/>
        <v>5.6379999999999768</v>
      </c>
      <c r="P2823">
        <f t="shared" si="89"/>
        <v>61.875999999999991</v>
      </c>
    </row>
    <row r="2824" spans="1:16" x14ac:dyDescent="0.35">
      <c r="A2824" s="9" t="s">
        <v>360</v>
      </c>
      <c r="B2824" s="2">
        <v>417.76400000000001</v>
      </c>
      <c r="C2824" s="2">
        <v>420.02</v>
      </c>
      <c r="D2824" s="2">
        <v>415.50599999999997</v>
      </c>
      <c r="E2824" s="2">
        <v>419.08499999999998</v>
      </c>
      <c r="F2824" s="2">
        <v>18012625</v>
      </c>
      <c r="G2824" s="2" t="s">
        <v>569</v>
      </c>
      <c r="H2824" s="2" t="s">
        <v>570</v>
      </c>
      <c r="I2824" s="2" t="s">
        <v>17</v>
      </c>
      <c r="J2824" s="4">
        <v>-0.73799999999999999</v>
      </c>
      <c r="K2824" s="2" t="s">
        <v>359</v>
      </c>
      <c r="L2824" s="2">
        <v>2024</v>
      </c>
      <c r="M2824" s="2" t="s">
        <v>89</v>
      </c>
      <c r="N2824" s="2" t="s">
        <v>23</v>
      </c>
      <c r="O2824">
        <f t="shared" si="88"/>
        <v>4.51400000000001</v>
      </c>
      <c r="P2824">
        <f t="shared" si="89"/>
        <v>61.137999999999991</v>
      </c>
    </row>
    <row r="2825" spans="1:16" x14ac:dyDescent="0.35">
      <c r="A2825" s="9" t="s">
        <v>361</v>
      </c>
      <c r="B2825" s="2">
        <v>417.38499999999999</v>
      </c>
      <c r="C2825" s="2">
        <v>420.89600000000002</v>
      </c>
      <c r="D2825" s="2">
        <v>416.74299999999999</v>
      </c>
      <c r="E2825" s="2">
        <v>418.101</v>
      </c>
      <c r="F2825" s="2">
        <v>16594977</v>
      </c>
      <c r="G2825" s="2" t="s">
        <v>569</v>
      </c>
      <c r="H2825" s="2" t="s">
        <v>570</v>
      </c>
      <c r="I2825" s="2" t="s">
        <v>17</v>
      </c>
      <c r="J2825" s="4">
        <v>-0.23499999999999999</v>
      </c>
      <c r="K2825" s="2" t="s">
        <v>359</v>
      </c>
      <c r="L2825" s="2">
        <v>2024</v>
      </c>
      <c r="M2825" s="2" t="s">
        <v>89</v>
      </c>
      <c r="N2825" s="2" t="s">
        <v>23</v>
      </c>
      <c r="O2825">
        <f t="shared" si="88"/>
        <v>4.15300000000002</v>
      </c>
      <c r="P2825">
        <f t="shared" si="89"/>
        <v>60.902999999999992</v>
      </c>
    </row>
    <row r="2826" spans="1:16" x14ac:dyDescent="0.35">
      <c r="A2826" s="9" t="s">
        <v>362</v>
      </c>
      <c r="B2826" s="2">
        <v>422.61599999999999</v>
      </c>
      <c r="C2826" s="2">
        <v>426.27499999999998</v>
      </c>
      <c r="D2826" s="2">
        <v>415.23700000000002</v>
      </c>
      <c r="E2826" s="2">
        <v>415.54599999999999</v>
      </c>
      <c r="F2826" s="2">
        <v>19479705</v>
      </c>
      <c r="G2826" s="2" t="s">
        <v>569</v>
      </c>
      <c r="H2826" s="2" t="s">
        <v>570</v>
      </c>
      <c r="I2826" s="2" t="s">
        <v>17</v>
      </c>
      <c r="J2826" s="4">
        <v>-0.61099999999999999</v>
      </c>
      <c r="K2826" s="2" t="s">
        <v>359</v>
      </c>
      <c r="L2826" s="2">
        <v>2024</v>
      </c>
      <c r="M2826" s="2" t="s">
        <v>89</v>
      </c>
      <c r="N2826" s="2" t="s">
        <v>23</v>
      </c>
      <c r="O2826">
        <f t="shared" si="88"/>
        <v>11.037999999999954</v>
      </c>
      <c r="P2826">
        <f t="shared" si="89"/>
        <v>60.291999999999994</v>
      </c>
    </row>
    <row r="2827" spans="1:16" x14ac:dyDescent="0.35">
      <c r="A2827" s="9" t="s">
        <v>363</v>
      </c>
      <c r="B2827" s="2">
        <v>417.66399999999999</v>
      </c>
      <c r="C2827" s="2">
        <v>424.12700000000001</v>
      </c>
      <c r="D2827" s="2">
        <v>415.983</v>
      </c>
      <c r="E2827" s="2">
        <v>423.14299999999997</v>
      </c>
      <c r="F2827" s="2">
        <v>16647769</v>
      </c>
      <c r="G2827" s="2" t="s">
        <v>569</v>
      </c>
      <c r="H2827" s="2" t="s">
        <v>570</v>
      </c>
      <c r="I2827" s="2" t="s">
        <v>17</v>
      </c>
      <c r="J2827" s="3">
        <v>1.8280000000000001</v>
      </c>
      <c r="K2827" s="2" t="s">
        <v>359</v>
      </c>
      <c r="L2827" s="2">
        <v>2024</v>
      </c>
      <c r="M2827" s="2" t="s">
        <v>89</v>
      </c>
      <c r="N2827" s="2" t="s">
        <v>21</v>
      </c>
      <c r="O2827">
        <f t="shared" si="88"/>
        <v>8.1440000000000055</v>
      </c>
      <c r="P2827">
        <f t="shared" si="89"/>
        <v>62.12</v>
      </c>
    </row>
    <row r="2828" spans="1:16" x14ac:dyDescent="0.35">
      <c r="A2828" s="9" t="s">
        <v>364</v>
      </c>
      <c r="B2828" s="2">
        <v>422.79399999999998</v>
      </c>
      <c r="C2828" s="2">
        <v>424.89400000000001</v>
      </c>
      <c r="D2828" s="2">
        <v>420.935</v>
      </c>
      <c r="E2828" s="2">
        <v>422.28699999999998</v>
      </c>
      <c r="F2828" s="2">
        <v>14341271</v>
      </c>
      <c r="G2828" s="2" t="s">
        <v>569</v>
      </c>
      <c r="H2828" s="2" t="s">
        <v>570</v>
      </c>
      <c r="I2828" s="2" t="s">
        <v>17</v>
      </c>
      <c r="J2828" s="4">
        <v>-0.20200000000000001</v>
      </c>
      <c r="K2828" s="2" t="s">
        <v>359</v>
      </c>
      <c r="L2828" s="2">
        <v>2024</v>
      </c>
      <c r="M2828" s="2" t="s">
        <v>89</v>
      </c>
      <c r="N2828" s="2" t="s">
        <v>23</v>
      </c>
      <c r="O2828">
        <f t="shared" si="88"/>
        <v>3.9590000000000032</v>
      </c>
      <c r="P2828">
        <f t="shared" si="89"/>
        <v>61.917999999999999</v>
      </c>
    </row>
    <row r="2829" spans="1:16" x14ac:dyDescent="0.35">
      <c r="A2829" s="9" t="s">
        <v>365</v>
      </c>
      <c r="B2829" s="2">
        <v>424.05700000000002</v>
      </c>
      <c r="C2829" s="2">
        <v>425.351</v>
      </c>
      <c r="D2829" s="2">
        <v>419.26499999999999</v>
      </c>
      <c r="E2829" s="2">
        <v>423.89800000000002</v>
      </c>
      <c r="F2829" s="2">
        <v>12582585</v>
      </c>
      <c r="G2829" s="2" t="s">
        <v>569</v>
      </c>
      <c r="H2829" s="2" t="s">
        <v>570</v>
      </c>
      <c r="I2829" s="2" t="s">
        <v>17</v>
      </c>
      <c r="J2829" s="3">
        <v>0.38100000000000001</v>
      </c>
      <c r="K2829" s="2" t="s">
        <v>359</v>
      </c>
      <c r="L2829" s="2">
        <v>2024</v>
      </c>
      <c r="M2829" s="2" t="s">
        <v>89</v>
      </c>
      <c r="N2829" s="2" t="s">
        <v>21</v>
      </c>
      <c r="O2829">
        <f t="shared" si="88"/>
        <v>6.0860000000000127</v>
      </c>
      <c r="P2829">
        <f t="shared" si="89"/>
        <v>62.298999999999999</v>
      </c>
    </row>
    <row r="2830" spans="1:16" x14ac:dyDescent="0.35">
      <c r="A2830" s="9" t="s">
        <v>366</v>
      </c>
      <c r="B2830" s="2">
        <v>419.83199999999999</v>
      </c>
      <c r="C2830" s="2">
        <v>421.661</v>
      </c>
      <c r="D2830" s="2">
        <v>417.35500000000002</v>
      </c>
      <c r="E2830" s="2">
        <v>420.89600000000002</v>
      </c>
      <c r="F2830" s="2">
        <v>16307689</v>
      </c>
      <c r="G2830" s="2" t="s">
        <v>569</v>
      </c>
      <c r="H2830" s="2" t="s">
        <v>570</v>
      </c>
      <c r="I2830" s="2" t="s">
        <v>17</v>
      </c>
      <c r="J2830" s="4">
        <v>-0.70799999999999996</v>
      </c>
      <c r="K2830" s="2" t="s">
        <v>359</v>
      </c>
      <c r="L2830" s="2">
        <v>2024</v>
      </c>
      <c r="M2830" s="2" t="s">
        <v>89</v>
      </c>
      <c r="N2830" s="2" t="s">
        <v>23</v>
      </c>
      <c r="O2830">
        <f t="shared" si="88"/>
        <v>4.3059999999999832</v>
      </c>
      <c r="P2830">
        <f t="shared" si="89"/>
        <v>61.591000000000001</v>
      </c>
    </row>
    <row r="2831" spans="1:16" x14ac:dyDescent="0.35">
      <c r="A2831" s="9" t="s">
        <v>367</v>
      </c>
      <c r="B2831" s="2">
        <v>423.44</v>
      </c>
      <c r="C2831" s="2">
        <v>426.971</v>
      </c>
      <c r="D2831" s="2">
        <v>420</v>
      </c>
      <c r="E2831" s="2">
        <v>425.53899999999999</v>
      </c>
      <c r="F2831" s="2">
        <v>18067362</v>
      </c>
      <c r="G2831" s="2" t="s">
        <v>569</v>
      </c>
      <c r="H2831" s="2" t="s">
        <v>570</v>
      </c>
      <c r="I2831" s="2" t="s">
        <v>17</v>
      </c>
      <c r="J2831" s="3">
        <v>1.103</v>
      </c>
      <c r="K2831" s="2" t="s">
        <v>359</v>
      </c>
      <c r="L2831" s="2">
        <v>2024</v>
      </c>
      <c r="M2831" s="2" t="s">
        <v>89</v>
      </c>
      <c r="N2831" s="2" t="s">
        <v>21</v>
      </c>
      <c r="O2831">
        <f t="shared" si="88"/>
        <v>6.9710000000000036</v>
      </c>
      <c r="P2831">
        <f t="shared" si="89"/>
        <v>62.694000000000003</v>
      </c>
    </row>
    <row r="2832" spans="1:16" x14ac:dyDescent="0.35">
      <c r="A2832" s="9" t="s">
        <v>368</v>
      </c>
      <c r="B2832" s="2">
        <v>421.68099999999998</v>
      </c>
      <c r="C2832" s="2">
        <v>422.80399999999997</v>
      </c>
      <c r="D2832" s="2">
        <v>417.42399999999998</v>
      </c>
      <c r="E2832" s="2">
        <v>419.54199999999997</v>
      </c>
      <c r="F2832" s="2">
        <v>19361922</v>
      </c>
      <c r="G2832" s="2" t="s">
        <v>569</v>
      </c>
      <c r="H2832" s="2" t="s">
        <v>570</v>
      </c>
      <c r="I2832" s="2" t="s">
        <v>17</v>
      </c>
      <c r="J2832" s="4">
        <v>-1.409</v>
      </c>
      <c r="K2832" s="2" t="s">
        <v>359</v>
      </c>
      <c r="L2832" s="2">
        <v>2024</v>
      </c>
      <c r="M2832" s="2" t="s">
        <v>89</v>
      </c>
      <c r="N2832" s="2" t="s">
        <v>23</v>
      </c>
      <c r="O2832">
        <f t="shared" si="88"/>
        <v>5.3799999999999955</v>
      </c>
      <c r="P2832">
        <f t="shared" si="89"/>
        <v>61.285000000000004</v>
      </c>
    </row>
    <row r="2833" spans="1:16" x14ac:dyDescent="0.35">
      <c r="A2833" s="9" t="s">
        <v>369</v>
      </c>
      <c r="B2833" s="2">
        <v>424.21699999999998</v>
      </c>
      <c r="C2833" s="2">
        <v>424.435</v>
      </c>
      <c r="D2833" s="2">
        <v>411.12099999999998</v>
      </c>
      <c r="E2833" s="2">
        <v>411.32900000000001</v>
      </c>
      <c r="F2833" s="2">
        <v>20387439</v>
      </c>
      <c r="G2833" s="2" t="s">
        <v>569</v>
      </c>
      <c r="H2833" s="2" t="s">
        <v>570</v>
      </c>
      <c r="I2833" s="2" t="s">
        <v>17</v>
      </c>
      <c r="J2833" s="4">
        <v>-1.958</v>
      </c>
      <c r="K2833" s="2" t="s">
        <v>359</v>
      </c>
      <c r="L2833" s="2">
        <v>2024</v>
      </c>
      <c r="M2833" s="2" t="s">
        <v>89</v>
      </c>
      <c r="N2833" s="2" t="s">
        <v>23</v>
      </c>
      <c r="O2833">
        <f t="shared" si="88"/>
        <v>13.314000000000021</v>
      </c>
      <c r="P2833">
        <f t="shared" si="89"/>
        <v>59.327000000000005</v>
      </c>
    </row>
    <row r="2834" spans="1:16" x14ac:dyDescent="0.35">
      <c r="A2834" s="9" t="s">
        <v>370</v>
      </c>
      <c r="B2834" s="2">
        <v>412.25400000000002</v>
      </c>
      <c r="C2834" s="2">
        <v>416.06299999999999</v>
      </c>
      <c r="D2834" s="2">
        <v>411.41800000000001</v>
      </c>
      <c r="E2834" s="2">
        <v>412.26400000000001</v>
      </c>
      <c r="F2834" s="2">
        <v>16859809</v>
      </c>
      <c r="G2834" s="2" t="s">
        <v>569</v>
      </c>
      <c r="H2834" s="2" t="s">
        <v>570</v>
      </c>
      <c r="I2834" s="2" t="s">
        <v>17</v>
      </c>
      <c r="J2834" s="3">
        <v>0.22700000000000001</v>
      </c>
      <c r="K2834" s="2" t="s">
        <v>359</v>
      </c>
      <c r="L2834" s="2">
        <v>2024</v>
      </c>
      <c r="M2834" s="2" t="s">
        <v>89</v>
      </c>
      <c r="N2834" s="2" t="s">
        <v>21</v>
      </c>
      <c r="O2834">
        <f t="shared" si="88"/>
        <v>4.6449999999999818</v>
      </c>
      <c r="P2834">
        <f t="shared" si="89"/>
        <v>59.554000000000002</v>
      </c>
    </row>
    <row r="2835" spans="1:16" x14ac:dyDescent="0.35">
      <c r="A2835" s="9" t="s">
        <v>371</v>
      </c>
      <c r="B2835" s="2">
        <v>414.91899999999998</v>
      </c>
      <c r="C2835" s="2">
        <v>416.54</v>
      </c>
      <c r="D2835" s="2">
        <v>408.03699999999998</v>
      </c>
      <c r="E2835" s="2">
        <v>409.53800000000001</v>
      </c>
      <c r="F2835" s="2">
        <v>15944564</v>
      </c>
      <c r="G2835" s="2" t="s">
        <v>569</v>
      </c>
      <c r="H2835" s="2" t="s">
        <v>570</v>
      </c>
      <c r="I2835" s="2" t="s">
        <v>17</v>
      </c>
      <c r="J2835" s="4">
        <v>-0.66100000000000003</v>
      </c>
      <c r="K2835" s="2" t="s">
        <v>359</v>
      </c>
      <c r="L2835" s="2">
        <v>2024</v>
      </c>
      <c r="M2835" s="2" t="s">
        <v>89</v>
      </c>
      <c r="N2835" s="2" t="s">
        <v>23</v>
      </c>
      <c r="O2835">
        <f t="shared" si="88"/>
        <v>8.5030000000000427</v>
      </c>
      <c r="P2835">
        <f t="shared" si="89"/>
        <v>58.893000000000001</v>
      </c>
    </row>
    <row r="2836" spans="1:16" x14ac:dyDescent="0.35">
      <c r="A2836" s="9" t="s">
        <v>372</v>
      </c>
      <c r="B2836" s="2">
        <v>408.33699999999999</v>
      </c>
      <c r="C2836" s="2">
        <v>409.58800000000002</v>
      </c>
      <c r="D2836" s="2">
        <v>401.69400000000002</v>
      </c>
      <c r="E2836" s="2">
        <v>402.01100000000002</v>
      </c>
      <c r="F2836" s="2">
        <v>21148067</v>
      </c>
      <c r="G2836" s="2" t="s">
        <v>569</v>
      </c>
      <c r="H2836" s="2" t="s">
        <v>570</v>
      </c>
      <c r="I2836" s="2" t="s">
        <v>17</v>
      </c>
      <c r="J2836" s="4">
        <v>-1.8380000000000001</v>
      </c>
      <c r="K2836" s="2" t="s">
        <v>359</v>
      </c>
      <c r="L2836" s="2">
        <v>2024</v>
      </c>
      <c r="M2836" s="2" t="s">
        <v>89</v>
      </c>
      <c r="N2836" s="2" t="s">
        <v>23</v>
      </c>
      <c r="O2836">
        <f t="shared" si="88"/>
        <v>7.8940000000000055</v>
      </c>
      <c r="P2836">
        <f t="shared" si="89"/>
        <v>57.055</v>
      </c>
    </row>
    <row r="2837" spans="1:16" x14ac:dyDescent="0.35">
      <c r="A2837" s="9" t="s">
        <v>373</v>
      </c>
      <c r="B2837" s="2">
        <v>401.77300000000002</v>
      </c>
      <c r="C2837" s="2">
        <v>403.125</v>
      </c>
      <c r="D2837" s="2">
        <v>395.548</v>
      </c>
      <c r="E2837" s="2">
        <v>396.89</v>
      </c>
      <c r="F2837" s="2">
        <v>30167538</v>
      </c>
      <c r="G2837" s="2" t="s">
        <v>569</v>
      </c>
      <c r="H2837" s="2" t="s">
        <v>570</v>
      </c>
      <c r="I2837" s="2" t="s">
        <v>17</v>
      </c>
      <c r="J2837" s="4">
        <v>-1.274</v>
      </c>
      <c r="K2837" s="2" t="s">
        <v>359</v>
      </c>
      <c r="L2837" s="2">
        <v>2024</v>
      </c>
      <c r="M2837" s="2" t="s">
        <v>89</v>
      </c>
      <c r="N2837" s="2" t="s">
        <v>23</v>
      </c>
      <c r="O2837">
        <f t="shared" si="88"/>
        <v>7.5769999999999982</v>
      </c>
      <c r="P2837">
        <f t="shared" si="89"/>
        <v>55.780999999999999</v>
      </c>
    </row>
    <row r="2838" spans="1:16" x14ac:dyDescent="0.35">
      <c r="A2838" s="9" t="s">
        <v>374</v>
      </c>
      <c r="B2838" s="2">
        <v>397.84500000000003</v>
      </c>
      <c r="C2838" s="2">
        <v>400.6</v>
      </c>
      <c r="D2838" s="2">
        <v>393.53800000000001</v>
      </c>
      <c r="E2838" s="2">
        <v>398.72</v>
      </c>
      <c r="F2838" s="2">
        <v>20400851</v>
      </c>
      <c r="G2838" s="2" t="s">
        <v>569</v>
      </c>
      <c r="H2838" s="2" t="s">
        <v>570</v>
      </c>
      <c r="I2838" s="2" t="s">
        <v>17</v>
      </c>
      <c r="J2838" s="3">
        <v>0.46100000000000002</v>
      </c>
      <c r="K2838" s="2" t="s">
        <v>359</v>
      </c>
      <c r="L2838" s="2">
        <v>2024</v>
      </c>
      <c r="M2838" s="2" t="s">
        <v>89</v>
      </c>
      <c r="N2838" s="2" t="s">
        <v>21</v>
      </c>
      <c r="O2838">
        <f t="shared" si="88"/>
        <v>7.0620000000000118</v>
      </c>
      <c r="P2838">
        <f t="shared" si="89"/>
        <v>56.241999999999997</v>
      </c>
    </row>
    <row r="2839" spans="1:16" x14ac:dyDescent="0.35">
      <c r="A2839" s="9" t="s">
        <v>375</v>
      </c>
      <c r="B2839" s="2">
        <v>401.976</v>
      </c>
      <c r="C2839" s="2">
        <v>405.91899999999998</v>
      </c>
      <c r="D2839" s="2">
        <v>400.80799999999999</v>
      </c>
      <c r="E2839" s="2">
        <v>405.29300000000001</v>
      </c>
      <c r="F2839" s="2">
        <v>15822901</v>
      </c>
      <c r="G2839" s="2" t="s">
        <v>569</v>
      </c>
      <c r="H2839" s="2" t="s">
        <v>570</v>
      </c>
      <c r="I2839" s="2" t="s">
        <v>17</v>
      </c>
      <c r="J2839" s="3">
        <v>1.649</v>
      </c>
      <c r="K2839" s="2" t="s">
        <v>359</v>
      </c>
      <c r="L2839" s="2">
        <v>2024</v>
      </c>
      <c r="M2839" s="2" t="s">
        <v>89</v>
      </c>
      <c r="N2839" s="2" t="s">
        <v>21</v>
      </c>
      <c r="O2839">
        <f t="shared" si="88"/>
        <v>5.11099999999999</v>
      </c>
      <c r="P2839">
        <f t="shared" si="89"/>
        <v>57.890999999999998</v>
      </c>
    </row>
    <row r="2840" spans="1:16" x14ac:dyDescent="0.35">
      <c r="A2840" s="9" t="s">
        <v>376</v>
      </c>
      <c r="B2840" s="2">
        <v>407.27199999999999</v>
      </c>
      <c r="C2840" s="2">
        <v>410.16500000000002</v>
      </c>
      <c r="D2840" s="2">
        <v>404.50700000000001</v>
      </c>
      <c r="E2840" s="2">
        <v>406.77499999999998</v>
      </c>
      <c r="F2840" s="2">
        <v>15149970</v>
      </c>
      <c r="G2840" s="2" t="s">
        <v>569</v>
      </c>
      <c r="H2840" s="2" t="s">
        <v>570</v>
      </c>
      <c r="I2840" s="2" t="s">
        <v>17</v>
      </c>
      <c r="J2840" s="3">
        <v>0.36599999999999999</v>
      </c>
      <c r="K2840" s="2" t="s">
        <v>359</v>
      </c>
      <c r="L2840" s="2">
        <v>2024</v>
      </c>
      <c r="M2840" s="2" t="s">
        <v>89</v>
      </c>
      <c r="N2840" s="2" t="s">
        <v>21</v>
      </c>
      <c r="O2840">
        <f t="shared" si="88"/>
        <v>5.6580000000000155</v>
      </c>
      <c r="P2840">
        <f t="shared" si="89"/>
        <v>58.256999999999998</v>
      </c>
    </row>
    <row r="2841" spans="1:16" x14ac:dyDescent="0.35">
      <c r="A2841" s="9" t="s">
        <v>377</v>
      </c>
      <c r="B2841" s="2">
        <v>391.82900000000001</v>
      </c>
      <c r="C2841" s="2">
        <v>397.65600000000001</v>
      </c>
      <c r="D2841" s="2">
        <v>385.86200000000002</v>
      </c>
      <c r="E2841" s="2">
        <v>396.81099999999998</v>
      </c>
      <c r="F2841" s="2">
        <v>40814474</v>
      </c>
      <c r="G2841" s="2" t="s">
        <v>569</v>
      </c>
      <c r="H2841" s="2" t="s">
        <v>570</v>
      </c>
      <c r="I2841" s="2" t="s">
        <v>17</v>
      </c>
      <c r="J2841" s="4">
        <v>-2.4500000000000002</v>
      </c>
      <c r="K2841" s="2" t="s">
        <v>359</v>
      </c>
      <c r="L2841" s="2">
        <v>2024</v>
      </c>
      <c r="M2841" s="2" t="s">
        <v>89</v>
      </c>
      <c r="N2841" s="2" t="s">
        <v>23</v>
      </c>
      <c r="O2841">
        <f t="shared" si="88"/>
        <v>11.793999999999983</v>
      </c>
      <c r="P2841">
        <f t="shared" si="89"/>
        <v>55.806999999999995</v>
      </c>
    </row>
    <row r="2842" spans="1:16" x14ac:dyDescent="0.35">
      <c r="A2842" s="9" t="s">
        <v>378</v>
      </c>
      <c r="B2842" s="2">
        <v>409.86799999999999</v>
      </c>
      <c r="C2842" s="2">
        <v>410.69200000000001</v>
      </c>
      <c r="D2842" s="2">
        <v>403.49299999999999</v>
      </c>
      <c r="E2842" s="2">
        <v>404.04899999999998</v>
      </c>
      <c r="F2842" s="2">
        <v>29861485</v>
      </c>
      <c r="G2842" s="2" t="s">
        <v>569</v>
      </c>
      <c r="H2842" s="2" t="s">
        <v>570</v>
      </c>
      <c r="I2842" s="2" t="s">
        <v>17</v>
      </c>
      <c r="J2842" s="3">
        <v>1.8240000000000001</v>
      </c>
      <c r="K2842" s="2" t="s">
        <v>359</v>
      </c>
      <c r="L2842" s="2">
        <v>2024</v>
      </c>
      <c r="M2842" s="2" t="s">
        <v>89</v>
      </c>
      <c r="N2842" s="2" t="s">
        <v>21</v>
      </c>
      <c r="O2842">
        <f t="shared" si="88"/>
        <v>7.1990000000000123</v>
      </c>
      <c r="P2842">
        <f t="shared" si="89"/>
        <v>57.630999999999993</v>
      </c>
    </row>
    <row r="2843" spans="1:16" x14ac:dyDescent="0.35">
      <c r="A2843" s="9" t="s">
        <v>379</v>
      </c>
      <c r="B2843" s="2">
        <v>402.98500000000001</v>
      </c>
      <c r="C2843" s="2">
        <v>404.04899999999998</v>
      </c>
      <c r="D2843" s="2">
        <v>396.959</v>
      </c>
      <c r="E2843" s="2">
        <v>400.00299999999999</v>
      </c>
      <c r="F2843" s="2">
        <v>19692107</v>
      </c>
      <c r="G2843" s="2" t="s">
        <v>569</v>
      </c>
      <c r="H2843" s="2" t="s">
        <v>570</v>
      </c>
      <c r="I2843" s="2" t="s">
        <v>17</v>
      </c>
      <c r="J2843" s="4">
        <v>-1.0009999999999999</v>
      </c>
      <c r="K2843" s="2" t="s">
        <v>359</v>
      </c>
      <c r="L2843" s="2">
        <v>2024</v>
      </c>
      <c r="M2843" s="2" t="s">
        <v>89</v>
      </c>
      <c r="N2843" s="2" t="s">
        <v>23</v>
      </c>
      <c r="O2843">
        <f t="shared" si="88"/>
        <v>7.089999999999975</v>
      </c>
      <c r="P2843">
        <f t="shared" si="89"/>
        <v>56.629999999999995</v>
      </c>
    </row>
    <row r="2844" spans="1:16" x14ac:dyDescent="0.35">
      <c r="A2844" s="9" t="s">
        <v>380</v>
      </c>
      <c r="B2844" s="2">
        <v>399.24700000000001</v>
      </c>
      <c r="C2844" s="2">
        <v>399.91399999999999</v>
      </c>
      <c r="D2844" s="2">
        <v>386.995</v>
      </c>
      <c r="E2844" s="2">
        <v>387.15499999999997</v>
      </c>
      <c r="F2844" s="2">
        <v>28943074</v>
      </c>
      <c r="G2844" s="2" t="s">
        <v>569</v>
      </c>
      <c r="H2844" s="2" t="s">
        <v>570</v>
      </c>
      <c r="I2844" s="2" t="s">
        <v>17</v>
      </c>
      <c r="J2844" s="4">
        <v>-3.2120000000000002</v>
      </c>
      <c r="K2844" s="2" t="s">
        <v>359</v>
      </c>
      <c r="L2844" s="2">
        <v>2024</v>
      </c>
      <c r="M2844" s="2" t="s">
        <v>89</v>
      </c>
      <c r="N2844" s="2" t="s">
        <v>23</v>
      </c>
      <c r="O2844">
        <f t="shared" si="88"/>
        <v>12.918999999999983</v>
      </c>
      <c r="P2844">
        <f t="shared" si="89"/>
        <v>53.417999999999992</v>
      </c>
    </row>
    <row r="2845" spans="1:16" x14ac:dyDescent="0.35">
      <c r="A2845" s="9" t="s">
        <v>381</v>
      </c>
      <c r="B2845" s="2">
        <v>390.41699999999997</v>
      </c>
      <c r="C2845" s="2">
        <v>399.476</v>
      </c>
      <c r="D2845" s="2">
        <v>388.12900000000002</v>
      </c>
      <c r="E2845" s="2">
        <v>392.73399999999998</v>
      </c>
      <c r="F2845" s="2">
        <v>23694860</v>
      </c>
      <c r="G2845" s="2" t="s">
        <v>569</v>
      </c>
      <c r="H2845" s="2" t="s">
        <v>570</v>
      </c>
      <c r="I2845" s="2" t="s">
        <v>17</v>
      </c>
      <c r="J2845" s="3">
        <v>1.4410000000000001</v>
      </c>
      <c r="K2845" s="2" t="s">
        <v>382</v>
      </c>
      <c r="L2845" s="2">
        <v>2024</v>
      </c>
      <c r="M2845" s="2" t="s">
        <v>110</v>
      </c>
      <c r="N2845" s="2" t="s">
        <v>21</v>
      </c>
      <c r="O2845">
        <f t="shared" si="88"/>
        <v>11.34699999999998</v>
      </c>
      <c r="P2845">
        <f t="shared" si="89"/>
        <v>54.858999999999995</v>
      </c>
    </row>
    <row r="2846" spans="1:16" x14ac:dyDescent="0.35">
      <c r="A2846" s="9" t="s">
        <v>383</v>
      </c>
      <c r="B2846" s="2">
        <v>395.43799999999999</v>
      </c>
      <c r="C2846" s="2">
        <v>397.69600000000003</v>
      </c>
      <c r="D2846" s="2">
        <v>392.44600000000003</v>
      </c>
      <c r="E2846" s="2">
        <v>395.61799999999999</v>
      </c>
      <c r="F2846" s="2">
        <v>17808859</v>
      </c>
      <c r="G2846" s="2" t="s">
        <v>569</v>
      </c>
      <c r="H2846" s="2" t="s">
        <v>570</v>
      </c>
      <c r="I2846" s="2" t="s">
        <v>17</v>
      </c>
      <c r="J2846" s="3">
        <v>0.73399999999999999</v>
      </c>
      <c r="K2846" s="2" t="s">
        <v>382</v>
      </c>
      <c r="L2846" s="2">
        <v>2024</v>
      </c>
      <c r="M2846" s="2" t="s">
        <v>110</v>
      </c>
      <c r="N2846" s="2" t="s">
        <v>21</v>
      </c>
      <c r="O2846">
        <f t="shared" si="88"/>
        <v>5.25</v>
      </c>
      <c r="P2846">
        <f t="shared" si="89"/>
        <v>55.592999999999996</v>
      </c>
    </row>
    <row r="2847" spans="1:16" x14ac:dyDescent="0.35">
      <c r="A2847" s="9" t="s">
        <v>384</v>
      </c>
      <c r="B2847" s="2">
        <v>400.03300000000002</v>
      </c>
      <c r="C2847" s="2">
        <v>404.87599999999998</v>
      </c>
      <c r="D2847" s="2">
        <v>399.61399999999998</v>
      </c>
      <c r="E2847" s="2">
        <v>404.38900000000001</v>
      </c>
      <c r="F2847" s="2">
        <v>17544743</v>
      </c>
      <c r="G2847" s="2" t="s">
        <v>569</v>
      </c>
      <c r="H2847" s="2" t="s">
        <v>570</v>
      </c>
      <c r="I2847" s="2" t="s">
        <v>17</v>
      </c>
      <c r="J2847" s="3">
        <v>2.2170000000000001</v>
      </c>
      <c r="K2847" s="2" t="s">
        <v>382</v>
      </c>
      <c r="L2847" s="2">
        <v>2024</v>
      </c>
      <c r="M2847" s="2" t="s">
        <v>110</v>
      </c>
      <c r="N2847" s="2" t="s">
        <v>21</v>
      </c>
      <c r="O2847">
        <f t="shared" si="88"/>
        <v>5.2620000000000005</v>
      </c>
      <c r="P2847">
        <f t="shared" si="89"/>
        <v>57.809999999999995</v>
      </c>
    </row>
    <row r="2848" spans="1:16" x14ac:dyDescent="0.35">
      <c r="A2848" s="9" t="s">
        <v>385</v>
      </c>
      <c r="B2848" s="2">
        <v>406.476</v>
      </c>
      <c r="C2848" s="2">
        <v>411.61799999999999</v>
      </c>
      <c r="D2848" s="2">
        <v>404.09899999999999</v>
      </c>
      <c r="E2848" s="2">
        <v>411.22899999999998</v>
      </c>
      <c r="F2848" s="2">
        <v>17092130</v>
      </c>
      <c r="G2848" s="2" t="s">
        <v>569</v>
      </c>
      <c r="H2848" s="2" t="s">
        <v>570</v>
      </c>
      <c r="I2848" s="2" t="s">
        <v>17</v>
      </c>
      <c r="J2848" s="3">
        <v>1.6910000000000001</v>
      </c>
      <c r="K2848" s="2" t="s">
        <v>382</v>
      </c>
      <c r="L2848" s="2">
        <v>2024</v>
      </c>
      <c r="M2848" s="2" t="s">
        <v>110</v>
      </c>
      <c r="N2848" s="2" t="s">
        <v>21</v>
      </c>
      <c r="O2848">
        <f t="shared" si="88"/>
        <v>7.5190000000000055</v>
      </c>
      <c r="P2848">
        <f t="shared" si="89"/>
        <v>59.500999999999998</v>
      </c>
    </row>
    <row r="2849" spans="1:16" x14ac:dyDescent="0.35">
      <c r="A2849" s="9" t="s">
        <v>386</v>
      </c>
      <c r="B2849" s="2">
        <v>412.34300000000002</v>
      </c>
      <c r="C2849" s="2">
        <v>412.35300000000001</v>
      </c>
      <c r="D2849" s="2">
        <v>406.80399999999997</v>
      </c>
      <c r="E2849" s="2">
        <v>407.053</v>
      </c>
      <c r="F2849" s="2">
        <v>20130695</v>
      </c>
      <c r="G2849" s="2" t="s">
        <v>569</v>
      </c>
      <c r="H2849" s="2" t="s">
        <v>570</v>
      </c>
      <c r="I2849" s="2" t="s">
        <v>17</v>
      </c>
      <c r="J2849" s="4">
        <v>-1.0149999999999999</v>
      </c>
      <c r="K2849" s="2" t="s">
        <v>382</v>
      </c>
      <c r="L2849" s="2">
        <v>2024</v>
      </c>
      <c r="M2849" s="2" t="s">
        <v>110</v>
      </c>
      <c r="N2849" s="2" t="s">
        <v>23</v>
      </c>
      <c r="O2849">
        <f t="shared" si="88"/>
        <v>5.549000000000035</v>
      </c>
      <c r="P2849">
        <f t="shared" si="89"/>
        <v>58.485999999999997</v>
      </c>
    </row>
    <row r="2850" spans="1:16" x14ac:dyDescent="0.35">
      <c r="A2850" s="9" t="s">
        <v>387</v>
      </c>
      <c r="B2850" s="2">
        <v>405.89</v>
      </c>
      <c r="C2850" s="2">
        <v>409.92700000000002</v>
      </c>
      <c r="D2850" s="2">
        <v>404.44099999999997</v>
      </c>
      <c r="E2850" s="2">
        <v>408.24700000000001</v>
      </c>
      <c r="F2850" s="2">
        <v>11858559</v>
      </c>
      <c r="G2850" s="2" t="s">
        <v>569</v>
      </c>
      <c r="H2850" s="2" t="s">
        <v>570</v>
      </c>
      <c r="I2850" s="2" t="s">
        <v>17</v>
      </c>
      <c r="J2850" s="3">
        <v>0.29299999999999998</v>
      </c>
      <c r="K2850" s="2" t="s">
        <v>382</v>
      </c>
      <c r="L2850" s="2">
        <v>2024</v>
      </c>
      <c r="M2850" s="2" t="s">
        <v>110</v>
      </c>
      <c r="N2850" s="2" t="s">
        <v>21</v>
      </c>
      <c r="O2850">
        <f t="shared" si="88"/>
        <v>5.4860000000000468</v>
      </c>
      <c r="P2850">
        <f t="shared" si="89"/>
        <v>58.778999999999996</v>
      </c>
    </row>
    <row r="2851" spans="1:16" x14ac:dyDescent="0.35">
      <c r="A2851" s="9" t="s">
        <v>388</v>
      </c>
      <c r="B2851" s="2">
        <v>408.27699999999999</v>
      </c>
      <c r="C2851" s="2">
        <v>410.41399999999999</v>
      </c>
      <c r="D2851" s="2">
        <v>406.81400000000002</v>
      </c>
      <c r="E2851" s="2">
        <v>410.017</v>
      </c>
      <c r="F2851" s="2">
        <v>14772257</v>
      </c>
      <c r="G2851" s="2" t="s">
        <v>569</v>
      </c>
      <c r="H2851" s="2" t="s">
        <v>570</v>
      </c>
      <c r="I2851" s="2" t="s">
        <v>17</v>
      </c>
      <c r="J2851" s="3">
        <v>0.434</v>
      </c>
      <c r="K2851" s="2" t="s">
        <v>382</v>
      </c>
      <c r="L2851" s="2">
        <v>2024</v>
      </c>
      <c r="M2851" s="2" t="s">
        <v>110</v>
      </c>
      <c r="N2851" s="2" t="s">
        <v>21</v>
      </c>
      <c r="O2851">
        <f t="shared" si="88"/>
        <v>3.5999999999999659</v>
      </c>
      <c r="P2851">
        <f t="shared" si="89"/>
        <v>59.212999999999994</v>
      </c>
    </row>
    <row r="2852" spans="1:16" x14ac:dyDescent="0.35">
      <c r="A2852" s="9" t="s">
        <v>389</v>
      </c>
      <c r="B2852" s="2">
        <v>410.62799999999999</v>
      </c>
      <c r="C2852" s="2">
        <v>413.05900000000003</v>
      </c>
      <c r="D2852" s="2">
        <v>409.49900000000002</v>
      </c>
      <c r="E2852" s="2">
        <v>412.42200000000003</v>
      </c>
      <c r="F2852" s="2">
        <v>13477578</v>
      </c>
      <c r="G2852" s="2" t="s">
        <v>569</v>
      </c>
      <c r="H2852" s="2" t="s">
        <v>570</v>
      </c>
      <c r="I2852" s="2" t="s">
        <v>17</v>
      </c>
      <c r="J2852" s="3">
        <v>0.58699999999999997</v>
      </c>
      <c r="K2852" s="2" t="s">
        <v>382</v>
      </c>
      <c r="L2852" s="2">
        <v>2024</v>
      </c>
      <c r="M2852" s="2" t="s">
        <v>110</v>
      </c>
      <c r="N2852" s="2" t="s">
        <v>21</v>
      </c>
      <c r="O2852">
        <f t="shared" si="88"/>
        <v>3.5600000000000023</v>
      </c>
      <c r="P2852">
        <f t="shared" si="89"/>
        <v>59.8</v>
      </c>
    </row>
    <row r="2853" spans="1:16" x14ac:dyDescent="0.35">
      <c r="A2853" s="9" t="s">
        <v>390</v>
      </c>
      <c r="B2853" s="2">
        <v>415.67399999999998</v>
      </c>
      <c r="C2853" s="2">
        <v>416.01100000000002</v>
      </c>
      <c r="D2853" s="2">
        <v>408.524</v>
      </c>
      <c r="E2853" s="2">
        <v>411.40899999999999</v>
      </c>
      <c r="F2853" s="2">
        <v>15526972</v>
      </c>
      <c r="G2853" s="2" t="s">
        <v>569</v>
      </c>
      <c r="H2853" s="2" t="s">
        <v>570</v>
      </c>
      <c r="I2853" s="2" t="s">
        <v>17</v>
      </c>
      <c r="J2853" s="4">
        <v>-0.246</v>
      </c>
      <c r="K2853" s="2" t="s">
        <v>382</v>
      </c>
      <c r="L2853" s="2">
        <v>2024</v>
      </c>
      <c r="M2853" s="2" t="s">
        <v>110</v>
      </c>
      <c r="N2853" s="2" t="s">
        <v>23</v>
      </c>
      <c r="O2853">
        <f t="shared" si="88"/>
        <v>7.4870000000000232</v>
      </c>
      <c r="P2853">
        <f t="shared" si="89"/>
        <v>59.553999999999995</v>
      </c>
    </row>
    <row r="2854" spans="1:16" x14ac:dyDescent="0.35">
      <c r="A2854" s="9" t="s">
        <v>391</v>
      </c>
      <c r="B2854" s="2">
        <v>409.71800000000002</v>
      </c>
      <c r="C2854" s="2">
        <v>415.15699999999998</v>
      </c>
      <c r="D2854" s="2">
        <v>409.25099999999998</v>
      </c>
      <c r="E2854" s="2">
        <v>414.233</v>
      </c>
      <c r="F2854" s="2">
        <v>15194193</v>
      </c>
      <c r="G2854" s="2" t="s">
        <v>569</v>
      </c>
      <c r="H2854" s="2" t="s">
        <v>570</v>
      </c>
      <c r="I2854" s="2" t="s">
        <v>17</v>
      </c>
      <c r="J2854" s="3">
        <v>0.68600000000000005</v>
      </c>
      <c r="K2854" s="2" t="s">
        <v>382</v>
      </c>
      <c r="L2854" s="2">
        <v>2024</v>
      </c>
      <c r="M2854" s="2" t="s">
        <v>110</v>
      </c>
      <c r="N2854" s="2" t="s">
        <v>21</v>
      </c>
      <c r="O2854">
        <f t="shared" si="88"/>
        <v>5.9060000000000059</v>
      </c>
      <c r="P2854">
        <f t="shared" si="89"/>
        <v>60.239999999999995</v>
      </c>
    </row>
    <row r="2855" spans="1:16" x14ac:dyDescent="0.35">
      <c r="A2855" s="9" t="s">
        <v>392</v>
      </c>
      <c r="B2855" s="2">
        <v>416.315</v>
      </c>
      <c r="C2855" s="2">
        <v>422.202</v>
      </c>
      <c r="D2855" s="2">
        <v>415.68700000000001</v>
      </c>
      <c r="E2855" s="2">
        <v>421.47500000000002</v>
      </c>
      <c r="F2855" s="2">
        <v>22324213</v>
      </c>
      <c r="G2855" s="2" t="s">
        <v>569</v>
      </c>
      <c r="H2855" s="2" t="s">
        <v>570</v>
      </c>
      <c r="I2855" s="2" t="s">
        <v>17</v>
      </c>
      <c r="J2855" s="3">
        <v>1.748</v>
      </c>
      <c r="K2855" s="2" t="s">
        <v>382</v>
      </c>
      <c r="L2855" s="2">
        <v>2024</v>
      </c>
      <c r="M2855" s="2" t="s">
        <v>110</v>
      </c>
      <c r="N2855" s="2" t="s">
        <v>21</v>
      </c>
      <c r="O2855">
        <f t="shared" si="88"/>
        <v>6.5149999999999864</v>
      </c>
      <c r="P2855">
        <f t="shared" si="89"/>
        <v>61.987999999999992</v>
      </c>
    </row>
    <row r="2856" spans="1:16" x14ac:dyDescent="0.35">
      <c r="A2856" s="9" t="s">
        <v>393</v>
      </c>
      <c r="B2856" s="2">
        <v>420.2</v>
      </c>
      <c r="C2856" s="2">
        <v>423.80700000000002</v>
      </c>
      <c r="D2856" s="2">
        <v>418.75599999999997</v>
      </c>
      <c r="E2856" s="2">
        <v>419.39400000000001</v>
      </c>
      <c r="F2856" s="2">
        <v>17596798</v>
      </c>
      <c r="G2856" s="2" t="s">
        <v>569</v>
      </c>
      <c r="H2856" s="2" t="s">
        <v>570</v>
      </c>
      <c r="I2856" s="2" t="s">
        <v>17</v>
      </c>
      <c r="J2856" s="4">
        <v>-0.49399999999999999</v>
      </c>
      <c r="K2856" s="2" t="s">
        <v>382</v>
      </c>
      <c r="L2856" s="2">
        <v>2024</v>
      </c>
      <c r="M2856" s="2" t="s">
        <v>110</v>
      </c>
      <c r="N2856" s="2" t="s">
        <v>23</v>
      </c>
      <c r="O2856">
        <f t="shared" si="88"/>
        <v>5.0510000000000446</v>
      </c>
      <c r="P2856">
        <f t="shared" si="89"/>
        <v>61.493999999999993</v>
      </c>
    </row>
    <row r="2857" spans="1:16" x14ac:dyDescent="0.35">
      <c r="A2857" s="9" t="s">
        <v>394</v>
      </c>
      <c r="B2857" s="2">
        <v>420.93700000000001</v>
      </c>
      <c r="C2857" s="2">
        <v>421.31599999999997</v>
      </c>
      <c r="D2857" s="2">
        <v>416.43900000000002</v>
      </c>
      <c r="E2857" s="2">
        <v>418.61599999999999</v>
      </c>
      <c r="F2857" s="2">
        <v>15410695</v>
      </c>
      <c r="G2857" s="2" t="s">
        <v>569</v>
      </c>
      <c r="H2857" s="2" t="s">
        <v>570</v>
      </c>
      <c r="I2857" s="2" t="s">
        <v>17</v>
      </c>
      <c r="J2857" s="4">
        <v>-0.186</v>
      </c>
      <c r="K2857" s="2" t="s">
        <v>382</v>
      </c>
      <c r="L2857" s="2">
        <v>2024</v>
      </c>
      <c r="M2857" s="2" t="s">
        <v>110</v>
      </c>
      <c r="N2857" s="2" t="s">
        <v>23</v>
      </c>
      <c r="O2857">
        <f t="shared" si="88"/>
        <v>4.8769999999999527</v>
      </c>
      <c r="P2857">
        <f t="shared" si="89"/>
        <v>61.307999999999993</v>
      </c>
    </row>
    <row r="2858" spans="1:16" x14ac:dyDescent="0.35">
      <c r="A2858" s="9" t="s">
        <v>395</v>
      </c>
      <c r="B2858" s="2">
        <v>418.61599999999999</v>
      </c>
      <c r="C2858" s="2">
        <v>425.15100000000001</v>
      </c>
      <c r="D2858" s="2">
        <v>418.39699999999999</v>
      </c>
      <c r="E2858" s="2">
        <v>423.72699999999998</v>
      </c>
      <c r="F2858" s="2">
        <v>16334095</v>
      </c>
      <c r="G2858" s="2" t="s">
        <v>569</v>
      </c>
      <c r="H2858" s="2" t="s">
        <v>570</v>
      </c>
      <c r="I2858" s="2" t="s">
        <v>17</v>
      </c>
      <c r="J2858" s="3">
        <v>1.2210000000000001</v>
      </c>
      <c r="K2858" s="2" t="s">
        <v>382</v>
      </c>
      <c r="L2858" s="2">
        <v>2024</v>
      </c>
      <c r="M2858" s="2" t="s">
        <v>110</v>
      </c>
      <c r="N2858" s="2" t="s">
        <v>21</v>
      </c>
      <c r="O2858">
        <f t="shared" si="88"/>
        <v>6.7540000000000191</v>
      </c>
      <c r="P2858">
        <f t="shared" si="89"/>
        <v>62.528999999999996</v>
      </c>
    </row>
    <row r="2859" spans="1:16" x14ac:dyDescent="0.35">
      <c r="A2859" s="9" t="s">
        <v>396</v>
      </c>
      <c r="B2859" s="2">
        <v>425.20600000000002</v>
      </c>
      <c r="C2859" s="2">
        <v>431.32799999999997</v>
      </c>
      <c r="D2859" s="2">
        <v>423.23899999999998</v>
      </c>
      <c r="E2859" s="2">
        <v>427.41199999999998</v>
      </c>
      <c r="F2859" s="2">
        <v>21534941</v>
      </c>
      <c r="G2859" s="2" t="s">
        <v>569</v>
      </c>
      <c r="H2859" s="2" t="s">
        <v>570</v>
      </c>
      <c r="I2859" s="2" t="s">
        <v>17</v>
      </c>
      <c r="J2859" s="3">
        <v>0.87</v>
      </c>
      <c r="K2859" s="2" t="s">
        <v>382</v>
      </c>
      <c r="L2859" s="2">
        <v>2024</v>
      </c>
      <c r="M2859" s="2" t="s">
        <v>110</v>
      </c>
      <c r="N2859" s="2" t="s">
        <v>21</v>
      </c>
      <c r="O2859">
        <f t="shared" si="88"/>
        <v>8.0889999999999986</v>
      </c>
      <c r="P2859">
        <f t="shared" si="89"/>
        <v>63.398999999999994</v>
      </c>
    </row>
    <row r="2860" spans="1:16" x14ac:dyDescent="0.35">
      <c r="A2860" s="9" t="s">
        <v>397</v>
      </c>
      <c r="B2860" s="2">
        <v>428.45800000000003</v>
      </c>
      <c r="C2860" s="2">
        <v>430.77</v>
      </c>
      <c r="D2860" s="2">
        <v>425.51</v>
      </c>
      <c r="E2860" s="2">
        <v>428.887</v>
      </c>
      <c r="F2860" s="2">
        <v>18142516</v>
      </c>
      <c r="G2860" s="2" t="s">
        <v>569</v>
      </c>
      <c r="H2860" s="2" t="s">
        <v>570</v>
      </c>
      <c r="I2860" s="2" t="s">
        <v>17</v>
      </c>
      <c r="J2860" s="3">
        <v>0.34499999999999997</v>
      </c>
      <c r="K2860" s="2" t="s">
        <v>382</v>
      </c>
      <c r="L2860" s="2">
        <v>2024</v>
      </c>
      <c r="M2860" s="2" t="s">
        <v>110</v>
      </c>
      <c r="N2860" s="2" t="s">
        <v>21</v>
      </c>
      <c r="O2860">
        <f t="shared" si="88"/>
        <v>5.2599999999999909</v>
      </c>
      <c r="P2860">
        <f t="shared" si="89"/>
        <v>63.743999999999993</v>
      </c>
    </row>
    <row r="2861" spans="1:16" x14ac:dyDescent="0.35">
      <c r="A2861" s="9" t="s">
        <v>398</v>
      </c>
      <c r="B2861" s="2">
        <v>431.32799999999997</v>
      </c>
      <c r="C2861" s="2">
        <v>431.95499999999998</v>
      </c>
      <c r="D2861" s="2">
        <v>423.81099999999998</v>
      </c>
      <c r="E2861" s="2">
        <v>425.38099999999997</v>
      </c>
      <c r="F2861" s="2">
        <v>17277225</v>
      </c>
      <c r="G2861" s="2" t="s">
        <v>569</v>
      </c>
      <c r="H2861" s="2" t="s">
        <v>570</v>
      </c>
      <c r="I2861" s="2" t="s">
        <v>17</v>
      </c>
      <c r="J2861" s="4">
        <v>-0.81699999999999995</v>
      </c>
      <c r="K2861" s="2" t="s">
        <v>382</v>
      </c>
      <c r="L2861" s="2">
        <v>2024</v>
      </c>
      <c r="M2861" s="2" t="s">
        <v>110</v>
      </c>
      <c r="N2861" s="2" t="s">
        <v>23</v>
      </c>
      <c r="O2861">
        <f t="shared" si="88"/>
        <v>8.1440000000000055</v>
      </c>
      <c r="P2861">
        <f t="shared" si="89"/>
        <v>62.926999999999992</v>
      </c>
    </row>
    <row r="2862" spans="1:16" x14ac:dyDescent="0.35">
      <c r="A2862" s="9" t="s">
        <v>399</v>
      </c>
      <c r="B2862" s="2">
        <v>425.56900000000002</v>
      </c>
      <c r="C2862" s="2">
        <v>429.41899999999998</v>
      </c>
      <c r="D2862" s="2">
        <v>422.8</v>
      </c>
      <c r="E2862" s="2">
        <v>428.52800000000002</v>
      </c>
      <c r="F2862" s="2">
        <v>11900425</v>
      </c>
      <c r="G2862" s="2" t="s">
        <v>569</v>
      </c>
      <c r="H2862" s="2" t="s">
        <v>570</v>
      </c>
      <c r="I2862" s="2" t="s">
        <v>17</v>
      </c>
      <c r="J2862" s="3">
        <v>0.74</v>
      </c>
      <c r="K2862" s="2" t="s">
        <v>382</v>
      </c>
      <c r="L2862" s="2">
        <v>2024</v>
      </c>
      <c r="M2862" s="2" t="s">
        <v>110</v>
      </c>
      <c r="N2862" s="2" t="s">
        <v>21</v>
      </c>
      <c r="O2862">
        <f t="shared" si="88"/>
        <v>6.6189999999999714</v>
      </c>
      <c r="P2862">
        <f t="shared" si="89"/>
        <v>63.666999999999994</v>
      </c>
    </row>
    <row r="2863" spans="1:16" x14ac:dyDescent="0.35">
      <c r="A2863" s="9" t="s">
        <v>400</v>
      </c>
      <c r="B2863" s="2">
        <v>428</v>
      </c>
      <c r="C2863" s="2">
        <v>429.18599999999998</v>
      </c>
      <c r="D2863" s="2">
        <v>424.98099999999999</v>
      </c>
      <c r="E2863" s="2">
        <v>428.68799999999999</v>
      </c>
      <c r="F2863" s="2">
        <v>15777872</v>
      </c>
      <c r="G2863" s="2" t="s">
        <v>569</v>
      </c>
      <c r="H2863" s="2" t="s">
        <v>570</v>
      </c>
      <c r="I2863" s="2" t="s">
        <v>17</v>
      </c>
      <c r="J2863" s="3">
        <v>3.6999999999999998E-2</v>
      </c>
      <c r="K2863" s="2" t="s">
        <v>382</v>
      </c>
      <c r="L2863" s="2">
        <v>2024</v>
      </c>
      <c r="M2863" s="2" t="s">
        <v>110</v>
      </c>
      <c r="N2863" s="2" t="s">
        <v>21</v>
      </c>
      <c r="O2863">
        <f t="shared" si="88"/>
        <v>4.2049999999999841</v>
      </c>
      <c r="P2863">
        <f t="shared" si="89"/>
        <v>63.703999999999994</v>
      </c>
    </row>
    <row r="2864" spans="1:16" x14ac:dyDescent="0.35">
      <c r="A2864" s="9" t="s">
        <v>401</v>
      </c>
      <c r="B2864" s="2">
        <v>424.07499999999999</v>
      </c>
      <c r="C2864" s="2">
        <v>429.30599999999998</v>
      </c>
      <c r="D2864" s="2">
        <v>424.07499999999999</v>
      </c>
      <c r="E2864" s="2">
        <v>427.54199999999997</v>
      </c>
      <c r="F2864" s="2">
        <v>15576213</v>
      </c>
      <c r="G2864" s="2" t="s">
        <v>569</v>
      </c>
      <c r="H2864" s="2" t="s">
        <v>570</v>
      </c>
      <c r="I2864" s="2" t="s">
        <v>17</v>
      </c>
      <c r="J2864" s="4">
        <v>-0.26700000000000002</v>
      </c>
      <c r="K2864" s="2" t="s">
        <v>382</v>
      </c>
      <c r="L2864" s="2">
        <v>2024</v>
      </c>
      <c r="M2864" s="2" t="s">
        <v>110</v>
      </c>
      <c r="N2864" s="2" t="s">
        <v>23</v>
      </c>
      <c r="O2864">
        <f t="shared" si="88"/>
        <v>5.2309999999999945</v>
      </c>
      <c r="P2864">
        <f t="shared" si="89"/>
        <v>63.436999999999991</v>
      </c>
    </row>
    <row r="2865" spans="1:16" x14ac:dyDescent="0.35">
      <c r="A2865" s="9" t="s">
        <v>402</v>
      </c>
      <c r="B2865" s="2">
        <v>422.69099999999997</v>
      </c>
      <c r="C2865" s="2">
        <v>422.69099999999997</v>
      </c>
      <c r="D2865" s="2">
        <v>412.66899999999998</v>
      </c>
      <c r="E2865" s="2">
        <v>413.09699999999998</v>
      </c>
      <c r="F2865" s="2">
        <v>28533079</v>
      </c>
      <c r="G2865" s="2" t="s">
        <v>569</v>
      </c>
      <c r="H2865" s="2" t="s">
        <v>570</v>
      </c>
      <c r="I2865" s="2" t="s">
        <v>17</v>
      </c>
      <c r="J2865" s="4">
        <v>-3.379</v>
      </c>
      <c r="K2865" s="2" t="s">
        <v>382</v>
      </c>
      <c r="L2865" s="2">
        <v>2024</v>
      </c>
      <c r="M2865" s="2" t="s">
        <v>110</v>
      </c>
      <c r="N2865" s="2" t="s">
        <v>23</v>
      </c>
      <c r="O2865">
        <f t="shared" si="88"/>
        <v>10.021999999999991</v>
      </c>
      <c r="P2865">
        <f t="shared" si="89"/>
        <v>60.057999999999993</v>
      </c>
    </row>
    <row r="2866" spans="1:16" x14ac:dyDescent="0.35">
      <c r="A2866" s="9" t="s">
        <v>403</v>
      </c>
      <c r="B2866" s="2">
        <v>415.16899999999998</v>
      </c>
      <c r="C2866" s="2">
        <v>415.16899999999998</v>
      </c>
      <c r="D2866" s="2">
        <v>402.97500000000002</v>
      </c>
      <c r="E2866" s="2">
        <v>413.55500000000001</v>
      </c>
      <c r="F2866" s="2">
        <v>48177999</v>
      </c>
      <c r="G2866" s="2" t="s">
        <v>569</v>
      </c>
      <c r="H2866" s="2" t="s">
        <v>570</v>
      </c>
      <c r="I2866" s="2" t="s">
        <v>17</v>
      </c>
      <c r="J2866" s="3">
        <v>0.111</v>
      </c>
      <c r="K2866" s="2" t="s">
        <v>382</v>
      </c>
      <c r="L2866" s="2">
        <v>2024</v>
      </c>
      <c r="M2866" s="2" t="s">
        <v>110</v>
      </c>
      <c r="N2866" s="2" t="s">
        <v>21</v>
      </c>
      <c r="O2866">
        <f t="shared" si="88"/>
        <v>12.19399999999996</v>
      </c>
      <c r="P2866">
        <f t="shared" si="89"/>
        <v>60.16899999999999</v>
      </c>
    </row>
    <row r="2867" spans="1:16" x14ac:dyDescent="0.35">
      <c r="A2867" s="9" t="s">
        <v>404</v>
      </c>
      <c r="B2867" s="2">
        <v>413.94799999999998</v>
      </c>
      <c r="C2867" s="2">
        <v>414.851</v>
      </c>
      <c r="D2867" s="2">
        <v>407.37299999999999</v>
      </c>
      <c r="E2867" s="2">
        <v>411.95100000000002</v>
      </c>
      <c r="F2867" s="2">
        <v>17551250</v>
      </c>
      <c r="G2867" s="2" t="s">
        <v>569</v>
      </c>
      <c r="H2867" s="2" t="s">
        <v>570</v>
      </c>
      <c r="I2867" s="2" t="s">
        <v>17</v>
      </c>
      <c r="J2867" s="4">
        <v>-0.38800000000000001</v>
      </c>
      <c r="K2867" s="2" t="s">
        <v>405</v>
      </c>
      <c r="L2867" s="2">
        <v>2024</v>
      </c>
      <c r="M2867" s="2" t="s">
        <v>135</v>
      </c>
      <c r="N2867" s="2" t="s">
        <v>23</v>
      </c>
      <c r="O2867">
        <f t="shared" si="88"/>
        <v>7.4780000000000086</v>
      </c>
      <c r="P2867">
        <f t="shared" si="89"/>
        <v>59.780999999999992</v>
      </c>
    </row>
    <row r="2868" spans="1:16" x14ac:dyDescent="0.35">
      <c r="A2868" s="9" t="s">
        <v>406</v>
      </c>
      <c r="B2868" s="2">
        <v>410.86599999999999</v>
      </c>
      <c r="C2868" s="2">
        <v>414.86099999999999</v>
      </c>
      <c r="D2868" s="2">
        <v>408.12099999999998</v>
      </c>
      <c r="E2868" s="2">
        <v>414.49099999999999</v>
      </c>
      <c r="F2868" s="2">
        <v>14403552</v>
      </c>
      <c r="G2868" s="2" t="s">
        <v>569</v>
      </c>
      <c r="H2868" s="2" t="s">
        <v>570</v>
      </c>
      <c r="I2868" s="2" t="s">
        <v>17</v>
      </c>
      <c r="J2868" s="3">
        <v>0.61699999999999999</v>
      </c>
      <c r="K2868" s="2" t="s">
        <v>405</v>
      </c>
      <c r="L2868" s="2">
        <v>2024</v>
      </c>
      <c r="M2868" s="2" t="s">
        <v>135</v>
      </c>
      <c r="N2868" s="2" t="s">
        <v>21</v>
      </c>
      <c r="O2868">
        <f t="shared" si="88"/>
        <v>6.7400000000000091</v>
      </c>
      <c r="P2868">
        <f t="shared" si="89"/>
        <v>60.397999999999989</v>
      </c>
    </row>
    <row r="2869" spans="1:16" x14ac:dyDescent="0.35">
      <c r="A2869" s="9" t="s">
        <v>407</v>
      </c>
      <c r="B2869" s="2">
        <v>416.22500000000002</v>
      </c>
      <c r="C2869" s="2">
        <v>422.471</v>
      </c>
      <c r="D2869" s="2">
        <v>414.721</v>
      </c>
      <c r="E2869" s="2">
        <v>422.40199999999999</v>
      </c>
      <c r="F2869" s="2">
        <v>17052722</v>
      </c>
      <c r="G2869" s="2" t="s">
        <v>569</v>
      </c>
      <c r="H2869" s="2" t="s">
        <v>570</v>
      </c>
      <c r="I2869" s="2" t="s">
        <v>17</v>
      </c>
      <c r="J2869" s="3">
        <v>1.909</v>
      </c>
      <c r="K2869" s="2" t="s">
        <v>405</v>
      </c>
      <c r="L2869" s="2">
        <v>2024</v>
      </c>
      <c r="M2869" s="2" t="s">
        <v>135</v>
      </c>
      <c r="N2869" s="2" t="s">
        <v>21</v>
      </c>
      <c r="O2869">
        <f t="shared" si="88"/>
        <v>7.75</v>
      </c>
      <c r="P2869">
        <f t="shared" si="89"/>
        <v>62.306999999999988</v>
      </c>
    </row>
    <row r="2870" spans="1:16" x14ac:dyDescent="0.35">
      <c r="A2870" s="9" t="s">
        <v>408</v>
      </c>
      <c r="B2870" s="2">
        <v>422.40199999999999</v>
      </c>
      <c r="C2870" s="2">
        <v>423.697</v>
      </c>
      <c r="D2870" s="2">
        <v>418.98399999999998</v>
      </c>
      <c r="E2870" s="2">
        <v>422.90899999999999</v>
      </c>
      <c r="F2870" s="2">
        <v>14917837</v>
      </c>
      <c r="G2870" s="2" t="s">
        <v>569</v>
      </c>
      <c r="H2870" s="2" t="s">
        <v>570</v>
      </c>
      <c r="I2870" s="2" t="s">
        <v>17</v>
      </c>
      <c r="J2870" s="3">
        <v>0.12</v>
      </c>
      <c r="K2870" s="2" t="s">
        <v>405</v>
      </c>
      <c r="L2870" s="2">
        <v>2024</v>
      </c>
      <c r="M2870" s="2" t="s">
        <v>135</v>
      </c>
      <c r="N2870" s="2" t="s">
        <v>21</v>
      </c>
      <c r="O2870">
        <f t="shared" si="88"/>
        <v>4.7130000000000223</v>
      </c>
      <c r="P2870">
        <f t="shared" si="89"/>
        <v>62.426999999999985</v>
      </c>
    </row>
    <row r="2871" spans="1:16" x14ac:dyDescent="0.35">
      <c r="A2871" s="9" t="s">
        <v>409</v>
      </c>
      <c r="B2871" s="2">
        <v>424.58300000000003</v>
      </c>
      <c r="C2871" s="2">
        <v>424.66300000000001</v>
      </c>
      <c r="D2871" s="2">
        <v>421.39600000000002</v>
      </c>
      <c r="E2871" s="2">
        <v>422.24200000000002</v>
      </c>
      <c r="F2871" s="2">
        <v>13673516</v>
      </c>
      <c r="G2871" s="2" t="s">
        <v>569</v>
      </c>
      <c r="H2871" s="2" t="s">
        <v>570</v>
      </c>
      <c r="I2871" s="2" t="s">
        <v>17</v>
      </c>
      <c r="J2871" s="4">
        <v>-0.158</v>
      </c>
      <c r="K2871" s="2" t="s">
        <v>405</v>
      </c>
      <c r="L2871" s="2">
        <v>2024</v>
      </c>
      <c r="M2871" s="2" t="s">
        <v>135</v>
      </c>
      <c r="N2871" s="2" t="s">
        <v>23</v>
      </c>
      <c r="O2871">
        <f t="shared" si="88"/>
        <v>3.2669999999999959</v>
      </c>
      <c r="P2871">
        <f t="shared" si="89"/>
        <v>62.268999999999984</v>
      </c>
    </row>
    <row r="2872" spans="1:16" x14ac:dyDescent="0.35">
      <c r="A2872" s="9" t="s">
        <v>410</v>
      </c>
      <c r="B2872" s="2">
        <v>423.089</v>
      </c>
      <c r="C2872" s="2">
        <v>426.45600000000002</v>
      </c>
      <c r="D2872" s="2">
        <v>422.28199999999998</v>
      </c>
      <c r="E2872" s="2">
        <v>426.24700000000001</v>
      </c>
      <c r="F2872" s="2">
        <v>14056352</v>
      </c>
      <c r="G2872" s="2" t="s">
        <v>569</v>
      </c>
      <c r="H2872" s="2" t="s">
        <v>570</v>
      </c>
      <c r="I2872" s="2" t="s">
        <v>17</v>
      </c>
      <c r="J2872" s="3">
        <v>0.94899999999999995</v>
      </c>
      <c r="K2872" s="2" t="s">
        <v>405</v>
      </c>
      <c r="L2872" s="2">
        <v>2024</v>
      </c>
      <c r="M2872" s="2" t="s">
        <v>135</v>
      </c>
      <c r="N2872" s="2" t="s">
        <v>21</v>
      </c>
      <c r="O2872">
        <f t="shared" si="88"/>
        <v>4.174000000000035</v>
      </c>
      <c r="P2872">
        <f t="shared" si="89"/>
        <v>63.217999999999982</v>
      </c>
    </row>
    <row r="2873" spans="1:16" x14ac:dyDescent="0.35">
      <c r="A2873" s="9" t="s">
        <v>411</v>
      </c>
      <c r="B2873" s="2">
        <v>423.86200000000002</v>
      </c>
      <c r="C2873" s="2">
        <v>431.178</v>
      </c>
      <c r="D2873" s="2">
        <v>423.637</v>
      </c>
      <c r="E2873" s="2">
        <v>431.03899999999999</v>
      </c>
      <c r="F2873" s="2">
        <v>14606506</v>
      </c>
      <c r="G2873" s="2" t="s">
        <v>569</v>
      </c>
      <c r="H2873" s="2" t="s">
        <v>570</v>
      </c>
      <c r="I2873" s="2" t="s">
        <v>17</v>
      </c>
      <c r="J2873" s="3">
        <v>1.1240000000000001</v>
      </c>
      <c r="K2873" s="2" t="s">
        <v>405</v>
      </c>
      <c r="L2873" s="2">
        <v>2024</v>
      </c>
      <c r="M2873" s="2" t="s">
        <v>135</v>
      </c>
      <c r="N2873" s="2" t="s">
        <v>21</v>
      </c>
      <c r="O2873">
        <f t="shared" si="88"/>
        <v>7.5409999999999968</v>
      </c>
      <c r="P2873">
        <f t="shared" si="89"/>
        <v>64.341999999999985</v>
      </c>
    </row>
    <row r="2874" spans="1:16" x14ac:dyDescent="0.35">
      <c r="A2874" s="9" t="s">
        <v>412</v>
      </c>
      <c r="B2874" s="2">
        <v>433.66899999999998</v>
      </c>
      <c r="C2874" s="2">
        <v>441.71800000000002</v>
      </c>
      <c r="D2874" s="2">
        <v>431.60700000000003</v>
      </c>
      <c r="E2874" s="2">
        <v>439.387</v>
      </c>
      <c r="F2874" s="2">
        <v>22451395</v>
      </c>
      <c r="G2874" s="2" t="s">
        <v>569</v>
      </c>
      <c r="H2874" s="2" t="s">
        <v>570</v>
      </c>
      <c r="I2874" s="2" t="s">
        <v>17</v>
      </c>
      <c r="J2874" s="3">
        <v>1.9370000000000001</v>
      </c>
      <c r="K2874" s="2" t="s">
        <v>405</v>
      </c>
      <c r="L2874" s="2">
        <v>2024</v>
      </c>
      <c r="M2874" s="2" t="s">
        <v>135</v>
      </c>
      <c r="N2874" s="2" t="s">
        <v>21</v>
      </c>
      <c r="O2874">
        <f t="shared" si="88"/>
        <v>10.11099999999999</v>
      </c>
      <c r="P2874">
        <f t="shared" si="89"/>
        <v>66.278999999999982</v>
      </c>
    </row>
    <row r="2875" spans="1:16" x14ac:dyDescent="0.35">
      <c r="A2875" s="9" t="s">
        <v>413</v>
      </c>
      <c r="B2875" s="2">
        <v>439.178</v>
      </c>
      <c r="C2875" s="2">
        <v>441.70800000000003</v>
      </c>
      <c r="D2875" s="2">
        <v>437.70400000000001</v>
      </c>
      <c r="E2875" s="2">
        <v>439.90499999999997</v>
      </c>
      <c r="F2875" s="2">
        <v>16021337</v>
      </c>
      <c r="G2875" s="2" t="s">
        <v>569</v>
      </c>
      <c r="H2875" s="2" t="s">
        <v>570</v>
      </c>
      <c r="I2875" s="2" t="s">
        <v>17</v>
      </c>
      <c r="J2875" s="3">
        <v>0.11799999999999999</v>
      </c>
      <c r="K2875" s="2" t="s">
        <v>405</v>
      </c>
      <c r="L2875" s="2">
        <v>2024</v>
      </c>
      <c r="M2875" s="2" t="s">
        <v>135</v>
      </c>
      <c r="N2875" s="2" t="s">
        <v>21</v>
      </c>
      <c r="O2875">
        <f t="shared" si="88"/>
        <v>4.0040000000000191</v>
      </c>
      <c r="P2875">
        <f t="shared" si="89"/>
        <v>66.396999999999977</v>
      </c>
    </row>
    <row r="2876" spans="1:16" x14ac:dyDescent="0.35">
      <c r="A2876" s="9" t="s">
        <v>414</v>
      </c>
      <c r="B2876" s="2">
        <v>436.61200000000002</v>
      </c>
      <c r="C2876" s="2">
        <v>441.45600000000002</v>
      </c>
      <c r="D2876" s="2">
        <v>435.06400000000002</v>
      </c>
      <c r="E2876" s="2">
        <v>440.89100000000002</v>
      </c>
      <c r="F2876" s="2">
        <v>13633700</v>
      </c>
      <c r="G2876" s="2" t="s">
        <v>569</v>
      </c>
      <c r="H2876" s="2" t="s">
        <v>570</v>
      </c>
      <c r="I2876" s="2" t="s">
        <v>17</v>
      </c>
      <c r="J2876" s="3">
        <v>0.224</v>
      </c>
      <c r="K2876" s="2" t="s">
        <v>405</v>
      </c>
      <c r="L2876" s="2">
        <v>2024</v>
      </c>
      <c r="M2876" s="2" t="s">
        <v>135</v>
      </c>
      <c r="N2876" s="2" t="s">
        <v>21</v>
      </c>
      <c r="O2876">
        <f t="shared" si="88"/>
        <v>6.3919999999999959</v>
      </c>
      <c r="P2876">
        <f t="shared" si="89"/>
        <v>66.620999999999981</v>
      </c>
    </row>
    <row r="2877" spans="1:16" x14ac:dyDescent="0.35">
      <c r="A2877" s="9" t="s">
        <v>415</v>
      </c>
      <c r="B2877" s="2">
        <v>440.90600000000001</v>
      </c>
      <c r="C2877" s="2">
        <v>449.23</v>
      </c>
      <c r="D2877" s="2">
        <v>439.048</v>
      </c>
      <c r="E2877" s="2">
        <v>446.66899999999998</v>
      </c>
      <c r="F2877" s="2">
        <v>20869191</v>
      </c>
      <c r="G2877" s="2" t="s">
        <v>569</v>
      </c>
      <c r="H2877" s="2" t="s">
        <v>570</v>
      </c>
      <c r="I2877" s="2" t="s">
        <v>17</v>
      </c>
      <c r="J2877" s="3">
        <v>1.3109999999999999</v>
      </c>
      <c r="K2877" s="2" t="s">
        <v>405</v>
      </c>
      <c r="L2877" s="2">
        <v>2024</v>
      </c>
      <c r="M2877" s="2" t="s">
        <v>135</v>
      </c>
      <c r="N2877" s="2" t="s">
        <v>21</v>
      </c>
      <c r="O2877">
        <f t="shared" si="88"/>
        <v>10.182000000000016</v>
      </c>
      <c r="P2877">
        <f t="shared" si="89"/>
        <v>67.931999999999988</v>
      </c>
    </row>
    <row r="2878" spans="1:16" x14ac:dyDescent="0.35">
      <c r="A2878" s="9" t="s">
        <v>416</v>
      </c>
      <c r="B2878" s="2">
        <v>447.99900000000002</v>
      </c>
      <c r="C2878" s="2">
        <v>448.43200000000002</v>
      </c>
      <c r="D2878" s="2">
        <v>443.20299999999997</v>
      </c>
      <c r="E2878" s="2">
        <v>444.64699999999999</v>
      </c>
      <c r="F2878" s="2">
        <v>17177662</v>
      </c>
      <c r="G2878" s="2" t="s">
        <v>569</v>
      </c>
      <c r="H2878" s="2" t="s">
        <v>570</v>
      </c>
      <c r="I2878" s="2" t="s">
        <v>17</v>
      </c>
      <c r="J2878" s="4">
        <v>-0.45300000000000001</v>
      </c>
      <c r="K2878" s="2" t="s">
        <v>405</v>
      </c>
      <c r="L2878" s="2">
        <v>2024</v>
      </c>
      <c r="M2878" s="2" t="s">
        <v>135</v>
      </c>
      <c r="N2878" s="2" t="s">
        <v>23</v>
      </c>
      <c r="O2878">
        <f t="shared" si="88"/>
        <v>5.2290000000000418</v>
      </c>
      <c r="P2878">
        <f t="shared" si="89"/>
        <v>67.478999999999985</v>
      </c>
    </row>
    <row r="2879" spans="1:16" x14ac:dyDescent="0.35">
      <c r="A2879" s="9" t="s">
        <v>417</v>
      </c>
      <c r="B2879" s="2">
        <v>444.60700000000003</v>
      </c>
      <c r="C2879" s="2">
        <v>444.83699999999999</v>
      </c>
      <c r="D2879" s="2">
        <v>439.596</v>
      </c>
      <c r="E2879" s="2">
        <v>444.00900000000001</v>
      </c>
      <c r="F2879" s="2">
        <v>19953064</v>
      </c>
      <c r="G2879" s="2" t="s">
        <v>569</v>
      </c>
      <c r="H2879" s="2" t="s">
        <v>570</v>
      </c>
      <c r="I2879" s="2" t="s">
        <v>17</v>
      </c>
      <c r="J2879" s="4">
        <v>-0.14299999999999999</v>
      </c>
      <c r="K2879" s="2" t="s">
        <v>405</v>
      </c>
      <c r="L2879" s="2">
        <v>2024</v>
      </c>
      <c r="M2879" s="2" t="s">
        <v>135</v>
      </c>
      <c r="N2879" s="2" t="s">
        <v>23</v>
      </c>
      <c r="O2879">
        <f t="shared" si="88"/>
        <v>5.2409999999999854</v>
      </c>
      <c r="P2879">
        <f t="shared" si="89"/>
        <v>67.335999999999984</v>
      </c>
    </row>
    <row r="2880" spans="1:16" x14ac:dyDescent="0.35">
      <c r="A2880" s="9" t="s">
        <v>418</v>
      </c>
      <c r="B2880" s="2">
        <v>445.68299999999999</v>
      </c>
      <c r="C2880" s="2">
        <v>448.87099999999998</v>
      </c>
      <c r="D2880" s="2">
        <v>444.81700000000001</v>
      </c>
      <c r="E2880" s="2">
        <v>448.07400000000001</v>
      </c>
      <c r="F2880" s="2">
        <v>34617483</v>
      </c>
      <c r="G2880" s="2" t="s">
        <v>569</v>
      </c>
      <c r="H2880" s="2" t="s">
        <v>570</v>
      </c>
      <c r="I2880" s="2" t="s">
        <v>17</v>
      </c>
      <c r="J2880" s="3">
        <v>0.91600000000000004</v>
      </c>
      <c r="K2880" s="2" t="s">
        <v>405</v>
      </c>
      <c r="L2880" s="2">
        <v>2024</v>
      </c>
      <c r="M2880" s="2" t="s">
        <v>135</v>
      </c>
      <c r="N2880" s="2" t="s">
        <v>21</v>
      </c>
      <c r="O2880">
        <f t="shared" si="88"/>
        <v>4.0539999999999736</v>
      </c>
      <c r="P2880">
        <f t="shared" si="89"/>
        <v>68.251999999999981</v>
      </c>
    </row>
    <row r="2881" spans="1:16" x14ac:dyDescent="0.35">
      <c r="A2881" s="9" t="s">
        <v>419</v>
      </c>
      <c r="B2881" s="2">
        <v>448.09399999999999</v>
      </c>
      <c r="C2881" s="2">
        <v>451.03199999999998</v>
      </c>
      <c r="D2881" s="2">
        <v>444.71699999999998</v>
      </c>
      <c r="E2881" s="2">
        <v>445.97199999999998</v>
      </c>
      <c r="F2881" s="2">
        <v>15974312</v>
      </c>
      <c r="G2881" s="2" t="s">
        <v>569</v>
      </c>
      <c r="H2881" s="2" t="s">
        <v>570</v>
      </c>
      <c r="I2881" s="2" t="s">
        <v>17</v>
      </c>
      <c r="J2881" s="4">
        <v>-0.46899999999999997</v>
      </c>
      <c r="K2881" s="2" t="s">
        <v>405</v>
      </c>
      <c r="L2881" s="2">
        <v>2024</v>
      </c>
      <c r="M2881" s="2" t="s">
        <v>135</v>
      </c>
      <c r="N2881" s="2" t="s">
        <v>23</v>
      </c>
      <c r="O2881">
        <f t="shared" si="88"/>
        <v>6.3149999999999977</v>
      </c>
      <c r="P2881">
        <f t="shared" si="89"/>
        <v>67.782999999999987</v>
      </c>
    </row>
    <row r="2882" spans="1:16" x14ac:dyDescent="0.35">
      <c r="A2882" s="9" t="s">
        <v>420</v>
      </c>
      <c r="B2882" s="2">
        <v>446.55</v>
      </c>
      <c r="C2882" s="2">
        <v>449.70800000000003</v>
      </c>
      <c r="D2882" s="2">
        <v>445.05500000000001</v>
      </c>
      <c r="E2882" s="2">
        <v>449.24</v>
      </c>
      <c r="F2882" s="2">
        <v>16811297</v>
      </c>
      <c r="G2882" s="2" t="s">
        <v>569</v>
      </c>
      <c r="H2882" s="2" t="s">
        <v>570</v>
      </c>
      <c r="I2882" s="2" t="s">
        <v>17</v>
      </c>
      <c r="J2882" s="3">
        <v>0.73299999999999998</v>
      </c>
      <c r="K2882" s="2" t="s">
        <v>405</v>
      </c>
      <c r="L2882" s="2">
        <v>2024</v>
      </c>
      <c r="M2882" s="2" t="s">
        <v>135</v>
      </c>
      <c r="N2882" s="2" t="s">
        <v>21</v>
      </c>
      <c r="O2882">
        <f t="shared" si="88"/>
        <v>4.65300000000002</v>
      </c>
      <c r="P2882">
        <f t="shared" si="89"/>
        <v>68.515999999999991</v>
      </c>
    </row>
    <row r="2883" spans="1:16" x14ac:dyDescent="0.35">
      <c r="A2883" s="9" t="s">
        <v>421</v>
      </c>
      <c r="B2883" s="2">
        <v>447.29700000000003</v>
      </c>
      <c r="C2883" s="2">
        <v>451.87900000000002</v>
      </c>
      <c r="D2883" s="2">
        <v>446.49</v>
      </c>
      <c r="E2883" s="2">
        <v>450.44400000000002</v>
      </c>
      <c r="F2883" s="2">
        <v>16569883</v>
      </c>
      <c r="G2883" s="2" t="s">
        <v>569</v>
      </c>
      <c r="H2883" s="2" t="s">
        <v>570</v>
      </c>
      <c r="I2883" s="2" t="s">
        <v>17</v>
      </c>
      <c r="J2883" s="3">
        <v>0.26800000000000002</v>
      </c>
      <c r="K2883" s="2" t="s">
        <v>405</v>
      </c>
      <c r="L2883" s="2">
        <v>2024</v>
      </c>
      <c r="M2883" s="2" t="s">
        <v>135</v>
      </c>
      <c r="N2883" s="2" t="s">
        <v>21</v>
      </c>
      <c r="O2883">
        <f t="shared" ref="O2883:O2946" si="90">C2883-D2883</f>
        <v>5.38900000000001</v>
      </c>
      <c r="P2883">
        <f t="shared" si="89"/>
        <v>68.783999999999992</v>
      </c>
    </row>
    <row r="2884" spans="1:16" x14ac:dyDescent="0.35">
      <c r="A2884" s="9" t="s">
        <v>422</v>
      </c>
      <c r="B2884" s="2">
        <v>450.459</v>
      </c>
      <c r="C2884" s="2">
        <v>454.43900000000002</v>
      </c>
      <c r="D2884" s="2">
        <v>450.05599999999998</v>
      </c>
      <c r="E2884" s="2">
        <v>451.13200000000001</v>
      </c>
      <c r="F2884" s="2">
        <v>14862701</v>
      </c>
      <c r="G2884" s="2" t="s">
        <v>569</v>
      </c>
      <c r="H2884" s="2" t="s">
        <v>570</v>
      </c>
      <c r="I2884" s="2" t="s">
        <v>17</v>
      </c>
      <c r="J2884" s="3">
        <v>0.153</v>
      </c>
      <c r="K2884" s="2" t="s">
        <v>405</v>
      </c>
      <c r="L2884" s="2">
        <v>2024</v>
      </c>
      <c r="M2884" s="2" t="s">
        <v>135</v>
      </c>
      <c r="N2884" s="2" t="s">
        <v>21</v>
      </c>
      <c r="O2884">
        <f t="shared" si="90"/>
        <v>4.3830000000000382</v>
      </c>
      <c r="P2884">
        <f t="shared" ref="P2884:P2947" si="91">IF(G2884=G2883, P2883+J2884, J2884)</f>
        <v>68.936999999999998</v>
      </c>
    </row>
    <row r="2885" spans="1:16" x14ac:dyDescent="0.35">
      <c r="A2885" s="9" t="s">
        <v>423</v>
      </c>
      <c r="B2885" s="2">
        <v>451.35199999999998</v>
      </c>
      <c r="C2885" s="2">
        <v>453.65300000000002</v>
      </c>
      <c r="D2885" s="2">
        <v>444.71699999999998</v>
      </c>
      <c r="E2885" s="2">
        <v>445.255</v>
      </c>
      <c r="F2885" s="2">
        <v>28470264</v>
      </c>
      <c r="G2885" s="2" t="s">
        <v>569</v>
      </c>
      <c r="H2885" s="2" t="s">
        <v>570</v>
      </c>
      <c r="I2885" s="2" t="s">
        <v>17</v>
      </c>
      <c r="J2885" s="4">
        <v>-1.3029999999999999</v>
      </c>
      <c r="K2885" s="2" t="s">
        <v>405</v>
      </c>
      <c r="L2885" s="2">
        <v>2024</v>
      </c>
      <c r="M2885" s="2" t="s">
        <v>135</v>
      </c>
      <c r="N2885" s="2" t="s">
        <v>23</v>
      </c>
      <c r="O2885">
        <f t="shared" si="90"/>
        <v>8.9360000000000355</v>
      </c>
      <c r="P2885">
        <f t="shared" si="91"/>
        <v>67.634</v>
      </c>
    </row>
    <row r="2886" spans="1:16" x14ac:dyDescent="0.35">
      <c r="A2886" s="9" t="s">
        <v>424</v>
      </c>
      <c r="B2886" s="2">
        <v>446.95800000000003</v>
      </c>
      <c r="C2886" s="2">
        <v>455.63499999999999</v>
      </c>
      <c r="D2886" s="2">
        <v>443.96899999999999</v>
      </c>
      <c r="E2886" s="2">
        <v>454.99700000000001</v>
      </c>
      <c r="F2886" s="2">
        <v>17730071</v>
      </c>
      <c r="G2886" s="2" t="s">
        <v>569</v>
      </c>
      <c r="H2886" s="2" t="s">
        <v>570</v>
      </c>
      <c r="I2886" s="2" t="s">
        <v>17</v>
      </c>
      <c r="J2886" s="3">
        <v>2.1880000000000002</v>
      </c>
      <c r="K2886" s="2" t="s">
        <v>425</v>
      </c>
      <c r="L2886" s="2">
        <v>2024</v>
      </c>
      <c r="M2886" s="2" t="s">
        <v>158</v>
      </c>
      <c r="N2886" s="2" t="s">
        <v>21</v>
      </c>
      <c r="O2886">
        <f t="shared" si="90"/>
        <v>11.665999999999997</v>
      </c>
      <c r="P2886">
        <f t="shared" si="91"/>
        <v>69.822000000000003</v>
      </c>
    </row>
    <row r="2887" spans="1:16" x14ac:dyDescent="0.35">
      <c r="A2887" s="9" t="s">
        <v>426</v>
      </c>
      <c r="B2887" s="2">
        <v>451.48099999999999</v>
      </c>
      <c r="C2887" s="2">
        <v>457.84699999999998</v>
      </c>
      <c r="D2887" s="2">
        <v>451.39400000000001</v>
      </c>
      <c r="E2887" s="2">
        <v>457.53800000000001</v>
      </c>
      <c r="F2887" s="2">
        <v>14033009</v>
      </c>
      <c r="G2887" s="2" t="s">
        <v>569</v>
      </c>
      <c r="H2887" s="2" t="s">
        <v>570</v>
      </c>
      <c r="I2887" s="2" t="s">
        <v>17</v>
      </c>
      <c r="J2887" s="3">
        <v>0.55800000000000005</v>
      </c>
      <c r="K2887" s="2" t="s">
        <v>425</v>
      </c>
      <c r="L2887" s="2">
        <v>2024</v>
      </c>
      <c r="M2887" s="2" t="s">
        <v>158</v>
      </c>
      <c r="N2887" s="2" t="s">
        <v>21</v>
      </c>
      <c r="O2887">
        <f t="shared" si="90"/>
        <v>6.4529999999999745</v>
      </c>
      <c r="P2887">
        <f t="shared" si="91"/>
        <v>70.38000000000001</v>
      </c>
    </row>
    <row r="2888" spans="1:16" x14ac:dyDescent="0.35">
      <c r="A2888" s="9" t="s">
        <v>427</v>
      </c>
      <c r="B2888" s="2">
        <v>456.452</v>
      </c>
      <c r="C2888" s="2">
        <v>459.27199999999999</v>
      </c>
      <c r="D2888" s="2">
        <v>456.14299999999997</v>
      </c>
      <c r="E2888" s="2">
        <v>459.02199999999999</v>
      </c>
      <c r="F2888" s="2">
        <v>9970650</v>
      </c>
      <c r="G2888" s="2" t="s">
        <v>569</v>
      </c>
      <c r="H2888" s="2" t="s">
        <v>570</v>
      </c>
      <c r="I2888" s="2" t="s">
        <v>17</v>
      </c>
      <c r="J2888" s="3">
        <v>0.32400000000000001</v>
      </c>
      <c r="K2888" s="2" t="s">
        <v>425</v>
      </c>
      <c r="L2888" s="2">
        <v>2024</v>
      </c>
      <c r="M2888" s="2" t="s">
        <v>158</v>
      </c>
      <c r="N2888" s="2" t="s">
        <v>21</v>
      </c>
      <c r="O2888">
        <f t="shared" si="90"/>
        <v>3.1290000000000191</v>
      </c>
      <c r="P2888">
        <f t="shared" si="91"/>
        <v>70.704000000000008</v>
      </c>
    </row>
    <row r="2889" spans="1:16" x14ac:dyDescent="0.35">
      <c r="A2889" s="9" t="s">
        <v>428</v>
      </c>
      <c r="B2889" s="2">
        <v>457.86700000000002</v>
      </c>
      <c r="C2889" s="2">
        <v>466.57299999999998</v>
      </c>
      <c r="D2889" s="2">
        <v>457.22399999999999</v>
      </c>
      <c r="E2889" s="2">
        <v>465.78699999999998</v>
      </c>
      <c r="F2889" s="2">
        <v>16061213</v>
      </c>
      <c r="G2889" s="2" t="s">
        <v>569</v>
      </c>
      <c r="H2889" s="2" t="s">
        <v>570</v>
      </c>
      <c r="I2889" s="2" t="s">
        <v>17</v>
      </c>
      <c r="J2889" s="3">
        <v>1.474</v>
      </c>
      <c r="K2889" s="2" t="s">
        <v>425</v>
      </c>
      <c r="L2889" s="2">
        <v>2024</v>
      </c>
      <c r="M2889" s="2" t="s">
        <v>158</v>
      </c>
      <c r="N2889" s="2" t="s">
        <v>21</v>
      </c>
      <c r="O2889">
        <f t="shared" si="90"/>
        <v>9.3489999999999895</v>
      </c>
      <c r="P2889">
        <f t="shared" si="91"/>
        <v>72.178000000000011</v>
      </c>
    </row>
    <row r="2890" spans="1:16" x14ac:dyDescent="0.35">
      <c r="A2890" s="9" t="s">
        <v>429</v>
      </c>
      <c r="B2890" s="2">
        <v>464.78100000000001</v>
      </c>
      <c r="C2890" s="2">
        <v>465.92599999999999</v>
      </c>
      <c r="D2890" s="2">
        <v>462.69799999999998</v>
      </c>
      <c r="E2890" s="2">
        <v>464.471</v>
      </c>
      <c r="F2890" s="2">
        <v>13011677</v>
      </c>
      <c r="G2890" s="2" t="s">
        <v>569</v>
      </c>
      <c r="H2890" s="2" t="s">
        <v>570</v>
      </c>
      <c r="I2890" s="2" t="s">
        <v>17</v>
      </c>
      <c r="J2890" s="4">
        <v>-0.28299999999999997</v>
      </c>
      <c r="K2890" s="2" t="s">
        <v>425</v>
      </c>
      <c r="L2890" s="2">
        <v>2024</v>
      </c>
      <c r="M2890" s="2" t="s">
        <v>158</v>
      </c>
      <c r="N2890" s="2" t="s">
        <v>23</v>
      </c>
      <c r="O2890">
        <f t="shared" si="90"/>
        <v>3.2280000000000086</v>
      </c>
      <c r="P2890">
        <f t="shared" si="91"/>
        <v>71.89500000000001</v>
      </c>
    </row>
    <row r="2891" spans="1:16" x14ac:dyDescent="0.35">
      <c r="A2891" s="9" t="s">
        <v>430</v>
      </c>
      <c r="B2891" s="2">
        <v>465.22899999999998</v>
      </c>
      <c r="C2891" s="2">
        <v>465.55700000000002</v>
      </c>
      <c r="D2891" s="2">
        <v>456.26299999999998</v>
      </c>
      <c r="E2891" s="2">
        <v>457.79700000000003</v>
      </c>
      <c r="F2891" s="2">
        <v>17294107</v>
      </c>
      <c r="G2891" s="2" t="s">
        <v>569</v>
      </c>
      <c r="H2891" s="2" t="s">
        <v>570</v>
      </c>
      <c r="I2891" s="2" t="s">
        <v>17</v>
      </c>
      <c r="J2891" s="4">
        <v>-1.4370000000000001</v>
      </c>
      <c r="K2891" s="2" t="s">
        <v>425</v>
      </c>
      <c r="L2891" s="2">
        <v>2024</v>
      </c>
      <c r="M2891" s="2" t="s">
        <v>158</v>
      </c>
      <c r="N2891" s="2" t="s">
        <v>23</v>
      </c>
      <c r="O2891">
        <f t="shared" si="90"/>
        <v>9.2940000000000396</v>
      </c>
      <c r="P2891">
        <f t="shared" si="91"/>
        <v>70.458000000000013</v>
      </c>
    </row>
    <row r="2892" spans="1:16" x14ac:dyDescent="0.35">
      <c r="A2892" s="9" t="s">
        <v>431</v>
      </c>
      <c r="B2892" s="2">
        <v>459.47</v>
      </c>
      <c r="C2892" s="2">
        <v>464.69099999999997</v>
      </c>
      <c r="D2892" s="2">
        <v>457.11399999999998</v>
      </c>
      <c r="E2892" s="2">
        <v>464.48099999999999</v>
      </c>
      <c r="F2892" s="2">
        <v>18265384</v>
      </c>
      <c r="G2892" s="2" t="s">
        <v>569</v>
      </c>
      <c r="H2892" s="2" t="s">
        <v>570</v>
      </c>
      <c r="I2892" s="2" t="s">
        <v>17</v>
      </c>
      <c r="J2892" s="3">
        <v>1.46</v>
      </c>
      <c r="K2892" s="2" t="s">
        <v>425</v>
      </c>
      <c r="L2892" s="2">
        <v>2024</v>
      </c>
      <c r="M2892" s="2" t="s">
        <v>158</v>
      </c>
      <c r="N2892" s="2" t="s">
        <v>21</v>
      </c>
      <c r="O2892">
        <f t="shared" si="90"/>
        <v>7.5769999999999982</v>
      </c>
      <c r="P2892">
        <f t="shared" si="91"/>
        <v>71.918000000000006</v>
      </c>
    </row>
    <row r="2893" spans="1:16" x14ac:dyDescent="0.35">
      <c r="A2893" s="9" t="s">
        <v>432</v>
      </c>
      <c r="B2893" s="2">
        <v>461.22399999999999</v>
      </c>
      <c r="C2893" s="2">
        <v>463.017</v>
      </c>
      <c r="D2893" s="2">
        <v>449.83800000000002</v>
      </c>
      <c r="E2893" s="2">
        <v>452.97500000000002</v>
      </c>
      <c r="F2893" s="2">
        <v>23199174</v>
      </c>
      <c r="G2893" s="2" t="s">
        <v>569</v>
      </c>
      <c r="H2893" s="2" t="s">
        <v>570</v>
      </c>
      <c r="I2893" s="2" t="s">
        <v>17</v>
      </c>
      <c r="J2893" s="4">
        <v>-2.4769999999999999</v>
      </c>
      <c r="K2893" s="2" t="s">
        <v>425</v>
      </c>
      <c r="L2893" s="2">
        <v>2024</v>
      </c>
      <c r="M2893" s="2" t="s">
        <v>158</v>
      </c>
      <c r="N2893" s="2" t="s">
        <v>23</v>
      </c>
      <c r="O2893">
        <f t="shared" si="90"/>
        <v>13.178999999999974</v>
      </c>
      <c r="P2893">
        <f t="shared" si="91"/>
        <v>69.441000000000003</v>
      </c>
    </row>
    <row r="2894" spans="1:16" x14ac:dyDescent="0.35">
      <c r="A2894" s="9" t="s">
        <v>433</v>
      </c>
      <c r="B2894" s="2">
        <v>452.60199999999998</v>
      </c>
      <c r="C2894" s="2">
        <v>454.62900000000002</v>
      </c>
      <c r="D2894" s="2">
        <v>448.935</v>
      </c>
      <c r="E2894" s="2">
        <v>451.83</v>
      </c>
      <c r="F2894" s="2">
        <v>16386431</v>
      </c>
      <c r="G2894" s="2" t="s">
        <v>569</v>
      </c>
      <c r="H2894" s="2" t="s">
        <v>570</v>
      </c>
      <c r="I2894" s="2" t="s">
        <v>17</v>
      </c>
      <c r="J2894" s="4">
        <v>-0.253</v>
      </c>
      <c r="K2894" s="2" t="s">
        <v>425</v>
      </c>
      <c r="L2894" s="2">
        <v>2024</v>
      </c>
      <c r="M2894" s="2" t="s">
        <v>158</v>
      </c>
      <c r="N2894" s="2" t="s">
        <v>23</v>
      </c>
      <c r="O2894">
        <f t="shared" si="90"/>
        <v>5.6940000000000168</v>
      </c>
      <c r="P2894">
        <f t="shared" si="91"/>
        <v>69.188000000000002</v>
      </c>
    </row>
    <row r="2895" spans="1:16" x14ac:dyDescent="0.35">
      <c r="A2895" s="9" t="s">
        <v>434</v>
      </c>
      <c r="B2895" s="2">
        <v>451.58</v>
      </c>
      <c r="C2895" s="2">
        <v>455.52499999999998</v>
      </c>
      <c r="D2895" s="2">
        <v>449.71800000000002</v>
      </c>
      <c r="E2895" s="2">
        <v>452.238</v>
      </c>
      <c r="F2895" s="2">
        <v>14484389</v>
      </c>
      <c r="G2895" s="2" t="s">
        <v>569</v>
      </c>
      <c r="H2895" s="2" t="s">
        <v>570</v>
      </c>
      <c r="I2895" s="2" t="s">
        <v>17</v>
      </c>
      <c r="J2895" s="3">
        <v>0.09</v>
      </c>
      <c r="K2895" s="2" t="s">
        <v>425</v>
      </c>
      <c r="L2895" s="2">
        <v>2024</v>
      </c>
      <c r="M2895" s="2" t="s">
        <v>158</v>
      </c>
      <c r="N2895" s="2" t="s">
        <v>21</v>
      </c>
      <c r="O2895">
        <f t="shared" si="90"/>
        <v>5.8069999999999595</v>
      </c>
      <c r="P2895">
        <f t="shared" si="91"/>
        <v>69.278000000000006</v>
      </c>
    </row>
    <row r="2896" spans="1:16" x14ac:dyDescent="0.35">
      <c r="A2896" s="9" t="s">
        <v>435</v>
      </c>
      <c r="B2896" s="2">
        <v>452.49700000000001</v>
      </c>
      <c r="C2896" s="2">
        <v>452.577</v>
      </c>
      <c r="D2896" s="2">
        <v>444.96499999999997</v>
      </c>
      <c r="E2896" s="2">
        <v>447.815</v>
      </c>
      <c r="F2896" s="2">
        <v>17241078</v>
      </c>
      <c r="G2896" s="2" t="s">
        <v>569</v>
      </c>
      <c r="H2896" s="2" t="s">
        <v>570</v>
      </c>
      <c r="I2896" s="2" t="s">
        <v>17</v>
      </c>
      <c r="J2896" s="4">
        <v>-0.97799999999999998</v>
      </c>
      <c r="K2896" s="2" t="s">
        <v>425</v>
      </c>
      <c r="L2896" s="2">
        <v>2024</v>
      </c>
      <c r="M2896" s="2" t="s">
        <v>158</v>
      </c>
      <c r="N2896" s="2" t="s">
        <v>23</v>
      </c>
      <c r="O2896">
        <f t="shared" si="90"/>
        <v>7.6120000000000232</v>
      </c>
      <c r="P2896">
        <f t="shared" si="91"/>
        <v>68.300000000000011</v>
      </c>
    </row>
    <row r="2897" spans="1:16" x14ac:dyDescent="0.35">
      <c r="A2897" s="9" t="s">
        <v>436</v>
      </c>
      <c r="B2897" s="2">
        <v>440.911</v>
      </c>
      <c r="C2897" s="2">
        <v>443.16300000000001</v>
      </c>
      <c r="D2897" s="2">
        <v>437.51400000000001</v>
      </c>
      <c r="E2897" s="2">
        <v>441.83800000000002</v>
      </c>
      <c r="F2897" s="2">
        <v>21836852</v>
      </c>
      <c r="G2897" s="2" t="s">
        <v>569</v>
      </c>
      <c r="H2897" s="2" t="s">
        <v>570</v>
      </c>
      <c r="I2897" s="2" t="s">
        <v>17</v>
      </c>
      <c r="J2897" s="4">
        <v>-1.335</v>
      </c>
      <c r="K2897" s="2" t="s">
        <v>425</v>
      </c>
      <c r="L2897" s="2">
        <v>2024</v>
      </c>
      <c r="M2897" s="2" t="s">
        <v>158</v>
      </c>
      <c r="N2897" s="2" t="s">
        <v>23</v>
      </c>
      <c r="O2897">
        <f t="shared" si="90"/>
        <v>5.6490000000000009</v>
      </c>
      <c r="P2897">
        <f t="shared" si="91"/>
        <v>66.965000000000018</v>
      </c>
    </row>
    <row r="2898" spans="1:16" x14ac:dyDescent="0.35">
      <c r="A2898" s="9" t="s">
        <v>437</v>
      </c>
      <c r="B2898" s="2">
        <v>442.65499999999997</v>
      </c>
      <c r="C2898" s="2">
        <v>442.96300000000002</v>
      </c>
      <c r="D2898" s="2">
        <v>432.75200000000001</v>
      </c>
      <c r="E2898" s="2">
        <v>438.7</v>
      </c>
      <c r="F2898" s="2">
        <v>20874001</v>
      </c>
      <c r="G2898" s="2" t="s">
        <v>569</v>
      </c>
      <c r="H2898" s="2" t="s">
        <v>570</v>
      </c>
      <c r="I2898" s="2" t="s">
        <v>17</v>
      </c>
      <c r="J2898" s="4">
        <v>-0.71</v>
      </c>
      <c r="K2898" s="2" t="s">
        <v>425</v>
      </c>
      <c r="L2898" s="2">
        <v>2024</v>
      </c>
      <c r="M2898" s="2" t="s">
        <v>158</v>
      </c>
      <c r="N2898" s="2" t="s">
        <v>23</v>
      </c>
      <c r="O2898">
        <f t="shared" si="90"/>
        <v>10.211000000000013</v>
      </c>
      <c r="P2898">
        <f t="shared" si="91"/>
        <v>66.255000000000024</v>
      </c>
    </row>
    <row r="2899" spans="1:16" x14ac:dyDescent="0.35">
      <c r="A2899" s="9" t="s">
        <v>438</v>
      </c>
      <c r="B2899" s="2">
        <v>431.45699999999999</v>
      </c>
      <c r="C2899" s="2">
        <v>439.46600000000001</v>
      </c>
      <c r="D2899" s="2">
        <v>430.36200000000002</v>
      </c>
      <c r="E2899" s="2">
        <v>435.452</v>
      </c>
      <c r="F2899" s="2">
        <v>21020150</v>
      </c>
      <c r="G2899" s="2" t="s">
        <v>569</v>
      </c>
      <c r="H2899" s="2" t="s">
        <v>570</v>
      </c>
      <c r="I2899" s="2" t="s">
        <v>17</v>
      </c>
      <c r="J2899" s="4">
        <v>-0.74</v>
      </c>
      <c r="K2899" s="2" t="s">
        <v>425</v>
      </c>
      <c r="L2899" s="2">
        <v>2024</v>
      </c>
      <c r="M2899" s="2" t="s">
        <v>158</v>
      </c>
      <c r="N2899" s="2" t="s">
        <v>23</v>
      </c>
      <c r="O2899">
        <f t="shared" si="90"/>
        <v>9.103999999999985</v>
      </c>
      <c r="P2899">
        <f t="shared" si="91"/>
        <v>65.515000000000029</v>
      </c>
    </row>
    <row r="2900" spans="1:16" x14ac:dyDescent="0.35">
      <c r="A2900" s="9" t="s">
        <v>439</v>
      </c>
      <c r="B2900" s="2">
        <v>440.11399999999998</v>
      </c>
      <c r="C2900" s="2">
        <v>442.91300000000001</v>
      </c>
      <c r="D2900" s="2">
        <v>437.24799999999999</v>
      </c>
      <c r="E2900" s="2">
        <v>441.26</v>
      </c>
      <c r="F2900" s="2">
        <v>15868949</v>
      </c>
      <c r="G2900" s="2" t="s">
        <v>569</v>
      </c>
      <c r="H2900" s="2" t="s">
        <v>570</v>
      </c>
      <c r="I2900" s="2" t="s">
        <v>17</v>
      </c>
      <c r="J2900" s="3">
        <v>1.3340000000000001</v>
      </c>
      <c r="K2900" s="2" t="s">
        <v>425</v>
      </c>
      <c r="L2900" s="2">
        <v>2024</v>
      </c>
      <c r="M2900" s="2" t="s">
        <v>158</v>
      </c>
      <c r="N2900" s="2" t="s">
        <v>21</v>
      </c>
      <c r="O2900">
        <f t="shared" si="90"/>
        <v>5.6650000000000205</v>
      </c>
      <c r="P2900">
        <f t="shared" si="91"/>
        <v>66.849000000000032</v>
      </c>
    </row>
    <row r="2901" spans="1:16" x14ac:dyDescent="0.35">
      <c r="A2901" s="9" t="s">
        <v>440</v>
      </c>
      <c r="B2901" s="2">
        <v>442.21100000000001</v>
      </c>
      <c r="C2901" s="2">
        <v>446.68900000000002</v>
      </c>
      <c r="D2901" s="2">
        <v>441.41899999999998</v>
      </c>
      <c r="E2901" s="2">
        <v>443.16300000000001</v>
      </c>
      <c r="F2901" s="2">
        <v>13156957</v>
      </c>
      <c r="G2901" s="2" t="s">
        <v>569</v>
      </c>
      <c r="H2901" s="2" t="s">
        <v>570</v>
      </c>
      <c r="I2901" s="2" t="s">
        <v>17</v>
      </c>
      <c r="J2901" s="3">
        <v>0.43099999999999999</v>
      </c>
      <c r="K2901" s="2" t="s">
        <v>425</v>
      </c>
      <c r="L2901" s="2">
        <v>2024</v>
      </c>
      <c r="M2901" s="2" t="s">
        <v>158</v>
      </c>
      <c r="N2901" s="2" t="s">
        <v>21</v>
      </c>
      <c r="O2901">
        <f t="shared" si="90"/>
        <v>5.2700000000000387</v>
      </c>
      <c r="P2901">
        <f t="shared" si="91"/>
        <v>67.28000000000003</v>
      </c>
    </row>
    <row r="2902" spans="1:16" x14ac:dyDescent="0.35">
      <c r="A2902" s="9" t="s">
        <v>441</v>
      </c>
      <c r="B2902" s="2">
        <v>438.78</v>
      </c>
      <c r="C2902" s="2">
        <v>439.80599999999998</v>
      </c>
      <c r="D2902" s="2">
        <v>425.96300000000002</v>
      </c>
      <c r="E2902" s="2">
        <v>427.27300000000002</v>
      </c>
      <c r="F2902" s="2">
        <v>26907867</v>
      </c>
      <c r="G2902" s="2" t="s">
        <v>569</v>
      </c>
      <c r="H2902" s="2" t="s">
        <v>570</v>
      </c>
      <c r="I2902" s="2" t="s">
        <v>17</v>
      </c>
      <c r="J2902" s="4">
        <v>-3.5859999999999999</v>
      </c>
      <c r="K2902" s="2" t="s">
        <v>425</v>
      </c>
      <c r="L2902" s="2">
        <v>2024</v>
      </c>
      <c r="M2902" s="2" t="s">
        <v>158</v>
      </c>
      <c r="N2902" s="2" t="s">
        <v>23</v>
      </c>
      <c r="O2902">
        <f t="shared" si="90"/>
        <v>13.842999999999961</v>
      </c>
      <c r="P2902">
        <f t="shared" si="91"/>
        <v>63.694000000000031</v>
      </c>
    </row>
    <row r="2903" spans="1:16" x14ac:dyDescent="0.35">
      <c r="A2903" s="9" t="s">
        <v>442</v>
      </c>
      <c r="B2903" s="2">
        <v>427.17399999999998</v>
      </c>
      <c r="C2903" s="2">
        <v>428.17</v>
      </c>
      <c r="D2903" s="2">
        <v>415.92599999999999</v>
      </c>
      <c r="E2903" s="2">
        <v>416.81299999999999</v>
      </c>
      <c r="F2903" s="2">
        <v>30057810</v>
      </c>
      <c r="G2903" s="2" t="s">
        <v>569</v>
      </c>
      <c r="H2903" s="2" t="s">
        <v>570</v>
      </c>
      <c r="I2903" s="2" t="s">
        <v>17</v>
      </c>
      <c r="J2903" s="4">
        <v>-2.448</v>
      </c>
      <c r="K2903" s="2" t="s">
        <v>425</v>
      </c>
      <c r="L2903" s="2">
        <v>2024</v>
      </c>
      <c r="M2903" s="2" t="s">
        <v>158</v>
      </c>
      <c r="N2903" s="2" t="s">
        <v>23</v>
      </c>
      <c r="O2903">
        <f t="shared" si="90"/>
        <v>12.244000000000028</v>
      </c>
      <c r="P2903">
        <f t="shared" si="91"/>
        <v>61.246000000000031</v>
      </c>
    </row>
    <row r="2904" spans="1:16" x14ac:dyDescent="0.35">
      <c r="A2904" s="9" t="s">
        <v>443</v>
      </c>
      <c r="B2904" s="2">
        <v>416.61399999999998</v>
      </c>
      <c r="C2904" s="2">
        <v>427.28800000000001</v>
      </c>
      <c r="D2904" s="2">
        <v>415.68700000000001</v>
      </c>
      <c r="E2904" s="2">
        <v>423.65699999999998</v>
      </c>
      <c r="F2904" s="2">
        <v>23673638</v>
      </c>
      <c r="G2904" s="2" t="s">
        <v>569</v>
      </c>
      <c r="H2904" s="2" t="s">
        <v>570</v>
      </c>
      <c r="I2904" s="2" t="s">
        <v>17</v>
      </c>
      <c r="J2904" s="3">
        <v>1.6419999999999999</v>
      </c>
      <c r="K2904" s="2" t="s">
        <v>425</v>
      </c>
      <c r="L2904" s="2">
        <v>2024</v>
      </c>
      <c r="M2904" s="2" t="s">
        <v>158</v>
      </c>
      <c r="N2904" s="2" t="s">
        <v>21</v>
      </c>
      <c r="O2904">
        <f t="shared" si="90"/>
        <v>11.600999999999999</v>
      </c>
      <c r="P2904">
        <f t="shared" si="91"/>
        <v>62.888000000000034</v>
      </c>
    </row>
    <row r="2905" spans="1:16" x14ac:dyDescent="0.35">
      <c r="A2905" s="9" t="s">
        <v>444</v>
      </c>
      <c r="B2905" s="2">
        <v>429.94299999999998</v>
      </c>
      <c r="C2905" s="2">
        <v>430.51</v>
      </c>
      <c r="D2905" s="2">
        <v>423.09300000000002</v>
      </c>
      <c r="E2905" s="2">
        <v>425.11099999999999</v>
      </c>
      <c r="F2905" s="2">
        <v>15183429</v>
      </c>
      <c r="G2905" s="2" t="s">
        <v>569</v>
      </c>
      <c r="H2905" s="2" t="s">
        <v>570</v>
      </c>
      <c r="I2905" s="2" t="s">
        <v>17</v>
      </c>
      <c r="J2905" s="3">
        <v>0.34300000000000003</v>
      </c>
      <c r="K2905" s="2" t="s">
        <v>425</v>
      </c>
      <c r="L2905" s="2">
        <v>2024</v>
      </c>
      <c r="M2905" s="2" t="s">
        <v>158</v>
      </c>
      <c r="N2905" s="2" t="s">
        <v>21</v>
      </c>
      <c r="O2905">
        <f t="shared" si="90"/>
        <v>7.4169999999999732</v>
      </c>
      <c r="P2905">
        <f t="shared" si="91"/>
        <v>63.231000000000037</v>
      </c>
    </row>
    <row r="2906" spans="1:16" x14ac:dyDescent="0.35">
      <c r="A2906" s="9" t="s">
        <v>445</v>
      </c>
      <c r="B2906" s="2">
        <v>426.09699999999998</v>
      </c>
      <c r="C2906" s="2">
        <v>427.42200000000003</v>
      </c>
      <c r="D2906" s="2">
        <v>415.77699999999999</v>
      </c>
      <c r="E2906" s="2">
        <v>421.31599999999997</v>
      </c>
      <c r="F2906" s="2">
        <v>32812041</v>
      </c>
      <c r="G2906" s="2" t="s">
        <v>569</v>
      </c>
      <c r="H2906" s="2" t="s">
        <v>570</v>
      </c>
      <c r="I2906" s="2" t="s">
        <v>17</v>
      </c>
      <c r="J2906" s="4">
        <v>-0.89300000000000002</v>
      </c>
      <c r="K2906" s="2" t="s">
        <v>425</v>
      </c>
      <c r="L2906" s="2">
        <v>2024</v>
      </c>
      <c r="M2906" s="2" t="s">
        <v>158</v>
      </c>
      <c r="N2906" s="2" t="s">
        <v>23</v>
      </c>
      <c r="O2906">
        <f t="shared" si="90"/>
        <v>11.645000000000039</v>
      </c>
      <c r="P2906">
        <f t="shared" si="91"/>
        <v>62.338000000000036</v>
      </c>
    </row>
    <row r="2907" spans="1:16" x14ac:dyDescent="0.35">
      <c r="A2907" s="9" t="s">
        <v>446</v>
      </c>
      <c r="B2907" s="2">
        <v>418.9</v>
      </c>
      <c r="C2907" s="2">
        <v>420.17500000000001</v>
      </c>
      <c r="D2907" s="2">
        <v>410.64600000000002</v>
      </c>
      <c r="E2907" s="2">
        <v>416.76299999999998</v>
      </c>
      <c r="F2907" s="2">
        <v>43054681</v>
      </c>
      <c r="G2907" s="2" t="s">
        <v>569</v>
      </c>
      <c r="H2907" s="2" t="s">
        <v>570</v>
      </c>
      <c r="I2907" s="2" t="s">
        <v>17</v>
      </c>
      <c r="J2907" s="4">
        <v>-1.081</v>
      </c>
      <c r="K2907" s="2" t="s">
        <v>425</v>
      </c>
      <c r="L2907" s="2">
        <v>2024</v>
      </c>
      <c r="M2907" s="2" t="s">
        <v>158</v>
      </c>
      <c r="N2907" s="2" t="s">
        <v>23</v>
      </c>
      <c r="O2907">
        <f t="shared" si="90"/>
        <v>9.5289999999999964</v>
      </c>
      <c r="P2907">
        <f t="shared" si="91"/>
        <v>61.257000000000033</v>
      </c>
    </row>
    <row r="2908" spans="1:16" x14ac:dyDescent="0.35">
      <c r="A2908" s="9" t="s">
        <v>447</v>
      </c>
      <c r="B2908" s="2">
        <v>419.18900000000002</v>
      </c>
      <c r="C2908" s="2">
        <v>425.839</v>
      </c>
      <c r="D2908" s="2">
        <v>411.52300000000002</v>
      </c>
      <c r="E2908" s="2">
        <v>415.52800000000002</v>
      </c>
      <c r="F2908" s="2">
        <v>30411758</v>
      </c>
      <c r="G2908" s="2" t="s">
        <v>569</v>
      </c>
      <c r="H2908" s="2" t="s">
        <v>570</v>
      </c>
      <c r="I2908" s="2" t="s">
        <v>17</v>
      </c>
      <c r="J2908" s="4">
        <v>-0.29599999999999999</v>
      </c>
      <c r="K2908" s="2" t="s">
        <v>448</v>
      </c>
      <c r="L2908" s="2">
        <v>2024</v>
      </c>
      <c r="M2908" s="2" t="s">
        <v>180</v>
      </c>
      <c r="N2908" s="2" t="s">
        <v>23</v>
      </c>
      <c r="O2908">
        <f t="shared" si="90"/>
        <v>14.315999999999974</v>
      </c>
      <c r="P2908">
        <f t="shared" si="91"/>
        <v>60.961000000000034</v>
      </c>
    </row>
    <row r="2909" spans="1:16" x14ac:dyDescent="0.35">
      <c r="A2909" s="9" t="s">
        <v>449</v>
      </c>
      <c r="B2909" s="2">
        <v>410.92500000000001</v>
      </c>
      <c r="C2909" s="2">
        <v>413.42500000000001</v>
      </c>
      <c r="D2909" s="2">
        <v>402.80700000000002</v>
      </c>
      <c r="E2909" s="2">
        <v>406.94</v>
      </c>
      <c r="F2909" s="2">
        <v>29549989</v>
      </c>
      <c r="G2909" s="2" t="s">
        <v>569</v>
      </c>
      <c r="H2909" s="2" t="s">
        <v>570</v>
      </c>
      <c r="I2909" s="2" t="s">
        <v>17</v>
      </c>
      <c r="J2909" s="4">
        <v>-2.0670000000000002</v>
      </c>
      <c r="K2909" s="2" t="s">
        <v>448</v>
      </c>
      <c r="L2909" s="2">
        <v>2024</v>
      </c>
      <c r="M2909" s="2" t="s">
        <v>180</v>
      </c>
      <c r="N2909" s="2" t="s">
        <v>23</v>
      </c>
      <c r="O2909">
        <f t="shared" si="90"/>
        <v>10.617999999999995</v>
      </c>
      <c r="P2909">
        <f t="shared" si="91"/>
        <v>58.894000000000034</v>
      </c>
    </row>
    <row r="2910" spans="1:16" x14ac:dyDescent="0.35">
      <c r="A2910" s="9" t="s">
        <v>450</v>
      </c>
      <c r="B2910" s="2">
        <v>387.69400000000002</v>
      </c>
      <c r="C2910" s="2">
        <v>399.51799999999997</v>
      </c>
      <c r="D2910" s="2">
        <v>384.11700000000002</v>
      </c>
      <c r="E2910" s="2">
        <v>393.65100000000001</v>
      </c>
      <c r="F2910" s="2">
        <v>40864244</v>
      </c>
      <c r="G2910" s="2" t="s">
        <v>569</v>
      </c>
      <c r="H2910" s="2" t="s">
        <v>570</v>
      </c>
      <c r="I2910" s="2" t="s">
        <v>17</v>
      </c>
      <c r="J2910" s="4">
        <v>-3.266</v>
      </c>
      <c r="K2910" s="2" t="s">
        <v>448</v>
      </c>
      <c r="L2910" s="2">
        <v>2024</v>
      </c>
      <c r="M2910" s="2" t="s">
        <v>180</v>
      </c>
      <c r="N2910" s="2" t="s">
        <v>23</v>
      </c>
      <c r="O2910">
        <f t="shared" si="90"/>
        <v>15.400999999999954</v>
      </c>
      <c r="P2910">
        <f t="shared" si="91"/>
        <v>55.628000000000036</v>
      </c>
    </row>
    <row r="2911" spans="1:16" x14ac:dyDescent="0.35">
      <c r="A2911" s="9" t="s">
        <v>451</v>
      </c>
      <c r="B2911" s="2">
        <v>398.48200000000003</v>
      </c>
      <c r="C2911" s="2">
        <v>404.13099999999997</v>
      </c>
      <c r="D2911" s="2">
        <v>396.988</v>
      </c>
      <c r="E2911" s="2">
        <v>398.09399999999999</v>
      </c>
      <c r="F2911" s="2">
        <v>25041512</v>
      </c>
      <c r="G2911" s="2" t="s">
        <v>569</v>
      </c>
      <c r="H2911" s="2" t="s">
        <v>570</v>
      </c>
      <c r="I2911" s="2" t="s">
        <v>17</v>
      </c>
      <c r="J2911" s="3">
        <v>1.129</v>
      </c>
      <c r="K2911" s="2" t="s">
        <v>448</v>
      </c>
      <c r="L2911" s="2">
        <v>2024</v>
      </c>
      <c r="M2911" s="2" t="s">
        <v>180</v>
      </c>
      <c r="N2911" s="2" t="s">
        <v>21</v>
      </c>
      <c r="O2911">
        <f t="shared" si="90"/>
        <v>7.1429999999999723</v>
      </c>
      <c r="P2911">
        <f t="shared" si="91"/>
        <v>56.757000000000033</v>
      </c>
    </row>
    <row r="2912" spans="1:16" x14ac:dyDescent="0.35">
      <c r="A2912" s="9" t="s">
        <v>452</v>
      </c>
      <c r="B2912" s="2">
        <v>407.08499999999998</v>
      </c>
      <c r="C2912" s="2">
        <v>408.524</v>
      </c>
      <c r="D2912" s="2">
        <v>395.96199999999999</v>
      </c>
      <c r="E2912" s="2">
        <v>396.91899999999998</v>
      </c>
      <c r="F2912" s="2">
        <v>20729537</v>
      </c>
      <c r="G2912" s="2" t="s">
        <v>569</v>
      </c>
      <c r="H2912" s="2" t="s">
        <v>570</v>
      </c>
      <c r="I2912" s="2" t="s">
        <v>17</v>
      </c>
      <c r="J2912" s="4">
        <v>-0.29499999999999998</v>
      </c>
      <c r="K2912" s="2" t="s">
        <v>448</v>
      </c>
      <c r="L2912" s="2">
        <v>2024</v>
      </c>
      <c r="M2912" s="2" t="s">
        <v>180</v>
      </c>
      <c r="N2912" s="2" t="s">
        <v>23</v>
      </c>
      <c r="O2912">
        <f t="shared" si="90"/>
        <v>12.562000000000012</v>
      </c>
      <c r="P2912">
        <f t="shared" si="91"/>
        <v>56.462000000000032</v>
      </c>
    </row>
    <row r="2913" spans="1:16" x14ac:dyDescent="0.35">
      <c r="A2913" s="9" t="s">
        <v>453</v>
      </c>
      <c r="B2913" s="2">
        <v>400.91399999999999</v>
      </c>
      <c r="C2913" s="2">
        <v>404.32100000000003</v>
      </c>
      <c r="D2913" s="2">
        <v>398.423</v>
      </c>
      <c r="E2913" s="2">
        <v>401.16199999999998</v>
      </c>
      <c r="F2913" s="2">
        <v>20279956</v>
      </c>
      <c r="G2913" s="2" t="s">
        <v>569</v>
      </c>
      <c r="H2913" s="2" t="s">
        <v>570</v>
      </c>
      <c r="I2913" s="2" t="s">
        <v>17</v>
      </c>
      <c r="J2913" s="3">
        <v>1.069</v>
      </c>
      <c r="K2913" s="2" t="s">
        <v>448</v>
      </c>
      <c r="L2913" s="2">
        <v>2024</v>
      </c>
      <c r="M2913" s="2" t="s">
        <v>180</v>
      </c>
      <c r="N2913" s="2" t="s">
        <v>21</v>
      </c>
      <c r="O2913">
        <f t="shared" si="90"/>
        <v>5.8980000000000246</v>
      </c>
      <c r="P2913">
        <f t="shared" si="91"/>
        <v>57.531000000000034</v>
      </c>
    </row>
    <row r="2914" spans="1:16" x14ac:dyDescent="0.35">
      <c r="A2914" s="9" t="s">
        <v>454</v>
      </c>
      <c r="B2914" s="2">
        <v>402.49700000000001</v>
      </c>
      <c r="C2914" s="2">
        <v>406.50200000000001</v>
      </c>
      <c r="D2914" s="2">
        <v>400.73700000000002</v>
      </c>
      <c r="E2914" s="2">
        <v>404.48</v>
      </c>
      <c r="F2914" s="2">
        <v>19350064</v>
      </c>
      <c r="G2914" s="2" t="s">
        <v>569</v>
      </c>
      <c r="H2914" s="2" t="s">
        <v>570</v>
      </c>
      <c r="I2914" s="2" t="s">
        <v>17</v>
      </c>
      <c r="J2914" s="3">
        <v>0.82699999999999996</v>
      </c>
      <c r="K2914" s="2" t="s">
        <v>448</v>
      </c>
      <c r="L2914" s="2">
        <v>2024</v>
      </c>
      <c r="M2914" s="2" t="s">
        <v>180</v>
      </c>
      <c r="N2914" s="2" t="s">
        <v>21</v>
      </c>
      <c r="O2914">
        <f t="shared" si="90"/>
        <v>5.7649999999999864</v>
      </c>
      <c r="P2914">
        <f t="shared" si="91"/>
        <v>58.358000000000033</v>
      </c>
    </row>
    <row r="2915" spans="1:16" x14ac:dyDescent="0.35">
      <c r="A2915" s="9" t="s">
        <v>455</v>
      </c>
      <c r="B2915" s="2">
        <v>405.51600000000002</v>
      </c>
      <c r="C2915" s="2">
        <v>407.21</v>
      </c>
      <c r="D2915" s="2">
        <v>402.71</v>
      </c>
      <c r="E2915" s="2">
        <v>405.267</v>
      </c>
      <c r="F2915" s="2">
        <v>16826710</v>
      </c>
      <c r="G2915" s="2" t="s">
        <v>569</v>
      </c>
      <c r="H2915" s="2" t="s">
        <v>570</v>
      </c>
      <c r="I2915" s="2" t="s">
        <v>17</v>
      </c>
      <c r="J2915" s="3">
        <v>0.19500000000000001</v>
      </c>
      <c r="K2915" s="2" t="s">
        <v>448</v>
      </c>
      <c r="L2915" s="2">
        <v>2024</v>
      </c>
      <c r="M2915" s="2" t="s">
        <v>180</v>
      </c>
      <c r="N2915" s="2" t="s">
        <v>21</v>
      </c>
      <c r="O2915">
        <f t="shared" si="90"/>
        <v>4.5</v>
      </c>
      <c r="P2915">
        <f t="shared" si="91"/>
        <v>58.553000000000033</v>
      </c>
    </row>
    <row r="2916" spans="1:16" x14ac:dyDescent="0.35">
      <c r="A2916" s="9" t="s">
        <v>456</v>
      </c>
      <c r="B2916" s="2">
        <v>408.036</v>
      </c>
      <c r="C2916" s="2">
        <v>413.37599999999998</v>
      </c>
      <c r="D2916" s="2">
        <v>408.01600000000002</v>
      </c>
      <c r="E2916" s="2">
        <v>412.43900000000002</v>
      </c>
      <c r="F2916" s="2">
        <v>19488193</v>
      </c>
      <c r="G2916" s="2" t="s">
        <v>569</v>
      </c>
      <c r="H2916" s="2" t="s">
        <v>570</v>
      </c>
      <c r="I2916" s="2" t="s">
        <v>17</v>
      </c>
      <c r="J2916" s="3">
        <v>1.77</v>
      </c>
      <c r="K2916" s="2" t="s">
        <v>448</v>
      </c>
      <c r="L2916" s="2">
        <v>2024</v>
      </c>
      <c r="M2916" s="2" t="s">
        <v>180</v>
      </c>
      <c r="N2916" s="2" t="s">
        <v>21</v>
      </c>
      <c r="O2916">
        <f t="shared" si="90"/>
        <v>5.3599999999999568</v>
      </c>
      <c r="P2916">
        <f t="shared" si="91"/>
        <v>60.323000000000036</v>
      </c>
    </row>
    <row r="2917" spans="1:16" x14ac:dyDescent="0.35">
      <c r="A2917" s="9" t="s">
        <v>457</v>
      </c>
      <c r="B2917" s="2">
        <v>413.22699999999998</v>
      </c>
      <c r="C2917" s="2">
        <v>416.13499999999999</v>
      </c>
      <c r="D2917" s="2">
        <v>410.88200000000001</v>
      </c>
      <c r="E2917" s="2">
        <v>415.279</v>
      </c>
      <c r="F2917" s="2">
        <v>18336534</v>
      </c>
      <c r="G2917" s="2" t="s">
        <v>569</v>
      </c>
      <c r="H2917" s="2" t="s">
        <v>570</v>
      </c>
      <c r="I2917" s="2" t="s">
        <v>17</v>
      </c>
      <c r="J2917" s="3">
        <v>0.68899999999999995</v>
      </c>
      <c r="K2917" s="2" t="s">
        <v>448</v>
      </c>
      <c r="L2917" s="2">
        <v>2024</v>
      </c>
      <c r="M2917" s="2" t="s">
        <v>180</v>
      </c>
      <c r="N2917" s="2" t="s">
        <v>21</v>
      </c>
      <c r="O2917">
        <f t="shared" si="90"/>
        <v>5.2529999999999859</v>
      </c>
      <c r="P2917">
        <f t="shared" si="91"/>
        <v>61.012000000000036</v>
      </c>
    </row>
    <row r="2918" spans="1:16" x14ac:dyDescent="0.35">
      <c r="A2918" s="9" t="s">
        <v>458</v>
      </c>
      <c r="B2918" s="2">
        <v>418.96100000000001</v>
      </c>
      <c r="C2918" s="2">
        <v>420.26900000000001</v>
      </c>
      <c r="D2918" s="2">
        <v>416.82600000000002</v>
      </c>
      <c r="E2918" s="2">
        <v>420.18900000000002</v>
      </c>
      <c r="F2918" s="2">
        <v>20793682</v>
      </c>
      <c r="G2918" s="2" t="s">
        <v>569</v>
      </c>
      <c r="H2918" s="2" t="s">
        <v>570</v>
      </c>
      <c r="I2918" s="2" t="s">
        <v>17</v>
      </c>
      <c r="J2918" s="3">
        <v>1.1819999999999999</v>
      </c>
      <c r="K2918" s="2" t="s">
        <v>448</v>
      </c>
      <c r="L2918" s="2">
        <v>2024</v>
      </c>
      <c r="M2918" s="2" t="s">
        <v>180</v>
      </c>
      <c r="N2918" s="2" t="s">
        <v>21</v>
      </c>
      <c r="O2918">
        <f t="shared" si="90"/>
        <v>3.4429999999999836</v>
      </c>
      <c r="P2918">
        <f t="shared" si="91"/>
        <v>62.194000000000038</v>
      </c>
    </row>
    <row r="2919" spans="1:16" x14ac:dyDescent="0.35">
      <c r="A2919" s="9" t="s">
        <v>459</v>
      </c>
      <c r="B2919" s="2">
        <v>419.76</v>
      </c>
      <c r="C2919" s="2">
        <v>420.49799999999999</v>
      </c>
      <c r="D2919" s="2">
        <v>416.46600000000001</v>
      </c>
      <c r="E2919" s="2">
        <v>417.63400000000001</v>
      </c>
      <c r="F2919" s="2">
        <v>22821181</v>
      </c>
      <c r="G2919" s="2" t="s">
        <v>569</v>
      </c>
      <c r="H2919" s="2" t="s">
        <v>570</v>
      </c>
      <c r="I2919" s="2" t="s">
        <v>17</v>
      </c>
      <c r="J2919" s="4">
        <v>-0.60799999999999998</v>
      </c>
      <c r="K2919" s="2" t="s">
        <v>448</v>
      </c>
      <c r="L2919" s="2">
        <v>2024</v>
      </c>
      <c r="M2919" s="2" t="s">
        <v>180</v>
      </c>
      <c r="N2919" s="2" t="s">
        <v>23</v>
      </c>
      <c r="O2919">
        <f t="shared" si="90"/>
        <v>4.0319999999999823</v>
      </c>
      <c r="P2919">
        <f t="shared" si="91"/>
        <v>61.586000000000041</v>
      </c>
    </row>
    <row r="2920" spans="1:16" x14ac:dyDescent="0.35">
      <c r="A2920" s="9" t="s">
        <v>460</v>
      </c>
      <c r="B2920" s="2">
        <v>418.12299999999999</v>
      </c>
      <c r="C2920" s="2">
        <v>420.90699999999998</v>
      </c>
      <c r="D2920" s="2">
        <v>415.62799999999999</v>
      </c>
      <c r="E2920" s="2">
        <v>420.68799999999999</v>
      </c>
      <c r="F2920" s="2">
        <v>15264449</v>
      </c>
      <c r="G2920" s="2" t="s">
        <v>569</v>
      </c>
      <c r="H2920" s="2" t="s">
        <v>570</v>
      </c>
      <c r="I2920" s="2" t="s">
        <v>17</v>
      </c>
      <c r="J2920" s="3">
        <v>0.73099999999999998</v>
      </c>
      <c r="K2920" s="2" t="s">
        <v>448</v>
      </c>
      <c r="L2920" s="2">
        <v>2024</v>
      </c>
      <c r="M2920" s="2" t="s">
        <v>180</v>
      </c>
      <c r="N2920" s="2" t="s">
        <v>21</v>
      </c>
      <c r="O2920">
        <f t="shared" si="90"/>
        <v>5.2789999999999964</v>
      </c>
      <c r="P2920">
        <f t="shared" si="91"/>
        <v>62.317000000000043</v>
      </c>
    </row>
    <row r="2921" spans="1:16" x14ac:dyDescent="0.35">
      <c r="A2921" s="9" t="s">
        <v>461</v>
      </c>
      <c r="B2921" s="2">
        <v>420.858</v>
      </c>
      <c r="C2921" s="2">
        <v>425.00900000000001</v>
      </c>
      <c r="D2921" s="2">
        <v>420.798</v>
      </c>
      <c r="E2921" s="2">
        <v>423.95100000000002</v>
      </c>
      <c r="F2921" s="2">
        <v>16420383</v>
      </c>
      <c r="G2921" s="2" t="s">
        <v>569</v>
      </c>
      <c r="H2921" s="2" t="s">
        <v>570</v>
      </c>
      <c r="I2921" s="2" t="s">
        <v>17</v>
      </c>
      <c r="J2921" s="3">
        <v>0.77600000000000002</v>
      </c>
      <c r="K2921" s="2" t="s">
        <v>448</v>
      </c>
      <c r="L2921" s="2">
        <v>2024</v>
      </c>
      <c r="M2921" s="2" t="s">
        <v>180</v>
      </c>
      <c r="N2921" s="2" t="s">
        <v>21</v>
      </c>
      <c r="O2921">
        <f t="shared" si="90"/>
        <v>4.2110000000000127</v>
      </c>
      <c r="P2921">
        <f t="shared" si="91"/>
        <v>63.093000000000046</v>
      </c>
    </row>
    <row r="2922" spans="1:16" x14ac:dyDescent="0.35">
      <c r="A2922" s="9" t="s">
        <v>462</v>
      </c>
      <c r="B2922" s="2">
        <v>423.22800000000001</v>
      </c>
      <c r="C2922" s="2">
        <v>425.548</v>
      </c>
      <c r="D2922" s="2">
        <v>420.87799999999999</v>
      </c>
      <c r="E2922" s="2">
        <v>423.29300000000001</v>
      </c>
      <c r="F2922" s="2">
        <v>16099458</v>
      </c>
      <c r="G2922" s="2" t="s">
        <v>569</v>
      </c>
      <c r="H2922" s="2" t="s">
        <v>570</v>
      </c>
      <c r="I2922" s="2" t="s">
        <v>17</v>
      </c>
      <c r="J2922" s="4">
        <v>-0.155</v>
      </c>
      <c r="K2922" s="2" t="s">
        <v>448</v>
      </c>
      <c r="L2922" s="2">
        <v>2024</v>
      </c>
      <c r="M2922" s="2" t="s">
        <v>180</v>
      </c>
      <c r="N2922" s="2" t="s">
        <v>23</v>
      </c>
      <c r="O2922">
        <f t="shared" si="90"/>
        <v>4.6700000000000159</v>
      </c>
      <c r="P2922">
        <f t="shared" si="91"/>
        <v>62.938000000000045</v>
      </c>
    </row>
    <row r="2923" spans="1:16" x14ac:dyDescent="0.35">
      <c r="A2923" s="9" t="s">
        <v>463</v>
      </c>
      <c r="B2923" s="2">
        <v>423.512</v>
      </c>
      <c r="C2923" s="2">
        <v>425.93700000000001</v>
      </c>
      <c r="D2923" s="2">
        <v>413.78199999999998</v>
      </c>
      <c r="E2923" s="2">
        <v>414.72</v>
      </c>
      <c r="F2923" s="2">
        <v>19400656</v>
      </c>
      <c r="G2923" s="2" t="s">
        <v>569</v>
      </c>
      <c r="H2923" s="2" t="s">
        <v>570</v>
      </c>
      <c r="I2923" s="2" t="s">
        <v>17</v>
      </c>
      <c r="J2923" s="4">
        <v>-2.0249999999999999</v>
      </c>
      <c r="K2923" s="2" t="s">
        <v>448</v>
      </c>
      <c r="L2923" s="2">
        <v>2024</v>
      </c>
      <c r="M2923" s="2" t="s">
        <v>180</v>
      </c>
      <c r="N2923" s="2" t="s">
        <v>23</v>
      </c>
      <c r="O2923">
        <f t="shared" si="90"/>
        <v>12.15500000000003</v>
      </c>
      <c r="P2923">
        <f t="shared" si="91"/>
        <v>60.913000000000046</v>
      </c>
    </row>
    <row r="2924" spans="1:16" x14ac:dyDescent="0.35">
      <c r="A2924" s="9" t="s">
        <v>464</v>
      </c>
      <c r="B2924" s="2">
        <v>416.14699999999999</v>
      </c>
      <c r="C2924" s="2">
        <v>418.42200000000003</v>
      </c>
      <c r="D2924" s="2">
        <v>411.267</v>
      </c>
      <c r="E2924" s="2">
        <v>415.95699999999999</v>
      </c>
      <c r="F2924" s="2">
        <v>18530801</v>
      </c>
      <c r="G2924" s="2" t="s">
        <v>569</v>
      </c>
      <c r="H2924" s="2" t="s">
        <v>570</v>
      </c>
      <c r="I2924" s="2" t="s">
        <v>17</v>
      </c>
      <c r="J2924" s="3">
        <v>0.29799999999999999</v>
      </c>
      <c r="K2924" s="2" t="s">
        <v>448</v>
      </c>
      <c r="L2924" s="2">
        <v>2024</v>
      </c>
      <c r="M2924" s="2" t="s">
        <v>180</v>
      </c>
      <c r="N2924" s="2" t="s">
        <v>21</v>
      </c>
      <c r="O2924">
        <f t="shared" si="90"/>
        <v>7.1550000000000296</v>
      </c>
      <c r="P2924">
        <f t="shared" si="91"/>
        <v>61.211000000000048</v>
      </c>
    </row>
    <row r="2925" spans="1:16" x14ac:dyDescent="0.35">
      <c r="A2925" s="9" t="s">
        <v>465</v>
      </c>
      <c r="B2925" s="2">
        <v>415.53300000000002</v>
      </c>
      <c r="C2925" s="2">
        <v>416.44600000000003</v>
      </c>
      <c r="D2925" s="2">
        <v>410.51799999999997</v>
      </c>
      <c r="E2925" s="2">
        <v>412.66399999999999</v>
      </c>
      <c r="F2925" s="2">
        <v>13179157</v>
      </c>
      <c r="G2925" s="2" t="s">
        <v>569</v>
      </c>
      <c r="H2925" s="2" t="s">
        <v>570</v>
      </c>
      <c r="I2925" s="2" t="s">
        <v>17</v>
      </c>
      <c r="J2925" s="4">
        <v>-0.79200000000000004</v>
      </c>
      <c r="K2925" s="2" t="s">
        <v>448</v>
      </c>
      <c r="L2925" s="2">
        <v>2024</v>
      </c>
      <c r="M2925" s="2" t="s">
        <v>180</v>
      </c>
      <c r="N2925" s="2" t="s">
        <v>23</v>
      </c>
      <c r="O2925">
        <f t="shared" si="90"/>
        <v>5.9280000000000541</v>
      </c>
      <c r="P2925">
        <f t="shared" si="91"/>
        <v>60.419000000000047</v>
      </c>
    </row>
    <row r="2926" spans="1:16" x14ac:dyDescent="0.35">
      <c r="A2926" s="9" t="s">
        <v>466</v>
      </c>
      <c r="B2926" s="2">
        <v>412.03500000000003</v>
      </c>
      <c r="C2926" s="2">
        <v>413.53199999999998</v>
      </c>
      <c r="D2926" s="2">
        <v>409.43</v>
      </c>
      <c r="E2926" s="2">
        <v>413.01299999999998</v>
      </c>
      <c r="F2926" s="2">
        <v>13519918</v>
      </c>
      <c r="G2926" s="2" t="s">
        <v>569</v>
      </c>
      <c r="H2926" s="2" t="s">
        <v>570</v>
      </c>
      <c r="I2926" s="2" t="s">
        <v>17</v>
      </c>
      <c r="J2926" s="3">
        <v>8.5000000000000006E-2</v>
      </c>
      <c r="K2926" s="2" t="s">
        <v>448</v>
      </c>
      <c r="L2926" s="2">
        <v>2024</v>
      </c>
      <c r="M2926" s="2" t="s">
        <v>180</v>
      </c>
      <c r="N2926" s="2" t="s">
        <v>21</v>
      </c>
      <c r="O2926">
        <f t="shared" si="90"/>
        <v>4.1019999999999754</v>
      </c>
      <c r="P2926">
        <f t="shared" si="91"/>
        <v>60.504000000000048</v>
      </c>
    </row>
    <row r="2927" spans="1:16" x14ac:dyDescent="0.35">
      <c r="A2927" s="9" t="s">
        <v>467</v>
      </c>
      <c r="B2927" s="2">
        <v>414.05099999999999</v>
      </c>
      <c r="C2927" s="2">
        <v>414.17099999999999</v>
      </c>
      <c r="D2927" s="2">
        <v>406.49599999999998</v>
      </c>
      <c r="E2927" s="2">
        <v>409.78</v>
      </c>
      <c r="F2927" s="2">
        <v>14912449</v>
      </c>
      <c r="G2927" s="2" t="s">
        <v>569</v>
      </c>
      <c r="H2927" s="2" t="s">
        <v>570</v>
      </c>
      <c r="I2927" s="2" t="s">
        <v>17</v>
      </c>
      <c r="J2927" s="4">
        <v>-0.78300000000000003</v>
      </c>
      <c r="K2927" s="2" t="s">
        <v>448</v>
      </c>
      <c r="L2927" s="2">
        <v>2024</v>
      </c>
      <c r="M2927" s="2" t="s">
        <v>180</v>
      </c>
      <c r="N2927" s="2" t="s">
        <v>23</v>
      </c>
      <c r="O2927">
        <f t="shared" si="90"/>
        <v>7.6750000000000114</v>
      </c>
      <c r="P2927">
        <f t="shared" si="91"/>
        <v>59.721000000000046</v>
      </c>
    </row>
    <row r="2928" spans="1:16" x14ac:dyDescent="0.35">
      <c r="A2928" s="9" t="s">
        <v>468</v>
      </c>
      <c r="B2928" s="2">
        <v>414.11099999999999</v>
      </c>
      <c r="C2928" s="2">
        <v>421.20699999999999</v>
      </c>
      <c r="D2928" s="2">
        <v>409.78</v>
      </c>
      <c r="E2928" s="2">
        <v>412.29500000000002</v>
      </c>
      <c r="F2928" s="2">
        <v>17079359</v>
      </c>
      <c r="G2928" s="2" t="s">
        <v>569</v>
      </c>
      <c r="H2928" s="2" t="s">
        <v>570</v>
      </c>
      <c r="I2928" s="2" t="s">
        <v>17</v>
      </c>
      <c r="J2928" s="3">
        <v>0.61399999999999999</v>
      </c>
      <c r="K2928" s="2" t="s">
        <v>448</v>
      </c>
      <c r="L2928" s="2">
        <v>2024</v>
      </c>
      <c r="M2928" s="2" t="s">
        <v>180</v>
      </c>
      <c r="N2928" s="2" t="s">
        <v>21</v>
      </c>
      <c r="O2928">
        <f t="shared" si="90"/>
        <v>11.427000000000021</v>
      </c>
      <c r="P2928">
        <f t="shared" si="91"/>
        <v>60.335000000000043</v>
      </c>
    </row>
    <row r="2929" spans="1:16" x14ac:dyDescent="0.35">
      <c r="A2929" s="9" t="s">
        <v>469</v>
      </c>
      <c r="B2929" s="2">
        <v>414.77</v>
      </c>
      <c r="C2929" s="2">
        <v>416.65600000000001</v>
      </c>
      <c r="D2929" s="2">
        <v>411.30700000000002</v>
      </c>
      <c r="E2929" s="2">
        <v>416.30700000000002</v>
      </c>
      <c r="F2929" s="2">
        <v>24356980</v>
      </c>
      <c r="G2929" s="2" t="s">
        <v>569</v>
      </c>
      <c r="H2929" s="2" t="s">
        <v>570</v>
      </c>
      <c r="I2929" s="2" t="s">
        <v>17</v>
      </c>
      <c r="J2929" s="3">
        <v>0.97299999999999998</v>
      </c>
      <c r="K2929" s="2" t="s">
        <v>448</v>
      </c>
      <c r="L2929" s="2">
        <v>2024</v>
      </c>
      <c r="M2929" s="2" t="s">
        <v>180</v>
      </c>
      <c r="N2929" s="2" t="s">
        <v>21</v>
      </c>
      <c r="O2929">
        <f t="shared" si="90"/>
        <v>5.3489999999999895</v>
      </c>
      <c r="P2929">
        <f t="shared" si="91"/>
        <v>61.308000000000042</v>
      </c>
    </row>
    <row r="2930" spans="1:16" x14ac:dyDescent="0.35">
      <c r="A2930" s="9" t="s">
        <v>470</v>
      </c>
      <c r="B2930" s="2">
        <v>417.07499999999999</v>
      </c>
      <c r="C2930" s="2">
        <v>419.041</v>
      </c>
      <c r="D2930" s="2">
        <v>406.21699999999998</v>
      </c>
      <c r="E2930" s="2">
        <v>408.62200000000001</v>
      </c>
      <c r="F2930" s="2">
        <v>20354263</v>
      </c>
      <c r="G2930" s="2" t="s">
        <v>569</v>
      </c>
      <c r="H2930" s="2" t="s">
        <v>570</v>
      </c>
      <c r="I2930" s="2" t="s">
        <v>17</v>
      </c>
      <c r="J2930" s="4">
        <v>-1.8460000000000001</v>
      </c>
      <c r="K2930" s="2" t="s">
        <v>471</v>
      </c>
      <c r="L2930" s="2">
        <v>2024</v>
      </c>
      <c r="M2930" s="2" t="s">
        <v>205</v>
      </c>
      <c r="N2930" s="2" t="s">
        <v>23</v>
      </c>
      <c r="O2930">
        <f t="shared" si="90"/>
        <v>12.824000000000012</v>
      </c>
      <c r="P2930">
        <f t="shared" si="91"/>
        <v>59.462000000000046</v>
      </c>
    </row>
    <row r="2931" spans="1:16" x14ac:dyDescent="0.35">
      <c r="A2931" s="9" t="s">
        <v>472</v>
      </c>
      <c r="B2931" s="2">
        <v>405.09899999999999</v>
      </c>
      <c r="C2931" s="2">
        <v>410.41800000000001</v>
      </c>
      <c r="D2931" s="2">
        <v>403.56200000000001</v>
      </c>
      <c r="E2931" s="2">
        <v>408.08300000000003</v>
      </c>
      <c r="F2931" s="2">
        <v>15166102</v>
      </c>
      <c r="G2931" s="2" t="s">
        <v>569</v>
      </c>
      <c r="H2931" s="2" t="s">
        <v>570</v>
      </c>
      <c r="I2931" s="2" t="s">
        <v>17</v>
      </c>
      <c r="J2931" s="4">
        <v>-0.13200000000000001</v>
      </c>
      <c r="K2931" s="2" t="s">
        <v>471</v>
      </c>
      <c r="L2931" s="2">
        <v>2024</v>
      </c>
      <c r="M2931" s="2" t="s">
        <v>205</v>
      </c>
      <c r="N2931" s="2" t="s">
        <v>23</v>
      </c>
      <c r="O2931">
        <f t="shared" si="90"/>
        <v>6.8559999999999945</v>
      </c>
      <c r="P2931">
        <f t="shared" si="91"/>
        <v>59.330000000000048</v>
      </c>
    </row>
    <row r="2932" spans="1:16" x14ac:dyDescent="0.35">
      <c r="A2932" s="9" t="s">
        <v>473</v>
      </c>
      <c r="B2932" s="2">
        <v>406.80599999999998</v>
      </c>
      <c r="C2932" s="2">
        <v>412.27499999999998</v>
      </c>
      <c r="D2932" s="2">
        <v>405.31900000000002</v>
      </c>
      <c r="E2932" s="2">
        <v>407.57400000000001</v>
      </c>
      <c r="F2932" s="2">
        <v>14223930</v>
      </c>
      <c r="G2932" s="2" t="s">
        <v>569</v>
      </c>
      <c r="H2932" s="2" t="s">
        <v>570</v>
      </c>
      <c r="I2932" s="2" t="s">
        <v>17</v>
      </c>
      <c r="J2932" s="4">
        <v>-0.125</v>
      </c>
      <c r="K2932" s="2" t="s">
        <v>471</v>
      </c>
      <c r="L2932" s="2">
        <v>2024</v>
      </c>
      <c r="M2932" s="2" t="s">
        <v>205</v>
      </c>
      <c r="N2932" s="2" t="s">
        <v>23</v>
      </c>
      <c r="O2932">
        <f t="shared" si="90"/>
        <v>6.9559999999999604</v>
      </c>
      <c r="P2932">
        <f t="shared" si="91"/>
        <v>59.205000000000048</v>
      </c>
    </row>
    <row r="2933" spans="1:16" x14ac:dyDescent="0.35">
      <c r="A2933" s="9" t="s">
        <v>474</v>
      </c>
      <c r="B2933" s="2">
        <v>408.24299999999999</v>
      </c>
      <c r="C2933" s="2">
        <v>409.83</v>
      </c>
      <c r="D2933" s="2">
        <v>399.99900000000002</v>
      </c>
      <c r="E2933" s="2">
        <v>400.89800000000002</v>
      </c>
      <c r="F2933" s="2">
        <v>19648777</v>
      </c>
      <c r="G2933" s="2" t="s">
        <v>569</v>
      </c>
      <c r="H2933" s="2" t="s">
        <v>570</v>
      </c>
      <c r="I2933" s="2" t="s">
        <v>17</v>
      </c>
      <c r="J2933" s="4">
        <v>-1.6379999999999999</v>
      </c>
      <c r="K2933" s="2" t="s">
        <v>471</v>
      </c>
      <c r="L2933" s="2">
        <v>2024</v>
      </c>
      <c r="M2933" s="2" t="s">
        <v>205</v>
      </c>
      <c r="N2933" s="2" t="s">
        <v>23</v>
      </c>
      <c r="O2933">
        <f t="shared" si="90"/>
        <v>9.8309999999999604</v>
      </c>
      <c r="P2933">
        <f t="shared" si="91"/>
        <v>57.56700000000005</v>
      </c>
    </row>
    <row r="2934" spans="1:16" x14ac:dyDescent="0.35">
      <c r="A2934" s="9" t="s">
        <v>475</v>
      </c>
      <c r="B2934" s="2">
        <v>406.42599999999999</v>
      </c>
      <c r="C2934" s="2">
        <v>407.834</v>
      </c>
      <c r="D2934" s="2">
        <v>401.34699999999998</v>
      </c>
      <c r="E2934" s="2">
        <v>404.91</v>
      </c>
      <c r="F2934" s="2">
        <v>15325749</v>
      </c>
      <c r="G2934" s="2" t="s">
        <v>569</v>
      </c>
      <c r="H2934" s="2" t="s">
        <v>570</v>
      </c>
      <c r="I2934" s="2" t="s">
        <v>17</v>
      </c>
      <c r="J2934" s="3">
        <v>1.0009999999999999</v>
      </c>
      <c r="K2934" s="2" t="s">
        <v>471</v>
      </c>
      <c r="L2934" s="2">
        <v>2024</v>
      </c>
      <c r="M2934" s="2" t="s">
        <v>205</v>
      </c>
      <c r="N2934" s="2" t="s">
        <v>21</v>
      </c>
      <c r="O2934">
        <f t="shared" si="90"/>
        <v>6.4870000000000232</v>
      </c>
      <c r="P2934">
        <f t="shared" si="91"/>
        <v>58.568000000000048</v>
      </c>
    </row>
    <row r="2935" spans="1:16" x14ac:dyDescent="0.35">
      <c r="A2935" s="9" t="s">
        <v>476</v>
      </c>
      <c r="B2935" s="2">
        <v>407.38499999999999</v>
      </c>
      <c r="C2935" s="2">
        <v>415.49799999999999</v>
      </c>
      <c r="D2935" s="2">
        <v>406.88600000000002</v>
      </c>
      <c r="E2935" s="2">
        <v>413.37299999999999</v>
      </c>
      <c r="F2935" s="2">
        <v>19633507</v>
      </c>
      <c r="G2935" s="2" t="s">
        <v>569</v>
      </c>
      <c r="H2935" s="2" t="s">
        <v>570</v>
      </c>
      <c r="I2935" s="2" t="s">
        <v>17</v>
      </c>
      <c r="J2935" s="3">
        <v>2.09</v>
      </c>
      <c r="K2935" s="2" t="s">
        <v>471</v>
      </c>
      <c r="L2935" s="2">
        <v>2024</v>
      </c>
      <c r="M2935" s="2" t="s">
        <v>205</v>
      </c>
      <c r="N2935" s="2" t="s">
        <v>21</v>
      </c>
      <c r="O2935">
        <f t="shared" si="90"/>
        <v>8.6119999999999663</v>
      </c>
      <c r="P2935">
        <f t="shared" si="91"/>
        <v>60.658000000000044</v>
      </c>
    </row>
    <row r="2936" spans="1:16" x14ac:dyDescent="0.35">
      <c r="A2936" s="9" t="s">
        <v>477</v>
      </c>
      <c r="B2936" s="2">
        <v>414.67</v>
      </c>
      <c r="C2936" s="2">
        <v>423.14299999999997</v>
      </c>
      <c r="D2936" s="2">
        <v>408.762</v>
      </c>
      <c r="E2936" s="2">
        <v>422.19499999999999</v>
      </c>
      <c r="F2936" s="2">
        <v>19305488</v>
      </c>
      <c r="G2936" s="2" t="s">
        <v>569</v>
      </c>
      <c r="H2936" s="2" t="s">
        <v>570</v>
      </c>
      <c r="I2936" s="2" t="s">
        <v>17</v>
      </c>
      <c r="J2936" s="3">
        <v>2.1339999999999999</v>
      </c>
      <c r="K2936" s="2" t="s">
        <v>471</v>
      </c>
      <c r="L2936" s="2">
        <v>2024</v>
      </c>
      <c r="M2936" s="2" t="s">
        <v>205</v>
      </c>
      <c r="N2936" s="2" t="s">
        <v>21</v>
      </c>
      <c r="O2936">
        <f t="shared" si="90"/>
        <v>14.380999999999972</v>
      </c>
      <c r="P2936">
        <f t="shared" si="91"/>
        <v>62.792000000000044</v>
      </c>
    </row>
    <row r="2937" spans="1:16" x14ac:dyDescent="0.35">
      <c r="A2937" s="9" t="s">
        <v>478</v>
      </c>
      <c r="B2937" s="2">
        <v>422.464</v>
      </c>
      <c r="C2937" s="2">
        <v>426.51499999999999</v>
      </c>
      <c r="D2937" s="2">
        <v>418.911</v>
      </c>
      <c r="E2937" s="2">
        <v>426.14699999999999</v>
      </c>
      <c r="F2937" s="2">
        <v>17453625</v>
      </c>
      <c r="G2937" s="2" t="s">
        <v>569</v>
      </c>
      <c r="H2937" s="2" t="s">
        <v>570</v>
      </c>
      <c r="I2937" s="2" t="s">
        <v>17</v>
      </c>
      <c r="J2937" s="3">
        <v>0.93600000000000005</v>
      </c>
      <c r="K2937" s="2" t="s">
        <v>471</v>
      </c>
      <c r="L2937" s="2">
        <v>2024</v>
      </c>
      <c r="M2937" s="2" t="s">
        <v>205</v>
      </c>
      <c r="N2937" s="2" t="s">
        <v>21</v>
      </c>
      <c r="O2937">
        <f t="shared" si="90"/>
        <v>7.603999999999985</v>
      </c>
      <c r="P2937">
        <f t="shared" si="91"/>
        <v>63.728000000000044</v>
      </c>
    </row>
    <row r="2938" spans="1:16" x14ac:dyDescent="0.35">
      <c r="A2938" s="9" t="s">
        <v>479</v>
      </c>
      <c r="B2938" s="2">
        <v>424.97399999999999</v>
      </c>
      <c r="C2938" s="2">
        <v>430.96699999999998</v>
      </c>
      <c r="D2938" s="2">
        <v>424.61</v>
      </c>
      <c r="E2938" s="2">
        <v>429.73</v>
      </c>
      <c r="F2938" s="2">
        <v>15906330</v>
      </c>
      <c r="G2938" s="2" t="s">
        <v>569</v>
      </c>
      <c r="H2938" s="2" t="s">
        <v>570</v>
      </c>
      <c r="I2938" s="2" t="s">
        <v>17</v>
      </c>
      <c r="J2938" s="3">
        <v>0.84099999999999997</v>
      </c>
      <c r="K2938" s="2" t="s">
        <v>471</v>
      </c>
      <c r="L2938" s="2">
        <v>2024</v>
      </c>
      <c r="M2938" s="2" t="s">
        <v>205</v>
      </c>
      <c r="N2938" s="2" t="s">
        <v>21</v>
      </c>
      <c r="O2938">
        <f t="shared" si="90"/>
        <v>6.3569999999999709</v>
      </c>
      <c r="P2938">
        <f t="shared" si="91"/>
        <v>64.569000000000045</v>
      </c>
    </row>
    <row r="2939" spans="1:16" x14ac:dyDescent="0.35">
      <c r="A2939" s="9" t="s">
        <v>480</v>
      </c>
      <c r="B2939" s="2">
        <v>429.74</v>
      </c>
      <c r="C2939" s="2">
        <v>432.66399999999999</v>
      </c>
      <c r="D2939" s="2">
        <v>427.36500000000001</v>
      </c>
      <c r="E2939" s="2">
        <v>430.47800000000001</v>
      </c>
      <c r="F2939" s="2">
        <v>13862389</v>
      </c>
      <c r="G2939" s="2" t="s">
        <v>569</v>
      </c>
      <c r="H2939" s="2" t="s">
        <v>570</v>
      </c>
      <c r="I2939" s="2" t="s">
        <v>17</v>
      </c>
      <c r="J2939" s="3">
        <v>0.17399999999999999</v>
      </c>
      <c r="K2939" s="2" t="s">
        <v>471</v>
      </c>
      <c r="L2939" s="2">
        <v>2024</v>
      </c>
      <c r="M2939" s="2" t="s">
        <v>205</v>
      </c>
      <c r="N2939" s="2" t="s">
        <v>21</v>
      </c>
      <c r="O2939">
        <f t="shared" si="90"/>
        <v>5.2989999999999782</v>
      </c>
      <c r="P2939">
        <f t="shared" si="91"/>
        <v>64.743000000000052</v>
      </c>
    </row>
    <row r="2940" spans="1:16" x14ac:dyDescent="0.35">
      <c r="A2940" s="9" t="s">
        <v>481</v>
      </c>
      <c r="B2940" s="2">
        <v>439.351</v>
      </c>
      <c r="C2940" s="2">
        <v>440.96699999999998</v>
      </c>
      <c r="D2940" s="2">
        <v>431.40600000000001</v>
      </c>
      <c r="E2940" s="2">
        <v>434.28100000000001</v>
      </c>
      <c r="F2940" s="2">
        <v>18912010</v>
      </c>
      <c r="G2940" s="2" t="s">
        <v>569</v>
      </c>
      <c r="H2940" s="2" t="s">
        <v>570</v>
      </c>
      <c r="I2940" s="2" t="s">
        <v>17</v>
      </c>
      <c r="J2940" s="3">
        <v>0.88300000000000001</v>
      </c>
      <c r="K2940" s="2" t="s">
        <v>471</v>
      </c>
      <c r="L2940" s="2">
        <v>2024</v>
      </c>
      <c r="M2940" s="2" t="s">
        <v>205</v>
      </c>
      <c r="N2940" s="2" t="s">
        <v>21</v>
      </c>
      <c r="O2940">
        <f t="shared" si="90"/>
        <v>9.5609999999999786</v>
      </c>
      <c r="P2940">
        <f t="shared" si="91"/>
        <v>65.626000000000047</v>
      </c>
    </row>
    <row r="2941" spans="1:16" x14ac:dyDescent="0.35">
      <c r="A2941" s="9" t="s">
        <v>482</v>
      </c>
      <c r="B2941" s="2">
        <v>434.13099999999997</v>
      </c>
      <c r="C2941" s="2">
        <v>435.15899999999999</v>
      </c>
      <c r="D2941" s="2">
        <v>429.55</v>
      </c>
      <c r="E2941" s="2">
        <v>429.94900000000001</v>
      </c>
      <c r="F2941" s="2">
        <v>18935869</v>
      </c>
      <c r="G2941" s="2" t="s">
        <v>569</v>
      </c>
      <c r="H2941" s="2" t="s">
        <v>570</v>
      </c>
      <c r="I2941" s="2" t="s">
        <v>17</v>
      </c>
      <c r="J2941" s="4">
        <v>-0.998</v>
      </c>
      <c r="K2941" s="2" t="s">
        <v>471</v>
      </c>
      <c r="L2941" s="2">
        <v>2024</v>
      </c>
      <c r="M2941" s="2" t="s">
        <v>205</v>
      </c>
      <c r="N2941" s="2" t="s">
        <v>23</v>
      </c>
      <c r="O2941">
        <f t="shared" si="90"/>
        <v>5.6089999999999804</v>
      </c>
      <c r="P2941">
        <f t="shared" si="91"/>
        <v>64.628000000000043</v>
      </c>
    </row>
    <row r="2942" spans="1:16" x14ac:dyDescent="0.35">
      <c r="A2942" s="9" t="s">
        <v>483</v>
      </c>
      <c r="B2942" s="2">
        <v>440.34399999999999</v>
      </c>
      <c r="C2942" s="2">
        <v>440.61799999999999</v>
      </c>
      <c r="D2942" s="2">
        <v>436.02699999999999</v>
      </c>
      <c r="E2942" s="2">
        <v>437.81400000000002</v>
      </c>
      <c r="F2942" s="2">
        <v>21750007</v>
      </c>
      <c r="G2942" s="2" t="s">
        <v>569</v>
      </c>
      <c r="H2942" s="2" t="s">
        <v>570</v>
      </c>
      <c r="I2942" s="2" t="s">
        <v>17</v>
      </c>
      <c r="J2942" s="3">
        <v>1.829</v>
      </c>
      <c r="K2942" s="2" t="s">
        <v>471</v>
      </c>
      <c r="L2942" s="2">
        <v>2024</v>
      </c>
      <c r="M2942" s="2" t="s">
        <v>205</v>
      </c>
      <c r="N2942" s="2" t="s">
        <v>21</v>
      </c>
      <c r="O2942">
        <f t="shared" si="90"/>
        <v>4.5910000000000082</v>
      </c>
      <c r="P2942">
        <f t="shared" si="91"/>
        <v>66.457000000000036</v>
      </c>
    </row>
    <row r="2943" spans="1:16" x14ac:dyDescent="0.35">
      <c r="A2943" s="9" t="s">
        <v>484</v>
      </c>
      <c r="B2943" s="2">
        <v>436.34699999999998</v>
      </c>
      <c r="C2943" s="2">
        <v>438.363</v>
      </c>
      <c r="D2943" s="2">
        <v>433.35300000000001</v>
      </c>
      <c r="E2943" s="2">
        <v>434.4</v>
      </c>
      <c r="F2943" s="2">
        <v>55277530</v>
      </c>
      <c r="G2943" s="2" t="s">
        <v>569</v>
      </c>
      <c r="H2943" s="2" t="s">
        <v>570</v>
      </c>
      <c r="I2943" s="2" t="s">
        <v>17</v>
      </c>
      <c r="J2943" s="4">
        <v>-0.78</v>
      </c>
      <c r="K2943" s="2" t="s">
        <v>471</v>
      </c>
      <c r="L2943" s="2">
        <v>2024</v>
      </c>
      <c r="M2943" s="2" t="s">
        <v>205</v>
      </c>
      <c r="N2943" s="2" t="s">
        <v>23</v>
      </c>
      <c r="O2943">
        <f t="shared" si="90"/>
        <v>5.0099999999999909</v>
      </c>
      <c r="P2943">
        <f t="shared" si="91"/>
        <v>65.677000000000035</v>
      </c>
    </row>
    <row r="2944" spans="1:16" x14ac:dyDescent="0.35">
      <c r="A2944" s="9" t="s">
        <v>485</v>
      </c>
      <c r="B2944" s="2">
        <v>433.41199999999998</v>
      </c>
      <c r="C2944" s="2">
        <v>435.58800000000002</v>
      </c>
      <c r="D2944" s="2">
        <v>429.529</v>
      </c>
      <c r="E2944" s="2">
        <v>432.64400000000001</v>
      </c>
      <c r="F2944" s="2">
        <v>15159173</v>
      </c>
      <c r="G2944" s="2" t="s">
        <v>569</v>
      </c>
      <c r="H2944" s="2" t="s">
        <v>570</v>
      </c>
      <c r="I2944" s="2" t="s">
        <v>17</v>
      </c>
      <c r="J2944" s="4">
        <v>-0.40400000000000003</v>
      </c>
      <c r="K2944" s="2" t="s">
        <v>471</v>
      </c>
      <c r="L2944" s="2">
        <v>2024</v>
      </c>
      <c r="M2944" s="2" t="s">
        <v>205</v>
      </c>
      <c r="N2944" s="2" t="s">
        <v>23</v>
      </c>
      <c r="O2944">
        <f t="shared" si="90"/>
        <v>6.0590000000000259</v>
      </c>
      <c r="P2944">
        <f t="shared" si="91"/>
        <v>65.273000000000039</v>
      </c>
    </row>
    <row r="2945" spans="1:16" x14ac:dyDescent="0.35">
      <c r="A2945" s="9" t="s">
        <v>486</v>
      </c>
      <c r="B2945" s="2">
        <v>432.13499999999999</v>
      </c>
      <c r="C2945" s="2">
        <v>432.48399999999998</v>
      </c>
      <c r="D2945" s="2">
        <v>425.24900000000002</v>
      </c>
      <c r="E2945" s="2">
        <v>428.31299999999999</v>
      </c>
      <c r="F2945" s="2">
        <v>17049813</v>
      </c>
      <c r="G2945" s="2" t="s">
        <v>569</v>
      </c>
      <c r="H2945" s="2" t="s">
        <v>570</v>
      </c>
      <c r="I2945" s="2" t="s">
        <v>17</v>
      </c>
      <c r="J2945" s="4">
        <v>-1.0009999999999999</v>
      </c>
      <c r="K2945" s="2" t="s">
        <v>471</v>
      </c>
      <c r="L2945" s="2">
        <v>2024</v>
      </c>
      <c r="M2945" s="2" t="s">
        <v>205</v>
      </c>
      <c r="N2945" s="2" t="s">
        <v>23</v>
      </c>
      <c r="O2945">
        <f t="shared" si="90"/>
        <v>7.2349999999999568</v>
      </c>
      <c r="P2945">
        <f t="shared" si="91"/>
        <v>64.272000000000034</v>
      </c>
    </row>
    <row r="2946" spans="1:16" x14ac:dyDescent="0.35">
      <c r="A2946" s="9" t="s">
        <v>487</v>
      </c>
      <c r="B2946" s="2">
        <v>428.971</v>
      </c>
      <c r="C2946" s="2">
        <v>432.25400000000002</v>
      </c>
      <c r="D2946" s="2">
        <v>427.714</v>
      </c>
      <c r="E2946" s="2">
        <v>431.24700000000001</v>
      </c>
      <c r="F2946" s="2">
        <v>13423178</v>
      </c>
      <c r="G2946" s="2" t="s">
        <v>569</v>
      </c>
      <c r="H2946" s="2" t="s">
        <v>570</v>
      </c>
      <c r="I2946" s="2" t="s">
        <v>17</v>
      </c>
      <c r="J2946" s="3">
        <v>0.68500000000000005</v>
      </c>
      <c r="K2946" s="2" t="s">
        <v>471</v>
      </c>
      <c r="L2946" s="2">
        <v>2024</v>
      </c>
      <c r="M2946" s="2" t="s">
        <v>205</v>
      </c>
      <c r="N2946" s="2" t="s">
        <v>21</v>
      </c>
      <c r="O2946">
        <f t="shared" si="90"/>
        <v>4.5400000000000205</v>
      </c>
      <c r="P2946">
        <f t="shared" si="91"/>
        <v>64.957000000000036</v>
      </c>
    </row>
    <row r="2947" spans="1:16" x14ac:dyDescent="0.35">
      <c r="A2947" s="9" t="s">
        <v>488</v>
      </c>
      <c r="B2947" s="2">
        <v>434.21600000000001</v>
      </c>
      <c r="C2947" s="2">
        <v>434.43</v>
      </c>
      <c r="D2947" s="2">
        <v>428.27300000000002</v>
      </c>
      <c r="E2947" s="2">
        <v>430.44799999999998</v>
      </c>
      <c r="F2947" s="2">
        <v>14521051</v>
      </c>
      <c r="G2947" s="2" t="s">
        <v>569</v>
      </c>
      <c r="H2947" s="2" t="s">
        <v>570</v>
      </c>
      <c r="I2947" s="2" t="s">
        <v>17</v>
      </c>
      <c r="J2947" s="4">
        <v>-0.185</v>
      </c>
      <c r="K2947" s="2" t="s">
        <v>471</v>
      </c>
      <c r="L2947" s="2">
        <v>2024</v>
      </c>
      <c r="M2947" s="2" t="s">
        <v>205</v>
      </c>
      <c r="N2947" s="2" t="s">
        <v>23</v>
      </c>
      <c r="O2947">
        <f t="shared" ref="O2947:O3010" si="92">C2947-D2947</f>
        <v>6.1569999999999823</v>
      </c>
      <c r="P2947">
        <f t="shared" si="91"/>
        <v>64.772000000000034</v>
      </c>
    </row>
    <row r="2948" spans="1:16" x14ac:dyDescent="0.35">
      <c r="A2948" s="9" t="s">
        <v>489</v>
      </c>
      <c r="B2948" s="2">
        <v>430.65800000000002</v>
      </c>
      <c r="C2948" s="2">
        <v>430.98700000000002</v>
      </c>
      <c r="D2948" s="2">
        <v>426.61599999999999</v>
      </c>
      <c r="E2948" s="2">
        <v>427.16500000000002</v>
      </c>
      <c r="F2948" s="2">
        <v>14925947</v>
      </c>
      <c r="G2948" s="2" t="s">
        <v>569</v>
      </c>
      <c r="H2948" s="2" t="s">
        <v>570</v>
      </c>
      <c r="I2948" s="2" t="s">
        <v>17</v>
      </c>
      <c r="J2948" s="4">
        <v>-0.76300000000000001</v>
      </c>
      <c r="K2948" s="2" t="s">
        <v>471</v>
      </c>
      <c r="L2948" s="2">
        <v>2024</v>
      </c>
      <c r="M2948" s="2" t="s">
        <v>205</v>
      </c>
      <c r="N2948" s="2" t="s">
        <v>23</v>
      </c>
      <c r="O2948">
        <f t="shared" si="92"/>
        <v>4.3710000000000377</v>
      </c>
      <c r="P2948">
        <f t="shared" ref="P2948:P3011" si="93">IF(G2948=G2947, P2947+J2948, J2948)</f>
        <v>64.009000000000029</v>
      </c>
    </row>
    <row r="2949" spans="1:16" x14ac:dyDescent="0.35">
      <c r="A2949" s="9" t="s">
        <v>490</v>
      </c>
      <c r="B2949" s="2">
        <v>427.35500000000002</v>
      </c>
      <c r="C2949" s="2">
        <v>429.56</v>
      </c>
      <c r="D2949" s="2">
        <v>424.52</v>
      </c>
      <c r="E2949" s="2">
        <v>429.44</v>
      </c>
      <c r="F2949" s="2">
        <v>16888342</v>
      </c>
      <c r="G2949" s="2" t="s">
        <v>569</v>
      </c>
      <c r="H2949" s="2" t="s">
        <v>570</v>
      </c>
      <c r="I2949" s="2" t="s">
        <v>17</v>
      </c>
      <c r="J2949" s="3">
        <v>0.53300000000000003</v>
      </c>
      <c r="K2949" s="2" t="s">
        <v>471</v>
      </c>
      <c r="L2949" s="2">
        <v>2024</v>
      </c>
      <c r="M2949" s="2" t="s">
        <v>205</v>
      </c>
      <c r="N2949" s="2" t="s">
        <v>21</v>
      </c>
      <c r="O2949">
        <f t="shared" si="92"/>
        <v>5.0400000000000205</v>
      </c>
      <c r="P2949">
        <f t="shared" si="93"/>
        <v>64.54200000000003</v>
      </c>
    </row>
    <row r="2950" spans="1:16" x14ac:dyDescent="0.35">
      <c r="A2950" s="9" t="s">
        <v>491</v>
      </c>
      <c r="B2950" s="2">
        <v>427.59399999999999</v>
      </c>
      <c r="C2950" s="2">
        <v>427.62400000000002</v>
      </c>
      <c r="D2950" s="2">
        <v>417.97300000000001</v>
      </c>
      <c r="E2950" s="2">
        <v>419.85</v>
      </c>
      <c r="F2950" s="2">
        <v>19131162</v>
      </c>
      <c r="G2950" s="2" t="s">
        <v>569</v>
      </c>
      <c r="H2950" s="2" t="s">
        <v>570</v>
      </c>
      <c r="I2950" s="2" t="s">
        <v>17</v>
      </c>
      <c r="J2950" s="4">
        <v>-2.2330000000000001</v>
      </c>
      <c r="K2950" s="2" t="s">
        <v>492</v>
      </c>
      <c r="L2950" s="2">
        <v>2024</v>
      </c>
      <c r="M2950" s="2" t="s">
        <v>227</v>
      </c>
      <c r="N2950" s="2" t="s">
        <v>23</v>
      </c>
      <c r="O2950">
        <f t="shared" si="92"/>
        <v>9.6510000000000105</v>
      </c>
      <c r="P2950">
        <f t="shared" si="93"/>
        <v>62.309000000000033</v>
      </c>
    </row>
    <row r="2951" spans="1:16" x14ac:dyDescent="0.35">
      <c r="A2951" s="9" t="s">
        <v>493</v>
      </c>
      <c r="B2951" s="2">
        <v>421.73599999999999</v>
      </c>
      <c r="C2951" s="2">
        <v>421.97500000000002</v>
      </c>
      <c r="D2951" s="2">
        <v>415.87799999999999</v>
      </c>
      <c r="E2951" s="2">
        <v>416.29700000000003</v>
      </c>
      <c r="F2951" s="2">
        <v>16615448</v>
      </c>
      <c r="G2951" s="2" t="s">
        <v>569</v>
      </c>
      <c r="H2951" s="2" t="s">
        <v>570</v>
      </c>
      <c r="I2951" s="2" t="s">
        <v>17</v>
      </c>
      <c r="J2951" s="4">
        <v>-0.84599999999999997</v>
      </c>
      <c r="K2951" s="2" t="s">
        <v>492</v>
      </c>
      <c r="L2951" s="2">
        <v>2024</v>
      </c>
      <c r="M2951" s="2" t="s">
        <v>227</v>
      </c>
      <c r="N2951" s="2" t="s">
        <v>23</v>
      </c>
      <c r="O2951">
        <f t="shared" si="92"/>
        <v>6.0970000000000368</v>
      </c>
      <c r="P2951">
        <f t="shared" si="93"/>
        <v>61.463000000000036</v>
      </c>
    </row>
    <row r="2952" spans="1:16" x14ac:dyDescent="0.35">
      <c r="A2952" s="9" t="s">
        <v>494</v>
      </c>
      <c r="B2952" s="2">
        <v>416.79599999999999</v>
      </c>
      <c r="C2952" s="2">
        <v>418.71199999999999</v>
      </c>
      <c r="D2952" s="2">
        <v>413.46199999999999</v>
      </c>
      <c r="E2952" s="2">
        <v>415.70800000000003</v>
      </c>
      <c r="F2952" s="2">
        <v>13713816</v>
      </c>
      <c r="G2952" s="2" t="s">
        <v>569</v>
      </c>
      <c r="H2952" s="2" t="s">
        <v>570</v>
      </c>
      <c r="I2952" s="2" t="s">
        <v>17</v>
      </c>
      <c r="J2952" s="4">
        <v>-0.14099999999999999</v>
      </c>
      <c r="K2952" s="2" t="s">
        <v>492</v>
      </c>
      <c r="L2952" s="2">
        <v>2024</v>
      </c>
      <c r="M2952" s="2" t="s">
        <v>227</v>
      </c>
      <c r="N2952" s="2" t="s">
        <v>23</v>
      </c>
      <c r="O2952">
        <f t="shared" si="92"/>
        <v>5.25</v>
      </c>
      <c r="P2952">
        <f t="shared" si="93"/>
        <v>61.322000000000038</v>
      </c>
    </row>
    <row r="2953" spans="1:16" x14ac:dyDescent="0.35">
      <c r="A2953" s="9" t="s">
        <v>495</v>
      </c>
      <c r="B2953" s="2">
        <v>417.40499999999997</v>
      </c>
      <c r="C2953" s="2">
        <v>418.911</v>
      </c>
      <c r="D2953" s="2">
        <v>414.14100000000002</v>
      </c>
      <c r="E2953" s="2">
        <v>415.22899999999998</v>
      </c>
      <c r="F2953" s="2">
        <v>19229326</v>
      </c>
      <c r="G2953" s="2" t="s">
        <v>569</v>
      </c>
      <c r="H2953" s="2" t="s">
        <v>570</v>
      </c>
      <c r="I2953" s="2" t="s">
        <v>17</v>
      </c>
      <c r="J2953" s="4">
        <v>-0.115</v>
      </c>
      <c r="K2953" s="2" t="s">
        <v>492</v>
      </c>
      <c r="L2953" s="2">
        <v>2024</v>
      </c>
      <c r="M2953" s="2" t="s">
        <v>227</v>
      </c>
      <c r="N2953" s="2" t="s">
        <v>23</v>
      </c>
      <c r="O2953">
        <f t="shared" si="92"/>
        <v>4.7699999999999818</v>
      </c>
      <c r="P2953">
        <f t="shared" si="93"/>
        <v>61.207000000000036</v>
      </c>
    </row>
    <row r="2954" spans="1:16" x14ac:dyDescent="0.35">
      <c r="A2954" s="9" t="s">
        <v>496</v>
      </c>
      <c r="B2954" s="2">
        <v>415.16899999999998</v>
      </c>
      <c r="C2954" s="2">
        <v>416.27699999999999</v>
      </c>
      <c r="D2954" s="2">
        <v>408.18299999999999</v>
      </c>
      <c r="E2954" s="2">
        <v>408.72199999999998</v>
      </c>
      <c r="F2954" s="2">
        <v>20961634</v>
      </c>
      <c r="G2954" s="2" t="s">
        <v>569</v>
      </c>
      <c r="H2954" s="2" t="s">
        <v>570</v>
      </c>
      <c r="I2954" s="2" t="s">
        <v>17</v>
      </c>
      <c r="J2954" s="4">
        <v>-1.5669999999999999</v>
      </c>
      <c r="K2954" s="2" t="s">
        <v>492</v>
      </c>
      <c r="L2954" s="2">
        <v>2024</v>
      </c>
      <c r="M2954" s="2" t="s">
        <v>227</v>
      </c>
      <c r="N2954" s="2" t="s">
        <v>23</v>
      </c>
      <c r="O2954">
        <f t="shared" si="92"/>
        <v>8.0939999999999941</v>
      </c>
      <c r="P2954">
        <f t="shared" si="93"/>
        <v>59.640000000000036</v>
      </c>
    </row>
    <row r="2955" spans="1:16" x14ac:dyDescent="0.35">
      <c r="A2955" s="9" t="s">
        <v>497</v>
      </c>
      <c r="B2955" s="2">
        <v>410.07900000000001</v>
      </c>
      <c r="C2955" s="2">
        <v>414.83</v>
      </c>
      <c r="D2955" s="2">
        <v>407.35500000000002</v>
      </c>
      <c r="E2955" s="2">
        <v>413.88200000000001</v>
      </c>
      <c r="F2955" s="2">
        <v>19267751</v>
      </c>
      <c r="G2955" s="2" t="s">
        <v>569</v>
      </c>
      <c r="H2955" s="2" t="s">
        <v>570</v>
      </c>
      <c r="I2955" s="2" t="s">
        <v>17</v>
      </c>
      <c r="J2955" s="3">
        <v>1.262</v>
      </c>
      <c r="K2955" s="2" t="s">
        <v>492</v>
      </c>
      <c r="L2955" s="2">
        <v>2024</v>
      </c>
      <c r="M2955" s="2" t="s">
        <v>227</v>
      </c>
      <c r="N2955" s="2" t="s">
        <v>21</v>
      </c>
      <c r="O2955">
        <f t="shared" si="92"/>
        <v>7.4749999999999659</v>
      </c>
      <c r="P2955">
        <f t="shared" si="93"/>
        <v>60.902000000000037</v>
      </c>
    </row>
    <row r="2956" spans="1:16" x14ac:dyDescent="0.35">
      <c r="A2956" s="9" t="s">
        <v>498</v>
      </c>
      <c r="B2956" s="2">
        <v>415.029</v>
      </c>
      <c r="C2956" s="2">
        <v>419.54</v>
      </c>
      <c r="D2956" s="2">
        <v>413.47199999999998</v>
      </c>
      <c r="E2956" s="2">
        <v>416.62599999999998</v>
      </c>
      <c r="F2956" s="2">
        <v>15004230</v>
      </c>
      <c r="G2956" s="2" t="s">
        <v>569</v>
      </c>
      <c r="H2956" s="2" t="s">
        <v>570</v>
      </c>
      <c r="I2956" s="2" t="s">
        <v>17</v>
      </c>
      <c r="J2956" s="3">
        <v>0.66300000000000003</v>
      </c>
      <c r="K2956" s="2" t="s">
        <v>492</v>
      </c>
      <c r="L2956" s="2">
        <v>2024</v>
      </c>
      <c r="M2956" s="2" t="s">
        <v>227</v>
      </c>
      <c r="N2956" s="2" t="s">
        <v>21</v>
      </c>
      <c r="O2956">
        <f t="shared" si="92"/>
        <v>6.0680000000000405</v>
      </c>
      <c r="P2956">
        <f t="shared" si="93"/>
        <v>61.565000000000033</v>
      </c>
    </row>
    <row r="2957" spans="1:16" x14ac:dyDescent="0.35">
      <c r="A2957" s="9" t="s">
        <v>499</v>
      </c>
      <c r="B2957" s="2">
        <v>414.39600000000002</v>
      </c>
      <c r="C2957" s="2">
        <v>416.51600000000002</v>
      </c>
      <c r="D2957" s="2">
        <v>412.32499999999999</v>
      </c>
      <c r="E2957" s="2">
        <v>415.00900000000001</v>
      </c>
      <c r="F2957" s="2">
        <v>13876095</v>
      </c>
      <c r="G2957" s="2" t="s">
        <v>569</v>
      </c>
      <c r="H2957" s="2" t="s">
        <v>570</v>
      </c>
      <c r="I2957" s="2" t="s">
        <v>17</v>
      </c>
      <c r="J2957" s="4">
        <v>-0.38800000000000001</v>
      </c>
      <c r="K2957" s="2" t="s">
        <v>492</v>
      </c>
      <c r="L2957" s="2">
        <v>2024</v>
      </c>
      <c r="M2957" s="2" t="s">
        <v>227</v>
      </c>
      <c r="N2957" s="2" t="s">
        <v>23</v>
      </c>
      <c r="O2957">
        <f t="shared" si="92"/>
        <v>4.1910000000000309</v>
      </c>
      <c r="P2957">
        <f t="shared" si="93"/>
        <v>61.177000000000035</v>
      </c>
    </row>
    <row r="2958" spans="1:16" x14ac:dyDescent="0.35">
      <c r="A2958" s="9" t="s">
        <v>500</v>
      </c>
      <c r="B2958" s="2">
        <v>415.30399999999997</v>
      </c>
      <c r="C2958" s="2">
        <v>416.29700000000003</v>
      </c>
      <c r="D2958" s="2">
        <v>412.42399999999998</v>
      </c>
      <c r="E2958" s="2">
        <v>415.488</v>
      </c>
      <c r="F2958" s="2">
        <v>14173257</v>
      </c>
      <c r="G2958" s="2" t="s">
        <v>569</v>
      </c>
      <c r="H2958" s="2" t="s">
        <v>570</v>
      </c>
      <c r="I2958" s="2" t="s">
        <v>17</v>
      </c>
      <c r="J2958" s="3">
        <v>0.115</v>
      </c>
      <c r="K2958" s="2" t="s">
        <v>492</v>
      </c>
      <c r="L2958" s="2">
        <v>2024</v>
      </c>
      <c r="M2958" s="2" t="s">
        <v>227</v>
      </c>
      <c r="N2958" s="2" t="s">
        <v>21</v>
      </c>
      <c r="O2958">
        <f t="shared" si="92"/>
        <v>3.8730000000000473</v>
      </c>
      <c r="P2958">
        <f t="shared" si="93"/>
        <v>61.292000000000037</v>
      </c>
    </row>
    <row r="2959" spans="1:16" x14ac:dyDescent="0.35">
      <c r="A2959" s="9" t="s">
        <v>501</v>
      </c>
      <c r="B2959" s="2">
        <v>416.935</v>
      </c>
      <c r="C2959" s="2">
        <v>423.19299999999998</v>
      </c>
      <c r="D2959" s="2">
        <v>416.68599999999998</v>
      </c>
      <c r="E2959" s="2">
        <v>418.303</v>
      </c>
      <c r="F2959" s="2">
        <v>16686419</v>
      </c>
      <c r="G2959" s="2" t="s">
        <v>569</v>
      </c>
      <c r="H2959" s="2" t="s">
        <v>570</v>
      </c>
      <c r="I2959" s="2" t="s">
        <v>17</v>
      </c>
      <c r="J2959" s="3">
        <v>0.67800000000000005</v>
      </c>
      <c r="K2959" s="2" t="s">
        <v>492</v>
      </c>
      <c r="L2959" s="2">
        <v>2024</v>
      </c>
      <c r="M2959" s="2" t="s">
        <v>227</v>
      </c>
      <c r="N2959" s="2" t="s">
        <v>21</v>
      </c>
      <c r="O2959">
        <f t="shared" si="92"/>
        <v>6.507000000000005</v>
      </c>
      <c r="P2959">
        <f t="shared" si="93"/>
        <v>61.970000000000034</v>
      </c>
    </row>
    <row r="2960" spans="1:16" x14ac:dyDescent="0.35">
      <c r="A2960" s="9" t="s">
        <v>502</v>
      </c>
      <c r="B2960" s="2">
        <v>421.33699999999999</v>
      </c>
      <c r="C2960" s="2">
        <v>421.63600000000002</v>
      </c>
      <c r="D2960" s="2">
        <v>414.43</v>
      </c>
      <c r="E2960" s="2">
        <v>417.904</v>
      </c>
      <c r="F2960" s="2">
        <v>18938032</v>
      </c>
      <c r="G2960" s="2" t="s">
        <v>569</v>
      </c>
      <c r="H2960" s="2" t="s">
        <v>570</v>
      </c>
      <c r="I2960" s="2" t="s">
        <v>17</v>
      </c>
      <c r="J2960" s="4">
        <v>-9.5000000000000001E-2</v>
      </c>
      <c r="K2960" s="2" t="s">
        <v>492</v>
      </c>
      <c r="L2960" s="2">
        <v>2024</v>
      </c>
      <c r="M2960" s="2" t="s">
        <v>227</v>
      </c>
      <c r="N2960" s="2" t="s">
        <v>23</v>
      </c>
      <c r="O2960">
        <f t="shared" si="92"/>
        <v>7.2060000000000173</v>
      </c>
      <c r="P2960">
        <f t="shared" si="93"/>
        <v>61.875000000000036</v>
      </c>
    </row>
    <row r="2961" spans="1:16" x14ac:dyDescent="0.35">
      <c r="A2961" s="9" t="s">
        <v>503</v>
      </c>
      <c r="B2961" s="2">
        <v>414.34100000000001</v>
      </c>
      <c r="C2961" s="2">
        <v>415.52800000000002</v>
      </c>
      <c r="D2961" s="2">
        <v>409.66</v>
      </c>
      <c r="E2961" s="2">
        <v>415.28899999999999</v>
      </c>
      <c r="F2961" s="2">
        <v>15539975</v>
      </c>
      <c r="G2961" s="2" t="s">
        <v>569</v>
      </c>
      <c r="H2961" s="2" t="s">
        <v>570</v>
      </c>
      <c r="I2961" s="2" t="s">
        <v>17</v>
      </c>
      <c r="J2961" s="4">
        <v>-0.626</v>
      </c>
      <c r="K2961" s="2" t="s">
        <v>492</v>
      </c>
      <c r="L2961" s="2">
        <v>2024</v>
      </c>
      <c r="M2961" s="2" t="s">
        <v>227</v>
      </c>
      <c r="N2961" s="2" t="s">
        <v>23</v>
      </c>
      <c r="O2961">
        <f t="shared" si="92"/>
        <v>5.867999999999995</v>
      </c>
      <c r="P2961">
        <f t="shared" si="93"/>
        <v>61.249000000000038</v>
      </c>
    </row>
    <row r="2962" spans="1:16" x14ac:dyDescent="0.35">
      <c r="A2962" s="9" t="s">
        <v>504</v>
      </c>
      <c r="B2962" s="2">
        <v>421.51600000000002</v>
      </c>
      <c r="C2962" s="2">
        <v>421.65600000000001</v>
      </c>
      <c r="D2962" s="2">
        <v>414.76</v>
      </c>
      <c r="E2962" s="2">
        <v>415.88799999999998</v>
      </c>
      <c r="F2962" s="2">
        <v>14849668</v>
      </c>
      <c r="G2962" s="2" t="s">
        <v>569</v>
      </c>
      <c r="H2962" s="2" t="s">
        <v>570</v>
      </c>
      <c r="I2962" s="2" t="s">
        <v>17</v>
      </c>
      <c r="J2962" s="3">
        <v>0.14399999999999999</v>
      </c>
      <c r="K2962" s="2" t="s">
        <v>492</v>
      </c>
      <c r="L2962" s="2">
        <v>2024</v>
      </c>
      <c r="M2962" s="2" t="s">
        <v>227</v>
      </c>
      <c r="N2962" s="2" t="s">
        <v>21</v>
      </c>
      <c r="O2962">
        <f t="shared" si="92"/>
        <v>6.896000000000015</v>
      </c>
      <c r="P2962">
        <f t="shared" si="93"/>
        <v>61.393000000000036</v>
      </c>
    </row>
    <row r="2963" spans="1:16" x14ac:dyDescent="0.35">
      <c r="A2963" s="9" t="s">
        <v>505</v>
      </c>
      <c r="B2963" s="2">
        <v>416.30700000000002</v>
      </c>
      <c r="C2963" s="2">
        <v>418.81200000000001</v>
      </c>
      <c r="D2963" s="2">
        <v>415.42899999999997</v>
      </c>
      <c r="E2963" s="2">
        <v>417.32499999999999</v>
      </c>
      <c r="F2963" s="2">
        <v>17179635</v>
      </c>
      <c r="G2963" s="2" t="s">
        <v>569</v>
      </c>
      <c r="H2963" s="2" t="s">
        <v>570</v>
      </c>
      <c r="I2963" s="2" t="s">
        <v>17</v>
      </c>
      <c r="J2963" s="3">
        <v>0.34599999999999997</v>
      </c>
      <c r="K2963" s="2" t="s">
        <v>492</v>
      </c>
      <c r="L2963" s="2">
        <v>2024</v>
      </c>
      <c r="M2963" s="2" t="s">
        <v>227</v>
      </c>
      <c r="N2963" s="2" t="s">
        <v>21</v>
      </c>
      <c r="O2963">
        <f t="shared" si="92"/>
        <v>3.3830000000000382</v>
      </c>
      <c r="P2963">
        <f t="shared" si="93"/>
        <v>61.739000000000033</v>
      </c>
    </row>
    <row r="2964" spans="1:16" x14ac:dyDescent="0.35">
      <c r="A2964" s="9" t="s">
        <v>506</v>
      </c>
      <c r="B2964" s="2">
        <v>415.28899999999999</v>
      </c>
      <c r="C2964" s="2">
        <v>418.12299999999999</v>
      </c>
      <c r="D2964" s="2">
        <v>412.92399999999998</v>
      </c>
      <c r="E2964" s="2">
        <v>417.94299999999998</v>
      </c>
      <c r="F2964" s="2">
        <v>14234550</v>
      </c>
      <c r="G2964" s="2" t="s">
        <v>569</v>
      </c>
      <c r="H2964" s="2" t="s">
        <v>570</v>
      </c>
      <c r="I2964" s="2" t="s">
        <v>17</v>
      </c>
      <c r="J2964" s="3">
        <v>0.14799999999999999</v>
      </c>
      <c r="K2964" s="2" t="s">
        <v>492</v>
      </c>
      <c r="L2964" s="2">
        <v>2024</v>
      </c>
      <c r="M2964" s="2" t="s">
        <v>227</v>
      </c>
      <c r="N2964" s="2" t="s">
        <v>21</v>
      </c>
      <c r="O2964">
        <f t="shared" si="92"/>
        <v>5.1990000000000123</v>
      </c>
      <c r="P2964">
        <f t="shared" si="93"/>
        <v>61.887000000000036</v>
      </c>
    </row>
    <row r="2965" spans="1:16" x14ac:dyDescent="0.35">
      <c r="A2965" s="9" t="s">
        <v>507</v>
      </c>
      <c r="B2965" s="2">
        <v>417.654</v>
      </c>
      <c r="C2965" s="2">
        <v>429.71899999999999</v>
      </c>
      <c r="D2965" s="2">
        <v>417.20499999999998</v>
      </c>
      <c r="E2965" s="2">
        <v>426.65600000000001</v>
      </c>
      <c r="F2965" s="2">
        <v>25533203</v>
      </c>
      <c r="G2965" s="2" t="s">
        <v>569</v>
      </c>
      <c r="H2965" s="2" t="s">
        <v>570</v>
      </c>
      <c r="I2965" s="2" t="s">
        <v>17</v>
      </c>
      <c r="J2965" s="3">
        <v>2.085</v>
      </c>
      <c r="K2965" s="2" t="s">
        <v>492</v>
      </c>
      <c r="L2965" s="2">
        <v>2024</v>
      </c>
      <c r="M2965" s="2" t="s">
        <v>227</v>
      </c>
      <c r="N2965" s="2" t="s">
        <v>21</v>
      </c>
      <c r="O2965">
        <f t="shared" si="92"/>
        <v>12.51400000000001</v>
      </c>
      <c r="P2965">
        <f t="shared" si="93"/>
        <v>63.972000000000037</v>
      </c>
    </row>
    <row r="2966" spans="1:16" x14ac:dyDescent="0.35">
      <c r="A2966" s="9" t="s">
        <v>508</v>
      </c>
      <c r="B2966" s="2">
        <v>429.99400000000003</v>
      </c>
      <c r="C2966" s="2">
        <v>430.21899999999999</v>
      </c>
      <c r="D2966" s="2">
        <v>421.68599999999998</v>
      </c>
      <c r="E2966" s="2">
        <v>423.75200000000001</v>
      </c>
      <c r="F2966" s="2">
        <v>19693719</v>
      </c>
      <c r="G2966" s="2" t="s">
        <v>569</v>
      </c>
      <c r="H2966" s="2" t="s">
        <v>570</v>
      </c>
      <c r="I2966" s="2" t="s">
        <v>17</v>
      </c>
      <c r="J2966" s="4">
        <v>-0.68100000000000005</v>
      </c>
      <c r="K2966" s="2" t="s">
        <v>492</v>
      </c>
      <c r="L2966" s="2">
        <v>2024</v>
      </c>
      <c r="M2966" s="2" t="s">
        <v>227</v>
      </c>
      <c r="N2966" s="2" t="s">
        <v>23</v>
      </c>
      <c r="O2966">
        <f t="shared" si="92"/>
        <v>8.5330000000000155</v>
      </c>
      <c r="P2966">
        <f t="shared" si="93"/>
        <v>63.291000000000039</v>
      </c>
    </row>
    <row r="2967" spans="1:16" x14ac:dyDescent="0.35">
      <c r="A2967" s="9" t="s">
        <v>509</v>
      </c>
      <c r="B2967" s="2">
        <v>424.47500000000002</v>
      </c>
      <c r="C2967" s="2">
        <v>425.12700000000001</v>
      </c>
      <c r="D2967" s="2">
        <v>421.55599999999998</v>
      </c>
      <c r="E2967" s="2">
        <v>423.88200000000001</v>
      </c>
      <c r="F2967" s="2">
        <v>13608816</v>
      </c>
      <c r="G2967" s="2" t="s">
        <v>569</v>
      </c>
      <c r="H2967" s="2" t="s">
        <v>570</v>
      </c>
      <c r="I2967" s="2" t="s">
        <v>17</v>
      </c>
      <c r="J2967" s="3">
        <v>3.1E-2</v>
      </c>
      <c r="K2967" s="2" t="s">
        <v>492</v>
      </c>
      <c r="L2967" s="2">
        <v>2024</v>
      </c>
      <c r="M2967" s="2" t="s">
        <v>227</v>
      </c>
      <c r="N2967" s="2" t="s">
        <v>21</v>
      </c>
      <c r="O2967">
        <f t="shared" si="92"/>
        <v>3.5710000000000264</v>
      </c>
      <c r="P2967">
        <f t="shared" si="93"/>
        <v>63.322000000000038</v>
      </c>
    </row>
    <row r="2968" spans="1:16" x14ac:dyDescent="0.35">
      <c r="A2968" s="9" t="s">
        <v>510</v>
      </c>
      <c r="B2968" s="2">
        <v>425.90699999999998</v>
      </c>
      <c r="C2968" s="2">
        <v>431.65600000000001</v>
      </c>
      <c r="D2968" s="2">
        <v>425.71300000000002</v>
      </c>
      <c r="E2968" s="2">
        <v>427.29500000000002</v>
      </c>
      <c r="F2968" s="2">
        <v>16932889</v>
      </c>
      <c r="G2968" s="2" t="s">
        <v>569</v>
      </c>
      <c r="H2968" s="2" t="s">
        <v>570</v>
      </c>
      <c r="I2968" s="2" t="s">
        <v>17</v>
      </c>
      <c r="J2968" s="3">
        <v>0.80500000000000005</v>
      </c>
      <c r="K2968" s="2" t="s">
        <v>492</v>
      </c>
      <c r="L2968" s="2">
        <v>2024</v>
      </c>
      <c r="M2968" s="2" t="s">
        <v>227</v>
      </c>
      <c r="N2968" s="2" t="s">
        <v>21</v>
      </c>
      <c r="O2968">
        <f t="shared" si="92"/>
        <v>5.9429999999999836</v>
      </c>
      <c r="P2968">
        <f t="shared" si="93"/>
        <v>64.127000000000038</v>
      </c>
    </row>
    <row r="2969" spans="1:16" x14ac:dyDescent="0.35">
      <c r="A2969" s="9" t="s">
        <v>511</v>
      </c>
      <c r="B2969" s="2">
        <v>430.79300000000001</v>
      </c>
      <c r="C2969" s="2">
        <v>431.077</v>
      </c>
      <c r="D2969" s="2">
        <v>425.44799999999998</v>
      </c>
      <c r="E2969" s="2">
        <v>425.738</v>
      </c>
      <c r="F2969" s="2">
        <v>14912233</v>
      </c>
      <c r="G2969" s="2" t="s">
        <v>569</v>
      </c>
      <c r="H2969" s="2" t="s">
        <v>570</v>
      </c>
      <c r="I2969" s="2" t="s">
        <v>17</v>
      </c>
      <c r="J2969" s="4">
        <v>-0.36399999999999999</v>
      </c>
      <c r="K2969" s="2" t="s">
        <v>492</v>
      </c>
      <c r="L2969" s="2">
        <v>2024</v>
      </c>
      <c r="M2969" s="2" t="s">
        <v>227</v>
      </c>
      <c r="N2969" s="2" t="s">
        <v>23</v>
      </c>
      <c r="O2969">
        <f t="shared" si="92"/>
        <v>5.6290000000000191</v>
      </c>
      <c r="P2969">
        <f t="shared" si="93"/>
        <v>63.763000000000041</v>
      </c>
    </row>
    <row r="2970" spans="1:16" x14ac:dyDescent="0.35">
      <c r="A2970" s="9" t="s">
        <v>512</v>
      </c>
      <c r="B2970" s="2">
        <v>427.14499999999998</v>
      </c>
      <c r="C2970" s="2">
        <v>432.30500000000001</v>
      </c>
      <c r="D2970" s="2">
        <v>424.95</v>
      </c>
      <c r="E2970" s="2">
        <v>431.08699999999999</v>
      </c>
      <c r="F2970" s="2">
        <v>17679397</v>
      </c>
      <c r="G2970" s="2" t="s">
        <v>569</v>
      </c>
      <c r="H2970" s="2" t="s">
        <v>570</v>
      </c>
      <c r="I2970" s="2" t="s">
        <v>17</v>
      </c>
      <c r="J2970" s="3">
        <v>1.256</v>
      </c>
      <c r="K2970" s="2" t="s">
        <v>492</v>
      </c>
      <c r="L2970" s="2">
        <v>2024</v>
      </c>
      <c r="M2970" s="2" t="s">
        <v>227</v>
      </c>
      <c r="N2970" s="2" t="s">
        <v>21</v>
      </c>
      <c r="O2970">
        <f t="shared" si="92"/>
        <v>7.3550000000000182</v>
      </c>
      <c r="P2970">
        <f t="shared" si="93"/>
        <v>65.019000000000034</v>
      </c>
    </row>
    <row r="2971" spans="1:16" x14ac:dyDescent="0.35">
      <c r="A2971" s="9" t="s">
        <v>513</v>
      </c>
      <c r="B2971" s="2">
        <v>436.56099999999998</v>
      </c>
      <c r="C2971" s="2">
        <v>437.62400000000002</v>
      </c>
      <c r="D2971" s="2">
        <v>431.23700000000002</v>
      </c>
      <c r="E2971" s="2">
        <v>431.666</v>
      </c>
      <c r="F2971" s="2">
        <v>29808696</v>
      </c>
      <c r="G2971" s="2" t="s">
        <v>569</v>
      </c>
      <c r="H2971" s="2" t="s">
        <v>570</v>
      </c>
      <c r="I2971" s="2" t="s">
        <v>17</v>
      </c>
      <c r="J2971" s="3">
        <v>0.13400000000000001</v>
      </c>
      <c r="K2971" s="2" t="s">
        <v>492</v>
      </c>
      <c r="L2971" s="2">
        <v>2024</v>
      </c>
      <c r="M2971" s="2" t="s">
        <v>227</v>
      </c>
      <c r="N2971" s="2" t="s">
        <v>21</v>
      </c>
      <c r="O2971">
        <f t="shared" si="92"/>
        <v>6.3870000000000005</v>
      </c>
      <c r="P2971">
        <f t="shared" si="93"/>
        <v>65.153000000000034</v>
      </c>
    </row>
    <row r="2972" spans="1:16" x14ac:dyDescent="0.35">
      <c r="A2972" s="9" t="s">
        <v>514</v>
      </c>
      <c r="B2972" s="2">
        <v>414.53</v>
      </c>
      <c r="C2972" s="2">
        <v>415.32900000000001</v>
      </c>
      <c r="D2972" s="2">
        <v>405.488</v>
      </c>
      <c r="E2972" s="2">
        <v>405.53800000000001</v>
      </c>
      <c r="F2972" s="2">
        <v>54079011</v>
      </c>
      <c r="G2972" s="2" t="s">
        <v>569</v>
      </c>
      <c r="H2972" s="2" t="s">
        <v>570</v>
      </c>
      <c r="I2972" s="2" t="s">
        <v>17</v>
      </c>
      <c r="J2972" s="4">
        <v>-6.0529999999999999</v>
      </c>
      <c r="K2972" s="2" t="s">
        <v>492</v>
      </c>
      <c r="L2972" s="2">
        <v>2024</v>
      </c>
      <c r="M2972" s="2" t="s">
        <v>227</v>
      </c>
      <c r="N2972" s="2" t="s">
        <v>23</v>
      </c>
      <c r="O2972">
        <f t="shared" si="92"/>
        <v>9.8410000000000082</v>
      </c>
      <c r="P2972">
        <f t="shared" si="93"/>
        <v>59.100000000000037</v>
      </c>
    </row>
    <row r="2973" spans="1:16" x14ac:dyDescent="0.35">
      <c r="A2973" s="9" t="s">
        <v>515</v>
      </c>
      <c r="B2973" s="2">
        <v>408.19299999999998</v>
      </c>
      <c r="C2973" s="2">
        <v>414.67</v>
      </c>
      <c r="D2973" s="2">
        <v>406.68599999999998</v>
      </c>
      <c r="E2973" s="2">
        <v>409.55</v>
      </c>
      <c r="F2973" s="2">
        <v>24278942</v>
      </c>
      <c r="G2973" s="2" t="s">
        <v>569</v>
      </c>
      <c r="H2973" s="2" t="s">
        <v>570</v>
      </c>
      <c r="I2973" s="2" t="s">
        <v>17</v>
      </c>
      <c r="J2973" s="3">
        <v>0.98899999999999999</v>
      </c>
      <c r="K2973" s="2" t="s">
        <v>516</v>
      </c>
      <c r="L2973" s="2">
        <v>2024</v>
      </c>
      <c r="M2973" s="2" t="s">
        <v>251</v>
      </c>
      <c r="N2973" s="2" t="s">
        <v>21</v>
      </c>
      <c r="O2973">
        <f t="shared" si="92"/>
        <v>7.9840000000000373</v>
      </c>
      <c r="P2973">
        <f t="shared" si="93"/>
        <v>60.089000000000034</v>
      </c>
    </row>
    <row r="2974" spans="1:16" x14ac:dyDescent="0.35">
      <c r="A2974" s="9" t="s">
        <v>517</v>
      </c>
      <c r="B2974" s="2">
        <v>408.971</v>
      </c>
      <c r="C2974" s="2">
        <v>409.59500000000003</v>
      </c>
      <c r="D2974" s="2">
        <v>404.76100000000002</v>
      </c>
      <c r="E2974" s="2">
        <v>407.64400000000001</v>
      </c>
      <c r="F2974" s="2">
        <v>19711662</v>
      </c>
      <c r="G2974" s="2" t="s">
        <v>569</v>
      </c>
      <c r="H2974" s="2" t="s">
        <v>570</v>
      </c>
      <c r="I2974" s="2" t="s">
        <v>17</v>
      </c>
      <c r="J2974" s="4">
        <v>-0.46500000000000002</v>
      </c>
      <c r="K2974" s="2" t="s">
        <v>516</v>
      </c>
      <c r="L2974" s="2">
        <v>2024</v>
      </c>
      <c r="M2974" s="2" t="s">
        <v>251</v>
      </c>
      <c r="N2974" s="2" t="s">
        <v>23</v>
      </c>
      <c r="O2974">
        <f t="shared" si="92"/>
        <v>4.8340000000000032</v>
      </c>
      <c r="P2974">
        <f t="shared" si="93"/>
        <v>59.624000000000031</v>
      </c>
    </row>
    <row r="2975" spans="1:16" x14ac:dyDescent="0.35">
      <c r="A2975" s="9" t="s">
        <v>518</v>
      </c>
      <c r="B2975" s="2">
        <v>407.55399999999997</v>
      </c>
      <c r="C2975" s="2">
        <v>414.07100000000003</v>
      </c>
      <c r="D2975" s="2">
        <v>407.26499999999999</v>
      </c>
      <c r="E2975" s="2">
        <v>410.63799999999998</v>
      </c>
      <c r="F2975" s="2">
        <v>17661291</v>
      </c>
      <c r="G2975" s="2" t="s">
        <v>569</v>
      </c>
      <c r="H2975" s="2" t="s">
        <v>570</v>
      </c>
      <c r="I2975" s="2" t="s">
        <v>17</v>
      </c>
      <c r="J2975" s="3">
        <v>0.73399999999999999</v>
      </c>
      <c r="K2975" s="2" t="s">
        <v>516</v>
      </c>
      <c r="L2975" s="2">
        <v>2024</v>
      </c>
      <c r="M2975" s="2" t="s">
        <v>251</v>
      </c>
      <c r="N2975" s="2" t="s">
        <v>21</v>
      </c>
      <c r="O2975">
        <f t="shared" si="92"/>
        <v>6.80600000000004</v>
      </c>
      <c r="P2975">
        <f t="shared" si="93"/>
        <v>60.358000000000033</v>
      </c>
    </row>
    <row r="2976" spans="1:16" x14ac:dyDescent="0.35">
      <c r="A2976" s="9" t="s">
        <v>519</v>
      </c>
      <c r="B2976" s="2">
        <v>411.596</v>
      </c>
      <c r="C2976" s="2">
        <v>419.61</v>
      </c>
      <c r="D2976" s="2">
        <v>409.7</v>
      </c>
      <c r="E2976" s="2">
        <v>419.34100000000001</v>
      </c>
      <c r="F2976" s="2">
        <v>26735249</v>
      </c>
      <c r="G2976" s="2" t="s">
        <v>569</v>
      </c>
      <c r="H2976" s="2" t="s">
        <v>570</v>
      </c>
      <c r="I2976" s="2" t="s">
        <v>17</v>
      </c>
      <c r="J2976" s="3">
        <v>2.1190000000000002</v>
      </c>
      <c r="K2976" s="2" t="s">
        <v>516</v>
      </c>
      <c r="L2976" s="2">
        <v>2024</v>
      </c>
      <c r="M2976" s="2" t="s">
        <v>251</v>
      </c>
      <c r="N2976" s="2" t="s">
        <v>21</v>
      </c>
      <c r="O2976">
        <f t="shared" si="92"/>
        <v>9.910000000000025</v>
      </c>
      <c r="P2976">
        <f t="shared" si="93"/>
        <v>62.477000000000032</v>
      </c>
    </row>
    <row r="2977" spans="1:16" x14ac:dyDescent="0.35">
      <c r="A2977" s="9" t="s">
        <v>520</v>
      </c>
      <c r="B2977" s="2">
        <v>420.43799999999999</v>
      </c>
      <c r="C2977" s="2">
        <v>425.99700000000001</v>
      </c>
      <c r="D2977" s="2">
        <v>419.041</v>
      </c>
      <c r="E2977" s="2">
        <v>424.58</v>
      </c>
      <c r="F2977" s="2">
        <v>19941618</v>
      </c>
      <c r="G2977" s="2" t="s">
        <v>569</v>
      </c>
      <c r="H2977" s="2" t="s">
        <v>570</v>
      </c>
      <c r="I2977" s="2" t="s">
        <v>17</v>
      </c>
      <c r="J2977" s="3">
        <v>1.2490000000000001</v>
      </c>
      <c r="K2977" s="2" t="s">
        <v>516</v>
      </c>
      <c r="L2977" s="2">
        <v>2024</v>
      </c>
      <c r="M2977" s="2" t="s">
        <v>251</v>
      </c>
      <c r="N2977" s="2" t="s">
        <v>21</v>
      </c>
      <c r="O2977">
        <f t="shared" si="92"/>
        <v>6.9560000000000173</v>
      </c>
      <c r="P2977">
        <f t="shared" si="93"/>
        <v>63.726000000000035</v>
      </c>
    </row>
    <row r="2978" spans="1:16" x14ac:dyDescent="0.35">
      <c r="A2978" s="9" t="s">
        <v>521</v>
      </c>
      <c r="B2978" s="2">
        <v>424.47</v>
      </c>
      <c r="C2978" s="2">
        <v>425.64800000000002</v>
      </c>
      <c r="D2978" s="2">
        <v>420.93700000000001</v>
      </c>
      <c r="E2978" s="2">
        <v>421.69600000000003</v>
      </c>
      <c r="F2978" s="2">
        <v>16925224</v>
      </c>
      <c r="G2978" s="2" t="s">
        <v>569</v>
      </c>
      <c r="H2978" s="2" t="s">
        <v>570</v>
      </c>
      <c r="I2978" s="2" t="s">
        <v>17</v>
      </c>
      <c r="J2978" s="4">
        <v>-0.67900000000000005</v>
      </c>
      <c r="K2978" s="2" t="s">
        <v>516</v>
      </c>
      <c r="L2978" s="2">
        <v>2024</v>
      </c>
      <c r="M2978" s="2" t="s">
        <v>251</v>
      </c>
      <c r="N2978" s="2" t="s">
        <v>23</v>
      </c>
      <c r="O2978">
        <f t="shared" si="92"/>
        <v>4.7110000000000127</v>
      </c>
      <c r="P2978">
        <f t="shared" si="93"/>
        <v>63.047000000000033</v>
      </c>
    </row>
    <row r="2979" spans="1:16" x14ac:dyDescent="0.35">
      <c r="A2979" s="9" t="s">
        <v>522</v>
      </c>
      <c r="B2979" s="2">
        <v>421.67099999999999</v>
      </c>
      <c r="C2979" s="2">
        <v>423.96100000000001</v>
      </c>
      <c r="D2979" s="2">
        <v>415.16899999999998</v>
      </c>
      <c r="E2979" s="2">
        <v>417.17500000000001</v>
      </c>
      <c r="F2979" s="2">
        <v>24552367</v>
      </c>
      <c r="G2979" s="2" t="s">
        <v>569</v>
      </c>
      <c r="H2979" s="2" t="s">
        <v>570</v>
      </c>
      <c r="I2979" s="2" t="s">
        <v>17</v>
      </c>
      <c r="J2979" s="4">
        <v>-1.0720000000000001</v>
      </c>
      <c r="K2979" s="2" t="s">
        <v>516</v>
      </c>
      <c r="L2979" s="2">
        <v>2024</v>
      </c>
      <c r="M2979" s="2" t="s">
        <v>251</v>
      </c>
      <c r="N2979" s="2" t="s">
        <v>23</v>
      </c>
      <c r="O2979">
        <f t="shared" si="92"/>
        <v>8.79200000000003</v>
      </c>
      <c r="P2979">
        <f t="shared" si="93"/>
        <v>61.97500000000003</v>
      </c>
    </row>
    <row r="2980" spans="1:16" x14ac:dyDescent="0.35">
      <c r="A2980" s="9" t="s">
        <v>523</v>
      </c>
      <c r="B2980" s="2">
        <v>417.41399999999999</v>
      </c>
      <c r="C2980" s="2">
        <v>423.59199999999998</v>
      </c>
      <c r="D2980" s="2">
        <v>416.36700000000002</v>
      </c>
      <c r="E2980" s="2">
        <v>422.185</v>
      </c>
      <c r="F2980" s="2">
        <v>19440038</v>
      </c>
      <c r="G2980" s="2" t="s">
        <v>569</v>
      </c>
      <c r="H2980" s="2" t="s">
        <v>570</v>
      </c>
      <c r="I2980" s="2" t="s">
        <v>17</v>
      </c>
      <c r="J2980" s="3">
        <v>1.2010000000000001</v>
      </c>
      <c r="K2980" s="2" t="s">
        <v>516</v>
      </c>
      <c r="L2980" s="2">
        <v>2024</v>
      </c>
      <c r="M2980" s="2" t="s">
        <v>251</v>
      </c>
      <c r="N2980" s="2" t="s">
        <v>21</v>
      </c>
      <c r="O2980">
        <f t="shared" si="92"/>
        <v>7.2249999999999659</v>
      </c>
      <c r="P2980">
        <f t="shared" si="93"/>
        <v>63.17600000000003</v>
      </c>
    </row>
    <row r="2981" spans="1:16" x14ac:dyDescent="0.35">
      <c r="A2981" s="9" t="s">
        <v>524</v>
      </c>
      <c r="B2981" s="2">
        <v>420.798</v>
      </c>
      <c r="C2981" s="2">
        <v>428.46699999999998</v>
      </c>
      <c r="D2981" s="2">
        <v>417.375</v>
      </c>
      <c r="E2981" s="2">
        <v>424.351</v>
      </c>
      <c r="F2981" s="2">
        <v>21545224</v>
      </c>
      <c r="G2981" s="2" t="s">
        <v>569</v>
      </c>
      <c r="H2981" s="2" t="s">
        <v>570</v>
      </c>
      <c r="I2981" s="2" t="s">
        <v>17</v>
      </c>
      <c r="J2981" s="3">
        <v>0.51300000000000001</v>
      </c>
      <c r="K2981" s="2" t="s">
        <v>516</v>
      </c>
      <c r="L2981" s="2">
        <v>2024</v>
      </c>
      <c r="M2981" s="2" t="s">
        <v>251</v>
      </c>
      <c r="N2981" s="2" t="s">
        <v>21</v>
      </c>
      <c r="O2981">
        <f t="shared" si="92"/>
        <v>11.091999999999985</v>
      </c>
      <c r="P2981">
        <f t="shared" si="93"/>
        <v>63.689000000000028</v>
      </c>
    </row>
    <row r="2982" spans="1:16" x14ac:dyDescent="0.35">
      <c r="A2982" s="9" t="s">
        <v>525</v>
      </c>
      <c r="B2982" s="2">
        <v>424.15100000000001</v>
      </c>
      <c r="C2982" s="2">
        <v>427.315</v>
      </c>
      <c r="D2982" s="2">
        <v>419.161</v>
      </c>
      <c r="E2982" s="2">
        <v>426.03699999999998</v>
      </c>
      <c r="F2982" s="2">
        <v>30307424</v>
      </c>
      <c r="G2982" s="2" t="s">
        <v>569</v>
      </c>
      <c r="H2982" s="2" t="s">
        <v>570</v>
      </c>
      <c r="I2982" s="2" t="s">
        <v>17</v>
      </c>
      <c r="J2982" s="3">
        <v>0.39700000000000002</v>
      </c>
      <c r="K2982" s="2" t="s">
        <v>516</v>
      </c>
      <c r="L2982" s="2">
        <v>2024</v>
      </c>
      <c r="M2982" s="2" t="s">
        <v>251</v>
      </c>
      <c r="N2982" s="2" t="s">
        <v>21</v>
      </c>
      <c r="O2982">
        <f t="shared" si="92"/>
        <v>8.1539999999999964</v>
      </c>
      <c r="P2982">
        <f t="shared" si="93"/>
        <v>64.086000000000027</v>
      </c>
    </row>
    <row r="2983" spans="1:16" x14ac:dyDescent="0.35">
      <c r="A2983" s="9" t="s">
        <v>526</v>
      </c>
      <c r="B2983" s="2">
        <v>418.98099999999999</v>
      </c>
      <c r="C2983" s="2">
        <v>421.95499999999998</v>
      </c>
      <c r="D2983" s="2">
        <v>412.81400000000002</v>
      </c>
      <c r="E2983" s="2">
        <v>414.17099999999999</v>
      </c>
      <c r="F2983" s="2">
        <v>28304185</v>
      </c>
      <c r="G2983" s="2" t="s">
        <v>569</v>
      </c>
      <c r="H2983" s="2" t="s">
        <v>570</v>
      </c>
      <c r="I2983" s="2" t="s">
        <v>17</v>
      </c>
      <c r="J2983" s="4">
        <v>-2.7850000000000001</v>
      </c>
      <c r="K2983" s="2" t="s">
        <v>516</v>
      </c>
      <c r="L2983" s="2">
        <v>2024</v>
      </c>
      <c r="M2983" s="2" t="s">
        <v>251</v>
      </c>
      <c r="N2983" s="2" t="s">
        <v>23</v>
      </c>
      <c r="O2983">
        <f t="shared" si="92"/>
        <v>9.1409999999999627</v>
      </c>
      <c r="P2983">
        <f t="shared" si="93"/>
        <v>61.30100000000003</v>
      </c>
    </row>
    <row r="2984" spans="1:16" x14ac:dyDescent="0.35">
      <c r="A2984" s="9" t="s">
        <v>527</v>
      </c>
      <c r="B2984" s="2">
        <v>414.041</v>
      </c>
      <c r="C2984" s="2">
        <v>417.56799999999998</v>
      </c>
      <c r="D2984" s="2">
        <v>411.27699999999999</v>
      </c>
      <c r="E2984" s="2">
        <v>414.92899999999997</v>
      </c>
      <c r="F2984" s="2">
        <v>24791537</v>
      </c>
      <c r="G2984" s="2" t="s">
        <v>569</v>
      </c>
      <c r="H2984" s="2" t="s">
        <v>570</v>
      </c>
      <c r="I2984" s="2" t="s">
        <v>17</v>
      </c>
      <c r="J2984" s="3">
        <v>0.183</v>
      </c>
      <c r="K2984" s="2" t="s">
        <v>516</v>
      </c>
      <c r="L2984" s="2">
        <v>2024</v>
      </c>
      <c r="M2984" s="2" t="s">
        <v>251</v>
      </c>
      <c r="N2984" s="2" t="s">
        <v>21</v>
      </c>
      <c r="O2984">
        <f t="shared" si="92"/>
        <v>6.2909999999999968</v>
      </c>
      <c r="P2984">
        <f t="shared" si="93"/>
        <v>61.48400000000003</v>
      </c>
    </row>
    <row r="2985" spans="1:16" x14ac:dyDescent="0.35">
      <c r="A2985" s="9" t="s">
        <v>528</v>
      </c>
      <c r="B2985" s="2">
        <v>412.28500000000003</v>
      </c>
      <c r="C2985" s="2">
        <v>417.10500000000002</v>
      </c>
      <c r="D2985" s="2">
        <v>410.72800000000001</v>
      </c>
      <c r="E2985" s="2">
        <v>416.95499999999998</v>
      </c>
      <c r="F2985" s="2">
        <v>18169825</v>
      </c>
      <c r="G2985" s="2" t="s">
        <v>569</v>
      </c>
      <c r="H2985" s="2" t="s">
        <v>570</v>
      </c>
      <c r="I2985" s="2" t="s">
        <v>17</v>
      </c>
      <c r="J2985" s="3">
        <v>0.48799999999999999</v>
      </c>
      <c r="K2985" s="2" t="s">
        <v>516</v>
      </c>
      <c r="L2985" s="2">
        <v>2024</v>
      </c>
      <c r="M2985" s="2" t="s">
        <v>251</v>
      </c>
      <c r="N2985" s="2" t="s">
        <v>21</v>
      </c>
      <c r="O2985">
        <f t="shared" si="92"/>
        <v>6.3770000000000095</v>
      </c>
      <c r="P2985">
        <f t="shared" si="93"/>
        <v>61.97200000000003</v>
      </c>
    </row>
    <row r="2986" spans="1:16" x14ac:dyDescent="0.35">
      <c r="A2986" s="9" t="s">
        <v>529</v>
      </c>
      <c r="B2986" s="2">
        <v>416.03699999999998</v>
      </c>
      <c r="C2986" s="2">
        <v>416.45600000000002</v>
      </c>
      <c r="D2986" s="2">
        <v>409.76</v>
      </c>
      <c r="E2986" s="2">
        <v>414.66</v>
      </c>
      <c r="F2986" s="2">
        <v>19230069</v>
      </c>
      <c r="G2986" s="2" t="s">
        <v>569</v>
      </c>
      <c r="H2986" s="2" t="s">
        <v>570</v>
      </c>
      <c r="I2986" s="2" t="s">
        <v>17</v>
      </c>
      <c r="J2986" s="4">
        <v>-0.55000000000000004</v>
      </c>
      <c r="K2986" s="2" t="s">
        <v>516</v>
      </c>
      <c r="L2986" s="2">
        <v>2024</v>
      </c>
      <c r="M2986" s="2" t="s">
        <v>251</v>
      </c>
      <c r="N2986" s="2" t="s">
        <v>23</v>
      </c>
      <c r="O2986">
        <f t="shared" si="92"/>
        <v>6.6960000000000264</v>
      </c>
      <c r="P2986">
        <f t="shared" si="93"/>
        <v>61.422000000000033</v>
      </c>
    </row>
    <row r="2987" spans="1:16" x14ac:dyDescent="0.35">
      <c r="A2987" s="9" t="s">
        <v>530</v>
      </c>
      <c r="B2987" s="2">
        <v>419.5</v>
      </c>
      <c r="C2987" s="2">
        <v>419.78</v>
      </c>
      <c r="D2987" s="2">
        <v>410.28899999999999</v>
      </c>
      <c r="E2987" s="2">
        <v>412.87</v>
      </c>
      <c r="F2987" s="2">
        <v>20780162</v>
      </c>
      <c r="G2987" s="2" t="s">
        <v>569</v>
      </c>
      <c r="H2987" s="2" t="s">
        <v>570</v>
      </c>
      <c r="I2987" s="2" t="s">
        <v>17</v>
      </c>
      <c r="J2987" s="4">
        <v>-0.432</v>
      </c>
      <c r="K2987" s="2" t="s">
        <v>516</v>
      </c>
      <c r="L2987" s="2">
        <v>2024</v>
      </c>
      <c r="M2987" s="2" t="s">
        <v>251</v>
      </c>
      <c r="N2987" s="2" t="s">
        <v>23</v>
      </c>
      <c r="O2987">
        <f t="shared" si="92"/>
        <v>9.4909999999999854</v>
      </c>
      <c r="P2987">
        <f t="shared" si="93"/>
        <v>60.99000000000003</v>
      </c>
    </row>
    <row r="2988" spans="1:16" x14ac:dyDescent="0.35">
      <c r="A2988" s="9" t="s">
        <v>531</v>
      </c>
      <c r="B2988" s="2">
        <v>411.36500000000001</v>
      </c>
      <c r="C2988" s="2">
        <v>417.4</v>
      </c>
      <c r="D2988" s="2">
        <v>411.06</v>
      </c>
      <c r="E2988" s="2">
        <v>417</v>
      </c>
      <c r="F2988" s="2">
        <v>24814626</v>
      </c>
      <c r="G2988" s="2" t="s">
        <v>569</v>
      </c>
      <c r="H2988" s="2" t="s">
        <v>570</v>
      </c>
      <c r="I2988" s="2" t="s">
        <v>17</v>
      </c>
      <c r="J2988" s="3">
        <v>1</v>
      </c>
      <c r="K2988" s="2" t="s">
        <v>516</v>
      </c>
      <c r="L2988" s="2">
        <v>2024</v>
      </c>
      <c r="M2988" s="2" t="s">
        <v>251</v>
      </c>
      <c r="N2988" s="2" t="s">
        <v>21</v>
      </c>
      <c r="O2988">
        <f t="shared" si="92"/>
        <v>6.339999999999975</v>
      </c>
      <c r="P2988">
        <f t="shared" si="93"/>
        <v>61.99000000000003</v>
      </c>
    </row>
    <row r="2989" spans="1:16" x14ac:dyDescent="0.35">
      <c r="A2989" s="9" t="s">
        <v>532</v>
      </c>
      <c r="B2989" s="2">
        <v>418.38</v>
      </c>
      <c r="C2989" s="2">
        <v>421.08</v>
      </c>
      <c r="D2989" s="2">
        <v>414.85</v>
      </c>
      <c r="E2989" s="2">
        <v>418.79</v>
      </c>
      <c r="F2989" s="2">
        <v>27691090</v>
      </c>
      <c r="G2989" s="2" t="s">
        <v>569</v>
      </c>
      <c r="H2989" s="2" t="s">
        <v>570</v>
      </c>
      <c r="I2989" s="2" t="s">
        <v>17</v>
      </c>
      <c r="J2989" s="3">
        <v>0.42899999999999999</v>
      </c>
      <c r="K2989" s="2" t="s">
        <v>516</v>
      </c>
      <c r="L2989" s="2">
        <v>2024</v>
      </c>
      <c r="M2989" s="2" t="s">
        <v>251</v>
      </c>
      <c r="N2989" s="2" t="s">
        <v>21</v>
      </c>
      <c r="O2989">
        <f t="shared" si="92"/>
        <v>6.2299999999999613</v>
      </c>
      <c r="P2989">
        <f t="shared" si="93"/>
        <v>62.419000000000032</v>
      </c>
    </row>
    <row r="2990" spans="1:16" x14ac:dyDescent="0.35">
      <c r="A2990" s="9" t="s">
        <v>533</v>
      </c>
      <c r="B2990" s="2">
        <v>419.58499999999998</v>
      </c>
      <c r="C2990" s="2">
        <v>429.041</v>
      </c>
      <c r="D2990" s="2">
        <v>418.85</v>
      </c>
      <c r="E2990" s="2">
        <v>427.99</v>
      </c>
      <c r="F2990" s="2">
        <v>23458889</v>
      </c>
      <c r="G2990" s="2" t="s">
        <v>569</v>
      </c>
      <c r="H2990" s="2" t="s">
        <v>570</v>
      </c>
      <c r="I2990" s="2" t="s">
        <v>17</v>
      </c>
      <c r="J2990" s="3">
        <v>2.1970000000000001</v>
      </c>
      <c r="K2990" s="2" t="s">
        <v>516</v>
      </c>
      <c r="L2990" s="2">
        <v>2024</v>
      </c>
      <c r="M2990" s="2" t="s">
        <v>251</v>
      </c>
      <c r="N2990" s="2" t="s">
        <v>21</v>
      </c>
      <c r="O2990">
        <f t="shared" si="92"/>
        <v>10.190999999999974</v>
      </c>
      <c r="P2990">
        <f t="shared" si="93"/>
        <v>64.616000000000028</v>
      </c>
    </row>
    <row r="2991" spans="1:16" x14ac:dyDescent="0.35">
      <c r="A2991" s="9" t="s">
        <v>534</v>
      </c>
      <c r="B2991" s="2">
        <v>425.10500000000002</v>
      </c>
      <c r="C2991" s="2">
        <v>427.23</v>
      </c>
      <c r="D2991" s="2">
        <v>422.02</v>
      </c>
      <c r="E2991" s="2">
        <v>422.99</v>
      </c>
      <c r="F2991" s="2">
        <v>18332444</v>
      </c>
      <c r="G2991" s="2" t="s">
        <v>569</v>
      </c>
      <c r="H2991" s="2" t="s">
        <v>570</v>
      </c>
      <c r="I2991" s="2" t="s">
        <v>17</v>
      </c>
      <c r="J2991" s="4">
        <v>-1.1679999999999999</v>
      </c>
      <c r="K2991" s="2" t="s">
        <v>516</v>
      </c>
      <c r="L2991" s="2">
        <v>2024</v>
      </c>
      <c r="M2991" s="2" t="s">
        <v>251</v>
      </c>
      <c r="N2991" s="2" t="s">
        <v>23</v>
      </c>
      <c r="O2991">
        <f t="shared" si="92"/>
        <v>5.2100000000000364</v>
      </c>
      <c r="P2991">
        <f t="shared" si="93"/>
        <v>63.448000000000029</v>
      </c>
    </row>
    <row r="2992" spans="1:16" x14ac:dyDescent="0.35">
      <c r="A2992" s="9" t="s">
        <v>535</v>
      </c>
      <c r="B2992" s="2">
        <v>420.09</v>
      </c>
      <c r="C2992" s="2">
        <v>424.88499999999999</v>
      </c>
      <c r="D2992" s="2">
        <v>417.8</v>
      </c>
      <c r="E2992" s="2">
        <v>423.46</v>
      </c>
      <c r="F2992" s="2">
        <v>16271921</v>
      </c>
      <c r="G2992" s="2" t="s">
        <v>569</v>
      </c>
      <c r="H2992" s="2" t="s">
        <v>570</v>
      </c>
      <c r="I2992" s="2" t="s">
        <v>17</v>
      </c>
      <c r="J2992" s="3">
        <v>0.111</v>
      </c>
      <c r="K2992" s="2" t="s">
        <v>516</v>
      </c>
      <c r="L2992" s="2">
        <v>2024</v>
      </c>
      <c r="M2992" s="2" t="s">
        <v>251</v>
      </c>
      <c r="N2992" s="2" t="s">
        <v>21</v>
      </c>
      <c r="O2992">
        <f t="shared" si="92"/>
        <v>7.0849999999999795</v>
      </c>
      <c r="P2992">
        <f t="shared" si="93"/>
        <v>63.559000000000026</v>
      </c>
    </row>
    <row r="2993" spans="1:16" x14ac:dyDescent="0.35">
      <c r="A2993" s="9" t="s">
        <v>536</v>
      </c>
      <c r="B2993" s="2">
        <v>421.57</v>
      </c>
      <c r="C2993" s="2">
        <v>433</v>
      </c>
      <c r="D2993" s="2">
        <v>421.31</v>
      </c>
      <c r="E2993" s="2">
        <v>430.98</v>
      </c>
      <c r="F2993" s="2">
        <v>20207223</v>
      </c>
      <c r="G2993" s="2" t="s">
        <v>569</v>
      </c>
      <c r="H2993" s="2" t="s">
        <v>570</v>
      </c>
      <c r="I2993" s="2" t="s">
        <v>17</v>
      </c>
      <c r="J2993" s="3">
        <v>1.776</v>
      </c>
      <c r="K2993" s="2" t="s">
        <v>537</v>
      </c>
      <c r="L2993" s="2">
        <v>2024</v>
      </c>
      <c r="M2993" s="2" t="s">
        <v>274</v>
      </c>
      <c r="N2993" s="2" t="s">
        <v>21</v>
      </c>
      <c r="O2993">
        <f t="shared" si="92"/>
        <v>11.689999999999998</v>
      </c>
      <c r="P2993">
        <f t="shared" si="93"/>
        <v>65.335000000000022</v>
      </c>
    </row>
    <row r="2994" spans="1:16" x14ac:dyDescent="0.35">
      <c r="A2994" s="9" t="s">
        <v>538</v>
      </c>
      <c r="B2994" s="2">
        <v>429.84</v>
      </c>
      <c r="C2994" s="2">
        <v>432.47</v>
      </c>
      <c r="D2994" s="2">
        <v>427.74</v>
      </c>
      <c r="E2994" s="2">
        <v>431.2</v>
      </c>
      <c r="F2994" s="2">
        <v>18301987</v>
      </c>
      <c r="G2994" s="2" t="s">
        <v>569</v>
      </c>
      <c r="H2994" s="2" t="s">
        <v>570</v>
      </c>
      <c r="I2994" s="2" t="s">
        <v>17</v>
      </c>
      <c r="J2994" s="3">
        <v>5.0999999999999997E-2</v>
      </c>
      <c r="K2994" s="2" t="s">
        <v>537</v>
      </c>
      <c r="L2994" s="2">
        <v>2024</v>
      </c>
      <c r="M2994" s="2" t="s">
        <v>274</v>
      </c>
      <c r="N2994" s="2" t="s">
        <v>21</v>
      </c>
      <c r="O2994">
        <f t="shared" si="92"/>
        <v>4.7300000000000182</v>
      </c>
      <c r="P2994">
        <f t="shared" si="93"/>
        <v>65.386000000000024</v>
      </c>
    </row>
    <row r="2995" spans="1:16" x14ac:dyDescent="0.35">
      <c r="A2995" s="9" t="s">
        <v>539</v>
      </c>
      <c r="B2995" s="2">
        <v>433.03</v>
      </c>
      <c r="C2995" s="2">
        <v>439.67</v>
      </c>
      <c r="D2995" s="2">
        <v>432.63</v>
      </c>
      <c r="E2995" s="2">
        <v>437.42</v>
      </c>
      <c r="F2995" s="2">
        <v>26009429</v>
      </c>
      <c r="G2995" s="2" t="s">
        <v>569</v>
      </c>
      <c r="H2995" s="2" t="s">
        <v>570</v>
      </c>
      <c r="I2995" s="2" t="s">
        <v>17</v>
      </c>
      <c r="J2995" s="3">
        <v>1.4419999999999999</v>
      </c>
      <c r="K2995" s="2" t="s">
        <v>537</v>
      </c>
      <c r="L2995" s="2">
        <v>2024</v>
      </c>
      <c r="M2995" s="2" t="s">
        <v>274</v>
      </c>
      <c r="N2995" s="2" t="s">
        <v>21</v>
      </c>
      <c r="O2995">
        <f t="shared" si="92"/>
        <v>7.0400000000000205</v>
      </c>
      <c r="P2995">
        <f t="shared" si="93"/>
        <v>66.828000000000017</v>
      </c>
    </row>
    <row r="2996" spans="1:16" x14ac:dyDescent="0.35">
      <c r="A2996" s="9" t="s">
        <v>540</v>
      </c>
      <c r="B2996" s="2">
        <v>437.92</v>
      </c>
      <c r="C2996" s="2">
        <v>444.66</v>
      </c>
      <c r="D2996" s="2">
        <v>436.17099999999999</v>
      </c>
      <c r="E2996" s="2">
        <v>442.62</v>
      </c>
      <c r="F2996" s="2">
        <v>21697775</v>
      </c>
      <c r="G2996" s="2" t="s">
        <v>569</v>
      </c>
      <c r="H2996" s="2" t="s">
        <v>570</v>
      </c>
      <c r="I2996" s="2" t="s">
        <v>17</v>
      </c>
      <c r="J2996" s="3">
        <v>1.1890000000000001</v>
      </c>
      <c r="K2996" s="2" t="s">
        <v>537</v>
      </c>
      <c r="L2996" s="2">
        <v>2024</v>
      </c>
      <c r="M2996" s="2" t="s">
        <v>274</v>
      </c>
      <c r="N2996" s="2" t="s">
        <v>21</v>
      </c>
      <c r="O2996">
        <f t="shared" si="92"/>
        <v>8.4890000000000327</v>
      </c>
      <c r="P2996">
        <f t="shared" si="93"/>
        <v>68.017000000000024</v>
      </c>
    </row>
    <row r="2997" spans="1:16" x14ac:dyDescent="0.35">
      <c r="A2997" s="9" t="s">
        <v>541</v>
      </c>
      <c r="B2997" s="2">
        <v>442.3</v>
      </c>
      <c r="C2997" s="2">
        <v>446.1</v>
      </c>
      <c r="D2997" s="2">
        <v>441.77</v>
      </c>
      <c r="E2997" s="2">
        <v>443.57</v>
      </c>
      <c r="F2997" s="2">
        <v>18821002</v>
      </c>
      <c r="G2997" s="2" t="s">
        <v>569</v>
      </c>
      <c r="H2997" s="2" t="s">
        <v>570</v>
      </c>
      <c r="I2997" s="2" t="s">
        <v>17</v>
      </c>
      <c r="J2997" s="3">
        <v>0.215</v>
      </c>
      <c r="K2997" s="2" t="s">
        <v>537</v>
      </c>
      <c r="L2997" s="2">
        <v>2024</v>
      </c>
      <c r="M2997" s="2" t="s">
        <v>274</v>
      </c>
      <c r="N2997" s="2" t="s">
        <v>21</v>
      </c>
      <c r="O2997">
        <f t="shared" si="92"/>
        <v>4.3300000000000409</v>
      </c>
      <c r="P2997">
        <f t="shared" si="93"/>
        <v>68.232000000000028</v>
      </c>
    </row>
    <row r="2998" spans="1:16" x14ac:dyDescent="0.35">
      <c r="A2998" s="9" t="s">
        <v>542</v>
      </c>
      <c r="B2998" s="2">
        <v>442.6</v>
      </c>
      <c r="C2998" s="2">
        <v>448.33</v>
      </c>
      <c r="D2998" s="2">
        <v>440.5</v>
      </c>
      <c r="E2998" s="2">
        <v>446.02</v>
      </c>
      <c r="F2998" s="2">
        <v>19144388</v>
      </c>
      <c r="G2998" s="2" t="s">
        <v>569</v>
      </c>
      <c r="H2998" s="2" t="s">
        <v>570</v>
      </c>
      <c r="I2998" s="2" t="s">
        <v>17</v>
      </c>
      <c r="J2998" s="3">
        <v>0.55200000000000005</v>
      </c>
      <c r="K2998" s="2" t="s">
        <v>537</v>
      </c>
      <c r="L2998" s="2">
        <v>2024</v>
      </c>
      <c r="M2998" s="2" t="s">
        <v>274</v>
      </c>
      <c r="N2998" s="2" t="s">
        <v>21</v>
      </c>
      <c r="O2998">
        <f t="shared" si="92"/>
        <v>7.8299999999999841</v>
      </c>
      <c r="P2998">
        <f t="shared" si="93"/>
        <v>68.784000000000034</v>
      </c>
    </row>
    <row r="2999" spans="1:16" x14ac:dyDescent="0.35">
      <c r="A2999" s="9" t="s">
        <v>543</v>
      </c>
      <c r="B2999" s="2">
        <v>444.39</v>
      </c>
      <c r="C2999" s="2">
        <v>449.62</v>
      </c>
      <c r="D2999" s="2">
        <v>441.6</v>
      </c>
      <c r="E2999" s="2">
        <v>443.33</v>
      </c>
      <c r="F2999" s="2">
        <v>18469459</v>
      </c>
      <c r="G2999" s="2" t="s">
        <v>569</v>
      </c>
      <c r="H2999" s="2" t="s">
        <v>570</v>
      </c>
      <c r="I2999" s="2" t="s">
        <v>17</v>
      </c>
      <c r="J2999" s="4">
        <v>-0.60299999999999998</v>
      </c>
      <c r="K2999" s="2" t="s">
        <v>537</v>
      </c>
      <c r="L2999" s="2">
        <v>2024</v>
      </c>
      <c r="M2999" s="2" t="s">
        <v>274</v>
      </c>
      <c r="N2999" s="2" t="s">
        <v>23</v>
      </c>
      <c r="O2999">
        <f t="shared" si="92"/>
        <v>8.0199999999999818</v>
      </c>
      <c r="P2999">
        <f t="shared" si="93"/>
        <v>68.18100000000004</v>
      </c>
    </row>
    <row r="3000" spans="1:16" x14ac:dyDescent="0.35">
      <c r="A3000" s="9" t="s">
        <v>544</v>
      </c>
      <c r="B3000" s="2">
        <v>444.05</v>
      </c>
      <c r="C3000" s="2">
        <v>450.35</v>
      </c>
      <c r="D3000" s="2">
        <v>444.05</v>
      </c>
      <c r="E3000" s="2">
        <v>448.99</v>
      </c>
      <c r="F3000" s="2">
        <v>19200208</v>
      </c>
      <c r="G3000" s="2" t="s">
        <v>569</v>
      </c>
      <c r="H3000" s="2" t="s">
        <v>570</v>
      </c>
      <c r="I3000" s="2" t="s">
        <v>17</v>
      </c>
      <c r="J3000" s="3">
        <v>1.2769999999999999</v>
      </c>
      <c r="K3000" s="2" t="s">
        <v>537</v>
      </c>
      <c r="L3000" s="2">
        <v>2024</v>
      </c>
      <c r="M3000" s="2" t="s">
        <v>274</v>
      </c>
      <c r="N3000" s="2" t="s">
        <v>21</v>
      </c>
      <c r="O3000">
        <f t="shared" si="92"/>
        <v>6.3000000000000114</v>
      </c>
      <c r="P3000">
        <f t="shared" si="93"/>
        <v>69.458000000000041</v>
      </c>
    </row>
    <row r="3001" spans="1:16" x14ac:dyDescent="0.35">
      <c r="A3001" s="9" t="s">
        <v>545</v>
      </c>
      <c r="B3001" s="2">
        <v>449.11</v>
      </c>
      <c r="C3001" s="2">
        <v>456.16500000000002</v>
      </c>
      <c r="D3001" s="2">
        <v>449.11</v>
      </c>
      <c r="E3001" s="2">
        <v>449.56</v>
      </c>
      <c r="F3001" s="2">
        <v>20834779</v>
      </c>
      <c r="G3001" s="2" t="s">
        <v>569</v>
      </c>
      <c r="H3001" s="2" t="s">
        <v>570</v>
      </c>
      <c r="I3001" s="2" t="s">
        <v>17</v>
      </c>
      <c r="J3001" s="3">
        <v>0.127</v>
      </c>
      <c r="K3001" s="2" t="s">
        <v>537</v>
      </c>
      <c r="L3001" s="2">
        <v>2024</v>
      </c>
      <c r="M3001" s="2" t="s">
        <v>274</v>
      </c>
      <c r="N3001" s="2" t="s">
        <v>21</v>
      </c>
      <c r="O3001">
        <f t="shared" si="92"/>
        <v>7.0550000000000068</v>
      </c>
      <c r="P3001">
        <f t="shared" si="93"/>
        <v>69.585000000000036</v>
      </c>
    </row>
    <row r="3002" spans="1:16" x14ac:dyDescent="0.35">
      <c r="A3002" s="9" t="s">
        <v>546</v>
      </c>
      <c r="B3002" s="2">
        <v>448.435</v>
      </c>
      <c r="C3002" s="2">
        <v>451.43</v>
      </c>
      <c r="D3002" s="2">
        <v>445.58</v>
      </c>
      <c r="E3002" s="2">
        <v>447.27</v>
      </c>
      <c r="F3002" s="2">
        <v>20177833</v>
      </c>
      <c r="G3002" s="2" t="s">
        <v>569</v>
      </c>
      <c r="H3002" s="2" t="s">
        <v>570</v>
      </c>
      <c r="I3002" s="2" t="s">
        <v>17</v>
      </c>
      <c r="J3002" s="4">
        <v>-0.50900000000000001</v>
      </c>
      <c r="K3002" s="2" t="s">
        <v>537</v>
      </c>
      <c r="L3002" s="2">
        <v>2024</v>
      </c>
      <c r="M3002" s="2" t="s">
        <v>274</v>
      </c>
      <c r="N3002" s="2" t="s">
        <v>23</v>
      </c>
      <c r="O3002">
        <f t="shared" si="92"/>
        <v>5.8500000000000227</v>
      </c>
      <c r="P3002">
        <f t="shared" si="93"/>
        <v>69.076000000000036</v>
      </c>
    </row>
    <row r="3003" spans="1:16" x14ac:dyDescent="0.35">
      <c r="A3003" s="9" t="s">
        <v>547</v>
      </c>
      <c r="B3003" s="2">
        <v>447.27</v>
      </c>
      <c r="C3003" s="2">
        <v>452.18</v>
      </c>
      <c r="D3003" s="2">
        <v>445.28</v>
      </c>
      <c r="E3003" s="2">
        <v>451.59</v>
      </c>
      <c r="F3003" s="2">
        <v>23598834</v>
      </c>
      <c r="G3003" s="2" t="s">
        <v>569</v>
      </c>
      <c r="H3003" s="2" t="s">
        <v>570</v>
      </c>
      <c r="I3003" s="2" t="s">
        <v>17</v>
      </c>
      <c r="J3003" s="3">
        <v>0.96599999999999997</v>
      </c>
      <c r="K3003" s="2" t="s">
        <v>537</v>
      </c>
      <c r="L3003" s="2">
        <v>2024</v>
      </c>
      <c r="M3003" s="2" t="s">
        <v>274</v>
      </c>
      <c r="N3003" s="2" t="s">
        <v>21</v>
      </c>
      <c r="O3003">
        <f t="shared" si="92"/>
        <v>6.9000000000000341</v>
      </c>
      <c r="P3003">
        <f t="shared" si="93"/>
        <v>70.04200000000003</v>
      </c>
    </row>
    <row r="3004" spans="1:16" x14ac:dyDescent="0.35">
      <c r="A3004" s="9" t="s">
        <v>548</v>
      </c>
      <c r="B3004" s="2">
        <v>451.01</v>
      </c>
      <c r="C3004" s="2">
        <v>455.29</v>
      </c>
      <c r="D3004" s="2">
        <v>449.57</v>
      </c>
      <c r="E3004" s="2">
        <v>454.46</v>
      </c>
      <c r="F3004" s="2">
        <v>22733494</v>
      </c>
      <c r="G3004" s="2" t="s">
        <v>569</v>
      </c>
      <c r="H3004" s="2" t="s">
        <v>570</v>
      </c>
      <c r="I3004" s="2" t="s">
        <v>17</v>
      </c>
      <c r="J3004" s="3">
        <v>0.63600000000000001</v>
      </c>
      <c r="K3004" s="2" t="s">
        <v>537</v>
      </c>
      <c r="L3004" s="2">
        <v>2024</v>
      </c>
      <c r="M3004" s="2" t="s">
        <v>274</v>
      </c>
      <c r="N3004" s="2" t="s">
        <v>21</v>
      </c>
      <c r="O3004">
        <f t="shared" si="92"/>
        <v>5.7200000000000273</v>
      </c>
      <c r="P3004">
        <f t="shared" si="93"/>
        <v>70.678000000000026</v>
      </c>
    </row>
    <row r="3005" spans="1:16" x14ac:dyDescent="0.35">
      <c r="A3005" s="9" t="s">
        <v>549</v>
      </c>
      <c r="B3005" s="2">
        <v>451.32</v>
      </c>
      <c r="C3005" s="2">
        <v>452.65</v>
      </c>
      <c r="D3005" s="2">
        <v>437.02</v>
      </c>
      <c r="E3005" s="2">
        <v>437.39</v>
      </c>
      <c r="F3005" s="2">
        <v>24444545</v>
      </c>
      <c r="G3005" s="2" t="s">
        <v>569</v>
      </c>
      <c r="H3005" s="2" t="s">
        <v>570</v>
      </c>
      <c r="I3005" s="2" t="s">
        <v>17</v>
      </c>
      <c r="J3005" s="4">
        <v>-3.7559999999999998</v>
      </c>
      <c r="K3005" s="2" t="s">
        <v>537</v>
      </c>
      <c r="L3005" s="2">
        <v>2024</v>
      </c>
      <c r="M3005" s="2" t="s">
        <v>274</v>
      </c>
      <c r="N3005" s="2" t="s">
        <v>23</v>
      </c>
      <c r="O3005">
        <f t="shared" si="92"/>
        <v>15.629999999999995</v>
      </c>
      <c r="P3005">
        <f t="shared" si="93"/>
        <v>66.922000000000025</v>
      </c>
    </row>
    <row r="3006" spans="1:16" x14ac:dyDescent="0.35">
      <c r="A3006" s="9" t="s">
        <v>550</v>
      </c>
      <c r="B3006" s="2">
        <v>441.62</v>
      </c>
      <c r="C3006" s="2">
        <v>443.18299999999999</v>
      </c>
      <c r="D3006" s="2">
        <v>436.32</v>
      </c>
      <c r="E3006" s="2">
        <v>437.03</v>
      </c>
      <c r="F3006" s="2">
        <v>22963681</v>
      </c>
      <c r="G3006" s="2" t="s">
        <v>569</v>
      </c>
      <c r="H3006" s="2" t="s">
        <v>570</v>
      </c>
      <c r="I3006" s="2" t="s">
        <v>17</v>
      </c>
      <c r="J3006" s="4">
        <v>-8.2000000000000003E-2</v>
      </c>
      <c r="K3006" s="2" t="s">
        <v>537</v>
      </c>
      <c r="L3006" s="2">
        <v>2024</v>
      </c>
      <c r="M3006" s="2" t="s">
        <v>274</v>
      </c>
      <c r="N3006" s="2" t="s">
        <v>23</v>
      </c>
      <c r="O3006">
        <f t="shared" si="92"/>
        <v>6.8629999999999995</v>
      </c>
      <c r="P3006">
        <f t="shared" si="93"/>
        <v>66.840000000000032</v>
      </c>
    </row>
    <row r="3007" spans="1:16" x14ac:dyDescent="0.35">
      <c r="A3007" s="9" t="s">
        <v>551</v>
      </c>
      <c r="B3007" s="2">
        <v>433.11</v>
      </c>
      <c r="C3007" s="2">
        <v>443.74</v>
      </c>
      <c r="D3007" s="2">
        <v>428.63</v>
      </c>
      <c r="E3007" s="2">
        <v>436.6</v>
      </c>
      <c r="F3007" s="2">
        <v>64263694</v>
      </c>
      <c r="G3007" s="2" t="s">
        <v>569</v>
      </c>
      <c r="H3007" s="2" t="s">
        <v>570</v>
      </c>
      <c r="I3007" s="2" t="s">
        <v>17</v>
      </c>
      <c r="J3007" s="4">
        <v>-9.8000000000000004E-2</v>
      </c>
      <c r="K3007" s="2" t="s">
        <v>537</v>
      </c>
      <c r="L3007" s="2">
        <v>2024</v>
      </c>
      <c r="M3007" s="2" t="s">
        <v>274</v>
      </c>
      <c r="N3007" s="2" t="s">
        <v>23</v>
      </c>
      <c r="O3007">
        <f t="shared" si="92"/>
        <v>15.110000000000014</v>
      </c>
      <c r="P3007">
        <f t="shared" si="93"/>
        <v>66.742000000000033</v>
      </c>
    </row>
    <row r="3008" spans="1:16" x14ac:dyDescent="0.35">
      <c r="A3008" s="9" t="s">
        <v>552</v>
      </c>
      <c r="B3008" s="2">
        <v>436.74</v>
      </c>
      <c r="C3008" s="2">
        <v>437.65</v>
      </c>
      <c r="D3008" s="2">
        <v>432.83</v>
      </c>
      <c r="E3008" s="2">
        <v>435.25</v>
      </c>
      <c r="F3008" s="2">
        <v>19152519</v>
      </c>
      <c r="G3008" s="2" t="s">
        <v>569</v>
      </c>
      <c r="H3008" s="2" t="s">
        <v>570</v>
      </c>
      <c r="I3008" s="2" t="s">
        <v>17</v>
      </c>
      <c r="J3008" s="4">
        <v>-0.309</v>
      </c>
      <c r="K3008" s="2" t="s">
        <v>537</v>
      </c>
      <c r="L3008" s="2">
        <v>2024</v>
      </c>
      <c r="M3008" s="2" t="s">
        <v>274</v>
      </c>
      <c r="N3008" s="2" t="s">
        <v>23</v>
      </c>
      <c r="O3008">
        <f t="shared" si="92"/>
        <v>4.8199999999999932</v>
      </c>
      <c r="P3008">
        <f t="shared" si="93"/>
        <v>66.433000000000035</v>
      </c>
    </row>
    <row r="3009" spans="1:16" x14ac:dyDescent="0.35">
      <c r="A3009" s="9" t="s">
        <v>553</v>
      </c>
      <c r="B3009" s="2">
        <v>434.65</v>
      </c>
      <c r="C3009" s="2">
        <v>439.6</v>
      </c>
      <c r="D3009" s="2">
        <v>434.19</v>
      </c>
      <c r="E3009" s="2">
        <v>439.33</v>
      </c>
      <c r="F3009" s="2">
        <v>7164543</v>
      </c>
      <c r="G3009" s="2" t="s">
        <v>569</v>
      </c>
      <c r="H3009" s="2" t="s">
        <v>570</v>
      </c>
      <c r="I3009" s="2" t="s">
        <v>17</v>
      </c>
      <c r="J3009" s="3">
        <v>0.93700000000000006</v>
      </c>
      <c r="K3009" s="2" t="s">
        <v>537</v>
      </c>
      <c r="L3009" s="2">
        <v>2024</v>
      </c>
      <c r="M3009" s="2" t="s">
        <v>274</v>
      </c>
      <c r="N3009" s="2" t="s">
        <v>21</v>
      </c>
      <c r="O3009">
        <f t="shared" si="92"/>
        <v>5.410000000000025</v>
      </c>
      <c r="P3009">
        <f t="shared" si="93"/>
        <v>67.370000000000033</v>
      </c>
    </row>
    <row r="3010" spans="1:16" x14ac:dyDescent="0.35">
      <c r="A3010" s="9" t="s">
        <v>554</v>
      </c>
      <c r="B3010" s="2">
        <v>439.08</v>
      </c>
      <c r="C3010" s="2">
        <v>440.94</v>
      </c>
      <c r="D3010" s="2">
        <v>436.63</v>
      </c>
      <c r="E3010" s="2">
        <v>438.11</v>
      </c>
      <c r="F3010" s="2">
        <v>8199927</v>
      </c>
      <c r="G3010" s="2" t="s">
        <v>569</v>
      </c>
      <c r="H3010" s="2" t="s">
        <v>570</v>
      </c>
      <c r="I3010" s="2" t="s">
        <v>17</v>
      </c>
      <c r="J3010" s="4">
        <v>-0.27800000000000002</v>
      </c>
      <c r="K3010" s="2" t="s">
        <v>537</v>
      </c>
      <c r="L3010" s="2">
        <v>2024</v>
      </c>
      <c r="M3010" s="2" t="s">
        <v>274</v>
      </c>
      <c r="N3010" s="2" t="s">
        <v>23</v>
      </c>
      <c r="O3010">
        <f t="shared" si="92"/>
        <v>4.3100000000000023</v>
      </c>
      <c r="P3010">
        <f t="shared" si="93"/>
        <v>67.092000000000027</v>
      </c>
    </row>
    <row r="3011" spans="1:16" x14ac:dyDescent="0.35">
      <c r="A3011" s="9" t="s">
        <v>555</v>
      </c>
      <c r="B3011" s="2">
        <v>434.6</v>
      </c>
      <c r="C3011" s="2">
        <v>435.22</v>
      </c>
      <c r="D3011" s="2">
        <v>426.35</v>
      </c>
      <c r="E3011" s="2">
        <v>430.53</v>
      </c>
      <c r="F3011" s="2">
        <v>18117713</v>
      </c>
      <c r="G3011" s="2" t="s">
        <v>569</v>
      </c>
      <c r="H3011" s="2" t="s">
        <v>570</v>
      </c>
      <c r="I3011" s="2" t="s">
        <v>17</v>
      </c>
      <c r="J3011" s="4">
        <v>-1.73</v>
      </c>
      <c r="K3011" s="2" t="s">
        <v>537</v>
      </c>
      <c r="L3011" s="2">
        <v>2024</v>
      </c>
      <c r="M3011" s="2" t="s">
        <v>274</v>
      </c>
      <c r="N3011" s="2" t="s">
        <v>23</v>
      </c>
      <c r="O3011">
        <f t="shared" ref="O3011:O3074" si="94">C3011-D3011</f>
        <v>8.8700000000000045</v>
      </c>
      <c r="P3011">
        <f t="shared" si="93"/>
        <v>65.362000000000023</v>
      </c>
    </row>
    <row r="3012" spans="1:16" x14ac:dyDescent="0.35">
      <c r="A3012" s="9" t="s">
        <v>556</v>
      </c>
      <c r="B3012" s="2">
        <v>426.06</v>
      </c>
      <c r="C3012" s="2">
        <v>427.55</v>
      </c>
      <c r="D3012" s="2">
        <v>421.9</v>
      </c>
      <c r="E3012" s="2">
        <v>424.83</v>
      </c>
      <c r="F3012" s="2">
        <v>13158703</v>
      </c>
      <c r="G3012" s="2" t="s">
        <v>569</v>
      </c>
      <c r="H3012" s="2" t="s">
        <v>570</v>
      </c>
      <c r="I3012" s="2" t="s">
        <v>17</v>
      </c>
      <c r="J3012" s="4">
        <v>-1.3240000000000001</v>
      </c>
      <c r="K3012" s="2" t="s">
        <v>537</v>
      </c>
      <c r="L3012" s="2">
        <v>2024</v>
      </c>
      <c r="M3012" s="2" t="s">
        <v>274</v>
      </c>
      <c r="N3012" s="2" t="s">
        <v>23</v>
      </c>
      <c r="O3012">
        <f t="shared" si="94"/>
        <v>5.6500000000000341</v>
      </c>
      <c r="P3012">
        <f t="shared" ref="P3012:P3075" si="95">IF(G3012=G3011, P3011+J3012, J3012)</f>
        <v>64.038000000000025</v>
      </c>
    </row>
    <row r="3013" spans="1:16" x14ac:dyDescent="0.35">
      <c r="A3013" s="9" t="s">
        <v>557</v>
      </c>
      <c r="B3013" s="2">
        <v>426.1</v>
      </c>
      <c r="C3013" s="2">
        <v>426.73</v>
      </c>
      <c r="D3013" s="2">
        <v>420.66</v>
      </c>
      <c r="E3013" s="2">
        <v>421.5</v>
      </c>
      <c r="F3013" s="2">
        <v>13246509</v>
      </c>
      <c r="G3013" s="2" t="s">
        <v>569</v>
      </c>
      <c r="H3013" s="2" t="s">
        <v>570</v>
      </c>
      <c r="I3013" s="2" t="s">
        <v>17</v>
      </c>
      <c r="J3013" s="4">
        <v>-0.78400000000000003</v>
      </c>
      <c r="K3013" s="2" t="s">
        <v>537</v>
      </c>
      <c r="L3013" s="2">
        <v>2024</v>
      </c>
      <c r="M3013" s="2" t="s">
        <v>274</v>
      </c>
      <c r="N3013" s="2" t="s">
        <v>23</v>
      </c>
      <c r="O3013">
        <f t="shared" si="94"/>
        <v>6.0699999999999932</v>
      </c>
      <c r="P3013">
        <f t="shared" si="95"/>
        <v>63.254000000000026</v>
      </c>
    </row>
    <row r="3014" spans="1:16" x14ac:dyDescent="0.35">
      <c r="A3014" s="9" t="s">
        <v>14</v>
      </c>
      <c r="B3014" s="2">
        <v>14.84</v>
      </c>
      <c r="C3014" s="2">
        <v>14.984999999999999</v>
      </c>
      <c r="D3014" s="2">
        <v>14.086</v>
      </c>
      <c r="E3014" s="2">
        <v>14.305</v>
      </c>
      <c r="F3014" s="2">
        <v>401568453</v>
      </c>
      <c r="G3014" s="2" t="s">
        <v>571</v>
      </c>
      <c r="H3014" s="2" t="s">
        <v>572</v>
      </c>
      <c r="I3014" s="2" t="s">
        <v>17</v>
      </c>
      <c r="J3014" s="2"/>
      <c r="K3014" s="2" t="s">
        <v>18</v>
      </c>
      <c r="L3014" s="2">
        <v>2023</v>
      </c>
      <c r="M3014" s="2" t="s">
        <v>19</v>
      </c>
      <c r="N3014" s="2"/>
      <c r="O3014">
        <f t="shared" si="94"/>
        <v>0.89899999999999913</v>
      </c>
      <c r="P3014">
        <f t="shared" si="95"/>
        <v>0</v>
      </c>
    </row>
    <row r="3015" spans="1:16" x14ac:dyDescent="0.35">
      <c r="A3015" s="9" t="s">
        <v>20</v>
      </c>
      <c r="B3015" s="2">
        <v>14.555999999999999</v>
      </c>
      <c r="C3015" s="2">
        <v>14.842000000000001</v>
      </c>
      <c r="D3015" s="2">
        <v>14.23</v>
      </c>
      <c r="E3015" s="2">
        <v>14.738</v>
      </c>
      <c r="F3015" s="2">
        <v>431637329</v>
      </c>
      <c r="G3015" s="2" t="s">
        <v>571</v>
      </c>
      <c r="H3015" s="2" t="s">
        <v>572</v>
      </c>
      <c r="I3015" s="2" t="s">
        <v>17</v>
      </c>
      <c r="J3015" s="3">
        <v>3.0329999999999999</v>
      </c>
      <c r="K3015" s="2" t="s">
        <v>18</v>
      </c>
      <c r="L3015" s="2">
        <v>2023</v>
      </c>
      <c r="M3015" s="2" t="s">
        <v>19</v>
      </c>
      <c r="N3015" s="2" t="s">
        <v>21</v>
      </c>
      <c r="O3015">
        <f t="shared" si="94"/>
        <v>0.6120000000000001</v>
      </c>
      <c r="P3015">
        <f t="shared" si="95"/>
        <v>3.0329999999999999</v>
      </c>
    </row>
    <row r="3016" spans="1:16" x14ac:dyDescent="0.35">
      <c r="A3016" s="9" t="s">
        <v>22</v>
      </c>
      <c r="B3016" s="2">
        <v>14.48</v>
      </c>
      <c r="C3016" s="2">
        <v>14.553000000000001</v>
      </c>
      <c r="D3016" s="2">
        <v>14.137</v>
      </c>
      <c r="E3016" s="2">
        <v>14.255000000000001</v>
      </c>
      <c r="F3016" s="2">
        <v>389451176</v>
      </c>
      <c r="G3016" s="2" t="s">
        <v>571</v>
      </c>
      <c r="H3016" s="2" t="s">
        <v>572</v>
      </c>
      <c r="I3016" s="2" t="s">
        <v>17</v>
      </c>
      <c r="J3016" s="4">
        <v>-3.2829999999999999</v>
      </c>
      <c r="K3016" s="2" t="s">
        <v>18</v>
      </c>
      <c r="L3016" s="2">
        <v>2023</v>
      </c>
      <c r="M3016" s="2" t="s">
        <v>19</v>
      </c>
      <c r="N3016" s="2" t="s">
        <v>23</v>
      </c>
      <c r="O3016">
        <f t="shared" si="94"/>
        <v>0.41600000000000037</v>
      </c>
      <c r="P3016">
        <f t="shared" si="95"/>
        <v>-0.25</v>
      </c>
    </row>
    <row r="3017" spans="1:16" x14ac:dyDescent="0.35">
      <c r="A3017" s="9" t="s">
        <v>24</v>
      </c>
      <c r="B3017" s="2">
        <v>14.462999999999999</v>
      </c>
      <c r="C3017" s="2">
        <v>14.999000000000001</v>
      </c>
      <c r="D3017" s="2">
        <v>14.023999999999999</v>
      </c>
      <c r="E3017" s="2">
        <v>14.848000000000001</v>
      </c>
      <c r="F3017" s="2">
        <v>405338233</v>
      </c>
      <c r="G3017" s="2" t="s">
        <v>571</v>
      </c>
      <c r="H3017" s="2" t="s">
        <v>572</v>
      </c>
      <c r="I3017" s="2" t="s">
        <v>17</v>
      </c>
      <c r="J3017" s="3">
        <v>4.1660000000000004</v>
      </c>
      <c r="K3017" s="2" t="s">
        <v>18</v>
      </c>
      <c r="L3017" s="2">
        <v>2023</v>
      </c>
      <c r="M3017" s="2" t="s">
        <v>19</v>
      </c>
      <c r="N3017" s="2" t="s">
        <v>21</v>
      </c>
      <c r="O3017">
        <f t="shared" si="94"/>
        <v>0.97500000000000142</v>
      </c>
      <c r="P3017">
        <f t="shared" si="95"/>
        <v>3.9160000000000004</v>
      </c>
    </row>
    <row r="3018" spans="1:16" x14ac:dyDescent="0.35">
      <c r="A3018" s="9" t="s">
        <v>25</v>
      </c>
      <c r="B3018" s="2">
        <v>15.273</v>
      </c>
      <c r="C3018" s="2">
        <v>16.044</v>
      </c>
      <c r="D3018" s="2">
        <v>15.13</v>
      </c>
      <c r="E3018" s="2">
        <v>15.617000000000001</v>
      </c>
      <c r="F3018" s="2">
        <v>504597318</v>
      </c>
      <c r="G3018" s="2" t="s">
        <v>571</v>
      </c>
      <c r="H3018" s="2" t="s">
        <v>572</v>
      </c>
      <c r="I3018" s="2" t="s">
        <v>17</v>
      </c>
      <c r="J3018" s="3">
        <v>5.1740000000000004</v>
      </c>
      <c r="K3018" s="2" t="s">
        <v>18</v>
      </c>
      <c r="L3018" s="2">
        <v>2023</v>
      </c>
      <c r="M3018" s="2" t="s">
        <v>19</v>
      </c>
      <c r="N3018" s="2" t="s">
        <v>21</v>
      </c>
      <c r="O3018">
        <f t="shared" si="94"/>
        <v>0.9139999999999997</v>
      </c>
      <c r="P3018">
        <f t="shared" si="95"/>
        <v>9.09</v>
      </c>
    </row>
    <row r="3019" spans="1:16" x14ac:dyDescent="0.35">
      <c r="A3019" s="9" t="s">
        <v>26</v>
      </c>
      <c r="B3019" s="2">
        <v>15.496</v>
      </c>
      <c r="C3019" s="2">
        <v>15.95</v>
      </c>
      <c r="D3019" s="2">
        <v>15.461</v>
      </c>
      <c r="E3019" s="2">
        <v>15.898</v>
      </c>
      <c r="F3019" s="2">
        <v>384380641</v>
      </c>
      <c r="G3019" s="2" t="s">
        <v>571</v>
      </c>
      <c r="H3019" s="2" t="s">
        <v>572</v>
      </c>
      <c r="I3019" s="2" t="s">
        <v>17</v>
      </c>
      <c r="J3019" s="3">
        <v>1.7989999999999999</v>
      </c>
      <c r="K3019" s="2" t="s">
        <v>18</v>
      </c>
      <c r="L3019" s="2">
        <v>2023</v>
      </c>
      <c r="M3019" s="2" t="s">
        <v>19</v>
      </c>
      <c r="N3019" s="2" t="s">
        <v>21</v>
      </c>
      <c r="O3019">
        <f t="shared" si="94"/>
        <v>0.48899999999999899</v>
      </c>
      <c r="P3019">
        <f t="shared" si="95"/>
        <v>10.888999999999999</v>
      </c>
    </row>
    <row r="3020" spans="1:16" x14ac:dyDescent="0.35">
      <c r="A3020" s="9" t="s">
        <v>27</v>
      </c>
      <c r="B3020" s="2">
        <v>15.827999999999999</v>
      </c>
      <c r="C3020" s="2">
        <v>16.015999999999998</v>
      </c>
      <c r="D3020" s="2">
        <v>15.552</v>
      </c>
      <c r="E3020" s="2">
        <v>15.989000000000001</v>
      </c>
      <c r="F3020" s="2">
        <v>353541896</v>
      </c>
      <c r="G3020" s="2" t="s">
        <v>571</v>
      </c>
      <c r="H3020" s="2" t="s">
        <v>572</v>
      </c>
      <c r="I3020" s="2" t="s">
        <v>17</v>
      </c>
      <c r="J3020" s="3">
        <v>0.57699999999999996</v>
      </c>
      <c r="K3020" s="2" t="s">
        <v>18</v>
      </c>
      <c r="L3020" s="2">
        <v>2023</v>
      </c>
      <c r="M3020" s="2" t="s">
        <v>19</v>
      </c>
      <c r="N3020" s="2" t="s">
        <v>21</v>
      </c>
      <c r="O3020">
        <f t="shared" si="94"/>
        <v>0.46399999999999864</v>
      </c>
      <c r="P3020">
        <f t="shared" si="95"/>
        <v>11.465999999999999</v>
      </c>
    </row>
    <row r="3021" spans="1:16" x14ac:dyDescent="0.35">
      <c r="A3021" s="9" t="s">
        <v>28</v>
      </c>
      <c r="B3021" s="2">
        <v>16.088000000000001</v>
      </c>
      <c r="C3021" s="2">
        <v>16.625</v>
      </c>
      <c r="D3021" s="2">
        <v>15.481</v>
      </c>
      <c r="E3021" s="2">
        <v>16.498999999999999</v>
      </c>
      <c r="F3021" s="2">
        <v>551810134</v>
      </c>
      <c r="G3021" s="2" t="s">
        <v>571</v>
      </c>
      <c r="H3021" s="2" t="s">
        <v>572</v>
      </c>
      <c r="I3021" s="2" t="s">
        <v>17</v>
      </c>
      <c r="J3021" s="3">
        <v>3.1869999999999998</v>
      </c>
      <c r="K3021" s="2" t="s">
        <v>18</v>
      </c>
      <c r="L3021" s="2">
        <v>2023</v>
      </c>
      <c r="M3021" s="2" t="s">
        <v>19</v>
      </c>
      <c r="N3021" s="2" t="s">
        <v>21</v>
      </c>
      <c r="O3021">
        <f t="shared" si="94"/>
        <v>1.1440000000000001</v>
      </c>
      <c r="P3021">
        <f t="shared" si="95"/>
        <v>14.652999999999999</v>
      </c>
    </row>
    <row r="3022" spans="1:16" x14ac:dyDescent="0.35">
      <c r="A3022" s="9" t="s">
        <v>29</v>
      </c>
      <c r="B3022" s="2">
        <v>16.265999999999998</v>
      </c>
      <c r="C3022" s="2">
        <v>16.91</v>
      </c>
      <c r="D3022" s="2">
        <v>16.152999999999999</v>
      </c>
      <c r="E3022" s="2">
        <v>16.887</v>
      </c>
      <c r="F3022" s="2">
        <v>447612400</v>
      </c>
      <c r="G3022" s="2" t="s">
        <v>571</v>
      </c>
      <c r="H3022" s="2" t="s">
        <v>572</v>
      </c>
      <c r="I3022" s="2" t="s">
        <v>17</v>
      </c>
      <c r="J3022" s="3">
        <v>2.35</v>
      </c>
      <c r="K3022" s="2" t="s">
        <v>18</v>
      </c>
      <c r="L3022" s="2">
        <v>2023</v>
      </c>
      <c r="M3022" s="2" t="s">
        <v>19</v>
      </c>
      <c r="N3022" s="2" t="s">
        <v>21</v>
      </c>
      <c r="O3022">
        <f t="shared" si="94"/>
        <v>0.75700000000000145</v>
      </c>
      <c r="P3022">
        <f t="shared" si="95"/>
        <v>17.003</v>
      </c>
    </row>
    <row r="3023" spans="1:16" x14ac:dyDescent="0.35">
      <c r="A3023" s="9" t="s">
        <v>30</v>
      </c>
      <c r="B3023" s="2">
        <v>16.887</v>
      </c>
      <c r="C3023" s="2">
        <v>17.715</v>
      </c>
      <c r="D3023" s="2">
        <v>16.887</v>
      </c>
      <c r="E3023" s="2">
        <v>17.689</v>
      </c>
      <c r="F3023" s="2">
        <v>511473917</v>
      </c>
      <c r="G3023" s="2" t="s">
        <v>571</v>
      </c>
      <c r="H3023" s="2" t="s">
        <v>572</v>
      </c>
      <c r="I3023" s="2" t="s">
        <v>17</v>
      </c>
      <c r="J3023" s="3">
        <v>4.7519999999999998</v>
      </c>
      <c r="K3023" s="2" t="s">
        <v>18</v>
      </c>
      <c r="L3023" s="2">
        <v>2023</v>
      </c>
      <c r="M3023" s="2" t="s">
        <v>19</v>
      </c>
      <c r="N3023" s="2" t="s">
        <v>21</v>
      </c>
      <c r="O3023">
        <f t="shared" si="94"/>
        <v>0.8279999999999994</v>
      </c>
      <c r="P3023">
        <f t="shared" si="95"/>
        <v>21.754999999999999</v>
      </c>
    </row>
    <row r="3024" spans="1:16" x14ac:dyDescent="0.35">
      <c r="A3024" s="9" t="s">
        <v>31</v>
      </c>
      <c r="B3024" s="2">
        <v>17.654</v>
      </c>
      <c r="C3024" s="2">
        <v>17.86</v>
      </c>
      <c r="D3024" s="2">
        <v>17.27</v>
      </c>
      <c r="E3024" s="2">
        <v>17.364000000000001</v>
      </c>
      <c r="F3024" s="2">
        <v>439943316</v>
      </c>
      <c r="G3024" s="2" t="s">
        <v>571</v>
      </c>
      <c r="H3024" s="2" t="s">
        <v>572</v>
      </c>
      <c r="I3024" s="2" t="s">
        <v>17</v>
      </c>
      <c r="J3024" s="4">
        <v>-1.8360000000000001</v>
      </c>
      <c r="K3024" s="2" t="s">
        <v>18</v>
      </c>
      <c r="L3024" s="2">
        <v>2023</v>
      </c>
      <c r="M3024" s="2" t="s">
        <v>19</v>
      </c>
      <c r="N3024" s="2" t="s">
        <v>23</v>
      </c>
      <c r="O3024">
        <f t="shared" si="94"/>
        <v>0.58999999999999986</v>
      </c>
      <c r="P3024">
        <f t="shared" si="95"/>
        <v>19.919</v>
      </c>
    </row>
    <row r="3025" spans="1:16" x14ac:dyDescent="0.35">
      <c r="A3025" s="9" t="s">
        <v>32</v>
      </c>
      <c r="B3025" s="2">
        <v>17.023</v>
      </c>
      <c r="C3025" s="2">
        <v>17.184000000000001</v>
      </c>
      <c r="D3025" s="2">
        <v>16.719000000000001</v>
      </c>
      <c r="E3025" s="2">
        <v>16.753</v>
      </c>
      <c r="F3025" s="2">
        <v>453261045</v>
      </c>
      <c r="G3025" s="2" t="s">
        <v>571</v>
      </c>
      <c r="H3025" s="2" t="s">
        <v>572</v>
      </c>
      <c r="I3025" s="2" t="s">
        <v>17</v>
      </c>
      <c r="J3025" s="4">
        <v>-3.5219999999999998</v>
      </c>
      <c r="K3025" s="2" t="s">
        <v>18</v>
      </c>
      <c r="L3025" s="2">
        <v>2023</v>
      </c>
      <c r="M3025" s="2" t="s">
        <v>19</v>
      </c>
      <c r="N3025" s="2" t="s">
        <v>23</v>
      </c>
      <c r="O3025">
        <f t="shared" si="94"/>
        <v>0.46499999999999986</v>
      </c>
      <c r="P3025">
        <f t="shared" si="95"/>
        <v>16.397000000000002</v>
      </c>
    </row>
    <row r="3026" spans="1:16" x14ac:dyDescent="0.35">
      <c r="A3026" s="9" t="s">
        <v>33</v>
      </c>
      <c r="B3026" s="2">
        <v>16.998000000000001</v>
      </c>
      <c r="C3026" s="2">
        <v>17.843</v>
      </c>
      <c r="D3026" s="2">
        <v>16.812999999999999</v>
      </c>
      <c r="E3026" s="2">
        <v>17.826000000000001</v>
      </c>
      <c r="F3026" s="2">
        <v>565378056</v>
      </c>
      <c r="G3026" s="2" t="s">
        <v>571</v>
      </c>
      <c r="H3026" s="2" t="s">
        <v>572</v>
      </c>
      <c r="I3026" s="2" t="s">
        <v>17</v>
      </c>
      <c r="J3026" s="3">
        <v>6.407</v>
      </c>
      <c r="K3026" s="2" t="s">
        <v>18</v>
      </c>
      <c r="L3026" s="2">
        <v>2023</v>
      </c>
      <c r="M3026" s="2" t="s">
        <v>19</v>
      </c>
      <c r="N3026" s="2" t="s">
        <v>21</v>
      </c>
      <c r="O3026">
        <f t="shared" si="94"/>
        <v>1.0300000000000011</v>
      </c>
      <c r="P3026">
        <f t="shared" si="95"/>
        <v>22.804000000000002</v>
      </c>
    </row>
    <row r="3027" spans="1:16" x14ac:dyDescent="0.35">
      <c r="A3027" s="9" t="s">
        <v>34</v>
      </c>
      <c r="B3027" s="2">
        <v>18.050999999999998</v>
      </c>
      <c r="C3027" s="2">
        <v>19.231000000000002</v>
      </c>
      <c r="D3027" s="2">
        <v>17.805</v>
      </c>
      <c r="E3027" s="2">
        <v>19.178999999999998</v>
      </c>
      <c r="F3027" s="2">
        <v>655639131</v>
      </c>
      <c r="G3027" s="2" t="s">
        <v>571</v>
      </c>
      <c r="H3027" s="2" t="s">
        <v>572</v>
      </c>
      <c r="I3027" s="2" t="s">
        <v>17</v>
      </c>
      <c r="J3027" s="3">
        <v>7.5890000000000004</v>
      </c>
      <c r="K3027" s="2" t="s">
        <v>18</v>
      </c>
      <c r="L3027" s="2">
        <v>2023</v>
      </c>
      <c r="M3027" s="2" t="s">
        <v>19</v>
      </c>
      <c r="N3027" s="2" t="s">
        <v>21</v>
      </c>
      <c r="O3027">
        <f t="shared" si="94"/>
        <v>1.4260000000000019</v>
      </c>
      <c r="P3027">
        <f t="shared" si="95"/>
        <v>30.393000000000001</v>
      </c>
    </row>
    <row r="3028" spans="1:16" x14ac:dyDescent="0.35">
      <c r="A3028" s="9" t="s">
        <v>35</v>
      </c>
      <c r="B3028" s="2">
        <v>18.812999999999999</v>
      </c>
      <c r="C3028" s="2">
        <v>19.481000000000002</v>
      </c>
      <c r="D3028" s="2">
        <v>18.806000000000001</v>
      </c>
      <c r="E3028" s="2">
        <v>19.251000000000001</v>
      </c>
      <c r="F3028" s="2">
        <v>496565020</v>
      </c>
      <c r="G3028" s="2" t="s">
        <v>571</v>
      </c>
      <c r="H3028" s="2" t="s">
        <v>572</v>
      </c>
      <c r="I3028" s="2" t="s">
        <v>17</v>
      </c>
      <c r="J3028" s="3">
        <v>0.375</v>
      </c>
      <c r="K3028" s="2" t="s">
        <v>18</v>
      </c>
      <c r="L3028" s="2">
        <v>2023</v>
      </c>
      <c r="M3028" s="2" t="s">
        <v>19</v>
      </c>
      <c r="N3028" s="2" t="s">
        <v>21</v>
      </c>
      <c r="O3028">
        <f t="shared" si="94"/>
        <v>0.67500000000000071</v>
      </c>
      <c r="P3028">
        <f t="shared" si="95"/>
        <v>30.768000000000001</v>
      </c>
    </row>
    <row r="3029" spans="1:16" x14ac:dyDescent="0.35">
      <c r="A3029" s="9" t="s">
        <v>36</v>
      </c>
      <c r="B3029" s="2">
        <v>18.899000000000001</v>
      </c>
      <c r="C3029" s="2">
        <v>19.356000000000002</v>
      </c>
      <c r="D3029" s="2">
        <v>18.567</v>
      </c>
      <c r="E3029" s="2">
        <v>19.309000000000001</v>
      </c>
      <c r="F3029" s="2">
        <v>449864086</v>
      </c>
      <c r="G3029" s="2" t="s">
        <v>571</v>
      </c>
      <c r="H3029" s="2" t="s">
        <v>572</v>
      </c>
      <c r="I3029" s="2" t="s">
        <v>17</v>
      </c>
      <c r="J3029" s="3">
        <v>0.30099999999999999</v>
      </c>
      <c r="K3029" s="2" t="s">
        <v>18</v>
      </c>
      <c r="L3029" s="2">
        <v>2023</v>
      </c>
      <c r="M3029" s="2" t="s">
        <v>19</v>
      </c>
      <c r="N3029" s="2" t="s">
        <v>21</v>
      </c>
      <c r="O3029">
        <f t="shared" si="94"/>
        <v>0.78900000000000148</v>
      </c>
      <c r="P3029">
        <f t="shared" si="95"/>
        <v>31.068999999999999</v>
      </c>
    </row>
    <row r="3030" spans="1:16" x14ac:dyDescent="0.35">
      <c r="A3030" s="9" t="s">
        <v>37</v>
      </c>
      <c r="B3030" s="2">
        <v>19.687000000000001</v>
      </c>
      <c r="C3030" s="2">
        <v>20.151</v>
      </c>
      <c r="D3030" s="2">
        <v>19.263999999999999</v>
      </c>
      <c r="E3030" s="2">
        <v>19.788</v>
      </c>
      <c r="F3030" s="2">
        <v>489891490</v>
      </c>
      <c r="G3030" s="2" t="s">
        <v>571</v>
      </c>
      <c r="H3030" s="2" t="s">
        <v>572</v>
      </c>
      <c r="I3030" s="2" t="s">
        <v>17</v>
      </c>
      <c r="J3030" s="3">
        <v>2.48</v>
      </c>
      <c r="K3030" s="2" t="s">
        <v>18</v>
      </c>
      <c r="L3030" s="2">
        <v>2023</v>
      </c>
      <c r="M3030" s="2" t="s">
        <v>19</v>
      </c>
      <c r="N3030" s="2" t="s">
        <v>21</v>
      </c>
      <c r="O3030">
        <f t="shared" si="94"/>
        <v>0.88700000000000045</v>
      </c>
      <c r="P3030">
        <f t="shared" si="95"/>
        <v>33.548999999999999</v>
      </c>
    </row>
    <row r="3031" spans="1:16" x14ac:dyDescent="0.35">
      <c r="A3031" s="9" t="s">
        <v>38</v>
      </c>
      <c r="B3031" s="2">
        <v>19.448</v>
      </c>
      <c r="C3031" s="2">
        <v>20.613</v>
      </c>
      <c r="D3031" s="2">
        <v>19.390999999999998</v>
      </c>
      <c r="E3031" s="2">
        <v>20.350000000000001</v>
      </c>
      <c r="F3031" s="2">
        <v>542536314</v>
      </c>
      <c r="G3031" s="2" t="s">
        <v>571</v>
      </c>
      <c r="H3031" s="2" t="s">
        <v>572</v>
      </c>
      <c r="I3031" s="2" t="s">
        <v>17</v>
      </c>
      <c r="J3031" s="3">
        <v>2.8420000000000001</v>
      </c>
      <c r="K3031" s="2" t="s">
        <v>18</v>
      </c>
      <c r="L3031" s="2">
        <v>2023</v>
      </c>
      <c r="M3031" s="2" t="s">
        <v>19</v>
      </c>
      <c r="N3031" s="2" t="s">
        <v>21</v>
      </c>
      <c r="O3031">
        <f t="shared" si="94"/>
        <v>1.2220000000000013</v>
      </c>
      <c r="P3031">
        <f t="shared" si="95"/>
        <v>36.390999999999998</v>
      </c>
    </row>
    <row r="3032" spans="1:16" x14ac:dyDescent="0.35">
      <c r="A3032" s="9" t="s">
        <v>39</v>
      </c>
      <c r="B3032" s="2">
        <v>19.936</v>
      </c>
      <c r="C3032" s="2">
        <v>20.125</v>
      </c>
      <c r="D3032" s="2">
        <v>19.135999999999999</v>
      </c>
      <c r="E3032" s="2">
        <v>19.148</v>
      </c>
      <c r="F3032" s="2">
        <v>488966547</v>
      </c>
      <c r="G3032" s="2" t="s">
        <v>571</v>
      </c>
      <c r="H3032" s="2" t="s">
        <v>572</v>
      </c>
      <c r="I3032" s="2" t="s">
        <v>17</v>
      </c>
      <c r="J3032" s="4">
        <v>-5.907</v>
      </c>
      <c r="K3032" s="2" t="s">
        <v>18</v>
      </c>
      <c r="L3032" s="2">
        <v>2023</v>
      </c>
      <c r="M3032" s="2" t="s">
        <v>19</v>
      </c>
      <c r="N3032" s="2" t="s">
        <v>23</v>
      </c>
      <c r="O3032">
        <f t="shared" si="94"/>
        <v>0.98900000000000077</v>
      </c>
      <c r="P3032">
        <f t="shared" si="95"/>
        <v>30.483999999999998</v>
      </c>
    </row>
    <row r="3033" spans="1:16" x14ac:dyDescent="0.35">
      <c r="A3033" s="9" t="s">
        <v>40</v>
      </c>
      <c r="B3033" s="2">
        <v>19.155000000000001</v>
      </c>
      <c r="C3033" s="2">
        <v>19.672999999999998</v>
      </c>
      <c r="D3033" s="2">
        <v>18.936</v>
      </c>
      <c r="E3033" s="2">
        <v>19.523</v>
      </c>
      <c r="F3033" s="2">
        <v>498378819</v>
      </c>
      <c r="G3033" s="2" t="s">
        <v>571</v>
      </c>
      <c r="H3033" s="2" t="s">
        <v>572</v>
      </c>
      <c r="I3033" s="2" t="s">
        <v>17</v>
      </c>
      <c r="J3033" s="3">
        <v>1.958</v>
      </c>
      <c r="K3033" s="2" t="s">
        <v>18</v>
      </c>
      <c r="L3033" s="2">
        <v>2023</v>
      </c>
      <c r="M3033" s="2" t="s">
        <v>19</v>
      </c>
      <c r="N3033" s="2" t="s">
        <v>21</v>
      </c>
      <c r="O3033">
        <f t="shared" si="94"/>
        <v>0.73699999999999832</v>
      </c>
      <c r="P3033">
        <f t="shared" si="95"/>
        <v>32.442</v>
      </c>
    </row>
    <row r="3034" spans="1:16" x14ac:dyDescent="0.35">
      <c r="A3034" s="9" t="s">
        <v>41</v>
      </c>
      <c r="B3034" s="2">
        <v>19.677</v>
      </c>
      <c r="C3034" s="2">
        <v>21.177</v>
      </c>
      <c r="D3034" s="2">
        <v>19.597000000000001</v>
      </c>
      <c r="E3034" s="2">
        <v>20.928000000000001</v>
      </c>
      <c r="F3034" s="2">
        <v>660957446</v>
      </c>
      <c r="G3034" s="2" t="s">
        <v>571</v>
      </c>
      <c r="H3034" s="2" t="s">
        <v>572</v>
      </c>
      <c r="I3034" s="2" t="s">
        <v>17</v>
      </c>
      <c r="J3034" s="3">
        <v>7.1959999999999997</v>
      </c>
      <c r="K3034" s="2" t="s">
        <v>42</v>
      </c>
      <c r="L3034" s="2">
        <v>2023</v>
      </c>
      <c r="M3034" s="2" t="s">
        <v>43</v>
      </c>
      <c r="N3034" s="2" t="s">
        <v>21</v>
      </c>
      <c r="O3034">
        <f t="shared" si="94"/>
        <v>1.5799999999999983</v>
      </c>
      <c r="P3034">
        <f t="shared" si="95"/>
        <v>39.637999999999998</v>
      </c>
    </row>
    <row r="3035" spans="1:16" x14ac:dyDescent="0.35">
      <c r="A3035" s="9" t="s">
        <v>44</v>
      </c>
      <c r="B3035" s="2">
        <v>20.984999999999999</v>
      </c>
      <c r="C3035" s="2">
        <v>21.933</v>
      </c>
      <c r="D3035" s="2">
        <v>20.684999999999999</v>
      </c>
      <c r="E3035" s="2">
        <v>21.693000000000001</v>
      </c>
      <c r="F3035" s="2">
        <v>564686233</v>
      </c>
      <c r="G3035" s="2" t="s">
        <v>571</v>
      </c>
      <c r="H3035" s="2" t="s">
        <v>572</v>
      </c>
      <c r="I3035" s="2" t="s">
        <v>17</v>
      </c>
      <c r="J3035" s="3">
        <v>3.657</v>
      </c>
      <c r="K3035" s="2" t="s">
        <v>42</v>
      </c>
      <c r="L3035" s="2">
        <v>2023</v>
      </c>
      <c r="M3035" s="2" t="s">
        <v>43</v>
      </c>
      <c r="N3035" s="2" t="s">
        <v>21</v>
      </c>
      <c r="O3035">
        <f t="shared" si="94"/>
        <v>1.2480000000000011</v>
      </c>
      <c r="P3035">
        <f t="shared" si="95"/>
        <v>43.295000000000002</v>
      </c>
    </row>
    <row r="3036" spans="1:16" x14ac:dyDescent="0.35">
      <c r="A3036" s="9" t="s">
        <v>45</v>
      </c>
      <c r="B3036" s="2">
        <v>20.984999999999999</v>
      </c>
      <c r="C3036" s="2">
        <v>21.728999999999999</v>
      </c>
      <c r="D3036" s="2">
        <v>20.774000000000001</v>
      </c>
      <c r="E3036" s="2">
        <v>21.085000000000001</v>
      </c>
      <c r="F3036" s="2">
        <v>429678255</v>
      </c>
      <c r="G3036" s="2" t="s">
        <v>571</v>
      </c>
      <c r="H3036" s="2" t="s">
        <v>572</v>
      </c>
      <c r="I3036" s="2" t="s">
        <v>17</v>
      </c>
      <c r="J3036" s="4">
        <v>-2.8050000000000002</v>
      </c>
      <c r="K3036" s="2" t="s">
        <v>42</v>
      </c>
      <c r="L3036" s="2">
        <v>2023</v>
      </c>
      <c r="M3036" s="2" t="s">
        <v>43</v>
      </c>
      <c r="N3036" s="2" t="s">
        <v>23</v>
      </c>
      <c r="O3036">
        <f t="shared" si="94"/>
        <v>0.95499999999999829</v>
      </c>
      <c r="P3036">
        <f t="shared" si="95"/>
        <v>40.49</v>
      </c>
    </row>
    <row r="3037" spans="1:16" x14ac:dyDescent="0.35">
      <c r="A3037" s="9" t="s">
        <v>46</v>
      </c>
      <c r="B3037" s="2">
        <v>20.791</v>
      </c>
      <c r="C3037" s="2">
        <v>21.553999999999998</v>
      </c>
      <c r="D3037" s="2">
        <v>20.771000000000001</v>
      </c>
      <c r="E3037" s="2">
        <v>21.074000000000002</v>
      </c>
      <c r="F3037" s="2">
        <v>452526001</v>
      </c>
      <c r="G3037" s="2" t="s">
        <v>571</v>
      </c>
      <c r="H3037" s="2" t="s">
        <v>572</v>
      </c>
      <c r="I3037" s="2" t="s">
        <v>17</v>
      </c>
      <c r="J3037" s="4">
        <v>-5.1999999999999998E-2</v>
      </c>
      <c r="K3037" s="2" t="s">
        <v>42</v>
      </c>
      <c r="L3037" s="2">
        <v>2023</v>
      </c>
      <c r="M3037" s="2" t="s">
        <v>43</v>
      </c>
      <c r="N3037" s="2" t="s">
        <v>23</v>
      </c>
      <c r="O3037">
        <f t="shared" si="94"/>
        <v>0.7829999999999977</v>
      </c>
      <c r="P3037">
        <f t="shared" si="95"/>
        <v>40.438000000000002</v>
      </c>
    </row>
    <row r="3038" spans="1:16" x14ac:dyDescent="0.35">
      <c r="A3038" s="9" t="s">
        <v>47</v>
      </c>
      <c r="B3038" s="2">
        <v>21.366</v>
      </c>
      <c r="C3038" s="2">
        <v>22.242999999999999</v>
      </c>
      <c r="D3038" s="2">
        <v>21.135000000000002</v>
      </c>
      <c r="E3038" s="2">
        <v>22.157</v>
      </c>
      <c r="F3038" s="2">
        <v>664632688</v>
      </c>
      <c r="G3038" s="2" t="s">
        <v>571</v>
      </c>
      <c r="H3038" s="2" t="s">
        <v>572</v>
      </c>
      <c r="I3038" s="2" t="s">
        <v>17</v>
      </c>
      <c r="J3038" s="3">
        <v>5.141</v>
      </c>
      <c r="K3038" s="2" t="s">
        <v>42</v>
      </c>
      <c r="L3038" s="2">
        <v>2023</v>
      </c>
      <c r="M3038" s="2" t="s">
        <v>43</v>
      </c>
      <c r="N3038" s="2" t="s">
        <v>21</v>
      </c>
      <c r="O3038">
        <f t="shared" si="94"/>
        <v>1.107999999999997</v>
      </c>
      <c r="P3038">
        <f t="shared" si="95"/>
        <v>45.579000000000001</v>
      </c>
    </row>
    <row r="3039" spans="1:16" x14ac:dyDescent="0.35">
      <c r="A3039" s="9" t="s">
        <v>48</v>
      </c>
      <c r="B3039" s="2">
        <v>22.370999999999999</v>
      </c>
      <c r="C3039" s="2">
        <v>22.861000000000001</v>
      </c>
      <c r="D3039" s="2">
        <v>21.992000000000001</v>
      </c>
      <c r="E3039" s="2">
        <v>22.189</v>
      </c>
      <c r="F3039" s="2">
        <v>560058289</v>
      </c>
      <c r="G3039" s="2" t="s">
        <v>571</v>
      </c>
      <c r="H3039" s="2" t="s">
        <v>572</v>
      </c>
      <c r="I3039" s="2" t="s">
        <v>17</v>
      </c>
      <c r="J3039" s="3">
        <v>0.14399999999999999</v>
      </c>
      <c r="K3039" s="2" t="s">
        <v>42</v>
      </c>
      <c r="L3039" s="2">
        <v>2023</v>
      </c>
      <c r="M3039" s="2" t="s">
        <v>43</v>
      </c>
      <c r="N3039" s="2" t="s">
        <v>21</v>
      </c>
      <c r="O3039">
        <f t="shared" si="94"/>
        <v>0.86899999999999977</v>
      </c>
      <c r="P3039">
        <f t="shared" si="95"/>
        <v>45.722999999999999</v>
      </c>
    </row>
    <row r="3040" spans="1:16" x14ac:dyDescent="0.35">
      <c r="A3040" s="9" t="s">
        <v>49</v>
      </c>
      <c r="B3040" s="2">
        <v>22.59</v>
      </c>
      <c r="C3040" s="2">
        <v>23.003</v>
      </c>
      <c r="D3040" s="2">
        <v>22.103999999999999</v>
      </c>
      <c r="E3040" s="2">
        <v>22.321000000000002</v>
      </c>
      <c r="F3040" s="2">
        <v>524256828</v>
      </c>
      <c r="G3040" s="2" t="s">
        <v>571</v>
      </c>
      <c r="H3040" s="2" t="s">
        <v>572</v>
      </c>
      <c r="I3040" s="2" t="s">
        <v>17</v>
      </c>
      <c r="J3040" s="3">
        <v>0.59499999999999997</v>
      </c>
      <c r="K3040" s="2" t="s">
        <v>42</v>
      </c>
      <c r="L3040" s="2">
        <v>2023</v>
      </c>
      <c r="M3040" s="2" t="s">
        <v>43</v>
      </c>
      <c r="N3040" s="2" t="s">
        <v>21</v>
      </c>
      <c r="O3040">
        <f t="shared" si="94"/>
        <v>0.89900000000000091</v>
      </c>
      <c r="P3040">
        <f t="shared" si="95"/>
        <v>46.317999999999998</v>
      </c>
    </row>
    <row r="3041" spans="1:16" x14ac:dyDescent="0.35">
      <c r="A3041" s="9" t="s">
        <v>50</v>
      </c>
      <c r="B3041" s="2">
        <v>21.673999999999999</v>
      </c>
      <c r="C3041" s="2">
        <v>22.062000000000001</v>
      </c>
      <c r="D3041" s="2">
        <v>20.795999999999999</v>
      </c>
      <c r="E3041" s="2">
        <v>21.25</v>
      </c>
      <c r="F3041" s="2">
        <v>551137335</v>
      </c>
      <c r="G3041" s="2" t="s">
        <v>571</v>
      </c>
      <c r="H3041" s="2" t="s">
        <v>572</v>
      </c>
      <c r="I3041" s="2" t="s">
        <v>17</v>
      </c>
      <c r="J3041" s="4">
        <v>-4.8</v>
      </c>
      <c r="K3041" s="2" t="s">
        <v>42</v>
      </c>
      <c r="L3041" s="2">
        <v>2023</v>
      </c>
      <c r="M3041" s="2" t="s">
        <v>43</v>
      </c>
      <c r="N3041" s="2" t="s">
        <v>23</v>
      </c>
      <c r="O3041">
        <f t="shared" si="94"/>
        <v>1.2660000000000018</v>
      </c>
      <c r="P3041">
        <f t="shared" si="95"/>
        <v>41.518000000000001</v>
      </c>
    </row>
    <row r="3042" spans="1:16" x14ac:dyDescent="0.35">
      <c r="A3042" s="9" t="s">
        <v>51</v>
      </c>
      <c r="B3042" s="2">
        <v>21.521999999999998</v>
      </c>
      <c r="C3042" s="2">
        <v>22.032</v>
      </c>
      <c r="D3042" s="2">
        <v>20.946999999999999</v>
      </c>
      <c r="E3042" s="2">
        <v>21.771999999999998</v>
      </c>
      <c r="F3042" s="2">
        <v>475264058</v>
      </c>
      <c r="G3042" s="2" t="s">
        <v>571</v>
      </c>
      <c r="H3042" s="2" t="s">
        <v>572</v>
      </c>
      <c r="I3042" s="2" t="s">
        <v>17</v>
      </c>
      <c r="J3042" s="3">
        <v>2.4590000000000001</v>
      </c>
      <c r="K3042" s="2" t="s">
        <v>42</v>
      </c>
      <c r="L3042" s="2">
        <v>2023</v>
      </c>
      <c r="M3042" s="2" t="s">
        <v>43</v>
      </c>
      <c r="N3042" s="2" t="s">
        <v>21</v>
      </c>
      <c r="O3042">
        <f t="shared" si="94"/>
        <v>1.0850000000000009</v>
      </c>
      <c r="P3042">
        <f t="shared" si="95"/>
        <v>43.977000000000004</v>
      </c>
    </row>
    <row r="3043" spans="1:16" x14ac:dyDescent="0.35">
      <c r="A3043" s="9" t="s">
        <v>52</v>
      </c>
      <c r="B3043" s="2">
        <v>21.562000000000001</v>
      </c>
      <c r="C3043" s="2">
        <v>23.032</v>
      </c>
      <c r="D3043" s="2">
        <v>21.35</v>
      </c>
      <c r="E3043" s="2">
        <v>22.954000000000001</v>
      </c>
      <c r="F3043" s="2">
        <v>675964814</v>
      </c>
      <c r="G3043" s="2" t="s">
        <v>571</v>
      </c>
      <c r="H3043" s="2" t="s">
        <v>572</v>
      </c>
      <c r="I3043" s="2" t="s">
        <v>17</v>
      </c>
      <c r="J3043" s="3">
        <v>5.4290000000000003</v>
      </c>
      <c r="K3043" s="2" t="s">
        <v>42</v>
      </c>
      <c r="L3043" s="2">
        <v>2023</v>
      </c>
      <c r="M3043" s="2" t="s">
        <v>43</v>
      </c>
      <c r="N3043" s="2" t="s">
        <v>21</v>
      </c>
      <c r="O3043">
        <f t="shared" si="94"/>
        <v>1.6819999999999986</v>
      </c>
      <c r="P3043">
        <f t="shared" si="95"/>
        <v>49.406000000000006</v>
      </c>
    </row>
    <row r="3044" spans="1:16" x14ac:dyDescent="0.35">
      <c r="A3044" s="9" t="s">
        <v>53</v>
      </c>
      <c r="B3044" s="2">
        <v>22.532</v>
      </c>
      <c r="C3044" s="2">
        <v>22.838000000000001</v>
      </c>
      <c r="D3044" s="2">
        <v>22.09</v>
      </c>
      <c r="E3044" s="2">
        <v>22.747</v>
      </c>
      <c r="F3044" s="2">
        <v>421494616</v>
      </c>
      <c r="G3044" s="2" t="s">
        <v>571</v>
      </c>
      <c r="H3044" s="2" t="s">
        <v>572</v>
      </c>
      <c r="I3044" s="2" t="s">
        <v>17</v>
      </c>
      <c r="J3044" s="4">
        <v>-0.90100000000000002</v>
      </c>
      <c r="K3044" s="2" t="s">
        <v>42</v>
      </c>
      <c r="L3044" s="2">
        <v>2023</v>
      </c>
      <c r="M3044" s="2" t="s">
        <v>43</v>
      </c>
      <c r="N3044" s="2" t="s">
        <v>23</v>
      </c>
      <c r="O3044">
        <f t="shared" si="94"/>
        <v>0.74800000000000111</v>
      </c>
      <c r="P3044">
        <f t="shared" si="95"/>
        <v>48.505000000000003</v>
      </c>
    </row>
    <row r="3045" spans="1:16" x14ac:dyDescent="0.35">
      <c r="A3045" s="9" t="s">
        <v>54</v>
      </c>
      <c r="B3045" s="2">
        <v>22.117000000000001</v>
      </c>
      <c r="C3045" s="2">
        <v>22.533999999999999</v>
      </c>
      <c r="D3045" s="2">
        <v>21.911000000000001</v>
      </c>
      <c r="E3045" s="2">
        <v>21.986000000000001</v>
      </c>
      <c r="F3045" s="2">
        <v>412325972</v>
      </c>
      <c r="G3045" s="2" t="s">
        <v>571</v>
      </c>
      <c r="H3045" s="2" t="s">
        <v>572</v>
      </c>
      <c r="I3045" s="2" t="s">
        <v>17</v>
      </c>
      <c r="J3045" s="4">
        <v>-3.3460000000000001</v>
      </c>
      <c r="K3045" s="2" t="s">
        <v>42</v>
      </c>
      <c r="L3045" s="2">
        <v>2023</v>
      </c>
      <c r="M3045" s="2" t="s">
        <v>43</v>
      </c>
      <c r="N3045" s="2" t="s">
        <v>23</v>
      </c>
      <c r="O3045">
        <f t="shared" si="94"/>
        <v>0.62299999999999756</v>
      </c>
      <c r="P3045">
        <f t="shared" si="95"/>
        <v>45.159000000000006</v>
      </c>
    </row>
    <row r="3046" spans="1:16" x14ac:dyDescent="0.35">
      <c r="A3046" s="9" t="s">
        <v>55</v>
      </c>
      <c r="B3046" s="2">
        <v>21.614999999999998</v>
      </c>
      <c r="C3046" s="2">
        <v>21.724</v>
      </c>
      <c r="D3046" s="2">
        <v>20.96</v>
      </c>
      <c r="E3046" s="2">
        <v>21.372</v>
      </c>
      <c r="F3046" s="2">
        <v>466226509</v>
      </c>
      <c r="G3046" s="2" t="s">
        <v>571</v>
      </c>
      <c r="H3046" s="2" t="s">
        <v>572</v>
      </c>
      <c r="I3046" s="2" t="s">
        <v>17</v>
      </c>
      <c r="J3046" s="4">
        <v>-2.7909999999999999</v>
      </c>
      <c r="K3046" s="2" t="s">
        <v>42</v>
      </c>
      <c r="L3046" s="2">
        <v>2023</v>
      </c>
      <c r="M3046" s="2" t="s">
        <v>43</v>
      </c>
      <c r="N3046" s="2" t="s">
        <v>23</v>
      </c>
      <c r="O3046">
        <f t="shared" si="94"/>
        <v>0.76399999999999935</v>
      </c>
      <c r="P3046">
        <f t="shared" si="95"/>
        <v>42.368000000000009</v>
      </c>
    </row>
    <row r="3047" spans="1:16" x14ac:dyDescent="0.35">
      <c r="A3047" s="9" t="s">
        <v>56</v>
      </c>
      <c r="B3047" s="2">
        <v>20.984999999999999</v>
      </c>
      <c r="C3047" s="2">
        <v>21.478000000000002</v>
      </c>
      <c r="D3047" s="2">
        <v>20.603000000000002</v>
      </c>
      <c r="E3047" s="2">
        <v>20.64</v>
      </c>
      <c r="F3047" s="2">
        <v>410312779</v>
      </c>
      <c r="G3047" s="2" t="s">
        <v>571</v>
      </c>
      <c r="H3047" s="2" t="s">
        <v>572</v>
      </c>
      <c r="I3047" s="2" t="s">
        <v>17</v>
      </c>
      <c r="J3047" s="4">
        <v>-3.427</v>
      </c>
      <c r="K3047" s="2" t="s">
        <v>42</v>
      </c>
      <c r="L3047" s="2">
        <v>2023</v>
      </c>
      <c r="M3047" s="2" t="s">
        <v>43</v>
      </c>
      <c r="N3047" s="2" t="s">
        <v>23</v>
      </c>
      <c r="O3047">
        <f t="shared" si="94"/>
        <v>0.875</v>
      </c>
      <c r="P3047">
        <f t="shared" si="95"/>
        <v>38.94100000000001</v>
      </c>
    </row>
    <row r="3048" spans="1:16" x14ac:dyDescent="0.35">
      <c r="A3048" s="9" t="s">
        <v>57</v>
      </c>
      <c r="B3048" s="2">
        <v>20.692</v>
      </c>
      <c r="C3048" s="2">
        <v>21.088999999999999</v>
      </c>
      <c r="D3048" s="2">
        <v>20.405999999999999</v>
      </c>
      <c r="E3048" s="2">
        <v>20.739000000000001</v>
      </c>
      <c r="F3048" s="2">
        <v>513557591</v>
      </c>
      <c r="G3048" s="2" t="s">
        <v>571</v>
      </c>
      <c r="H3048" s="2" t="s">
        <v>572</v>
      </c>
      <c r="I3048" s="2" t="s">
        <v>17</v>
      </c>
      <c r="J3048" s="3">
        <v>0.48</v>
      </c>
      <c r="K3048" s="2" t="s">
        <v>42</v>
      </c>
      <c r="L3048" s="2">
        <v>2023</v>
      </c>
      <c r="M3048" s="2" t="s">
        <v>43</v>
      </c>
      <c r="N3048" s="2" t="s">
        <v>21</v>
      </c>
      <c r="O3048">
        <f t="shared" si="94"/>
        <v>0.68299999999999983</v>
      </c>
      <c r="P3048">
        <f t="shared" si="95"/>
        <v>39.421000000000006</v>
      </c>
    </row>
    <row r="3049" spans="1:16" x14ac:dyDescent="0.35">
      <c r="A3049" s="9" t="s">
        <v>58</v>
      </c>
      <c r="B3049" s="2">
        <v>23.422999999999998</v>
      </c>
      <c r="C3049" s="2">
        <v>23.870999999999999</v>
      </c>
      <c r="D3049" s="2">
        <v>23.007999999999999</v>
      </c>
      <c r="E3049" s="2">
        <v>23.646999999999998</v>
      </c>
      <c r="F3049" s="2">
        <v>1118808599</v>
      </c>
      <c r="G3049" s="2" t="s">
        <v>571</v>
      </c>
      <c r="H3049" s="2" t="s">
        <v>572</v>
      </c>
      <c r="I3049" s="2" t="s">
        <v>17</v>
      </c>
      <c r="J3049" s="3">
        <v>14.022</v>
      </c>
      <c r="K3049" s="2" t="s">
        <v>42</v>
      </c>
      <c r="L3049" s="2">
        <v>2023</v>
      </c>
      <c r="M3049" s="2" t="s">
        <v>43</v>
      </c>
      <c r="N3049" s="2" t="s">
        <v>21</v>
      </c>
      <c r="O3049">
        <f t="shared" si="94"/>
        <v>0.86299999999999955</v>
      </c>
      <c r="P3049">
        <f t="shared" si="95"/>
        <v>53.443000000000005</v>
      </c>
    </row>
    <row r="3050" spans="1:16" x14ac:dyDescent="0.35">
      <c r="A3050" s="9" t="s">
        <v>59</v>
      </c>
      <c r="B3050" s="2">
        <v>23.207999999999998</v>
      </c>
      <c r="C3050" s="2">
        <v>23.457000000000001</v>
      </c>
      <c r="D3050" s="2">
        <v>22.93</v>
      </c>
      <c r="E3050" s="2">
        <v>23.268999999999998</v>
      </c>
      <c r="F3050" s="2">
        <v>590144847</v>
      </c>
      <c r="G3050" s="2" t="s">
        <v>571</v>
      </c>
      <c r="H3050" s="2" t="s">
        <v>572</v>
      </c>
      <c r="I3050" s="2" t="s">
        <v>17</v>
      </c>
      <c r="J3050" s="4">
        <v>-1.5980000000000001</v>
      </c>
      <c r="K3050" s="2" t="s">
        <v>42</v>
      </c>
      <c r="L3050" s="2">
        <v>2023</v>
      </c>
      <c r="M3050" s="2" t="s">
        <v>43</v>
      </c>
      <c r="N3050" s="2" t="s">
        <v>23</v>
      </c>
      <c r="O3050">
        <f t="shared" si="94"/>
        <v>0.52700000000000102</v>
      </c>
      <c r="P3050">
        <f t="shared" si="95"/>
        <v>51.845000000000006</v>
      </c>
    </row>
    <row r="3051" spans="1:16" x14ac:dyDescent="0.35">
      <c r="A3051" s="9" t="s">
        <v>60</v>
      </c>
      <c r="B3051" s="2">
        <v>23.652999999999999</v>
      </c>
      <c r="C3051" s="2">
        <v>23.863</v>
      </c>
      <c r="D3051" s="2">
        <v>23.437000000000001</v>
      </c>
      <c r="E3051" s="2">
        <v>23.484000000000002</v>
      </c>
      <c r="F3051" s="2">
        <v>453323161</v>
      </c>
      <c r="G3051" s="2" t="s">
        <v>571</v>
      </c>
      <c r="H3051" s="2" t="s">
        <v>572</v>
      </c>
      <c r="I3051" s="2" t="s">
        <v>17</v>
      </c>
      <c r="J3051" s="3">
        <v>0.92400000000000004</v>
      </c>
      <c r="K3051" s="2" t="s">
        <v>42</v>
      </c>
      <c r="L3051" s="2">
        <v>2023</v>
      </c>
      <c r="M3051" s="2" t="s">
        <v>43</v>
      </c>
      <c r="N3051" s="2" t="s">
        <v>21</v>
      </c>
      <c r="O3051">
        <f t="shared" si="94"/>
        <v>0.42599999999999838</v>
      </c>
      <c r="P3051">
        <f t="shared" si="95"/>
        <v>52.769000000000005</v>
      </c>
    </row>
    <row r="3052" spans="1:16" x14ac:dyDescent="0.35">
      <c r="A3052" s="9" t="s">
        <v>61</v>
      </c>
      <c r="B3052" s="2">
        <v>23.355</v>
      </c>
      <c r="C3052" s="2">
        <v>23.808</v>
      </c>
      <c r="D3052" s="2">
        <v>23.189</v>
      </c>
      <c r="E3052" s="2">
        <v>23.199000000000002</v>
      </c>
      <c r="F3052" s="2">
        <v>456294450</v>
      </c>
      <c r="G3052" s="2" t="s">
        <v>571</v>
      </c>
      <c r="H3052" s="2" t="s">
        <v>572</v>
      </c>
      <c r="I3052" s="2" t="s">
        <v>17</v>
      </c>
      <c r="J3052" s="4">
        <v>-1.2130000000000001</v>
      </c>
      <c r="K3052" s="2" t="s">
        <v>42</v>
      </c>
      <c r="L3052" s="2">
        <v>2023</v>
      </c>
      <c r="M3052" s="2" t="s">
        <v>43</v>
      </c>
      <c r="N3052" s="2" t="s">
        <v>23</v>
      </c>
      <c r="O3052">
        <f t="shared" si="94"/>
        <v>0.61899999999999977</v>
      </c>
      <c r="P3052">
        <f t="shared" si="95"/>
        <v>51.556000000000004</v>
      </c>
    </row>
    <row r="3053" spans="1:16" x14ac:dyDescent="0.35">
      <c r="A3053" s="9" t="s">
        <v>62</v>
      </c>
      <c r="B3053" s="2">
        <v>23.175000000000001</v>
      </c>
      <c r="C3053" s="2">
        <v>23.239000000000001</v>
      </c>
      <c r="D3053" s="2">
        <v>22.492000000000001</v>
      </c>
      <c r="E3053" s="2">
        <v>22.681000000000001</v>
      </c>
      <c r="F3053" s="2">
        <v>460360225</v>
      </c>
      <c r="G3053" s="2" t="s">
        <v>571</v>
      </c>
      <c r="H3053" s="2" t="s">
        <v>572</v>
      </c>
      <c r="I3053" s="2" t="s">
        <v>17</v>
      </c>
      <c r="J3053" s="4">
        <v>-2.2320000000000002</v>
      </c>
      <c r="K3053" s="2" t="s">
        <v>63</v>
      </c>
      <c r="L3053" s="2">
        <v>2023</v>
      </c>
      <c r="M3053" s="2" t="s">
        <v>64</v>
      </c>
      <c r="N3053" s="2" t="s">
        <v>23</v>
      </c>
      <c r="O3053">
        <f t="shared" si="94"/>
        <v>0.74699999999999989</v>
      </c>
      <c r="P3053">
        <f t="shared" si="95"/>
        <v>49.324000000000005</v>
      </c>
    </row>
    <row r="3054" spans="1:16" x14ac:dyDescent="0.35">
      <c r="A3054" s="9" t="s">
        <v>65</v>
      </c>
      <c r="B3054" s="2">
        <v>22.472000000000001</v>
      </c>
      <c r="C3054" s="2">
        <v>23.363</v>
      </c>
      <c r="D3054" s="2">
        <v>22.416</v>
      </c>
      <c r="E3054" s="2">
        <v>23.297000000000001</v>
      </c>
      <c r="F3054" s="2">
        <v>390358376</v>
      </c>
      <c r="G3054" s="2" t="s">
        <v>571</v>
      </c>
      <c r="H3054" s="2" t="s">
        <v>572</v>
      </c>
      <c r="I3054" s="2" t="s">
        <v>17</v>
      </c>
      <c r="J3054" s="3">
        <v>2.7149999999999999</v>
      </c>
      <c r="K3054" s="2" t="s">
        <v>63</v>
      </c>
      <c r="L3054" s="2">
        <v>2023</v>
      </c>
      <c r="M3054" s="2" t="s">
        <v>64</v>
      </c>
      <c r="N3054" s="2" t="s">
        <v>21</v>
      </c>
      <c r="O3054">
        <f t="shared" si="94"/>
        <v>0.94699999999999918</v>
      </c>
      <c r="P3054">
        <f t="shared" si="95"/>
        <v>52.039000000000001</v>
      </c>
    </row>
    <row r="3055" spans="1:16" x14ac:dyDescent="0.35">
      <c r="A3055" s="9" t="s">
        <v>66</v>
      </c>
      <c r="B3055" s="2">
        <v>23.303000000000001</v>
      </c>
      <c r="C3055" s="2">
        <v>23.882999999999999</v>
      </c>
      <c r="D3055" s="2">
        <v>23.113</v>
      </c>
      <c r="E3055" s="2">
        <v>23.873000000000001</v>
      </c>
      <c r="F3055" s="2">
        <v>412693259</v>
      </c>
      <c r="G3055" s="2" t="s">
        <v>571</v>
      </c>
      <c r="H3055" s="2" t="s">
        <v>572</v>
      </c>
      <c r="I3055" s="2" t="s">
        <v>17</v>
      </c>
      <c r="J3055" s="3">
        <v>2.4700000000000002</v>
      </c>
      <c r="K3055" s="2" t="s">
        <v>63</v>
      </c>
      <c r="L3055" s="2">
        <v>2023</v>
      </c>
      <c r="M3055" s="2" t="s">
        <v>64</v>
      </c>
      <c r="N3055" s="2" t="s">
        <v>21</v>
      </c>
      <c r="O3055">
        <f t="shared" si="94"/>
        <v>0.76999999999999957</v>
      </c>
      <c r="P3055">
        <f t="shared" si="95"/>
        <v>54.509</v>
      </c>
    </row>
    <row r="3056" spans="1:16" x14ac:dyDescent="0.35">
      <c r="A3056" s="9" t="s">
        <v>67</v>
      </c>
      <c r="B3056" s="2">
        <v>23.873999999999999</v>
      </c>
      <c r="C3056" s="2">
        <v>24.23</v>
      </c>
      <c r="D3056" s="2">
        <v>23.47</v>
      </c>
      <c r="E3056" s="2">
        <v>23.536999999999999</v>
      </c>
      <c r="F3056" s="2">
        <v>437747400</v>
      </c>
      <c r="G3056" s="2" t="s">
        <v>571</v>
      </c>
      <c r="H3056" s="2" t="s">
        <v>572</v>
      </c>
      <c r="I3056" s="2" t="s">
        <v>17</v>
      </c>
      <c r="J3056" s="4">
        <v>-1.4059999999999999</v>
      </c>
      <c r="K3056" s="2" t="s">
        <v>63</v>
      </c>
      <c r="L3056" s="2">
        <v>2023</v>
      </c>
      <c r="M3056" s="2" t="s">
        <v>64</v>
      </c>
      <c r="N3056" s="2" t="s">
        <v>23</v>
      </c>
      <c r="O3056">
        <f t="shared" si="94"/>
        <v>0.76000000000000156</v>
      </c>
      <c r="P3056">
        <f t="shared" si="95"/>
        <v>53.103000000000002</v>
      </c>
    </row>
    <row r="3057" spans="1:16" x14ac:dyDescent="0.35">
      <c r="A3057" s="9" t="s">
        <v>68</v>
      </c>
      <c r="B3057" s="2">
        <v>23.587</v>
      </c>
      <c r="C3057" s="2">
        <v>24.111000000000001</v>
      </c>
      <c r="D3057" s="2">
        <v>23.228000000000002</v>
      </c>
      <c r="E3057" s="2">
        <v>23.274999999999999</v>
      </c>
      <c r="F3057" s="2">
        <v>515441035</v>
      </c>
      <c r="G3057" s="2" t="s">
        <v>571</v>
      </c>
      <c r="H3057" s="2" t="s">
        <v>572</v>
      </c>
      <c r="I3057" s="2" t="s">
        <v>17</v>
      </c>
      <c r="J3057" s="4">
        <v>-1.113</v>
      </c>
      <c r="K3057" s="2" t="s">
        <v>63</v>
      </c>
      <c r="L3057" s="2">
        <v>2023</v>
      </c>
      <c r="M3057" s="2" t="s">
        <v>64</v>
      </c>
      <c r="N3057" s="2" t="s">
        <v>23</v>
      </c>
      <c r="O3057">
        <f t="shared" si="94"/>
        <v>0.88299999999999912</v>
      </c>
      <c r="P3057">
        <f t="shared" si="95"/>
        <v>51.99</v>
      </c>
    </row>
    <row r="3058" spans="1:16" x14ac:dyDescent="0.35">
      <c r="A3058" s="9" t="s">
        <v>69</v>
      </c>
      <c r="B3058" s="2">
        <v>23.474</v>
      </c>
      <c r="C3058" s="2">
        <v>24.186</v>
      </c>
      <c r="D3058" s="2">
        <v>23.41</v>
      </c>
      <c r="E3058" s="2">
        <v>24.167999999999999</v>
      </c>
      <c r="F3058" s="2">
        <v>513859664</v>
      </c>
      <c r="G3058" s="2" t="s">
        <v>571</v>
      </c>
      <c r="H3058" s="2" t="s">
        <v>572</v>
      </c>
      <c r="I3058" s="2" t="s">
        <v>17</v>
      </c>
      <c r="J3058" s="3">
        <v>3.8340000000000001</v>
      </c>
      <c r="K3058" s="2" t="s">
        <v>63</v>
      </c>
      <c r="L3058" s="2">
        <v>2023</v>
      </c>
      <c r="M3058" s="2" t="s">
        <v>64</v>
      </c>
      <c r="N3058" s="2" t="s">
        <v>21</v>
      </c>
      <c r="O3058">
        <f t="shared" si="94"/>
        <v>0.7759999999999998</v>
      </c>
      <c r="P3058">
        <f t="shared" si="95"/>
        <v>55.824000000000005</v>
      </c>
    </row>
    <row r="3059" spans="1:16" x14ac:dyDescent="0.35">
      <c r="A3059" s="9" t="s">
        <v>70</v>
      </c>
      <c r="B3059" s="2">
        <v>24.161999999999999</v>
      </c>
      <c r="C3059" s="2">
        <v>24.440999999999999</v>
      </c>
      <c r="D3059" s="2">
        <v>23.37</v>
      </c>
      <c r="E3059" s="2">
        <v>23.422999999999998</v>
      </c>
      <c r="F3059" s="2">
        <v>501536399</v>
      </c>
      <c r="G3059" s="2" t="s">
        <v>571</v>
      </c>
      <c r="H3059" s="2" t="s">
        <v>572</v>
      </c>
      <c r="I3059" s="2" t="s">
        <v>17</v>
      </c>
      <c r="J3059" s="4">
        <v>-3.081</v>
      </c>
      <c r="K3059" s="2" t="s">
        <v>63</v>
      </c>
      <c r="L3059" s="2">
        <v>2023</v>
      </c>
      <c r="M3059" s="2" t="s">
        <v>64</v>
      </c>
      <c r="N3059" s="2" t="s">
        <v>23</v>
      </c>
      <c r="O3059">
        <f t="shared" si="94"/>
        <v>1.070999999999998</v>
      </c>
      <c r="P3059">
        <f t="shared" si="95"/>
        <v>52.743000000000002</v>
      </c>
    </row>
    <row r="3060" spans="1:16" x14ac:dyDescent="0.35">
      <c r="A3060" s="9" t="s">
        <v>71</v>
      </c>
      <c r="B3060" s="2">
        <v>23.396000000000001</v>
      </c>
      <c r="C3060" s="2">
        <v>23.614000000000001</v>
      </c>
      <c r="D3060" s="2">
        <v>22.713000000000001</v>
      </c>
      <c r="E3060" s="2">
        <v>22.952000000000002</v>
      </c>
      <c r="F3060" s="2">
        <v>475130348</v>
      </c>
      <c r="G3060" s="2" t="s">
        <v>571</v>
      </c>
      <c r="H3060" s="2" t="s">
        <v>572</v>
      </c>
      <c r="I3060" s="2" t="s">
        <v>17</v>
      </c>
      <c r="J3060" s="4">
        <v>-2.0099999999999998</v>
      </c>
      <c r="K3060" s="2" t="s">
        <v>63</v>
      </c>
      <c r="L3060" s="2">
        <v>2023</v>
      </c>
      <c r="M3060" s="2" t="s">
        <v>64</v>
      </c>
      <c r="N3060" s="2" t="s">
        <v>23</v>
      </c>
      <c r="O3060">
        <f t="shared" si="94"/>
        <v>0.9009999999999998</v>
      </c>
      <c r="P3060">
        <f t="shared" si="95"/>
        <v>50.733000000000004</v>
      </c>
    </row>
    <row r="3061" spans="1:16" x14ac:dyDescent="0.35">
      <c r="A3061" s="9" t="s">
        <v>72</v>
      </c>
      <c r="B3061" s="2">
        <v>22.739000000000001</v>
      </c>
      <c r="C3061" s="2">
        <v>23.285</v>
      </c>
      <c r="D3061" s="2">
        <v>22.285</v>
      </c>
      <c r="E3061" s="2">
        <v>22.952999999999999</v>
      </c>
      <c r="F3061" s="2">
        <v>422125489</v>
      </c>
      <c r="G3061" s="2" t="s">
        <v>571</v>
      </c>
      <c r="H3061" s="2" t="s">
        <v>572</v>
      </c>
      <c r="I3061" s="2" t="s">
        <v>17</v>
      </c>
      <c r="J3061" s="3">
        <v>4.0000000000000001E-3</v>
      </c>
      <c r="K3061" s="2" t="s">
        <v>63</v>
      </c>
      <c r="L3061" s="2">
        <v>2023</v>
      </c>
      <c r="M3061" s="2" t="s">
        <v>64</v>
      </c>
      <c r="N3061" s="2" t="s">
        <v>21</v>
      </c>
      <c r="O3061">
        <f t="shared" si="94"/>
        <v>1</v>
      </c>
      <c r="P3061">
        <f t="shared" si="95"/>
        <v>50.737000000000002</v>
      </c>
    </row>
    <row r="3062" spans="1:16" x14ac:dyDescent="0.35">
      <c r="A3062" s="9" t="s">
        <v>73</v>
      </c>
      <c r="B3062" s="2">
        <v>23.483000000000001</v>
      </c>
      <c r="C3062" s="2">
        <v>24.206</v>
      </c>
      <c r="D3062" s="2">
        <v>23.446999999999999</v>
      </c>
      <c r="E3062" s="2">
        <v>24.048999999999999</v>
      </c>
      <c r="F3062" s="2">
        <v>475174853</v>
      </c>
      <c r="G3062" s="2" t="s">
        <v>571</v>
      </c>
      <c r="H3062" s="2" t="s">
        <v>572</v>
      </c>
      <c r="I3062" s="2" t="s">
        <v>17</v>
      </c>
      <c r="J3062" s="3">
        <v>4.7770000000000001</v>
      </c>
      <c r="K3062" s="2" t="s">
        <v>63</v>
      </c>
      <c r="L3062" s="2">
        <v>2023</v>
      </c>
      <c r="M3062" s="2" t="s">
        <v>64</v>
      </c>
      <c r="N3062" s="2" t="s">
        <v>21</v>
      </c>
      <c r="O3062">
        <f t="shared" si="94"/>
        <v>0.75900000000000034</v>
      </c>
      <c r="P3062">
        <f t="shared" si="95"/>
        <v>55.514000000000003</v>
      </c>
    </row>
    <row r="3063" spans="1:16" x14ac:dyDescent="0.35">
      <c r="A3063" s="9" t="s">
        <v>74</v>
      </c>
      <c r="B3063" s="2">
        <v>23.748000000000001</v>
      </c>
      <c r="C3063" s="2">
        <v>24.273</v>
      </c>
      <c r="D3063" s="2">
        <v>23.347000000000001</v>
      </c>
      <c r="E3063" s="2">
        <v>24.215</v>
      </c>
      <c r="F3063" s="2">
        <v>524778097</v>
      </c>
      <c r="G3063" s="2" t="s">
        <v>571</v>
      </c>
      <c r="H3063" s="2" t="s">
        <v>572</v>
      </c>
      <c r="I3063" s="2" t="s">
        <v>17</v>
      </c>
      <c r="J3063" s="3">
        <v>0.68600000000000005</v>
      </c>
      <c r="K3063" s="2" t="s">
        <v>63</v>
      </c>
      <c r="L3063" s="2">
        <v>2023</v>
      </c>
      <c r="M3063" s="2" t="s">
        <v>64</v>
      </c>
      <c r="N3063" s="2" t="s">
        <v>21</v>
      </c>
      <c r="O3063">
        <f t="shared" si="94"/>
        <v>0.92599999999999838</v>
      </c>
      <c r="P3063">
        <f t="shared" si="95"/>
        <v>56.2</v>
      </c>
    </row>
    <row r="3064" spans="1:16" x14ac:dyDescent="0.35">
      <c r="A3064" s="9" t="s">
        <v>75</v>
      </c>
      <c r="B3064" s="2">
        <v>24.013999999999999</v>
      </c>
      <c r="C3064" s="2">
        <v>25.574000000000002</v>
      </c>
      <c r="D3064" s="2">
        <v>23.881</v>
      </c>
      <c r="E3064" s="2">
        <v>25.527000000000001</v>
      </c>
      <c r="F3064" s="2">
        <v>585272319</v>
      </c>
      <c r="G3064" s="2" t="s">
        <v>571</v>
      </c>
      <c r="H3064" s="2" t="s">
        <v>572</v>
      </c>
      <c r="I3064" s="2" t="s">
        <v>17</v>
      </c>
      <c r="J3064" s="3">
        <v>5.4189999999999996</v>
      </c>
      <c r="K3064" s="2" t="s">
        <v>63</v>
      </c>
      <c r="L3064" s="2">
        <v>2023</v>
      </c>
      <c r="M3064" s="2" t="s">
        <v>64</v>
      </c>
      <c r="N3064" s="2" t="s">
        <v>21</v>
      </c>
      <c r="O3064">
        <f t="shared" si="94"/>
        <v>1.6930000000000014</v>
      </c>
      <c r="P3064">
        <f t="shared" si="95"/>
        <v>61.619</v>
      </c>
    </row>
    <row r="3065" spans="1:16" x14ac:dyDescent="0.35">
      <c r="A3065" s="9" t="s">
        <v>76</v>
      </c>
      <c r="B3065" s="2">
        <v>25.968</v>
      </c>
      <c r="C3065" s="2">
        <v>26.384</v>
      </c>
      <c r="D3065" s="2">
        <v>25.654</v>
      </c>
      <c r="E3065" s="2">
        <v>25.710999999999999</v>
      </c>
      <c r="F3065" s="2">
        <v>849019554</v>
      </c>
      <c r="G3065" s="2" t="s">
        <v>571</v>
      </c>
      <c r="H3065" s="2" t="s">
        <v>572</v>
      </c>
      <c r="I3065" s="2" t="s">
        <v>17</v>
      </c>
      <c r="J3065" s="3">
        <v>0.72</v>
      </c>
      <c r="K3065" s="2" t="s">
        <v>63</v>
      </c>
      <c r="L3065" s="2">
        <v>2023</v>
      </c>
      <c r="M3065" s="2" t="s">
        <v>64</v>
      </c>
      <c r="N3065" s="2" t="s">
        <v>21</v>
      </c>
      <c r="O3065">
        <f t="shared" si="94"/>
        <v>0.73000000000000043</v>
      </c>
      <c r="P3065">
        <f t="shared" si="95"/>
        <v>62.338999999999999</v>
      </c>
    </row>
    <row r="3066" spans="1:16" x14ac:dyDescent="0.35">
      <c r="A3066" s="9" t="s">
        <v>77</v>
      </c>
      <c r="B3066" s="2">
        <v>25.600999999999999</v>
      </c>
      <c r="C3066" s="2">
        <v>26.01</v>
      </c>
      <c r="D3066" s="2">
        <v>25.116</v>
      </c>
      <c r="E3066" s="2">
        <v>25.885999999999999</v>
      </c>
      <c r="F3066" s="2">
        <v>432988410</v>
      </c>
      <c r="G3066" s="2" t="s">
        <v>571</v>
      </c>
      <c r="H3066" s="2" t="s">
        <v>572</v>
      </c>
      <c r="I3066" s="2" t="s">
        <v>17</v>
      </c>
      <c r="J3066" s="3">
        <v>0.68100000000000005</v>
      </c>
      <c r="K3066" s="2" t="s">
        <v>63</v>
      </c>
      <c r="L3066" s="2">
        <v>2023</v>
      </c>
      <c r="M3066" s="2" t="s">
        <v>64</v>
      </c>
      <c r="N3066" s="2" t="s">
        <v>21</v>
      </c>
      <c r="O3066">
        <f t="shared" si="94"/>
        <v>0.8940000000000019</v>
      </c>
      <c r="P3066">
        <f t="shared" si="95"/>
        <v>63.019999999999996</v>
      </c>
    </row>
    <row r="3067" spans="1:16" x14ac:dyDescent="0.35">
      <c r="A3067" s="9" t="s">
        <v>78</v>
      </c>
      <c r="B3067" s="2">
        <v>26.166</v>
      </c>
      <c r="C3067" s="2">
        <v>26.376999999999999</v>
      </c>
      <c r="D3067" s="2">
        <v>25.367000000000001</v>
      </c>
      <c r="E3067" s="2">
        <v>26.184000000000001</v>
      </c>
      <c r="F3067" s="2">
        <v>547712894</v>
      </c>
      <c r="G3067" s="2" t="s">
        <v>571</v>
      </c>
      <c r="H3067" s="2" t="s">
        <v>572</v>
      </c>
      <c r="I3067" s="2" t="s">
        <v>17</v>
      </c>
      <c r="J3067" s="3">
        <v>1.1539999999999999</v>
      </c>
      <c r="K3067" s="2" t="s">
        <v>63</v>
      </c>
      <c r="L3067" s="2">
        <v>2023</v>
      </c>
      <c r="M3067" s="2" t="s">
        <v>64</v>
      </c>
      <c r="N3067" s="2" t="s">
        <v>21</v>
      </c>
      <c r="O3067">
        <f t="shared" si="94"/>
        <v>1.009999999999998</v>
      </c>
      <c r="P3067">
        <f t="shared" si="95"/>
        <v>64.173999999999992</v>
      </c>
    </row>
    <row r="3068" spans="1:16" x14ac:dyDescent="0.35">
      <c r="A3068" s="9" t="s">
        <v>79</v>
      </c>
      <c r="B3068" s="2">
        <v>26.41</v>
      </c>
      <c r="C3068" s="2">
        <v>27.573</v>
      </c>
      <c r="D3068" s="2">
        <v>26.222000000000001</v>
      </c>
      <c r="E3068" s="2">
        <v>26.452999999999999</v>
      </c>
      <c r="F3068" s="2">
        <v>797739536</v>
      </c>
      <c r="G3068" s="2" t="s">
        <v>571</v>
      </c>
      <c r="H3068" s="2" t="s">
        <v>572</v>
      </c>
      <c r="I3068" s="2" t="s">
        <v>17</v>
      </c>
      <c r="J3068" s="3">
        <v>1.0269999999999999</v>
      </c>
      <c r="K3068" s="2" t="s">
        <v>63</v>
      </c>
      <c r="L3068" s="2">
        <v>2023</v>
      </c>
      <c r="M3068" s="2" t="s">
        <v>64</v>
      </c>
      <c r="N3068" s="2" t="s">
        <v>21</v>
      </c>
      <c r="O3068">
        <f t="shared" si="94"/>
        <v>1.3509999999999991</v>
      </c>
      <c r="P3068">
        <f t="shared" si="95"/>
        <v>65.200999999999993</v>
      </c>
    </row>
    <row r="3069" spans="1:16" x14ac:dyDescent="0.35">
      <c r="A3069" s="9" t="s">
        <v>80</v>
      </c>
      <c r="B3069" s="2">
        <v>27.1</v>
      </c>
      <c r="C3069" s="2">
        <v>27.484000000000002</v>
      </c>
      <c r="D3069" s="2">
        <v>26.675000000000001</v>
      </c>
      <c r="E3069" s="2">
        <v>27.175999999999998</v>
      </c>
      <c r="F3069" s="2">
        <v>565203638</v>
      </c>
      <c r="G3069" s="2" t="s">
        <v>571</v>
      </c>
      <c r="H3069" s="2" t="s">
        <v>572</v>
      </c>
      <c r="I3069" s="2" t="s">
        <v>17</v>
      </c>
      <c r="J3069" s="3">
        <v>2.7320000000000002</v>
      </c>
      <c r="K3069" s="2" t="s">
        <v>63</v>
      </c>
      <c r="L3069" s="2">
        <v>2023</v>
      </c>
      <c r="M3069" s="2" t="s">
        <v>64</v>
      </c>
      <c r="N3069" s="2" t="s">
        <v>21</v>
      </c>
      <c r="O3069">
        <f t="shared" si="94"/>
        <v>0.80900000000000105</v>
      </c>
      <c r="P3069">
        <f t="shared" si="95"/>
        <v>67.932999999999993</v>
      </c>
    </row>
    <row r="3070" spans="1:16" x14ac:dyDescent="0.35">
      <c r="A3070" s="9" t="s">
        <v>81</v>
      </c>
      <c r="B3070" s="2">
        <v>27.015999999999998</v>
      </c>
      <c r="C3070" s="2">
        <v>27.152000000000001</v>
      </c>
      <c r="D3070" s="2">
        <v>26.34</v>
      </c>
      <c r="E3070" s="2">
        <v>26.763999999999999</v>
      </c>
      <c r="F3070" s="2">
        <v>455667925</v>
      </c>
      <c r="G3070" s="2" t="s">
        <v>571</v>
      </c>
      <c r="H3070" s="2" t="s">
        <v>572</v>
      </c>
      <c r="I3070" s="2" t="s">
        <v>17</v>
      </c>
      <c r="J3070" s="4">
        <v>-1.516</v>
      </c>
      <c r="K3070" s="2" t="s">
        <v>63</v>
      </c>
      <c r="L3070" s="2">
        <v>2023</v>
      </c>
      <c r="M3070" s="2" t="s">
        <v>64</v>
      </c>
      <c r="N3070" s="2" t="s">
        <v>23</v>
      </c>
      <c r="O3070">
        <f t="shared" si="94"/>
        <v>0.81200000000000117</v>
      </c>
      <c r="P3070">
        <f t="shared" si="95"/>
        <v>66.416999999999987</v>
      </c>
    </row>
    <row r="3071" spans="1:16" x14ac:dyDescent="0.35">
      <c r="A3071" s="9" t="s">
        <v>82</v>
      </c>
      <c r="B3071" s="2">
        <v>26.821999999999999</v>
      </c>
      <c r="C3071" s="2">
        <v>26.984999999999999</v>
      </c>
      <c r="D3071" s="2">
        <v>26.35</v>
      </c>
      <c r="E3071" s="2">
        <v>26.515999999999998</v>
      </c>
      <c r="F3071" s="2">
        <v>361226982</v>
      </c>
      <c r="G3071" s="2" t="s">
        <v>571</v>
      </c>
      <c r="H3071" s="2" t="s">
        <v>572</v>
      </c>
      <c r="I3071" s="2" t="s">
        <v>17</v>
      </c>
      <c r="J3071" s="4">
        <v>-0.92500000000000004</v>
      </c>
      <c r="K3071" s="2" t="s">
        <v>63</v>
      </c>
      <c r="L3071" s="2">
        <v>2023</v>
      </c>
      <c r="M3071" s="2" t="s">
        <v>64</v>
      </c>
      <c r="N3071" s="2" t="s">
        <v>23</v>
      </c>
      <c r="O3071">
        <f t="shared" si="94"/>
        <v>0.63499999999999801</v>
      </c>
      <c r="P3071">
        <f t="shared" si="95"/>
        <v>65.49199999999999</v>
      </c>
    </row>
    <row r="3072" spans="1:16" x14ac:dyDescent="0.35">
      <c r="A3072" s="9" t="s">
        <v>83</v>
      </c>
      <c r="B3072" s="2">
        <v>26.431999999999999</v>
      </c>
      <c r="C3072" s="2">
        <v>26.498000000000001</v>
      </c>
      <c r="D3072" s="2">
        <v>25.835999999999999</v>
      </c>
      <c r="E3072" s="2">
        <v>26.395</v>
      </c>
      <c r="F3072" s="2">
        <v>356302278</v>
      </c>
      <c r="G3072" s="2" t="s">
        <v>571</v>
      </c>
      <c r="H3072" s="2" t="s">
        <v>572</v>
      </c>
      <c r="I3072" s="2" t="s">
        <v>17</v>
      </c>
      <c r="J3072" s="4">
        <v>-0.45600000000000002</v>
      </c>
      <c r="K3072" s="2" t="s">
        <v>63</v>
      </c>
      <c r="L3072" s="2">
        <v>2023</v>
      </c>
      <c r="M3072" s="2" t="s">
        <v>64</v>
      </c>
      <c r="N3072" s="2" t="s">
        <v>23</v>
      </c>
      <c r="O3072">
        <f t="shared" si="94"/>
        <v>0.66200000000000259</v>
      </c>
      <c r="P3072">
        <f t="shared" si="95"/>
        <v>65.035999999999987</v>
      </c>
    </row>
    <row r="3073" spans="1:16" x14ac:dyDescent="0.35">
      <c r="A3073" s="9" t="s">
        <v>84</v>
      </c>
      <c r="B3073" s="2">
        <v>26.81</v>
      </c>
      <c r="C3073" s="2">
        <v>27.062999999999999</v>
      </c>
      <c r="D3073" s="2">
        <v>26.582000000000001</v>
      </c>
      <c r="E3073" s="2">
        <v>26.969000000000001</v>
      </c>
      <c r="F3073" s="2">
        <v>393913321</v>
      </c>
      <c r="G3073" s="2" t="s">
        <v>571</v>
      </c>
      <c r="H3073" s="2" t="s">
        <v>572</v>
      </c>
      <c r="I3073" s="2" t="s">
        <v>17</v>
      </c>
      <c r="J3073" s="3">
        <v>2.173</v>
      </c>
      <c r="K3073" s="2" t="s">
        <v>63</v>
      </c>
      <c r="L3073" s="2">
        <v>2023</v>
      </c>
      <c r="M3073" s="2" t="s">
        <v>64</v>
      </c>
      <c r="N3073" s="2" t="s">
        <v>21</v>
      </c>
      <c r="O3073">
        <f t="shared" si="94"/>
        <v>0.4809999999999981</v>
      </c>
      <c r="P3073">
        <f t="shared" si="95"/>
        <v>67.208999999999989</v>
      </c>
    </row>
    <row r="3074" spans="1:16" x14ac:dyDescent="0.35">
      <c r="A3074" s="9" t="s">
        <v>85</v>
      </c>
      <c r="B3074" s="2">
        <v>27.213999999999999</v>
      </c>
      <c r="C3074" s="2">
        <v>27.484000000000002</v>
      </c>
      <c r="D3074" s="2">
        <v>27.087</v>
      </c>
      <c r="E3074" s="2">
        <v>27.367999999999999</v>
      </c>
      <c r="F3074" s="2">
        <v>364718927</v>
      </c>
      <c r="G3074" s="2" t="s">
        <v>571</v>
      </c>
      <c r="H3074" s="2" t="s">
        <v>572</v>
      </c>
      <c r="I3074" s="2" t="s">
        <v>17</v>
      </c>
      <c r="J3074" s="3">
        <v>1.4790000000000001</v>
      </c>
      <c r="K3074" s="2" t="s">
        <v>63</v>
      </c>
      <c r="L3074" s="2">
        <v>2023</v>
      </c>
      <c r="M3074" s="2" t="s">
        <v>64</v>
      </c>
      <c r="N3074" s="2" t="s">
        <v>21</v>
      </c>
      <c r="O3074">
        <f t="shared" si="94"/>
        <v>0.39700000000000202</v>
      </c>
      <c r="P3074">
        <f t="shared" si="95"/>
        <v>68.687999999999988</v>
      </c>
    </row>
    <row r="3075" spans="1:16" x14ac:dyDescent="0.35">
      <c r="A3075" s="9" t="s">
        <v>86</v>
      </c>
      <c r="B3075" s="2">
        <v>27.125</v>
      </c>
      <c r="C3075" s="2">
        <v>27.818999999999999</v>
      </c>
      <c r="D3075" s="2">
        <v>27.09</v>
      </c>
      <c r="E3075" s="2">
        <v>27.762</v>
      </c>
      <c r="F3075" s="2">
        <v>434174651</v>
      </c>
      <c r="G3075" s="2" t="s">
        <v>571</v>
      </c>
      <c r="H3075" s="2" t="s">
        <v>572</v>
      </c>
      <c r="I3075" s="2" t="s">
        <v>17</v>
      </c>
      <c r="J3075" s="3">
        <v>1.4390000000000001</v>
      </c>
      <c r="K3075" s="2" t="s">
        <v>63</v>
      </c>
      <c r="L3075" s="2">
        <v>2023</v>
      </c>
      <c r="M3075" s="2" t="s">
        <v>64</v>
      </c>
      <c r="N3075" s="2" t="s">
        <v>21</v>
      </c>
      <c r="O3075">
        <f t="shared" ref="O3075:O3138" si="96">C3075-D3075</f>
        <v>0.7289999999999992</v>
      </c>
      <c r="P3075">
        <f t="shared" si="95"/>
        <v>70.126999999999981</v>
      </c>
    </row>
    <row r="3076" spans="1:16" x14ac:dyDescent="0.35">
      <c r="A3076" s="9" t="s">
        <v>87</v>
      </c>
      <c r="B3076" s="2">
        <v>27.494</v>
      </c>
      <c r="C3076" s="2">
        <v>27.984000000000002</v>
      </c>
      <c r="D3076" s="2">
        <v>27.321000000000002</v>
      </c>
      <c r="E3076" s="2">
        <v>27.949000000000002</v>
      </c>
      <c r="F3076" s="2">
        <v>398937851</v>
      </c>
      <c r="G3076" s="2" t="s">
        <v>571</v>
      </c>
      <c r="H3076" s="2" t="s">
        <v>572</v>
      </c>
      <c r="I3076" s="2" t="s">
        <v>17</v>
      </c>
      <c r="J3076" s="3">
        <v>0.67700000000000005</v>
      </c>
      <c r="K3076" s="2" t="s">
        <v>88</v>
      </c>
      <c r="L3076" s="2">
        <v>2023</v>
      </c>
      <c r="M3076" s="2" t="s">
        <v>89</v>
      </c>
      <c r="N3076" s="2" t="s">
        <v>21</v>
      </c>
      <c r="O3076">
        <f t="shared" si="96"/>
        <v>0.66300000000000026</v>
      </c>
      <c r="P3076">
        <f t="shared" ref="P3076:P3139" si="97">IF(G3076=G3075, P3075+J3076, J3076)</f>
        <v>70.803999999999988</v>
      </c>
    </row>
    <row r="3077" spans="1:16" x14ac:dyDescent="0.35">
      <c r="A3077" s="9" t="s">
        <v>90</v>
      </c>
      <c r="B3077" s="2">
        <v>27.95</v>
      </c>
      <c r="C3077" s="2">
        <v>27.984000000000002</v>
      </c>
      <c r="D3077" s="2">
        <v>27.292000000000002</v>
      </c>
      <c r="E3077" s="2">
        <v>27.437999999999999</v>
      </c>
      <c r="F3077" s="2">
        <v>368796989</v>
      </c>
      <c r="G3077" s="2" t="s">
        <v>571</v>
      </c>
      <c r="H3077" s="2" t="s">
        <v>572</v>
      </c>
      <c r="I3077" s="2" t="s">
        <v>17</v>
      </c>
      <c r="J3077" s="4">
        <v>-1.831</v>
      </c>
      <c r="K3077" s="2" t="s">
        <v>88</v>
      </c>
      <c r="L3077" s="2">
        <v>2023</v>
      </c>
      <c r="M3077" s="2" t="s">
        <v>89</v>
      </c>
      <c r="N3077" s="2" t="s">
        <v>23</v>
      </c>
      <c r="O3077">
        <f t="shared" si="96"/>
        <v>0.69200000000000017</v>
      </c>
      <c r="P3077">
        <f t="shared" si="97"/>
        <v>68.972999999999985</v>
      </c>
    </row>
    <row r="3078" spans="1:16" x14ac:dyDescent="0.35">
      <c r="A3078" s="9" t="s">
        <v>91</v>
      </c>
      <c r="B3078" s="2">
        <v>26.814</v>
      </c>
      <c r="C3078" s="2">
        <v>26.983000000000001</v>
      </c>
      <c r="D3078" s="2">
        <v>26.38</v>
      </c>
      <c r="E3078" s="2">
        <v>26.866</v>
      </c>
      <c r="F3078" s="2">
        <v>515301818</v>
      </c>
      <c r="G3078" s="2" t="s">
        <v>571</v>
      </c>
      <c r="H3078" s="2" t="s">
        <v>572</v>
      </c>
      <c r="I3078" s="2" t="s">
        <v>17</v>
      </c>
      <c r="J3078" s="4">
        <v>-2.0840000000000001</v>
      </c>
      <c r="K3078" s="2" t="s">
        <v>88</v>
      </c>
      <c r="L3078" s="2">
        <v>2023</v>
      </c>
      <c r="M3078" s="2" t="s">
        <v>89</v>
      </c>
      <c r="N3078" s="2" t="s">
        <v>23</v>
      </c>
      <c r="O3078">
        <f t="shared" si="96"/>
        <v>0.60300000000000153</v>
      </c>
      <c r="P3078">
        <f t="shared" si="97"/>
        <v>66.888999999999982</v>
      </c>
    </row>
    <row r="3079" spans="1:16" x14ac:dyDescent="0.35">
      <c r="A3079" s="9" t="s">
        <v>92</v>
      </c>
      <c r="B3079" s="2">
        <v>26.568999999999999</v>
      </c>
      <c r="C3079" s="2">
        <v>27.065000000000001</v>
      </c>
      <c r="D3079" s="2">
        <v>26.411999999999999</v>
      </c>
      <c r="E3079" s="2">
        <v>27.021999999999998</v>
      </c>
      <c r="F3079" s="2">
        <v>397875999</v>
      </c>
      <c r="G3079" s="2" t="s">
        <v>571</v>
      </c>
      <c r="H3079" s="2" t="s">
        <v>572</v>
      </c>
      <c r="I3079" s="2" t="s">
        <v>17</v>
      </c>
      <c r="J3079" s="3">
        <v>0.58099999999999996</v>
      </c>
      <c r="K3079" s="2" t="s">
        <v>88</v>
      </c>
      <c r="L3079" s="2">
        <v>2023</v>
      </c>
      <c r="M3079" s="2" t="s">
        <v>89</v>
      </c>
      <c r="N3079" s="2" t="s">
        <v>21</v>
      </c>
      <c r="O3079">
        <f t="shared" si="96"/>
        <v>0.65300000000000225</v>
      </c>
      <c r="P3079">
        <f t="shared" si="97"/>
        <v>67.469999999999985</v>
      </c>
    </row>
    <row r="3080" spans="1:16" x14ac:dyDescent="0.35">
      <c r="A3080" s="9" t="s">
        <v>93</v>
      </c>
      <c r="B3080" s="2">
        <v>26.808</v>
      </c>
      <c r="C3080" s="2">
        <v>27.605</v>
      </c>
      <c r="D3080" s="2">
        <v>26.654</v>
      </c>
      <c r="E3080" s="2">
        <v>27.564</v>
      </c>
      <c r="F3080" s="2">
        <v>395498885</v>
      </c>
      <c r="G3080" s="2" t="s">
        <v>571</v>
      </c>
      <c r="H3080" s="2" t="s">
        <v>572</v>
      </c>
      <c r="I3080" s="2" t="s">
        <v>17</v>
      </c>
      <c r="J3080" s="3">
        <v>2.004</v>
      </c>
      <c r="K3080" s="2" t="s">
        <v>88</v>
      </c>
      <c r="L3080" s="2">
        <v>2023</v>
      </c>
      <c r="M3080" s="2" t="s">
        <v>89</v>
      </c>
      <c r="N3080" s="2" t="s">
        <v>21</v>
      </c>
      <c r="O3080">
        <f t="shared" si="96"/>
        <v>0.95100000000000051</v>
      </c>
      <c r="P3080">
        <f t="shared" si="97"/>
        <v>69.47399999999999</v>
      </c>
    </row>
    <row r="3081" spans="1:16" x14ac:dyDescent="0.35">
      <c r="A3081" s="9" t="s">
        <v>94</v>
      </c>
      <c r="B3081" s="2">
        <v>27.707999999999998</v>
      </c>
      <c r="C3081" s="2">
        <v>27.774000000000001</v>
      </c>
      <c r="D3081" s="2">
        <v>27.111000000000001</v>
      </c>
      <c r="E3081" s="2">
        <v>27.154</v>
      </c>
      <c r="F3081" s="2">
        <v>314553409</v>
      </c>
      <c r="G3081" s="2" t="s">
        <v>571</v>
      </c>
      <c r="H3081" s="2" t="s">
        <v>572</v>
      </c>
      <c r="I3081" s="2" t="s">
        <v>17</v>
      </c>
      <c r="J3081" s="4">
        <v>-1.486</v>
      </c>
      <c r="K3081" s="2" t="s">
        <v>88</v>
      </c>
      <c r="L3081" s="2">
        <v>2023</v>
      </c>
      <c r="M3081" s="2" t="s">
        <v>89</v>
      </c>
      <c r="N3081" s="2" t="s">
        <v>23</v>
      </c>
      <c r="O3081">
        <f t="shared" si="96"/>
        <v>0.66300000000000026</v>
      </c>
      <c r="P3081">
        <f t="shared" si="97"/>
        <v>67.987999999999985</v>
      </c>
    </row>
    <row r="3082" spans="1:16" x14ac:dyDescent="0.35">
      <c r="A3082" s="9" t="s">
        <v>95</v>
      </c>
      <c r="B3082" s="2">
        <v>27.355</v>
      </c>
      <c r="C3082" s="2">
        <v>27.452999999999999</v>
      </c>
      <c r="D3082" s="2">
        <v>26.433</v>
      </c>
      <c r="E3082" s="2">
        <v>26.48</v>
      </c>
      <c r="F3082" s="2">
        <v>446507702</v>
      </c>
      <c r="G3082" s="2" t="s">
        <v>571</v>
      </c>
      <c r="H3082" s="2" t="s">
        <v>572</v>
      </c>
      <c r="I3082" s="2" t="s">
        <v>17</v>
      </c>
      <c r="J3082" s="4">
        <v>-2.4809999999999999</v>
      </c>
      <c r="K3082" s="2" t="s">
        <v>88</v>
      </c>
      <c r="L3082" s="2">
        <v>2023</v>
      </c>
      <c r="M3082" s="2" t="s">
        <v>89</v>
      </c>
      <c r="N3082" s="2" t="s">
        <v>23</v>
      </c>
      <c r="O3082">
        <f t="shared" si="96"/>
        <v>1.0199999999999996</v>
      </c>
      <c r="P3082">
        <f t="shared" si="97"/>
        <v>65.506999999999991</v>
      </c>
    </row>
    <row r="3083" spans="1:16" x14ac:dyDescent="0.35">
      <c r="A3083" s="9" t="s">
        <v>96</v>
      </c>
      <c r="B3083" s="2">
        <v>26.719000000000001</v>
      </c>
      <c r="C3083" s="2">
        <v>26.872</v>
      </c>
      <c r="D3083" s="2">
        <v>26.314</v>
      </c>
      <c r="E3083" s="2">
        <v>26.448</v>
      </c>
      <c r="F3083" s="2">
        <v>353812391</v>
      </c>
      <c r="G3083" s="2" t="s">
        <v>571</v>
      </c>
      <c r="H3083" s="2" t="s">
        <v>572</v>
      </c>
      <c r="I3083" s="2" t="s">
        <v>17</v>
      </c>
      <c r="J3083" s="4">
        <v>-0.121</v>
      </c>
      <c r="K3083" s="2" t="s">
        <v>88</v>
      </c>
      <c r="L3083" s="2">
        <v>2023</v>
      </c>
      <c r="M3083" s="2" t="s">
        <v>89</v>
      </c>
      <c r="N3083" s="2" t="s">
        <v>23</v>
      </c>
      <c r="O3083">
        <f t="shared" si="96"/>
        <v>0.55799999999999983</v>
      </c>
      <c r="P3083">
        <f t="shared" si="97"/>
        <v>65.385999999999996</v>
      </c>
    </row>
    <row r="3084" spans="1:16" x14ac:dyDescent="0.35">
      <c r="A3084" s="9" t="s">
        <v>97</v>
      </c>
      <c r="B3084" s="2">
        <v>26.489000000000001</v>
      </c>
      <c r="C3084" s="2">
        <v>26.867999999999999</v>
      </c>
      <c r="D3084" s="2">
        <v>26.204999999999998</v>
      </c>
      <c r="E3084" s="2">
        <v>26.742999999999999</v>
      </c>
      <c r="F3084" s="2">
        <v>395880677</v>
      </c>
      <c r="G3084" s="2" t="s">
        <v>571</v>
      </c>
      <c r="H3084" s="2" t="s">
        <v>572</v>
      </c>
      <c r="I3084" s="2" t="s">
        <v>17</v>
      </c>
      <c r="J3084" s="3">
        <v>1.1140000000000001</v>
      </c>
      <c r="K3084" s="2" t="s">
        <v>88</v>
      </c>
      <c r="L3084" s="2">
        <v>2023</v>
      </c>
      <c r="M3084" s="2" t="s">
        <v>89</v>
      </c>
      <c r="N3084" s="2" t="s">
        <v>21</v>
      </c>
      <c r="O3084">
        <f t="shared" si="96"/>
        <v>0.66300000000000026</v>
      </c>
      <c r="P3084">
        <f t="shared" si="97"/>
        <v>66.5</v>
      </c>
    </row>
    <row r="3085" spans="1:16" x14ac:dyDescent="0.35">
      <c r="A3085" s="9" t="s">
        <v>98</v>
      </c>
      <c r="B3085" s="2">
        <v>26.550999999999998</v>
      </c>
      <c r="C3085" s="2">
        <v>26.991</v>
      </c>
      <c r="D3085" s="2">
        <v>26.417999999999999</v>
      </c>
      <c r="E3085" s="2">
        <v>26.986999999999998</v>
      </c>
      <c r="F3085" s="2">
        <v>321650493</v>
      </c>
      <c r="G3085" s="2" t="s">
        <v>571</v>
      </c>
      <c r="H3085" s="2" t="s">
        <v>572</v>
      </c>
      <c r="I3085" s="2" t="s">
        <v>17</v>
      </c>
      <c r="J3085" s="3">
        <v>0.91200000000000003</v>
      </c>
      <c r="K3085" s="2" t="s">
        <v>88</v>
      </c>
      <c r="L3085" s="2">
        <v>2023</v>
      </c>
      <c r="M3085" s="2" t="s">
        <v>89</v>
      </c>
      <c r="N3085" s="2" t="s">
        <v>21</v>
      </c>
      <c r="O3085">
        <f t="shared" si="96"/>
        <v>0.5730000000000004</v>
      </c>
      <c r="P3085">
        <f t="shared" si="97"/>
        <v>67.412000000000006</v>
      </c>
    </row>
    <row r="3086" spans="1:16" x14ac:dyDescent="0.35">
      <c r="A3086" s="9" t="s">
        <v>99</v>
      </c>
      <c r="B3086" s="2">
        <v>27.518000000000001</v>
      </c>
      <c r="C3086" s="2">
        <v>28.094000000000001</v>
      </c>
      <c r="D3086" s="2">
        <v>27.341999999999999</v>
      </c>
      <c r="E3086" s="2">
        <v>27.651</v>
      </c>
      <c r="F3086" s="2">
        <v>605148672</v>
      </c>
      <c r="G3086" s="2" t="s">
        <v>571</v>
      </c>
      <c r="H3086" s="2" t="s">
        <v>572</v>
      </c>
      <c r="I3086" s="2" t="s">
        <v>17</v>
      </c>
      <c r="J3086" s="3">
        <v>2.4630000000000001</v>
      </c>
      <c r="K3086" s="2" t="s">
        <v>88</v>
      </c>
      <c r="L3086" s="2">
        <v>2023</v>
      </c>
      <c r="M3086" s="2" t="s">
        <v>89</v>
      </c>
      <c r="N3086" s="2" t="s">
        <v>21</v>
      </c>
      <c r="O3086">
        <f t="shared" si="96"/>
        <v>0.75200000000000244</v>
      </c>
      <c r="P3086">
        <f t="shared" si="97"/>
        <v>69.875</v>
      </c>
    </row>
    <row r="3087" spans="1:16" x14ac:dyDescent="0.35">
      <c r="A3087" s="9" t="s">
        <v>100</v>
      </c>
      <c r="B3087" s="2">
        <v>27.346</v>
      </c>
      <c r="C3087" s="2">
        <v>27.984000000000002</v>
      </c>
      <c r="D3087" s="2">
        <v>27.216999999999999</v>
      </c>
      <c r="E3087" s="2">
        <v>27.914999999999999</v>
      </c>
      <c r="F3087" s="2">
        <v>358860333</v>
      </c>
      <c r="G3087" s="2" t="s">
        <v>571</v>
      </c>
      <c r="H3087" s="2" t="s">
        <v>572</v>
      </c>
      <c r="I3087" s="2" t="s">
        <v>17</v>
      </c>
      <c r="J3087" s="3">
        <v>0.95399999999999996</v>
      </c>
      <c r="K3087" s="2" t="s">
        <v>88</v>
      </c>
      <c r="L3087" s="2">
        <v>2023</v>
      </c>
      <c r="M3087" s="2" t="s">
        <v>89</v>
      </c>
      <c r="N3087" s="2" t="s">
        <v>21</v>
      </c>
      <c r="O3087">
        <f t="shared" si="96"/>
        <v>0.76700000000000301</v>
      </c>
      <c r="P3087">
        <f t="shared" si="97"/>
        <v>70.828999999999994</v>
      </c>
    </row>
    <row r="3088" spans="1:16" x14ac:dyDescent="0.35">
      <c r="A3088" s="9" t="s">
        <v>101</v>
      </c>
      <c r="B3088" s="2">
        <v>27.655000000000001</v>
      </c>
      <c r="C3088" s="2">
        <v>28.013999999999999</v>
      </c>
      <c r="D3088" s="2">
        <v>26.984999999999999</v>
      </c>
      <c r="E3088" s="2">
        <v>27.088999999999999</v>
      </c>
      <c r="F3088" s="2">
        <v>427951674</v>
      </c>
      <c r="G3088" s="2" t="s">
        <v>571</v>
      </c>
      <c r="H3088" s="2" t="s">
        <v>572</v>
      </c>
      <c r="I3088" s="2" t="s">
        <v>17</v>
      </c>
      <c r="J3088" s="4">
        <v>-2.9609999999999999</v>
      </c>
      <c r="K3088" s="2" t="s">
        <v>88</v>
      </c>
      <c r="L3088" s="2">
        <v>2023</v>
      </c>
      <c r="M3088" s="2" t="s">
        <v>89</v>
      </c>
      <c r="N3088" s="2" t="s">
        <v>23</v>
      </c>
      <c r="O3088">
        <f t="shared" si="96"/>
        <v>1.0289999999999999</v>
      </c>
      <c r="P3088">
        <f t="shared" si="97"/>
        <v>67.867999999999995</v>
      </c>
    </row>
    <row r="3089" spans="1:16" x14ac:dyDescent="0.35">
      <c r="A3089" s="9" t="s">
        <v>102</v>
      </c>
      <c r="B3089" s="2">
        <v>26.937000000000001</v>
      </c>
      <c r="C3089" s="2">
        <v>27.167999999999999</v>
      </c>
      <c r="D3089" s="2">
        <v>26.707000000000001</v>
      </c>
      <c r="E3089" s="2">
        <v>27.103999999999999</v>
      </c>
      <c r="F3089" s="2">
        <v>345295136</v>
      </c>
      <c r="G3089" s="2" t="s">
        <v>571</v>
      </c>
      <c r="H3089" s="2" t="s">
        <v>572</v>
      </c>
      <c r="I3089" s="2" t="s">
        <v>17</v>
      </c>
      <c r="J3089" s="3">
        <v>5.5E-2</v>
      </c>
      <c r="K3089" s="2" t="s">
        <v>88</v>
      </c>
      <c r="L3089" s="2">
        <v>2023</v>
      </c>
      <c r="M3089" s="2" t="s">
        <v>89</v>
      </c>
      <c r="N3089" s="2" t="s">
        <v>21</v>
      </c>
      <c r="O3089">
        <f t="shared" si="96"/>
        <v>0.46099999999999852</v>
      </c>
      <c r="P3089">
        <f t="shared" si="97"/>
        <v>67.923000000000002</v>
      </c>
    </row>
    <row r="3090" spans="1:16" x14ac:dyDescent="0.35">
      <c r="A3090" s="9" t="s">
        <v>103</v>
      </c>
      <c r="B3090" s="2">
        <v>26.998000000000001</v>
      </c>
      <c r="C3090" s="2">
        <v>27.350999999999999</v>
      </c>
      <c r="D3090" s="2">
        <v>26.655999999999999</v>
      </c>
      <c r="E3090" s="2">
        <v>27.027000000000001</v>
      </c>
      <c r="F3090" s="2">
        <v>339470981</v>
      </c>
      <c r="G3090" s="2" t="s">
        <v>571</v>
      </c>
      <c r="H3090" s="2" t="s">
        <v>572</v>
      </c>
      <c r="I3090" s="2" t="s">
        <v>17</v>
      </c>
      <c r="J3090" s="4">
        <v>-0.28399999999999997</v>
      </c>
      <c r="K3090" s="2" t="s">
        <v>88</v>
      </c>
      <c r="L3090" s="2">
        <v>2023</v>
      </c>
      <c r="M3090" s="2" t="s">
        <v>89</v>
      </c>
      <c r="N3090" s="2" t="s">
        <v>23</v>
      </c>
      <c r="O3090">
        <f t="shared" si="96"/>
        <v>0.69500000000000028</v>
      </c>
      <c r="P3090">
        <f t="shared" si="97"/>
        <v>67.638999999999996</v>
      </c>
    </row>
    <row r="3091" spans="1:16" x14ac:dyDescent="0.35">
      <c r="A3091" s="9" t="s">
        <v>104</v>
      </c>
      <c r="B3091" s="2">
        <v>27.062999999999999</v>
      </c>
      <c r="C3091" s="2">
        <v>27.231999999999999</v>
      </c>
      <c r="D3091" s="2">
        <v>26.21</v>
      </c>
      <c r="E3091" s="2">
        <v>26.225999999999999</v>
      </c>
      <c r="F3091" s="2">
        <v>378738157</v>
      </c>
      <c r="G3091" s="2" t="s">
        <v>571</v>
      </c>
      <c r="H3091" s="2" t="s">
        <v>572</v>
      </c>
      <c r="I3091" s="2" t="s">
        <v>17</v>
      </c>
      <c r="J3091" s="4">
        <v>-2.9620000000000002</v>
      </c>
      <c r="K3091" s="2" t="s">
        <v>88</v>
      </c>
      <c r="L3091" s="2">
        <v>2023</v>
      </c>
      <c r="M3091" s="2" t="s">
        <v>89</v>
      </c>
      <c r="N3091" s="2" t="s">
        <v>23</v>
      </c>
      <c r="O3091">
        <f t="shared" si="96"/>
        <v>1.0219999999999985</v>
      </c>
      <c r="P3091">
        <f t="shared" si="97"/>
        <v>64.676999999999992</v>
      </c>
    </row>
    <row r="3092" spans="1:16" x14ac:dyDescent="0.35">
      <c r="A3092" s="9" t="s">
        <v>105</v>
      </c>
      <c r="B3092" s="2">
        <v>26.986999999999998</v>
      </c>
      <c r="C3092" s="2">
        <v>27.315000000000001</v>
      </c>
      <c r="D3092" s="2">
        <v>26.69</v>
      </c>
      <c r="E3092" s="2">
        <v>26.940999999999999</v>
      </c>
      <c r="F3092" s="2">
        <v>406563309</v>
      </c>
      <c r="G3092" s="2" t="s">
        <v>571</v>
      </c>
      <c r="H3092" s="2" t="s">
        <v>572</v>
      </c>
      <c r="I3092" s="2" t="s">
        <v>17</v>
      </c>
      <c r="J3092" s="3">
        <v>2.7240000000000002</v>
      </c>
      <c r="K3092" s="2" t="s">
        <v>88</v>
      </c>
      <c r="L3092" s="2">
        <v>2023</v>
      </c>
      <c r="M3092" s="2" t="s">
        <v>89</v>
      </c>
      <c r="N3092" s="2" t="s">
        <v>21</v>
      </c>
      <c r="O3092">
        <f t="shared" si="96"/>
        <v>0.625</v>
      </c>
      <c r="P3092">
        <f t="shared" si="97"/>
        <v>67.400999999999996</v>
      </c>
    </row>
    <row r="3093" spans="1:16" x14ac:dyDescent="0.35">
      <c r="A3093" s="9" t="s">
        <v>106</v>
      </c>
      <c r="B3093" s="2">
        <v>27.347999999999999</v>
      </c>
      <c r="C3093" s="2">
        <v>27.48</v>
      </c>
      <c r="D3093" s="2">
        <v>26.61</v>
      </c>
      <c r="E3093" s="2">
        <v>27.210999999999999</v>
      </c>
      <c r="F3093" s="2">
        <v>377371426</v>
      </c>
      <c r="G3093" s="2" t="s">
        <v>571</v>
      </c>
      <c r="H3093" s="2" t="s">
        <v>572</v>
      </c>
      <c r="I3093" s="2" t="s">
        <v>17</v>
      </c>
      <c r="J3093" s="3">
        <v>1.002</v>
      </c>
      <c r="K3093" s="2" t="s">
        <v>88</v>
      </c>
      <c r="L3093" s="2">
        <v>2023</v>
      </c>
      <c r="M3093" s="2" t="s">
        <v>89</v>
      </c>
      <c r="N3093" s="2" t="s">
        <v>21</v>
      </c>
      <c r="O3093">
        <f t="shared" si="96"/>
        <v>0.87000000000000099</v>
      </c>
      <c r="P3093">
        <f t="shared" si="97"/>
        <v>68.402999999999992</v>
      </c>
    </row>
    <row r="3094" spans="1:16" x14ac:dyDescent="0.35">
      <c r="A3094" s="9" t="s">
        <v>107</v>
      </c>
      <c r="B3094" s="2">
        <v>27.21</v>
      </c>
      <c r="C3094" s="2">
        <v>27.742000000000001</v>
      </c>
      <c r="D3094" s="2">
        <v>27.056000000000001</v>
      </c>
      <c r="E3094" s="2">
        <v>27.733000000000001</v>
      </c>
      <c r="F3094" s="2">
        <v>292379026</v>
      </c>
      <c r="G3094" s="2" t="s">
        <v>571</v>
      </c>
      <c r="H3094" s="2" t="s">
        <v>572</v>
      </c>
      <c r="I3094" s="2" t="s">
        <v>17</v>
      </c>
      <c r="J3094" s="3">
        <v>1.921</v>
      </c>
      <c r="K3094" s="2" t="s">
        <v>88</v>
      </c>
      <c r="L3094" s="2">
        <v>2023</v>
      </c>
      <c r="M3094" s="2" t="s">
        <v>89</v>
      </c>
      <c r="N3094" s="2" t="s">
        <v>21</v>
      </c>
      <c r="O3094">
        <f t="shared" si="96"/>
        <v>0.68599999999999994</v>
      </c>
      <c r="P3094">
        <f t="shared" si="97"/>
        <v>70.323999999999998</v>
      </c>
    </row>
    <row r="3095" spans="1:16" x14ac:dyDescent="0.35">
      <c r="A3095" s="9" t="s">
        <v>108</v>
      </c>
      <c r="B3095" s="2">
        <v>27.824999999999999</v>
      </c>
      <c r="C3095" s="2">
        <v>29.042000000000002</v>
      </c>
      <c r="D3095" s="2">
        <v>27.765000000000001</v>
      </c>
      <c r="E3095" s="2">
        <v>28.893999999999998</v>
      </c>
      <c r="F3095" s="2">
        <v>570646441</v>
      </c>
      <c r="G3095" s="2" t="s">
        <v>571</v>
      </c>
      <c r="H3095" s="2" t="s">
        <v>572</v>
      </c>
      <c r="I3095" s="2" t="s">
        <v>17</v>
      </c>
      <c r="J3095" s="3">
        <v>4.1840000000000002</v>
      </c>
      <c r="K3095" s="2" t="s">
        <v>109</v>
      </c>
      <c r="L3095" s="2">
        <v>2023</v>
      </c>
      <c r="M3095" s="2" t="s">
        <v>110</v>
      </c>
      <c r="N3095" s="2" t="s">
        <v>21</v>
      </c>
      <c r="O3095">
        <f t="shared" si="96"/>
        <v>1.277000000000001</v>
      </c>
      <c r="P3095">
        <f t="shared" si="97"/>
        <v>74.507999999999996</v>
      </c>
    </row>
    <row r="3096" spans="1:16" x14ac:dyDescent="0.35">
      <c r="A3096" s="9" t="s">
        <v>111</v>
      </c>
      <c r="B3096" s="2">
        <v>28.664000000000001</v>
      </c>
      <c r="C3096" s="2">
        <v>28.82</v>
      </c>
      <c r="D3096" s="2">
        <v>28.067</v>
      </c>
      <c r="E3096" s="2">
        <v>28.193999999999999</v>
      </c>
      <c r="F3096" s="2">
        <v>402954058</v>
      </c>
      <c r="G3096" s="2" t="s">
        <v>571</v>
      </c>
      <c r="H3096" s="2" t="s">
        <v>572</v>
      </c>
      <c r="I3096" s="2" t="s">
        <v>17</v>
      </c>
      <c r="J3096" s="4">
        <v>-2.4209999999999998</v>
      </c>
      <c r="K3096" s="2" t="s">
        <v>109</v>
      </c>
      <c r="L3096" s="2">
        <v>2023</v>
      </c>
      <c r="M3096" s="2" t="s">
        <v>110</v>
      </c>
      <c r="N3096" s="2" t="s">
        <v>23</v>
      </c>
      <c r="O3096">
        <f t="shared" si="96"/>
        <v>0.75300000000000011</v>
      </c>
      <c r="P3096">
        <f t="shared" si="97"/>
        <v>72.086999999999989</v>
      </c>
    </row>
    <row r="3097" spans="1:16" x14ac:dyDescent="0.35">
      <c r="A3097" s="9" t="s">
        <v>112</v>
      </c>
      <c r="B3097" s="2">
        <v>27.824999999999999</v>
      </c>
      <c r="C3097" s="2">
        <v>28.350999999999999</v>
      </c>
      <c r="D3097" s="2">
        <v>27.457000000000001</v>
      </c>
      <c r="E3097" s="2">
        <v>27.786999999999999</v>
      </c>
      <c r="F3097" s="2">
        <v>383601106</v>
      </c>
      <c r="G3097" s="2" t="s">
        <v>571</v>
      </c>
      <c r="H3097" s="2" t="s">
        <v>572</v>
      </c>
      <c r="I3097" s="2" t="s">
        <v>17</v>
      </c>
      <c r="J3097" s="4">
        <v>-1.4470000000000001</v>
      </c>
      <c r="K3097" s="2" t="s">
        <v>109</v>
      </c>
      <c r="L3097" s="2">
        <v>2023</v>
      </c>
      <c r="M3097" s="2" t="s">
        <v>110</v>
      </c>
      <c r="N3097" s="2" t="s">
        <v>23</v>
      </c>
      <c r="O3097">
        <f t="shared" si="96"/>
        <v>0.89399999999999835</v>
      </c>
      <c r="P3097">
        <f t="shared" si="97"/>
        <v>70.639999999999986</v>
      </c>
    </row>
    <row r="3098" spans="1:16" x14ac:dyDescent="0.35">
      <c r="A3098" s="9" t="s">
        <v>113</v>
      </c>
      <c r="B3098" s="2">
        <v>27.635999999999999</v>
      </c>
      <c r="C3098" s="2">
        <v>27.843</v>
      </c>
      <c r="D3098" s="2">
        <v>27.225000000000001</v>
      </c>
      <c r="E3098" s="2">
        <v>27.547000000000001</v>
      </c>
      <c r="F3098" s="2">
        <v>322029815</v>
      </c>
      <c r="G3098" s="2" t="s">
        <v>571</v>
      </c>
      <c r="H3098" s="2" t="s">
        <v>572</v>
      </c>
      <c r="I3098" s="2" t="s">
        <v>17</v>
      </c>
      <c r="J3098" s="4">
        <v>-0.86399999999999999</v>
      </c>
      <c r="K3098" s="2" t="s">
        <v>109</v>
      </c>
      <c r="L3098" s="2">
        <v>2023</v>
      </c>
      <c r="M3098" s="2" t="s">
        <v>110</v>
      </c>
      <c r="N3098" s="2" t="s">
        <v>23</v>
      </c>
      <c r="O3098">
        <f t="shared" si="96"/>
        <v>0.61799999999999855</v>
      </c>
      <c r="P3098">
        <f t="shared" si="97"/>
        <v>69.775999999999982</v>
      </c>
    </row>
    <row r="3099" spans="1:16" x14ac:dyDescent="0.35">
      <c r="A3099" s="9" t="s">
        <v>114</v>
      </c>
      <c r="B3099" s="2">
        <v>27.81</v>
      </c>
      <c r="C3099" s="2">
        <v>28.739000000000001</v>
      </c>
      <c r="D3099" s="2">
        <v>27.715</v>
      </c>
      <c r="E3099" s="2">
        <v>28.664000000000001</v>
      </c>
      <c r="F3099" s="2">
        <v>361695583</v>
      </c>
      <c r="G3099" s="2" t="s">
        <v>571</v>
      </c>
      <c r="H3099" s="2" t="s">
        <v>572</v>
      </c>
      <c r="I3099" s="2" t="s">
        <v>17</v>
      </c>
      <c r="J3099" s="3">
        <v>4.056</v>
      </c>
      <c r="K3099" s="2" t="s">
        <v>109</v>
      </c>
      <c r="L3099" s="2">
        <v>2023</v>
      </c>
      <c r="M3099" s="2" t="s">
        <v>110</v>
      </c>
      <c r="N3099" s="2" t="s">
        <v>21</v>
      </c>
      <c r="O3099">
        <f t="shared" si="96"/>
        <v>1.0240000000000009</v>
      </c>
      <c r="P3099">
        <f t="shared" si="97"/>
        <v>73.831999999999979</v>
      </c>
    </row>
    <row r="3100" spans="1:16" x14ac:dyDescent="0.35">
      <c r="A3100" s="9" t="s">
        <v>115</v>
      </c>
      <c r="B3100" s="2">
        <v>28.506</v>
      </c>
      <c r="C3100" s="2">
        <v>29.204000000000001</v>
      </c>
      <c r="D3100" s="2">
        <v>28.334</v>
      </c>
      <c r="E3100" s="2">
        <v>29.135000000000002</v>
      </c>
      <c r="F3100" s="2">
        <v>345171197</v>
      </c>
      <c r="G3100" s="2" t="s">
        <v>571</v>
      </c>
      <c r="H3100" s="2" t="s">
        <v>572</v>
      </c>
      <c r="I3100" s="2" t="s">
        <v>17</v>
      </c>
      <c r="J3100" s="3">
        <v>1.6419999999999999</v>
      </c>
      <c r="K3100" s="2" t="s">
        <v>109</v>
      </c>
      <c r="L3100" s="2">
        <v>2023</v>
      </c>
      <c r="M3100" s="2" t="s">
        <v>110</v>
      </c>
      <c r="N3100" s="2" t="s">
        <v>21</v>
      </c>
      <c r="O3100">
        <f t="shared" si="96"/>
        <v>0.87000000000000099</v>
      </c>
      <c r="P3100">
        <f t="shared" si="97"/>
        <v>75.473999999999975</v>
      </c>
    </row>
    <row r="3101" spans="1:16" x14ac:dyDescent="0.35">
      <c r="A3101" s="9" t="s">
        <v>116</v>
      </c>
      <c r="B3101" s="2">
        <v>28.882999999999999</v>
      </c>
      <c r="C3101" s="2">
        <v>28.957000000000001</v>
      </c>
      <c r="D3101" s="2">
        <v>28.434000000000001</v>
      </c>
      <c r="E3101" s="2">
        <v>28.555</v>
      </c>
      <c r="F3101" s="2">
        <v>315044973</v>
      </c>
      <c r="G3101" s="2" t="s">
        <v>571</v>
      </c>
      <c r="H3101" s="2" t="s">
        <v>572</v>
      </c>
      <c r="I3101" s="2" t="s">
        <v>17</v>
      </c>
      <c r="J3101" s="4">
        <v>-1.9890000000000001</v>
      </c>
      <c r="K3101" s="2" t="s">
        <v>109</v>
      </c>
      <c r="L3101" s="2">
        <v>2023</v>
      </c>
      <c r="M3101" s="2" t="s">
        <v>110</v>
      </c>
      <c r="N3101" s="2" t="s">
        <v>23</v>
      </c>
      <c r="O3101">
        <f t="shared" si="96"/>
        <v>0.52299999999999969</v>
      </c>
      <c r="P3101">
        <f t="shared" si="97"/>
        <v>73.484999999999971</v>
      </c>
    </row>
    <row r="3102" spans="1:16" x14ac:dyDescent="0.35">
      <c r="A3102" s="9" t="s">
        <v>117</v>
      </c>
      <c r="B3102" s="2">
        <v>28.989000000000001</v>
      </c>
      <c r="C3102" s="2">
        <v>29.097000000000001</v>
      </c>
      <c r="D3102" s="2">
        <v>28.445</v>
      </c>
      <c r="E3102" s="2">
        <v>28.869</v>
      </c>
      <c r="F3102" s="2">
        <v>369555862</v>
      </c>
      <c r="G3102" s="2" t="s">
        <v>571</v>
      </c>
      <c r="H3102" s="2" t="s">
        <v>572</v>
      </c>
      <c r="I3102" s="2" t="s">
        <v>17</v>
      </c>
      <c r="J3102" s="3">
        <v>1.099</v>
      </c>
      <c r="K3102" s="2" t="s">
        <v>109</v>
      </c>
      <c r="L3102" s="2">
        <v>2023</v>
      </c>
      <c r="M3102" s="2" t="s">
        <v>110</v>
      </c>
      <c r="N3102" s="2" t="s">
        <v>21</v>
      </c>
      <c r="O3102">
        <f t="shared" si="96"/>
        <v>0.65200000000000102</v>
      </c>
      <c r="P3102">
        <f t="shared" si="97"/>
        <v>74.583999999999975</v>
      </c>
    </row>
    <row r="3103" spans="1:16" x14ac:dyDescent="0.35">
      <c r="A3103" s="9" t="s">
        <v>118</v>
      </c>
      <c r="B3103" s="2">
        <v>28.88</v>
      </c>
      <c r="C3103" s="2">
        <v>28.934000000000001</v>
      </c>
      <c r="D3103" s="2">
        <v>28.23</v>
      </c>
      <c r="E3103" s="2">
        <v>28.562000000000001</v>
      </c>
      <c r="F3103" s="2">
        <v>322328601</v>
      </c>
      <c r="G3103" s="2" t="s">
        <v>571</v>
      </c>
      <c r="H3103" s="2" t="s">
        <v>572</v>
      </c>
      <c r="I3103" s="2" t="s">
        <v>17</v>
      </c>
      <c r="J3103" s="4">
        <v>-1.0620000000000001</v>
      </c>
      <c r="K3103" s="2" t="s">
        <v>109</v>
      </c>
      <c r="L3103" s="2">
        <v>2023</v>
      </c>
      <c r="M3103" s="2" t="s">
        <v>110</v>
      </c>
      <c r="N3103" s="2" t="s">
        <v>23</v>
      </c>
      <c r="O3103">
        <f t="shared" si="96"/>
        <v>0.70400000000000063</v>
      </c>
      <c r="P3103">
        <f t="shared" si="97"/>
        <v>73.521999999999977</v>
      </c>
    </row>
    <row r="3104" spans="1:16" x14ac:dyDescent="0.35">
      <c r="A3104" s="9" t="s">
        <v>119</v>
      </c>
      <c r="B3104" s="2">
        <v>28.513000000000002</v>
      </c>
      <c r="C3104" s="2">
        <v>28.763999999999999</v>
      </c>
      <c r="D3104" s="2">
        <v>28.03</v>
      </c>
      <c r="E3104" s="2">
        <v>28.324000000000002</v>
      </c>
      <c r="F3104" s="2">
        <v>274375106</v>
      </c>
      <c r="G3104" s="2" t="s">
        <v>571</v>
      </c>
      <c r="H3104" s="2" t="s">
        <v>572</v>
      </c>
      <c r="I3104" s="2" t="s">
        <v>17</v>
      </c>
      <c r="J3104" s="4">
        <v>-0.83299999999999996</v>
      </c>
      <c r="K3104" s="2" t="s">
        <v>109</v>
      </c>
      <c r="L3104" s="2">
        <v>2023</v>
      </c>
      <c r="M3104" s="2" t="s">
        <v>110</v>
      </c>
      <c r="N3104" s="2" t="s">
        <v>23</v>
      </c>
      <c r="O3104">
        <f t="shared" si="96"/>
        <v>0.73399999999999821</v>
      </c>
      <c r="P3104">
        <f t="shared" si="97"/>
        <v>72.688999999999979</v>
      </c>
    </row>
    <row r="3105" spans="1:16" x14ac:dyDescent="0.35">
      <c r="A3105" s="9" t="s">
        <v>120</v>
      </c>
      <c r="B3105" s="2">
        <v>28.492999999999999</v>
      </c>
      <c r="C3105" s="2">
        <v>28.952999999999999</v>
      </c>
      <c r="D3105" s="2">
        <v>28.135999999999999</v>
      </c>
      <c r="E3105" s="2">
        <v>28.937000000000001</v>
      </c>
      <c r="F3105" s="2">
        <v>294089709</v>
      </c>
      <c r="G3105" s="2" t="s">
        <v>571</v>
      </c>
      <c r="H3105" s="2" t="s">
        <v>572</v>
      </c>
      <c r="I3105" s="2" t="s">
        <v>17</v>
      </c>
      <c r="J3105" s="3">
        <v>2.1619999999999999</v>
      </c>
      <c r="K3105" s="2" t="s">
        <v>109</v>
      </c>
      <c r="L3105" s="2">
        <v>2023</v>
      </c>
      <c r="M3105" s="2" t="s">
        <v>110</v>
      </c>
      <c r="N3105" s="2" t="s">
        <v>21</v>
      </c>
      <c r="O3105">
        <f t="shared" si="96"/>
        <v>0.81700000000000017</v>
      </c>
      <c r="P3105">
        <f t="shared" si="97"/>
        <v>74.850999999999985</v>
      </c>
    </row>
    <row r="3106" spans="1:16" x14ac:dyDescent="0.35">
      <c r="A3106" s="9" t="s">
        <v>121</v>
      </c>
      <c r="B3106" s="2">
        <v>28.824999999999999</v>
      </c>
      <c r="C3106" s="2">
        <v>29.853000000000002</v>
      </c>
      <c r="D3106" s="2">
        <v>28.815999999999999</v>
      </c>
      <c r="E3106" s="2">
        <v>29.196999999999999</v>
      </c>
      <c r="F3106" s="2">
        <v>449655446</v>
      </c>
      <c r="G3106" s="2" t="s">
        <v>571</v>
      </c>
      <c r="H3106" s="2" t="s">
        <v>572</v>
      </c>
      <c r="I3106" s="2" t="s">
        <v>17</v>
      </c>
      <c r="J3106" s="3">
        <v>0.89800000000000002</v>
      </c>
      <c r="K3106" s="2" t="s">
        <v>109</v>
      </c>
      <c r="L3106" s="2">
        <v>2023</v>
      </c>
      <c r="M3106" s="2" t="s">
        <v>110</v>
      </c>
      <c r="N3106" s="2" t="s">
        <v>21</v>
      </c>
      <c r="O3106">
        <f t="shared" si="96"/>
        <v>1.0370000000000026</v>
      </c>
      <c r="P3106">
        <f t="shared" si="97"/>
        <v>75.748999999999981</v>
      </c>
    </row>
    <row r="3107" spans="1:16" x14ac:dyDescent="0.35">
      <c r="A3107" s="9" t="s">
        <v>123</v>
      </c>
      <c r="B3107" s="2">
        <v>29.568000000000001</v>
      </c>
      <c r="C3107" s="2">
        <v>30.181999999999999</v>
      </c>
      <c r="D3107" s="2">
        <v>29.414000000000001</v>
      </c>
      <c r="E3107" s="2">
        <v>30.161000000000001</v>
      </c>
      <c r="F3107" s="2">
        <v>432776512</v>
      </c>
      <c r="G3107" s="2" t="s">
        <v>571</v>
      </c>
      <c r="H3107" s="2" t="s">
        <v>572</v>
      </c>
      <c r="I3107" s="2" t="s">
        <v>17</v>
      </c>
      <c r="J3107" s="3">
        <v>3.3029999999999999</v>
      </c>
      <c r="K3107" s="2" t="s">
        <v>109</v>
      </c>
      <c r="L3107" s="2">
        <v>2023</v>
      </c>
      <c r="M3107" s="2" t="s">
        <v>110</v>
      </c>
      <c r="N3107" s="2" t="s">
        <v>21</v>
      </c>
      <c r="O3107">
        <f t="shared" si="96"/>
        <v>0.76799999999999713</v>
      </c>
      <c r="P3107">
        <f t="shared" si="97"/>
        <v>79.051999999999978</v>
      </c>
    </row>
    <row r="3108" spans="1:16" x14ac:dyDescent="0.35">
      <c r="A3108" s="9" t="s">
        <v>124</v>
      </c>
      <c r="B3108" s="2">
        <v>30.393000000000001</v>
      </c>
      <c r="C3108" s="2">
        <v>31.81</v>
      </c>
      <c r="D3108" s="2">
        <v>30.303000000000001</v>
      </c>
      <c r="E3108" s="2">
        <v>31.66</v>
      </c>
      <c r="F3108" s="2">
        <v>749142362</v>
      </c>
      <c r="G3108" s="2" t="s">
        <v>571</v>
      </c>
      <c r="H3108" s="2" t="s">
        <v>572</v>
      </c>
      <c r="I3108" s="2" t="s">
        <v>17</v>
      </c>
      <c r="J3108" s="3">
        <v>4.9710000000000001</v>
      </c>
      <c r="K3108" s="2" t="s">
        <v>109</v>
      </c>
      <c r="L3108" s="2">
        <v>2023</v>
      </c>
      <c r="M3108" s="2" t="s">
        <v>110</v>
      </c>
      <c r="N3108" s="2" t="s">
        <v>21</v>
      </c>
      <c r="O3108">
        <f t="shared" si="96"/>
        <v>1.5069999999999979</v>
      </c>
      <c r="P3108">
        <f t="shared" si="97"/>
        <v>84.022999999999982</v>
      </c>
    </row>
    <row r="3109" spans="1:16" x14ac:dyDescent="0.35">
      <c r="A3109" s="9" t="s">
        <v>125</v>
      </c>
      <c r="B3109" s="2">
        <v>31.518000000000001</v>
      </c>
      <c r="C3109" s="2">
        <v>31.562000000000001</v>
      </c>
      <c r="D3109" s="2">
        <v>30.899000000000001</v>
      </c>
      <c r="E3109" s="2">
        <v>31.247</v>
      </c>
      <c r="F3109" s="2">
        <v>474171814</v>
      </c>
      <c r="G3109" s="2" t="s">
        <v>571</v>
      </c>
      <c r="H3109" s="2" t="s">
        <v>572</v>
      </c>
      <c r="I3109" s="2" t="s">
        <v>17</v>
      </c>
      <c r="J3109" s="4">
        <v>-1.3069999999999999</v>
      </c>
      <c r="K3109" s="2" t="s">
        <v>109</v>
      </c>
      <c r="L3109" s="2">
        <v>2023</v>
      </c>
      <c r="M3109" s="2" t="s">
        <v>110</v>
      </c>
      <c r="N3109" s="2" t="s">
        <v>23</v>
      </c>
      <c r="O3109">
        <f t="shared" si="96"/>
        <v>0.66300000000000026</v>
      </c>
      <c r="P3109">
        <f t="shared" si="97"/>
        <v>82.71599999999998</v>
      </c>
    </row>
    <row r="3110" spans="1:16" x14ac:dyDescent="0.35">
      <c r="A3110" s="9" t="s">
        <v>126</v>
      </c>
      <c r="B3110" s="2">
        <v>30.884</v>
      </c>
      <c r="C3110" s="2">
        <v>31.501999999999999</v>
      </c>
      <c r="D3110" s="2">
        <v>30.663</v>
      </c>
      <c r="E3110" s="2">
        <v>31.158999999999999</v>
      </c>
      <c r="F3110" s="2">
        <v>372207029</v>
      </c>
      <c r="G3110" s="2" t="s">
        <v>571</v>
      </c>
      <c r="H3110" s="2" t="s">
        <v>572</v>
      </c>
      <c r="I3110" s="2" t="s">
        <v>17</v>
      </c>
      <c r="J3110" s="4">
        <v>-0.28100000000000003</v>
      </c>
      <c r="K3110" s="2" t="s">
        <v>109</v>
      </c>
      <c r="L3110" s="2">
        <v>2023</v>
      </c>
      <c r="M3110" s="2" t="s">
        <v>110</v>
      </c>
      <c r="N3110" s="2" t="s">
        <v>23</v>
      </c>
      <c r="O3110">
        <f t="shared" si="96"/>
        <v>0.83899999999999864</v>
      </c>
      <c r="P3110">
        <f t="shared" si="97"/>
        <v>82.434999999999974</v>
      </c>
    </row>
    <row r="3111" spans="1:16" x14ac:dyDescent="0.35">
      <c r="A3111" s="9" t="s">
        <v>127</v>
      </c>
      <c r="B3111" s="2">
        <v>30.983000000000001</v>
      </c>
      <c r="C3111" s="2">
        <v>31.27</v>
      </c>
      <c r="D3111" s="2">
        <v>30.614000000000001</v>
      </c>
      <c r="E3111" s="2">
        <v>30.670999999999999</v>
      </c>
      <c r="F3111" s="2">
        <v>356451841</v>
      </c>
      <c r="G3111" s="2" t="s">
        <v>571</v>
      </c>
      <c r="H3111" s="2" t="s">
        <v>572</v>
      </c>
      <c r="I3111" s="2" t="s">
        <v>17</v>
      </c>
      <c r="J3111" s="4">
        <v>-1.5649999999999999</v>
      </c>
      <c r="K3111" s="2" t="s">
        <v>109</v>
      </c>
      <c r="L3111" s="2">
        <v>2023</v>
      </c>
      <c r="M3111" s="2" t="s">
        <v>110</v>
      </c>
      <c r="N3111" s="2" t="s">
        <v>23</v>
      </c>
      <c r="O3111">
        <f t="shared" si="96"/>
        <v>0.65599999999999881</v>
      </c>
      <c r="P3111">
        <f t="shared" si="97"/>
        <v>80.869999999999976</v>
      </c>
    </row>
    <row r="3112" spans="1:16" x14ac:dyDescent="0.35">
      <c r="A3112" s="9" t="s">
        <v>128</v>
      </c>
      <c r="B3112" s="2">
        <v>30.193000000000001</v>
      </c>
      <c r="C3112" s="2">
        <v>30.59</v>
      </c>
      <c r="D3112" s="2">
        <v>29.789000000000001</v>
      </c>
      <c r="E3112" s="2">
        <v>30.521000000000001</v>
      </c>
      <c r="F3112" s="2">
        <v>721820641</v>
      </c>
      <c r="G3112" s="2" t="s">
        <v>571</v>
      </c>
      <c r="H3112" s="2" t="s">
        <v>572</v>
      </c>
      <c r="I3112" s="2" t="s">
        <v>17</v>
      </c>
      <c r="J3112" s="4">
        <v>-0.48899999999999999</v>
      </c>
      <c r="K3112" s="2" t="s">
        <v>109</v>
      </c>
      <c r="L3112" s="2">
        <v>2023</v>
      </c>
      <c r="M3112" s="2" t="s">
        <v>110</v>
      </c>
      <c r="N3112" s="2" t="s">
        <v>23</v>
      </c>
      <c r="O3112">
        <f t="shared" si="96"/>
        <v>0.80099999999999838</v>
      </c>
      <c r="P3112">
        <f t="shared" si="97"/>
        <v>80.380999999999972</v>
      </c>
    </row>
    <row r="3113" spans="1:16" x14ac:dyDescent="0.35">
      <c r="A3113" s="9" t="s">
        <v>129</v>
      </c>
      <c r="B3113" s="2">
        <v>38.500999999999998</v>
      </c>
      <c r="C3113" s="2">
        <v>39.457999999999998</v>
      </c>
      <c r="D3113" s="2">
        <v>36.615000000000002</v>
      </c>
      <c r="E3113" s="2">
        <v>37.959000000000003</v>
      </c>
      <c r="F3113" s="2">
        <v>1544771272</v>
      </c>
      <c r="G3113" s="2" t="s">
        <v>571</v>
      </c>
      <c r="H3113" s="2" t="s">
        <v>572</v>
      </c>
      <c r="I3113" s="2" t="s">
        <v>17</v>
      </c>
      <c r="J3113" s="3">
        <v>24.37</v>
      </c>
      <c r="K3113" s="2" t="s">
        <v>109</v>
      </c>
      <c r="L3113" s="2">
        <v>2023</v>
      </c>
      <c r="M3113" s="2" t="s">
        <v>110</v>
      </c>
      <c r="N3113" s="2" t="s">
        <v>21</v>
      </c>
      <c r="O3113">
        <f t="shared" si="96"/>
        <v>2.8429999999999964</v>
      </c>
      <c r="P3113">
        <f t="shared" si="97"/>
        <v>104.75099999999998</v>
      </c>
    </row>
    <row r="3114" spans="1:16" x14ac:dyDescent="0.35">
      <c r="A3114" s="9" t="s">
        <v>130</v>
      </c>
      <c r="B3114" s="2">
        <v>37.869</v>
      </c>
      <c r="C3114" s="2">
        <v>39.148000000000003</v>
      </c>
      <c r="D3114" s="2">
        <v>37.529000000000003</v>
      </c>
      <c r="E3114" s="2">
        <v>38.923999999999999</v>
      </c>
      <c r="F3114" s="2">
        <v>714794977</v>
      </c>
      <c r="G3114" s="2" t="s">
        <v>571</v>
      </c>
      <c r="H3114" s="2" t="s">
        <v>572</v>
      </c>
      <c r="I3114" s="2" t="s">
        <v>17</v>
      </c>
      <c r="J3114" s="3">
        <v>2.5430000000000001</v>
      </c>
      <c r="K3114" s="2" t="s">
        <v>109</v>
      </c>
      <c r="L3114" s="2">
        <v>2023</v>
      </c>
      <c r="M3114" s="2" t="s">
        <v>110</v>
      </c>
      <c r="N3114" s="2" t="s">
        <v>21</v>
      </c>
      <c r="O3114">
        <f t="shared" si="96"/>
        <v>1.6189999999999998</v>
      </c>
      <c r="P3114">
        <f t="shared" si="97"/>
        <v>107.29399999999998</v>
      </c>
    </row>
    <row r="3115" spans="1:16" x14ac:dyDescent="0.35">
      <c r="A3115" s="9" t="s">
        <v>131</v>
      </c>
      <c r="B3115" s="2">
        <v>40.572000000000003</v>
      </c>
      <c r="C3115" s="2">
        <v>41.914999999999999</v>
      </c>
      <c r="D3115" s="2">
        <v>39.927</v>
      </c>
      <c r="E3115" s="2">
        <v>40.088999999999999</v>
      </c>
      <c r="F3115" s="2">
        <v>923915819</v>
      </c>
      <c r="G3115" s="2" t="s">
        <v>571</v>
      </c>
      <c r="H3115" s="2" t="s">
        <v>572</v>
      </c>
      <c r="I3115" s="2" t="s">
        <v>17</v>
      </c>
      <c r="J3115" s="3">
        <v>2.9910000000000001</v>
      </c>
      <c r="K3115" s="2" t="s">
        <v>109</v>
      </c>
      <c r="L3115" s="2">
        <v>2023</v>
      </c>
      <c r="M3115" s="2" t="s">
        <v>110</v>
      </c>
      <c r="N3115" s="2" t="s">
        <v>21</v>
      </c>
      <c r="O3115">
        <f t="shared" si="96"/>
        <v>1.9879999999999995</v>
      </c>
      <c r="P3115">
        <f t="shared" si="97"/>
        <v>110.28499999999998</v>
      </c>
    </row>
    <row r="3116" spans="1:16" x14ac:dyDescent="0.35">
      <c r="A3116" s="9" t="s">
        <v>132</v>
      </c>
      <c r="B3116" s="2">
        <v>39.466000000000001</v>
      </c>
      <c r="C3116" s="2">
        <v>40.273000000000003</v>
      </c>
      <c r="D3116" s="2">
        <v>37.801000000000002</v>
      </c>
      <c r="E3116" s="2">
        <v>37.813000000000002</v>
      </c>
      <c r="F3116" s="2">
        <v>1003139055</v>
      </c>
      <c r="G3116" s="2" t="s">
        <v>571</v>
      </c>
      <c r="H3116" s="2" t="s">
        <v>572</v>
      </c>
      <c r="I3116" s="2" t="s">
        <v>17</v>
      </c>
      <c r="J3116" s="4">
        <v>-5.6760000000000002</v>
      </c>
      <c r="K3116" s="2" t="s">
        <v>109</v>
      </c>
      <c r="L3116" s="2">
        <v>2023</v>
      </c>
      <c r="M3116" s="2" t="s">
        <v>110</v>
      </c>
      <c r="N3116" s="2" t="s">
        <v>23</v>
      </c>
      <c r="O3116">
        <f t="shared" si="96"/>
        <v>2.4720000000000013</v>
      </c>
      <c r="P3116">
        <f t="shared" si="97"/>
        <v>104.60899999999998</v>
      </c>
    </row>
    <row r="3117" spans="1:16" x14ac:dyDescent="0.35">
      <c r="A3117" s="9" t="s">
        <v>133</v>
      </c>
      <c r="B3117" s="2">
        <v>38.466999999999999</v>
      </c>
      <c r="C3117" s="2">
        <v>40.027999999999999</v>
      </c>
      <c r="D3117" s="2">
        <v>38.319000000000003</v>
      </c>
      <c r="E3117" s="2">
        <v>39.747999999999998</v>
      </c>
      <c r="F3117" s="2">
        <v>636227396</v>
      </c>
      <c r="G3117" s="2" t="s">
        <v>571</v>
      </c>
      <c r="H3117" s="2" t="s">
        <v>572</v>
      </c>
      <c r="I3117" s="2" t="s">
        <v>17</v>
      </c>
      <c r="J3117" s="3">
        <v>5.117</v>
      </c>
      <c r="K3117" s="2" t="s">
        <v>134</v>
      </c>
      <c r="L3117" s="2">
        <v>2023</v>
      </c>
      <c r="M3117" s="2" t="s">
        <v>135</v>
      </c>
      <c r="N3117" s="2" t="s">
        <v>21</v>
      </c>
      <c r="O3117">
        <f t="shared" si="96"/>
        <v>1.7089999999999961</v>
      </c>
      <c r="P3117">
        <f t="shared" si="97"/>
        <v>109.72599999999998</v>
      </c>
    </row>
    <row r="3118" spans="1:16" x14ac:dyDescent="0.35">
      <c r="A3118" s="9" t="s">
        <v>136</v>
      </c>
      <c r="B3118" s="2">
        <v>40.075000000000003</v>
      </c>
      <c r="C3118" s="2">
        <v>40.476999999999997</v>
      </c>
      <c r="D3118" s="2">
        <v>39.036000000000001</v>
      </c>
      <c r="E3118" s="2">
        <v>39.305</v>
      </c>
      <c r="F3118" s="2">
        <v>483000292</v>
      </c>
      <c r="G3118" s="2" t="s">
        <v>571</v>
      </c>
      <c r="H3118" s="2" t="s">
        <v>572</v>
      </c>
      <c r="I3118" s="2" t="s">
        <v>17</v>
      </c>
      <c r="J3118" s="4">
        <v>-1.1140000000000001</v>
      </c>
      <c r="K3118" s="2" t="s">
        <v>134</v>
      </c>
      <c r="L3118" s="2">
        <v>2023</v>
      </c>
      <c r="M3118" s="2" t="s">
        <v>135</v>
      </c>
      <c r="N3118" s="2" t="s">
        <v>23</v>
      </c>
      <c r="O3118">
        <f t="shared" si="96"/>
        <v>1.4409999999999954</v>
      </c>
      <c r="P3118">
        <f t="shared" si="97"/>
        <v>108.61199999999998</v>
      </c>
    </row>
    <row r="3119" spans="1:16" x14ac:dyDescent="0.35">
      <c r="A3119" s="9" t="s">
        <v>137</v>
      </c>
      <c r="B3119" s="2">
        <v>38.887</v>
      </c>
      <c r="C3119" s="2">
        <v>39.542999999999999</v>
      </c>
      <c r="D3119" s="2">
        <v>38.685000000000002</v>
      </c>
      <c r="E3119" s="2">
        <v>39.149000000000001</v>
      </c>
      <c r="F3119" s="2">
        <v>396314599</v>
      </c>
      <c r="G3119" s="2" t="s">
        <v>571</v>
      </c>
      <c r="H3119" s="2" t="s">
        <v>572</v>
      </c>
      <c r="I3119" s="2" t="s">
        <v>17</v>
      </c>
      <c r="J3119" s="4">
        <v>-0.39600000000000002</v>
      </c>
      <c r="K3119" s="2" t="s">
        <v>134</v>
      </c>
      <c r="L3119" s="2">
        <v>2023</v>
      </c>
      <c r="M3119" s="2" t="s">
        <v>135</v>
      </c>
      <c r="N3119" s="2" t="s">
        <v>23</v>
      </c>
      <c r="O3119">
        <f t="shared" si="96"/>
        <v>0.85799999999999699</v>
      </c>
      <c r="P3119">
        <f t="shared" si="97"/>
        <v>108.21599999999998</v>
      </c>
    </row>
    <row r="3120" spans="1:16" x14ac:dyDescent="0.35">
      <c r="A3120" s="9" t="s">
        <v>138</v>
      </c>
      <c r="B3120" s="2">
        <v>38.808</v>
      </c>
      <c r="C3120" s="2">
        <v>39.137999999999998</v>
      </c>
      <c r="D3120" s="2">
        <v>38.127000000000002</v>
      </c>
      <c r="E3120" s="2">
        <v>38.631999999999998</v>
      </c>
      <c r="F3120" s="2">
        <v>388945824</v>
      </c>
      <c r="G3120" s="2" t="s">
        <v>571</v>
      </c>
      <c r="H3120" s="2" t="s">
        <v>572</v>
      </c>
      <c r="I3120" s="2" t="s">
        <v>17</v>
      </c>
      <c r="J3120" s="4">
        <v>-1.32</v>
      </c>
      <c r="K3120" s="2" t="s">
        <v>134</v>
      </c>
      <c r="L3120" s="2">
        <v>2023</v>
      </c>
      <c r="M3120" s="2" t="s">
        <v>135</v>
      </c>
      <c r="N3120" s="2" t="s">
        <v>23</v>
      </c>
      <c r="O3120">
        <f t="shared" si="96"/>
        <v>1.0109999999999957</v>
      </c>
      <c r="P3120">
        <f t="shared" si="97"/>
        <v>106.89599999999999</v>
      </c>
    </row>
    <row r="3121" spans="1:16" x14ac:dyDescent="0.35">
      <c r="A3121" s="9" t="s">
        <v>139</v>
      </c>
      <c r="B3121" s="2">
        <v>38.896999999999998</v>
      </c>
      <c r="C3121" s="2">
        <v>39.481000000000002</v>
      </c>
      <c r="D3121" s="2">
        <v>37.338999999999999</v>
      </c>
      <c r="E3121" s="2">
        <v>37.457999999999998</v>
      </c>
      <c r="F3121" s="2">
        <v>512230274</v>
      </c>
      <c r="G3121" s="2" t="s">
        <v>571</v>
      </c>
      <c r="H3121" s="2" t="s">
        <v>572</v>
      </c>
      <c r="I3121" s="2" t="s">
        <v>17</v>
      </c>
      <c r="J3121" s="4">
        <v>-3.04</v>
      </c>
      <c r="K3121" s="2" t="s">
        <v>134</v>
      </c>
      <c r="L3121" s="2">
        <v>2023</v>
      </c>
      <c r="M3121" s="2" t="s">
        <v>135</v>
      </c>
      <c r="N3121" s="2" t="s">
        <v>23</v>
      </c>
      <c r="O3121">
        <f t="shared" si="96"/>
        <v>2.142000000000003</v>
      </c>
      <c r="P3121">
        <f t="shared" si="97"/>
        <v>103.85599999999998</v>
      </c>
    </row>
    <row r="3122" spans="1:16" x14ac:dyDescent="0.35">
      <c r="A3122" s="9" t="s">
        <v>140</v>
      </c>
      <c r="B3122" s="2">
        <v>37.707000000000001</v>
      </c>
      <c r="C3122" s="2">
        <v>38.845999999999997</v>
      </c>
      <c r="D3122" s="2">
        <v>37.488</v>
      </c>
      <c r="E3122" s="2">
        <v>38.491999999999997</v>
      </c>
      <c r="F3122" s="2">
        <v>417962017</v>
      </c>
      <c r="G3122" s="2" t="s">
        <v>571</v>
      </c>
      <c r="H3122" s="2" t="s">
        <v>572</v>
      </c>
      <c r="I3122" s="2" t="s">
        <v>17</v>
      </c>
      <c r="J3122" s="3">
        <v>2.762</v>
      </c>
      <c r="K3122" s="2" t="s">
        <v>134</v>
      </c>
      <c r="L3122" s="2">
        <v>2023</v>
      </c>
      <c r="M3122" s="2" t="s">
        <v>135</v>
      </c>
      <c r="N3122" s="2" t="s">
        <v>21</v>
      </c>
      <c r="O3122">
        <f t="shared" si="96"/>
        <v>1.357999999999997</v>
      </c>
      <c r="P3122">
        <f t="shared" si="97"/>
        <v>106.61799999999998</v>
      </c>
    </row>
    <row r="3123" spans="1:16" x14ac:dyDescent="0.35">
      <c r="A3123" s="9" t="s">
        <v>141</v>
      </c>
      <c r="B3123" s="2">
        <v>39.018999999999998</v>
      </c>
      <c r="C3123" s="2">
        <v>39.692999999999998</v>
      </c>
      <c r="D3123" s="2">
        <v>38.548999999999999</v>
      </c>
      <c r="E3123" s="2">
        <v>38.752000000000002</v>
      </c>
      <c r="F3123" s="2">
        <v>427911601</v>
      </c>
      <c r="G3123" s="2" t="s">
        <v>571</v>
      </c>
      <c r="H3123" s="2" t="s">
        <v>572</v>
      </c>
      <c r="I3123" s="2" t="s">
        <v>17</v>
      </c>
      <c r="J3123" s="3">
        <v>0.67500000000000004</v>
      </c>
      <c r="K3123" s="2" t="s">
        <v>134</v>
      </c>
      <c r="L3123" s="2">
        <v>2023</v>
      </c>
      <c r="M3123" s="2" t="s">
        <v>135</v>
      </c>
      <c r="N3123" s="2" t="s">
        <v>21</v>
      </c>
      <c r="O3123">
        <f t="shared" si="96"/>
        <v>1.1439999999999984</v>
      </c>
      <c r="P3123">
        <f t="shared" si="97"/>
        <v>107.29299999999998</v>
      </c>
    </row>
    <row r="3124" spans="1:16" x14ac:dyDescent="0.35">
      <c r="A3124" s="9" t="s">
        <v>142</v>
      </c>
      <c r="B3124" s="2">
        <v>39.182000000000002</v>
      </c>
      <c r="C3124" s="2">
        <v>39.512</v>
      </c>
      <c r="D3124" s="2">
        <v>38.6</v>
      </c>
      <c r="E3124" s="2">
        <v>39.463999999999999</v>
      </c>
      <c r="F3124" s="2">
        <v>389850214</v>
      </c>
      <c r="G3124" s="2" t="s">
        <v>571</v>
      </c>
      <c r="H3124" s="2" t="s">
        <v>572</v>
      </c>
      <c r="I3124" s="2" t="s">
        <v>17</v>
      </c>
      <c r="J3124" s="3">
        <v>1.8360000000000001</v>
      </c>
      <c r="K3124" s="2" t="s">
        <v>134</v>
      </c>
      <c r="L3124" s="2">
        <v>2023</v>
      </c>
      <c r="M3124" s="2" t="s">
        <v>135</v>
      </c>
      <c r="N3124" s="2" t="s">
        <v>21</v>
      </c>
      <c r="O3124">
        <f t="shared" si="96"/>
        <v>0.91199999999999903</v>
      </c>
      <c r="P3124">
        <f t="shared" si="97"/>
        <v>109.12899999999998</v>
      </c>
    </row>
    <row r="3125" spans="1:16" x14ac:dyDescent="0.35">
      <c r="A3125" s="9" t="s">
        <v>143</v>
      </c>
      <c r="B3125" s="2">
        <v>40.167999999999999</v>
      </c>
      <c r="C3125" s="2">
        <v>41.082000000000001</v>
      </c>
      <c r="D3125" s="2">
        <v>39.722000000000001</v>
      </c>
      <c r="E3125" s="2">
        <v>41.003</v>
      </c>
      <c r="F3125" s="2">
        <v>613486481</v>
      </c>
      <c r="G3125" s="2" t="s">
        <v>571</v>
      </c>
      <c r="H3125" s="2" t="s">
        <v>572</v>
      </c>
      <c r="I3125" s="2" t="s">
        <v>17</v>
      </c>
      <c r="J3125" s="3">
        <v>3.9009999999999998</v>
      </c>
      <c r="K3125" s="2" t="s">
        <v>134</v>
      </c>
      <c r="L3125" s="2">
        <v>2023</v>
      </c>
      <c r="M3125" s="2" t="s">
        <v>135</v>
      </c>
      <c r="N3125" s="2" t="s">
        <v>21</v>
      </c>
      <c r="O3125">
        <f t="shared" si="96"/>
        <v>1.3599999999999994</v>
      </c>
      <c r="P3125">
        <f t="shared" si="97"/>
        <v>113.02999999999997</v>
      </c>
    </row>
    <row r="3126" spans="1:16" x14ac:dyDescent="0.35">
      <c r="A3126" s="9" t="s">
        <v>144</v>
      </c>
      <c r="B3126" s="2">
        <v>40.805</v>
      </c>
      <c r="C3126" s="2">
        <v>42.98</v>
      </c>
      <c r="D3126" s="2">
        <v>40.533999999999999</v>
      </c>
      <c r="E3126" s="2">
        <v>42.976999999999997</v>
      </c>
      <c r="F3126" s="2">
        <v>740801100</v>
      </c>
      <c r="G3126" s="2" t="s">
        <v>571</v>
      </c>
      <c r="H3126" s="2" t="s">
        <v>572</v>
      </c>
      <c r="I3126" s="2" t="s">
        <v>17</v>
      </c>
      <c r="J3126" s="3">
        <v>4.8140000000000001</v>
      </c>
      <c r="K3126" s="2" t="s">
        <v>134</v>
      </c>
      <c r="L3126" s="2">
        <v>2023</v>
      </c>
      <c r="M3126" s="2" t="s">
        <v>135</v>
      </c>
      <c r="N3126" s="2" t="s">
        <v>21</v>
      </c>
      <c r="O3126">
        <f t="shared" si="96"/>
        <v>2.445999999999998</v>
      </c>
      <c r="P3126">
        <f t="shared" si="97"/>
        <v>117.84399999999997</v>
      </c>
    </row>
    <row r="3127" spans="1:16" x14ac:dyDescent="0.35">
      <c r="A3127" s="9" t="s">
        <v>145</v>
      </c>
      <c r="B3127" s="2">
        <v>42.582999999999998</v>
      </c>
      <c r="C3127" s="2">
        <v>43.268999999999998</v>
      </c>
      <c r="D3127" s="2">
        <v>42.128</v>
      </c>
      <c r="E3127" s="2">
        <v>42.634</v>
      </c>
      <c r="F3127" s="2">
        <v>568880124</v>
      </c>
      <c r="G3127" s="2" t="s">
        <v>571</v>
      </c>
      <c r="H3127" s="2" t="s">
        <v>572</v>
      </c>
      <c r="I3127" s="2" t="s">
        <v>17</v>
      </c>
      <c r="J3127" s="4">
        <v>-0.8</v>
      </c>
      <c r="K3127" s="2" t="s">
        <v>134</v>
      </c>
      <c r="L3127" s="2">
        <v>2023</v>
      </c>
      <c r="M3127" s="2" t="s">
        <v>135</v>
      </c>
      <c r="N3127" s="2" t="s">
        <v>23</v>
      </c>
      <c r="O3127">
        <f t="shared" si="96"/>
        <v>1.1409999999999982</v>
      </c>
      <c r="P3127">
        <f t="shared" si="97"/>
        <v>117.04399999999997</v>
      </c>
    </row>
    <row r="3128" spans="1:16" x14ac:dyDescent="0.35">
      <c r="A3128" s="9" t="s">
        <v>146</v>
      </c>
      <c r="B3128" s="2">
        <v>43.43</v>
      </c>
      <c r="C3128" s="2">
        <v>43.701000000000001</v>
      </c>
      <c r="D3128" s="2">
        <v>42.640999999999998</v>
      </c>
      <c r="E3128" s="2">
        <v>42.673000000000002</v>
      </c>
      <c r="F3128" s="2">
        <v>656007021</v>
      </c>
      <c r="G3128" s="2" t="s">
        <v>571</v>
      </c>
      <c r="H3128" s="2" t="s">
        <v>572</v>
      </c>
      <c r="I3128" s="2" t="s">
        <v>17</v>
      </c>
      <c r="J3128" s="3">
        <v>9.0999999999999998E-2</v>
      </c>
      <c r="K3128" s="2" t="s">
        <v>134</v>
      </c>
      <c r="L3128" s="2">
        <v>2023</v>
      </c>
      <c r="M3128" s="2" t="s">
        <v>135</v>
      </c>
      <c r="N3128" s="2" t="s">
        <v>21</v>
      </c>
      <c r="O3128">
        <f t="shared" si="96"/>
        <v>1.0600000000000023</v>
      </c>
      <c r="P3128">
        <f t="shared" si="97"/>
        <v>117.13499999999996</v>
      </c>
    </row>
    <row r="3129" spans="1:16" x14ac:dyDescent="0.35">
      <c r="A3129" s="9" t="s">
        <v>147</v>
      </c>
      <c r="B3129" s="2">
        <v>42.978000000000002</v>
      </c>
      <c r="C3129" s="2">
        <v>43.97</v>
      </c>
      <c r="D3129" s="2">
        <v>42.655000000000001</v>
      </c>
      <c r="E3129" s="2">
        <v>43.787999999999997</v>
      </c>
      <c r="F3129" s="2">
        <v>451357878</v>
      </c>
      <c r="G3129" s="2" t="s">
        <v>571</v>
      </c>
      <c r="H3129" s="2" t="s">
        <v>572</v>
      </c>
      <c r="I3129" s="2" t="s">
        <v>17</v>
      </c>
      <c r="J3129" s="3">
        <v>2.6139999999999999</v>
      </c>
      <c r="K3129" s="2" t="s">
        <v>134</v>
      </c>
      <c r="L3129" s="2">
        <v>2023</v>
      </c>
      <c r="M3129" s="2" t="s">
        <v>135</v>
      </c>
      <c r="N3129" s="2" t="s">
        <v>21</v>
      </c>
      <c r="O3129">
        <f t="shared" si="96"/>
        <v>1.3149999999999977</v>
      </c>
      <c r="P3129">
        <f t="shared" si="97"/>
        <v>119.74899999999997</v>
      </c>
    </row>
    <row r="3130" spans="1:16" x14ac:dyDescent="0.35">
      <c r="A3130" s="9" t="s">
        <v>148</v>
      </c>
      <c r="B3130" s="2">
        <v>43.481000000000002</v>
      </c>
      <c r="C3130" s="2">
        <v>43.594999999999999</v>
      </c>
      <c r="D3130" s="2">
        <v>42.061</v>
      </c>
      <c r="E3130" s="2">
        <v>43.026000000000003</v>
      </c>
      <c r="F3130" s="2">
        <v>551853270</v>
      </c>
      <c r="G3130" s="2" t="s">
        <v>571</v>
      </c>
      <c r="H3130" s="2" t="s">
        <v>572</v>
      </c>
      <c r="I3130" s="2" t="s">
        <v>17</v>
      </c>
      <c r="J3130" s="4">
        <v>-1.742</v>
      </c>
      <c r="K3130" s="2" t="s">
        <v>134</v>
      </c>
      <c r="L3130" s="2">
        <v>2023</v>
      </c>
      <c r="M3130" s="2" t="s">
        <v>135</v>
      </c>
      <c r="N3130" s="2" t="s">
        <v>23</v>
      </c>
      <c r="O3130">
        <f t="shared" si="96"/>
        <v>1.5339999999999989</v>
      </c>
      <c r="P3130">
        <f t="shared" si="97"/>
        <v>118.00699999999996</v>
      </c>
    </row>
    <row r="3131" spans="1:16" x14ac:dyDescent="0.35">
      <c r="A3131" s="9" t="s">
        <v>149</v>
      </c>
      <c r="B3131" s="2">
        <v>42.234000000000002</v>
      </c>
      <c r="C3131" s="2">
        <v>43.405999999999999</v>
      </c>
      <c r="D3131" s="2">
        <v>42.215000000000003</v>
      </c>
      <c r="E3131" s="2">
        <v>43.005000000000003</v>
      </c>
      <c r="F3131" s="2">
        <v>417927031</v>
      </c>
      <c r="G3131" s="2" t="s">
        <v>571</v>
      </c>
      <c r="H3131" s="2" t="s">
        <v>572</v>
      </c>
      <c r="I3131" s="2" t="s">
        <v>17</v>
      </c>
      <c r="J3131" s="4">
        <v>-4.5999999999999999E-2</v>
      </c>
      <c r="K3131" s="2" t="s">
        <v>134</v>
      </c>
      <c r="L3131" s="2">
        <v>2023</v>
      </c>
      <c r="M3131" s="2" t="s">
        <v>135</v>
      </c>
      <c r="N3131" s="2" t="s">
        <v>23</v>
      </c>
      <c r="O3131">
        <f t="shared" si="96"/>
        <v>1.1909999999999954</v>
      </c>
      <c r="P3131">
        <f t="shared" si="97"/>
        <v>117.96099999999996</v>
      </c>
    </row>
    <row r="3132" spans="1:16" x14ac:dyDescent="0.35">
      <c r="A3132" s="9" t="s">
        <v>150</v>
      </c>
      <c r="B3132" s="2">
        <v>42.445</v>
      </c>
      <c r="C3132" s="2">
        <v>42.79</v>
      </c>
      <c r="D3132" s="2">
        <v>41.996000000000002</v>
      </c>
      <c r="E3132" s="2">
        <v>42.19</v>
      </c>
      <c r="F3132" s="2">
        <v>358302391</v>
      </c>
      <c r="G3132" s="2" t="s">
        <v>571</v>
      </c>
      <c r="H3132" s="2" t="s">
        <v>572</v>
      </c>
      <c r="I3132" s="2" t="s">
        <v>17</v>
      </c>
      <c r="J3132" s="4">
        <v>-1.897</v>
      </c>
      <c r="K3132" s="2" t="s">
        <v>134</v>
      </c>
      <c r="L3132" s="2">
        <v>2023</v>
      </c>
      <c r="M3132" s="2" t="s">
        <v>135</v>
      </c>
      <c r="N3132" s="2" t="s">
        <v>23</v>
      </c>
      <c r="O3132">
        <f t="shared" si="96"/>
        <v>0.79399999999999693</v>
      </c>
      <c r="P3132">
        <f t="shared" si="97"/>
        <v>116.06399999999995</v>
      </c>
    </row>
    <row r="3133" spans="1:16" x14ac:dyDescent="0.35">
      <c r="A3133" s="9" t="s">
        <v>151</v>
      </c>
      <c r="B3133" s="2">
        <v>42.423000000000002</v>
      </c>
      <c r="C3133" s="2">
        <v>42.744999999999997</v>
      </c>
      <c r="D3133" s="2">
        <v>40.082000000000001</v>
      </c>
      <c r="E3133" s="2">
        <v>40.613999999999997</v>
      </c>
      <c r="F3133" s="2">
        <v>594591669</v>
      </c>
      <c r="G3133" s="2" t="s">
        <v>571</v>
      </c>
      <c r="H3133" s="2" t="s">
        <v>572</v>
      </c>
      <c r="I3133" s="2" t="s">
        <v>17</v>
      </c>
      <c r="J3133" s="4">
        <v>-3.7360000000000002</v>
      </c>
      <c r="K3133" s="2" t="s">
        <v>134</v>
      </c>
      <c r="L3133" s="2">
        <v>2023</v>
      </c>
      <c r="M3133" s="2" t="s">
        <v>135</v>
      </c>
      <c r="N3133" s="2" t="s">
        <v>23</v>
      </c>
      <c r="O3133">
        <f t="shared" si="96"/>
        <v>2.6629999999999967</v>
      </c>
      <c r="P3133">
        <f t="shared" si="97"/>
        <v>112.32799999999995</v>
      </c>
    </row>
    <row r="3134" spans="1:16" x14ac:dyDescent="0.35">
      <c r="A3134" s="9" t="s">
        <v>152</v>
      </c>
      <c r="B3134" s="2">
        <v>40.780999999999999</v>
      </c>
      <c r="C3134" s="2">
        <v>41.920999999999999</v>
      </c>
      <c r="D3134" s="2">
        <v>40.43</v>
      </c>
      <c r="E3134" s="2">
        <v>41.856999999999999</v>
      </c>
      <c r="F3134" s="2">
        <v>462384470</v>
      </c>
      <c r="G3134" s="2" t="s">
        <v>571</v>
      </c>
      <c r="H3134" s="2" t="s">
        <v>572</v>
      </c>
      <c r="I3134" s="2" t="s">
        <v>17</v>
      </c>
      <c r="J3134" s="3">
        <v>3.0609999999999999</v>
      </c>
      <c r="K3134" s="2" t="s">
        <v>134</v>
      </c>
      <c r="L3134" s="2">
        <v>2023</v>
      </c>
      <c r="M3134" s="2" t="s">
        <v>135</v>
      </c>
      <c r="N3134" s="2" t="s">
        <v>21</v>
      </c>
      <c r="O3134">
        <f t="shared" si="96"/>
        <v>1.4909999999999997</v>
      </c>
      <c r="P3134">
        <f t="shared" si="97"/>
        <v>115.38899999999995</v>
      </c>
    </row>
    <row r="3135" spans="1:16" x14ac:dyDescent="0.35">
      <c r="A3135" s="9" t="s">
        <v>153</v>
      </c>
      <c r="B3135" s="2">
        <v>40.642000000000003</v>
      </c>
      <c r="C3135" s="2">
        <v>41.826000000000001</v>
      </c>
      <c r="D3135" s="2">
        <v>40.5</v>
      </c>
      <c r="E3135" s="2">
        <v>41.097999999999999</v>
      </c>
      <c r="F3135" s="2">
        <v>582903716</v>
      </c>
      <c r="G3135" s="2" t="s">
        <v>571</v>
      </c>
      <c r="H3135" s="2" t="s">
        <v>572</v>
      </c>
      <c r="I3135" s="2" t="s">
        <v>17</v>
      </c>
      <c r="J3135" s="4">
        <v>-1.8120000000000001</v>
      </c>
      <c r="K3135" s="2" t="s">
        <v>134</v>
      </c>
      <c r="L3135" s="2">
        <v>2023</v>
      </c>
      <c r="M3135" s="2" t="s">
        <v>135</v>
      </c>
      <c r="N3135" s="2" t="s">
        <v>23</v>
      </c>
      <c r="O3135">
        <f t="shared" si="96"/>
        <v>1.3260000000000005</v>
      </c>
      <c r="P3135">
        <f t="shared" si="97"/>
        <v>113.57699999999996</v>
      </c>
    </row>
    <row r="3136" spans="1:16" x14ac:dyDescent="0.35">
      <c r="A3136" s="9" t="s">
        <v>154</v>
      </c>
      <c r="B3136" s="2">
        <v>41.539000000000001</v>
      </c>
      <c r="C3136" s="2">
        <v>41.581000000000003</v>
      </c>
      <c r="D3136" s="2">
        <v>40.582000000000001</v>
      </c>
      <c r="E3136" s="2">
        <v>40.802999999999997</v>
      </c>
      <c r="F3136" s="2">
        <v>380687006</v>
      </c>
      <c r="G3136" s="2" t="s">
        <v>571</v>
      </c>
      <c r="H3136" s="2" t="s">
        <v>572</v>
      </c>
      <c r="I3136" s="2" t="s">
        <v>17</v>
      </c>
      <c r="J3136" s="4">
        <v>-0.71799999999999997</v>
      </c>
      <c r="K3136" s="2" t="s">
        <v>134</v>
      </c>
      <c r="L3136" s="2">
        <v>2023</v>
      </c>
      <c r="M3136" s="2" t="s">
        <v>135</v>
      </c>
      <c r="N3136" s="2" t="s">
        <v>23</v>
      </c>
      <c r="O3136">
        <f t="shared" si="96"/>
        <v>0.99900000000000233</v>
      </c>
      <c r="P3136">
        <f t="shared" si="97"/>
        <v>112.85899999999995</v>
      </c>
    </row>
    <row r="3137" spans="1:16" x14ac:dyDescent="0.35">
      <c r="A3137" s="9" t="s">
        <v>155</v>
      </c>
      <c r="B3137" s="2">
        <v>41.661000000000001</v>
      </c>
      <c r="C3137" s="2">
        <v>42.530999999999999</v>
      </c>
      <c r="D3137" s="2">
        <v>41.481999999999999</v>
      </c>
      <c r="E3137" s="2">
        <v>42.283000000000001</v>
      </c>
      <c r="F3137" s="2">
        <v>501375209</v>
      </c>
      <c r="G3137" s="2" t="s">
        <v>571</v>
      </c>
      <c r="H3137" s="2" t="s">
        <v>572</v>
      </c>
      <c r="I3137" s="2" t="s">
        <v>17</v>
      </c>
      <c r="J3137" s="3">
        <v>3.6259999999999999</v>
      </c>
      <c r="K3137" s="2" t="s">
        <v>134</v>
      </c>
      <c r="L3137" s="2">
        <v>2023</v>
      </c>
      <c r="M3137" s="2" t="s">
        <v>135</v>
      </c>
      <c r="N3137" s="2" t="s">
        <v>21</v>
      </c>
      <c r="O3137">
        <f t="shared" si="96"/>
        <v>1.0489999999999995</v>
      </c>
      <c r="P3137">
        <f t="shared" si="97"/>
        <v>116.48499999999996</v>
      </c>
    </row>
    <row r="3138" spans="1:16" x14ac:dyDescent="0.35">
      <c r="A3138" s="9" t="s">
        <v>156</v>
      </c>
      <c r="B3138" s="2">
        <v>42.497999999999998</v>
      </c>
      <c r="C3138" s="2">
        <v>42.878999999999998</v>
      </c>
      <c r="D3138" s="2">
        <v>42.183</v>
      </c>
      <c r="E3138" s="2">
        <v>42.393999999999998</v>
      </c>
      <c r="F3138" s="2">
        <v>198299152</v>
      </c>
      <c r="G3138" s="2" t="s">
        <v>571</v>
      </c>
      <c r="H3138" s="2" t="s">
        <v>572</v>
      </c>
      <c r="I3138" s="2" t="s">
        <v>17</v>
      </c>
      <c r="J3138" s="3">
        <v>0.26300000000000001</v>
      </c>
      <c r="K3138" s="2" t="s">
        <v>157</v>
      </c>
      <c r="L3138" s="2">
        <v>2023</v>
      </c>
      <c r="M3138" s="2" t="s">
        <v>158</v>
      </c>
      <c r="N3138" s="2" t="s">
        <v>21</v>
      </c>
      <c r="O3138">
        <f t="shared" si="96"/>
        <v>0.69599999999999795</v>
      </c>
      <c r="P3138">
        <f t="shared" si="97"/>
        <v>116.74799999999996</v>
      </c>
    </row>
    <row r="3139" spans="1:16" x14ac:dyDescent="0.35">
      <c r="A3139" s="9" t="s">
        <v>159</v>
      </c>
      <c r="B3139" s="2">
        <v>42.116</v>
      </c>
      <c r="C3139" s="2">
        <v>43.156999999999996</v>
      </c>
      <c r="D3139" s="2">
        <v>42.066000000000003</v>
      </c>
      <c r="E3139" s="2">
        <v>42.298000000000002</v>
      </c>
      <c r="F3139" s="2">
        <v>323764442</v>
      </c>
      <c r="G3139" s="2" t="s">
        <v>571</v>
      </c>
      <c r="H3139" s="2" t="s">
        <v>572</v>
      </c>
      <c r="I3139" s="2" t="s">
        <v>17</v>
      </c>
      <c r="J3139" s="4">
        <v>-0.22600000000000001</v>
      </c>
      <c r="K3139" s="2" t="s">
        <v>157</v>
      </c>
      <c r="L3139" s="2">
        <v>2023</v>
      </c>
      <c r="M3139" s="2" t="s">
        <v>158</v>
      </c>
      <c r="N3139" s="2" t="s">
        <v>23</v>
      </c>
      <c r="O3139">
        <f t="shared" ref="O3139:O3202" si="98">C3139-D3139</f>
        <v>1.090999999999994</v>
      </c>
      <c r="P3139">
        <f t="shared" si="97"/>
        <v>116.52199999999996</v>
      </c>
    </row>
    <row r="3140" spans="1:16" x14ac:dyDescent="0.35">
      <c r="A3140" s="9" t="s">
        <v>160</v>
      </c>
      <c r="B3140" s="2">
        <v>41.825000000000003</v>
      </c>
      <c r="C3140" s="2">
        <v>42.16</v>
      </c>
      <c r="D3140" s="2">
        <v>41.326999999999998</v>
      </c>
      <c r="E3140" s="2">
        <v>42.084000000000003</v>
      </c>
      <c r="F3140" s="2">
        <v>304276831</v>
      </c>
      <c r="G3140" s="2" t="s">
        <v>571</v>
      </c>
      <c r="H3140" s="2" t="s">
        <v>572</v>
      </c>
      <c r="I3140" s="2" t="s">
        <v>17</v>
      </c>
      <c r="J3140" s="4">
        <v>-0.50600000000000001</v>
      </c>
      <c r="K3140" s="2" t="s">
        <v>157</v>
      </c>
      <c r="L3140" s="2">
        <v>2023</v>
      </c>
      <c r="M3140" s="2" t="s">
        <v>158</v>
      </c>
      <c r="N3140" s="2" t="s">
        <v>23</v>
      </c>
      <c r="O3140">
        <f t="shared" si="98"/>
        <v>0.83299999999999841</v>
      </c>
      <c r="P3140">
        <f t="shared" ref="P3140:P3203" si="99">IF(G3140=G3139, P3139+J3140, J3140)</f>
        <v>116.01599999999996</v>
      </c>
    </row>
    <row r="3141" spans="1:16" x14ac:dyDescent="0.35">
      <c r="A3141" s="9" t="s">
        <v>161</v>
      </c>
      <c r="B3141" s="2">
        <v>42.302999999999997</v>
      </c>
      <c r="C3141" s="2">
        <v>43.194000000000003</v>
      </c>
      <c r="D3141" s="2">
        <v>42.161000000000001</v>
      </c>
      <c r="E3141" s="2">
        <v>42.484000000000002</v>
      </c>
      <c r="F3141" s="2">
        <v>356042996</v>
      </c>
      <c r="G3141" s="2" t="s">
        <v>571</v>
      </c>
      <c r="H3141" s="2" t="s">
        <v>572</v>
      </c>
      <c r="I3141" s="2" t="s">
        <v>17</v>
      </c>
      <c r="J3141" s="3">
        <v>0.95</v>
      </c>
      <c r="K3141" s="2" t="s">
        <v>157</v>
      </c>
      <c r="L3141" s="2">
        <v>2023</v>
      </c>
      <c r="M3141" s="2" t="s">
        <v>158</v>
      </c>
      <c r="N3141" s="2" t="s">
        <v>21</v>
      </c>
      <c r="O3141">
        <f t="shared" si="98"/>
        <v>1.0330000000000013</v>
      </c>
      <c r="P3141">
        <f t="shared" si="99"/>
        <v>116.96599999999997</v>
      </c>
    </row>
    <row r="3142" spans="1:16" x14ac:dyDescent="0.35">
      <c r="A3142" s="9" t="s">
        <v>162</v>
      </c>
      <c r="B3142" s="2">
        <v>42.637999999999998</v>
      </c>
      <c r="C3142" s="2">
        <v>42.792000000000002</v>
      </c>
      <c r="D3142" s="2">
        <v>41.63</v>
      </c>
      <c r="E3142" s="2">
        <v>42.161000000000001</v>
      </c>
      <c r="F3142" s="2">
        <v>354068740</v>
      </c>
      <c r="G3142" s="2" t="s">
        <v>571</v>
      </c>
      <c r="H3142" s="2" t="s">
        <v>572</v>
      </c>
      <c r="I3142" s="2" t="s">
        <v>17</v>
      </c>
      <c r="J3142" s="4">
        <v>-0.76</v>
      </c>
      <c r="K3142" s="2" t="s">
        <v>157</v>
      </c>
      <c r="L3142" s="2">
        <v>2023</v>
      </c>
      <c r="M3142" s="2" t="s">
        <v>158</v>
      </c>
      <c r="N3142" s="2" t="s">
        <v>23</v>
      </c>
      <c r="O3142">
        <f t="shared" si="98"/>
        <v>1.161999999999999</v>
      </c>
      <c r="P3142">
        <f t="shared" si="99"/>
        <v>116.20599999999996</v>
      </c>
    </row>
    <row r="3143" spans="1:16" x14ac:dyDescent="0.35">
      <c r="A3143" s="9" t="s">
        <v>163</v>
      </c>
      <c r="B3143" s="2">
        <v>42.462000000000003</v>
      </c>
      <c r="C3143" s="2">
        <v>42.738999999999997</v>
      </c>
      <c r="D3143" s="2">
        <v>42.048000000000002</v>
      </c>
      <c r="E3143" s="2">
        <v>42.386000000000003</v>
      </c>
      <c r="F3143" s="2">
        <v>298379426</v>
      </c>
      <c r="G3143" s="2" t="s">
        <v>571</v>
      </c>
      <c r="H3143" s="2" t="s">
        <v>572</v>
      </c>
      <c r="I3143" s="2" t="s">
        <v>17</v>
      </c>
      <c r="J3143" s="3">
        <v>0.53400000000000003</v>
      </c>
      <c r="K3143" s="2" t="s">
        <v>157</v>
      </c>
      <c r="L3143" s="2">
        <v>2023</v>
      </c>
      <c r="M3143" s="2" t="s">
        <v>158</v>
      </c>
      <c r="N3143" s="2" t="s">
        <v>21</v>
      </c>
      <c r="O3143">
        <f t="shared" si="98"/>
        <v>0.6909999999999954</v>
      </c>
      <c r="P3143">
        <f t="shared" si="99"/>
        <v>116.73999999999997</v>
      </c>
    </row>
    <row r="3144" spans="1:16" x14ac:dyDescent="0.35">
      <c r="A3144" s="9" t="s">
        <v>164</v>
      </c>
      <c r="B3144" s="2">
        <v>43.014000000000003</v>
      </c>
      <c r="C3144" s="2">
        <v>43.914999999999999</v>
      </c>
      <c r="D3144" s="2">
        <v>42.758000000000003</v>
      </c>
      <c r="E3144" s="2">
        <v>43.881999999999998</v>
      </c>
      <c r="F3144" s="2">
        <v>481495460</v>
      </c>
      <c r="G3144" s="2" t="s">
        <v>571</v>
      </c>
      <c r="H3144" s="2" t="s">
        <v>572</v>
      </c>
      <c r="I3144" s="2" t="s">
        <v>17</v>
      </c>
      <c r="J3144" s="3">
        <v>3.53</v>
      </c>
      <c r="K3144" s="2" t="s">
        <v>157</v>
      </c>
      <c r="L3144" s="2">
        <v>2023</v>
      </c>
      <c r="M3144" s="2" t="s">
        <v>158</v>
      </c>
      <c r="N3144" s="2" t="s">
        <v>21</v>
      </c>
      <c r="O3144">
        <f t="shared" si="98"/>
        <v>1.1569999999999965</v>
      </c>
      <c r="P3144">
        <f t="shared" si="99"/>
        <v>120.26999999999997</v>
      </c>
    </row>
    <row r="3145" spans="1:16" x14ac:dyDescent="0.35">
      <c r="A3145" s="9" t="s">
        <v>165</v>
      </c>
      <c r="B3145" s="2">
        <v>44.497999999999998</v>
      </c>
      <c r="C3145" s="2">
        <v>46.134</v>
      </c>
      <c r="D3145" s="2">
        <v>44.472000000000001</v>
      </c>
      <c r="E3145" s="2">
        <v>45.956000000000003</v>
      </c>
      <c r="F3145" s="2">
        <v>478420735</v>
      </c>
      <c r="G3145" s="2" t="s">
        <v>571</v>
      </c>
      <c r="H3145" s="2" t="s">
        <v>572</v>
      </c>
      <c r="I3145" s="2" t="s">
        <v>17</v>
      </c>
      <c r="J3145" s="3">
        <v>4.7270000000000003</v>
      </c>
      <c r="K3145" s="2" t="s">
        <v>157</v>
      </c>
      <c r="L3145" s="2">
        <v>2023</v>
      </c>
      <c r="M3145" s="2" t="s">
        <v>158</v>
      </c>
      <c r="N3145" s="2" t="s">
        <v>21</v>
      </c>
      <c r="O3145">
        <f t="shared" si="98"/>
        <v>1.661999999999999</v>
      </c>
      <c r="P3145">
        <f t="shared" si="99"/>
        <v>124.99699999999997</v>
      </c>
    </row>
    <row r="3146" spans="1:16" x14ac:dyDescent="0.35">
      <c r="A3146" s="9" t="s">
        <v>166</v>
      </c>
      <c r="B3146" s="2">
        <v>46.561999999999998</v>
      </c>
      <c r="C3146" s="2">
        <v>48.066000000000003</v>
      </c>
      <c r="D3146" s="2">
        <v>45.039000000000001</v>
      </c>
      <c r="E3146" s="2">
        <v>45.448999999999998</v>
      </c>
      <c r="F3146" s="2">
        <v>772425757</v>
      </c>
      <c r="G3146" s="2" t="s">
        <v>571</v>
      </c>
      <c r="H3146" s="2" t="s">
        <v>572</v>
      </c>
      <c r="I3146" s="2" t="s">
        <v>17</v>
      </c>
      <c r="J3146" s="4">
        <v>-1.105</v>
      </c>
      <c r="K3146" s="2" t="s">
        <v>157</v>
      </c>
      <c r="L3146" s="2">
        <v>2023</v>
      </c>
      <c r="M3146" s="2" t="s">
        <v>158</v>
      </c>
      <c r="N3146" s="2" t="s">
        <v>23</v>
      </c>
      <c r="O3146">
        <f t="shared" si="98"/>
        <v>3.027000000000001</v>
      </c>
      <c r="P3146">
        <f t="shared" si="99"/>
        <v>123.89199999999997</v>
      </c>
    </row>
    <row r="3147" spans="1:16" x14ac:dyDescent="0.35">
      <c r="A3147" s="9" t="s">
        <v>167</v>
      </c>
      <c r="B3147" s="2">
        <v>46.268000000000001</v>
      </c>
      <c r="C3147" s="2">
        <v>46.475000000000001</v>
      </c>
      <c r="D3147" s="2">
        <v>45.241999999999997</v>
      </c>
      <c r="E3147" s="2">
        <v>46.44</v>
      </c>
      <c r="F3147" s="2">
        <v>510719919</v>
      </c>
      <c r="G3147" s="2" t="s">
        <v>571</v>
      </c>
      <c r="H3147" s="2" t="s">
        <v>572</v>
      </c>
      <c r="I3147" s="2" t="s">
        <v>17</v>
      </c>
      <c r="J3147" s="3">
        <v>2.181</v>
      </c>
      <c r="K3147" s="2" t="s">
        <v>157</v>
      </c>
      <c r="L3147" s="2">
        <v>2023</v>
      </c>
      <c r="M3147" s="2" t="s">
        <v>158</v>
      </c>
      <c r="N3147" s="2" t="s">
        <v>21</v>
      </c>
      <c r="O3147">
        <f t="shared" si="98"/>
        <v>1.2330000000000041</v>
      </c>
      <c r="P3147">
        <f t="shared" si="99"/>
        <v>126.07299999999996</v>
      </c>
    </row>
    <row r="3148" spans="1:16" x14ac:dyDescent="0.35">
      <c r="A3148" s="9" t="s">
        <v>168</v>
      </c>
      <c r="B3148" s="2">
        <v>46.68</v>
      </c>
      <c r="C3148" s="2">
        <v>47.874000000000002</v>
      </c>
      <c r="D3148" s="2">
        <v>45.713000000000001</v>
      </c>
      <c r="E3148" s="2">
        <v>47.472000000000001</v>
      </c>
      <c r="F3148" s="2">
        <v>570449216</v>
      </c>
      <c r="G3148" s="2" t="s">
        <v>571</v>
      </c>
      <c r="H3148" s="2" t="s">
        <v>572</v>
      </c>
      <c r="I3148" s="2" t="s">
        <v>17</v>
      </c>
      <c r="J3148" s="3">
        <v>2.2229999999999999</v>
      </c>
      <c r="K3148" s="2" t="s">
        <v>157</v>
      </c>
      <c r="L3148" s="2">
        <v>2023</v>
      </c>
      <c r="M3148" s="2" t="s">
        <v>158</v>
      </c>
      <c r="N3148" s="2" t="s">
        <v>21</v>
      </c>
      <c r="O3148">
        <f t="shared" si="98"/>
        <v>2.1610000000000014</v>
      </c>
      <c r="P3148">
        <f t="shared" si="99"/>
        <v>128.29599999999996</v>
      </c>
    </row>
    <row r="3149" spans="1:16" x14ac:dyDescent="0.35">
      <c r="A3149" s="9" t="s">
        <v>169</v>
      </c>
      <c r="B3149" s="2">
        <v>47.442</v>
      </c>
      <c r="C3149" s="2">
        <v>47.795999999999999</v>
      </c>
      <c r="D3149" s="2">
        <v>46.720999999999997</v>
      </c>
      <c r="E3149" s="2">
        <v>47.055999999999997</v>
      </c>
      <c r="F3149" s="2">
        <v>427695823</v>
      </c>
      <c r="G3149" s="2" t="s">
        <v>571</v>
      </c>
      <c r="H3149" s="2" t="s">
        <v>572</v>
      </c>
      <c r="I3149" s="2" t="s">
        <v>17</v>
      </c>
      <c r="J3149" s="4">
        <v>-0.878</v>
      </c>
      <c r="K3149" s="2" t="s">
        <v>157</v>
      </c>
      <c r="L3149" s="2">
        <v>2023</v>
      </c>
      <c r="M3149" s="2" t="s">
        <v>158</v>
      </c>
      <c r="N3149" s="2" t="s">
        <v>23</v>
      </c>
      <c r="O3149">
        <f t="shared" si="98"/>
        <v>1.0750000000000028</v>
      </c>
      <c r="P3149">
        <f t="shared" si="99"/>
        <v>127.41799999999996</v>
      </c>
    </row>
    <row r="3150" spans="1:16" x14ac:dyDescent="0.35">
      <c r="A3150" s="9" t="s">
        <v>170</v>
      </c>
      <c r="B3150" s="2">
        <v>46.485999999999997</v>
      </c>
      <c r="C3150" s="2">
        <v>47.066000000000003</v>
      </c>
      <c r="D3150" s="2">
        <v>45.040999999999997</v>
      </c>
      <c r="E3150" s="2">
        <v>45.499000000000002</v>
      </c>
      <c r="F3150" s="2">
        <v>538108634</v>
      </c>
      <c r="G3150" s="2" t="s">
        <v>571</v>
      </c>
      <c r="H3150" s="2" t="s">
        <v>572</v>
      </c>
      <c r="I3150" s="2" t="s">
        <v>17</v>
      </c>
      <c r="J3150" s="4">
        <v>-3.3069999999999999</v>
      </c>
      <c r="K3150" s="2" t="s">
        <v>157</v>
      </c>
      <c r="L3150" s="2">
        <v>2023</v>
      </c>
      <c r="M3150" s="2" t="s">
        <v>158</v>
      </c>
      <c r="N3150" s="2" t="s">
        <v>23</v>
      </c>
      <c r="O3150">
        <f t="shared" si="98"/>
        <v>2.0250000000000057</v>
      </c>
      <c r="P3150">
        <f t="shared" si="99"/>
        <v>124.11099999999996</v>
      </c>
    </row>
    <row r="3151" spans="1:16" x14ac:dyDescent="0.35">
      <c r="A3151" s="9" t="s">
        <v>171</v>
      </c>
      <c r="B3151" s="2">
        <v>45.767000000000003</v>
      </c>
      <c r="C3151" s="2">
        <v>45.844999999999999</v>
      </c>
      <c r="D3151" s="2">
        <v>44.08</v>
      </c>
      <c r="E3151" s="2">
        <v>44.289000000000001</v>
      </c>
      <c r="F3151" s="2">
        <v>964206063</v>
      </c>
      <c r="G3151" s="2" t="s">
        <v>571</v>
      </c>
      <c r="H3151" s="2" t="s">
        <v>572</v>
      </c>
      <c r="I3151" s="2" t="s">
        <v>17</v>
      </c>
      <c r="J3151" s="4">
        <v>-2.661</v>
      </c>
      <c r="K3151" s="2" t="s">
        <v>157</v>
      </c>
      <c r="L3151" s="2">
        <v>2023</v>
      </c>
      <c r="M3151" s="2" t="s">
        <v>158</v>
      </c>
      <c r="N3151" s="2" t="s">
        <v>23</v>
      </c>
      <c r="O3151">
        <f t="shared" si="98"/>
        <v>1.7650000000000006</v>
      </c>
      <c r="P3151">
        <f t="shared" si="99"/>
        <v>121.44999999999996</v>
      </c>
    </row>
    <row r="3152" spans="1:16" x14ac:dyDescent="0.35">
      <c r="A3152" s="9" t="s">
        <v>172</v>
      </c>
      <c r="B3152" s="2">
        <v>44.710999999999999</v>
      </c>
      <c r="C3152" s="2">
        <v>45.088999999999999</v>
      </c>
      <c r="D3152" s="2">
        <v>44.02</v>
      </c>
      <c r="E3152" s="2">
        <v>44.591999999999999</v>
      </c>
      <c r="F3152" s="2">
        <v>383273620</v>
      </c>
      <c r="G3152" s="2" t="s">
        <v>571</v>
      </c>
      <c r="H3152" s="2" t="s">
        <v>572</v>
      </c>
      <c r="I3152" s="2" t="s">
        <v>17</v>
      </c>
      <c r="J3152" s="3">
        <v>0.68400000000000005</v>
      </c>
      <c r="K3152" s="2" t="s">
        <v>157</v>
      </c>
      <c r="L3152" s="2">
        <v>2023</v>
      </c>
      <c r="M3152" s="2" t="s">
        <v>158</v>
      </c>
      <c r="N3152" s="2" t="s">
        <v>21</v>
      </c>
      <c r="O3152">
        <f t="shared" si="98"/>
        <v>1.0689999999999955</v>
      </c>
      <c r="P3152">
        <f t="shared" si="99"/>
        <v>122.13399999999996</v>
      </c>
    </row>
    <row r="3153" spans="1:16" x14ac:dyDescent="0.35">
      <c r="A3153" s="9" t="s">
        <v>173</v>
      </c>
      <c r="B3153" s="2">
        <v>44.920999999999999</v>
      </c>
      <c r="C3153" s="2">
        <v>46.161000000000001</v>
      </c>
      <c r="D3153" s="2">
        <v>44.902999999999999</v>
      </c>
      <c r="E3153" s="2">
        <v>45.658000000000001</v>
      </c>
      <c r="F3153" s="2">
        <v>348238896</v>
      </c>
      <c r="G3153" s="2" t="s">
        <v>571</v>
      </c>
      <c r="H3153" s="2" t="s">
        <v>572</v>
      </c>
      <c r="I3153" s="2" t="s">
        <v>17</v>
      </c>
      <c r="J3153" s="3">
        <v>2.3919999999999999</v>
      </c>
      <c r="K3153" s="2" t="s">
        <v>157</v>
      </c>
      <c r="L3153" s="2">
        <v>2023</v>
      </c>
      <c r="M3153" s="2" t="s">
        <v>158</v>
      </c>
      <c r="N3153" s="2" t="s">
        <v>21</v>
      </c>
      <c r="O3153">
        <f t="shared" si="98"/>
        <v>1.2580000000000027</v>
      </c>
      <c r="P3153">
        <f t="shared" si="99"/>
        <v>124.52599999999995</v>
      </c>
    </row>
    <row r="3154" spans="1:16" x14ac:dyDescent="0.35">
      <c r="A3154" s="9" t="s">
        <v>174</v>
      </c>
      <c r="B3154" s="2">
        <v>46</v>
      </c>
      <c r="C3154" s="2">
        <v>46.031999999999996</v>
      </c>
      <c r="D3154" s="2">
        <v>44.61</v>
      </c>
      <c r="E3154" s="2">
        <v>45.430999999999997</v>
      </c>
      <c r="F3154" s="2">
        <v>364402579</v>
      </c>
      <c r="G3154" s="2" t="s">
        <v>571</v>
      </c>
      <c r="H3154" s="2" t="s">
        <v>572</v>
      </c>
      <c r="I3154" s="2" t="s">
        <v>17</v>
      </c>
      <c r="J3154" s="4">
        <v>-0.497</v>
      </c>
      <c r="K3154" s="2" t="s">
        <v>157</v>
      </c>
      <c r="L3154" s="2">
        <v>2023</v>
      </c>
      <c r="M3154" s="2" t="s">
        <v>158</v>
      </c>
      <c r="N3154" s="2" t="s">
        <v>23</v>
      </c>
      <c r="O3154">
        <f t="shared" si="98"/>
        <v>1.421999999999997</v>
      </c>
      <c r="P3154">
        <f t="shared" si="99"/>
        <v>124.02899999999995</v>
      </c>
    </row>
    <row r="3155" spans="1:16" x14ac:dyDescent="0.35">
      <c r="A3155" s="9" t="s">
        <v>175</v>
      </c>
      <c r="B3155" s="2">
        <v>46.497999999999998</v>
      </c>
      <c r="C3155" s="2">
        <v>47.372999999999998</v>
      </c>
      <c r="D3155" s="2">
        <v>45.728999999999999</v>
      </c>
      <c r="E3155" s="2">
        <v>45.878999999999998</v>
      </c>
      <c r="F3155" s="2">
        <v>456182477</v>
      </c>
      <c r="G3155" s="2" t="s">
        <v>571</v>
      </c>
      <c r="H3155" s="2" t="s">
        <v>572</v>
      </c>
      <c r="I3155" s="2" t="s">
        <v>17</v>
      </c>
      <c r="J3155" s="3">
        <v>0.98499999999999999</v>
      </c>
      <c r="K3155" s="2" t="s">
        <v>157</v>
      </c>
      <c r="L3155" s="2">
        <v>2023</v>
      </c>
      <c r="M3155" s="2" t="s">
        <v>158</v>
      </c>
      <c r="N3155" s="2" t="s">
        <v>21</v>
      </c>
      <c r="O3155">
        <f t="shared" si="98"/>
        <v>1.6439999999999984</v>
      </c>
      <c r="P3155">
        <f t="shared" si="99"/>
        <v>125.01399999999995</v>
      </c>
    </row>
    <row r="3156" spans="1:16" x14ac:dyDescent="0.35">
      <c r="A3156" s="9" t="s">
        <v>176</v>
      </c>
      <c r="B3156" s="2">
        <v>46.646999999999998</v>
      </c>
      <c r="C3156" s="2">
        <v>47.006</v>
      </c>
      <c r="D3156" s="2">
        <v>46.36</v>
      </c>
      <c r="E3156" s="2">
        <v>46.728999999999999</v>
      </c>
      <c r="F3156" s="2">
        <v>331344561</v>
      </c>
      <c r="G3156" s="2" t="s">
        <v>571</v>
      </c>
      <c r="H3156" s="2" t="s">
        <v>572</v>
      </c>
      <c r="I3156" s="2" t="s">
        <v>17</v>
      </c>
      <c r="J3156" s="3">
        <v>1.8520000000000001</v>
      </c>
      <c r="K3156" s="2" t="s">
        <v>157</v>
      </c>
      <c r="L3156" s="2">
        <v>2023</v>
      </c>
      <c r="M3156" s="2" t="s">
        <v>158</v>
      </c>
      <c r="N3156" s="2" t="s">
        <v>21</v>
      </c>
      <c r="O3156">
        <f t="shared" si="98"/>
        <v>0.6460000000000008</v>
      </c>
      <c r="P3156">
        <f t="shared" si="99"/>
        <v>126.86599999999996</v>
      </c>
    </row>
    <row r="3157" spans="1:16" x14ac:dyDescent="0.35">
      <c r="A3157" s="9" t="s">
        <v>177</v>
      </c>
      <c r="B3157" s="2">
        <v>46.732999999999997</v>
      </c>
      <c r="C3157" s="2">
        <v>47.109000000000002</v>
      </c>
      <c r="D3157" s="2">
        <v>46.484999999999999</v>
      </c>
      <c r="E3157" s="2">
        <v>46.707999999999998</v>
      </c>
      <c r="F3157" s="2">
        <v>251169228</v>
      </c>
      <c r="G3157" s="2" t="s">
        <v>571</v>
      </c>
      <c r="H3157" s="2" t="s">
        <v>572</v>
      </c>
      <c r="I3157" s="2" t="s">
        <v>17</v>
      </c>
      <c r="J3157" s="4">
        <v>-4.4999999999999998E-2</v>
      </c>
      <c r="K3157" s="2" t="s">
        <v>157</v>
      </c>
      <c r="L3157" s="2">
        <v>2023</v>
      </c>
      <c r="M3157" s="2" t="s">
        <v>158</v>
      </c>
      <c r="N3157" s="2" t="s">
        <v>23</v>
      </c>
      <c r="O3157">
        <f t="shared" si="98"/>
        <v>0.62400000000000233</v>
      </c>
      <c r="P3157">
        <f t="shared" si="99"/>
        <v>126.82099999999996</v>
      </c>
    </row>
    <row r="3158" spans="1:16" x14ac:dyDescent="0.35">
      <c r="A3158" s="9" t="s">
        <v>178</v>
      </c>
      <c r="B3158" s="2">
        <v>46.438000000000002</v>
      </c>
      <c r="C3158" s="2">
        <v>46.878999999999998</v>
      </c>
      <c r="D3158" s="2">
        <v>46.006</v>
      </c>
      <c r="E3158" s="2">
        <v>46.485999999999997</v>
      </c>
      <c r="F3158" s="2">
        <v>239384572</v>
      </c>
      <c r="G3158" s="2" t="s">
        <v>571</v>
      </c>
      <c r="H3158" s="2" t="s">
        <v>572</v>
      </c>
      <c r="I3158" s="2" t="s">
        <v>17</v>
      </c>
      <c r="J3158" s="4">
        <v>-0.47499999999999998</v>
      </c>
      <c r="K3158" s="2" t="s">
        <v>179</v>
      </c>
      <c r="L3158" s="2">
        <v>2023</v>
      </c>
      <c r="M3158" s="2" t="s">
        <v>180</v>
      </c>
      <c r="N3158" s="2" t="s">
        <v>23</v>
      </c>
      <c r="O3158">
        <f t="shared" si="98"/>
        <v>0.87299999999999756</v>
      </c>
      <c r="P3158">
        <f t="shared" si="99"/>
        <v>126.34599999999996</v>
      </c>
    </row>
    <row r="3159" spans="1:16" x14ac:dyDescent="0.35">
      <c r="A3159" s="9" t="s">
        <v>181</v>
      </c>
      <c r="B3159" s="2">
        <v>45.81</v>
      </c>
      <c r="C3159" s="2">
        <v>45.819000000000003</v>
      </c>
      <c r="D3159" s="2">
        <v>43.366999999999997</v>
      </c>
      <c r="E3159" s="2">
        <v>44.249000000000002</v>
      </c>
      <c r="F3159" s="2">
        <v>530382189</v>
      </c>
      <c r="G3159" s="2" t="s">
        <v>571</v>
      </c>
      <c r="H3159" s="2" t="s">
        <v>572</v>
      </c>
      <c r="I3159" s="2" t="s">
        <v>17</v>
      </c>
      <c r="J3159" s="4">
        <v>-4.8120000000000003</v>
      </c>
      <c r="K3159" s="2" t="s">
        <v>179</v>
      </c>
      <c r="L3159" s="2">
        <v>2023</v>
      </c>
      <c r="M3159" s="2" t="s">
        <v>180</v>
      </c>
      <c r="N3159" s="2" t="s">
        <v>23</v>
      </c>
      <c r="O3159">
        <f t="shared" si="98"/>
        <v>2.4520000000000053</v>
      </c>
      <c r="P3159">
        <f t="shared" si="99"/>
        <v>121.53399999999996</v>
      </c>
    </row>
    <row r="3160" spans="1:16" x14ac:dyDescent="0.35">
      <c r="A3160" s="9" t="s">
        <v>182</v>
      </c>
      <c r="B3160" s="2">
        <v>43.78</v>
      </c>
      <c r="C3160" s="2">
        <v>45.097000000000001</v>
      </c>
      <c r="D3160" s="2">
        <v>43.78</v>
      </c>
      <c r="E3160" s="2">
        <v>44.494999999999997</v>
      </c>
      <c r="F3160" s="2">
        <v>325224144</v>
      </c>
      <c r="G3160" s="2" t="s">
        <v>571</v>
      </c>
      <c r="H3160" s="2" t="s">
        <v>572</v>
      </c>
      <c r="I3160" s="2" t="s">
        <v>17</v>
      </c>
      <c r="J3160" s="3">
        <v>0.55500000000000005</v>
      </c>
      <c r="K3160" s="2" t="s">
        <v>179</v>
      </c>
      <c r="L3160" s="2">
        <v>2023</v>
      </c>
      <c r="M3160" s="2" t="s">
        <v>180</v>
      </c>
      <c r="N3160" s="2" t="s">
        <v>21</v>
      </c>
      <c r="O3160">
        <f t="shared" si="98"/>
        <v>1.3170000000000002</v>
      </c>
      <c r="P3160">
        <f t="shared" si="99"/>
        <v>122.08899999999997</v>
      </c>
    </row>
    <row r="3161" spans="1:16" x14ac:dyDescent="0.35">
      <c r="A3161" s="9" t="s">
        <v>183</v>
      </c>
      <c r="B3161" s="2">
        <v>44.965000000000003</v>
      </c>
      <c r="C3161" s="2">
        <v>45.621000000000002</v>
      </c>
      <c r="D3161" s="2">
        <v>44.372999999999998</v>
      </c>
      <c r="E3161" s="2">
        <v>44.66</v>
      </c>
      <c r="F3161" s="2">
        <v>362830786</v>
      </c>
      <c r="G3161" s="2" t="s">
        <v>571</v>
      </c>
      <c r="H3161" s="2" t="s">
        <v>572</v>
      </c>
      <c r="I3161" s="2" t="s">
        <v>17</v>
      </c>
      <c r="J3161" s="3">
        <v>0.371</v>
      </c>
      <c r="K3161" s="2" t="s">
        <v>179</v>
      </c>
      <c r="L3161" s="2">
        <v>2023</v>
      </c>
      <c r="M3161" s="2" t="s">
        <v>180</v>
      </c>
      <c r="N3161" s="2" t="s">
        <v>21</v>
      </c>
      <c r="O3161">
        <f t="shared" si="98"/>
        <v>1.2480000000000047</v>
      </c>
      <c r="P3161">
        <f t="shared" si="99"/>
        <v>122.45999999999997</v>
      </c>
    </row>
    <row r="3162" spans="1:16" x14ac:dyDescent="0.35">
      <c r="A3162" s="9" t="s">
        <v>184</v>
      </c>
      <c r="B3162" s="2">
        <v>45.09</v>
      </c>
      <c r="C3162" s="2">
        <v>45.518999999999998</v>
      </c>
      <c r="D3162" s="2">
        <v>44.542999999999999</v>
      </c>
      <c r="E3162" s="2">
        <v>45.396000000000001</v>
      </c>
      <c r="F3162" s="2">
        <v>322299758</v>
      </c>
      <c r="G3162" s="2" t="s">
        <v>571</v>
      </c>
      <c r="H3162" s="2" t="s">
        <v>572</v>
      </c>
      <c r="I3162" s="2" t="s">
        <v>17</v>
      </c>
      <c r="J3162" s="3">
        <v>1.649</v>
      </c>
      <c r="K3162" s="2" t="s">
        <v>179</v>
      </c>
      <c r="L3162" s="2">
        <v>2023</v>
      </c>
      <c r="M3162" s="2" t="s">
        <v>180</v>
      </c>
      <c r="N3162" s="2" t="s">
        <v>21</v>
      </c>
      <c r="O3162">
        <f t="shared" si="98"/>
        <v>0.97599999999999909</v>
      </c>
      <c r="P3162">
        <f t="shared" si="99"/>
        <v>124.10899999999997</v>
      </c>
    </row>
    <row r="3163" spans="1:16" x14ac:dyDescent="0.35">
      <c r="A3163" s="9" t="s">
        <v>185</v>
      </c>
      <c r="B3163" s="2">
        <v>44.832999999999998</v>
      </c>
      <c r="C3163" s="2">
        <v>45.220999999999997</v>
      </c>
      <c r="D3163" s="2">
        <v>44.036000000000001</v>
      </c>
      <c r="E3163" s="2">
        <v>44.643999999999998</v>
      </c>
      <c r="F3163" s="2">
        <v>354004031</v>
      </c>
      <c r="G3163" s="2" t="s">
        <v>571</v>
      </c>
      <c r="H3163" s="2" t="s">
        <v>572</v>
      </c>
      <c r="I3163" s="2" t="s">
        <v>17</v>
      </c>
      <c r="J3163" s="4">
        <v>-1.657</v>
      </c>
      <c r="K3163" s="2" t="s">
        <v>179</v>
      </c>
      <c r="L3163" s="2">
        <v>2023</v>
      </c>
      <c r="M3163" s="2" t="s">
        <v>180</v>
      </c>
      <c r="N3163" s="2" t="s">
        <v>23</v>
      </c>
      <c r="O3163">
        <f t="shared" si="98"/>
        <v>1.1849999999999952</v>
      </c>
      <c r="P3163">
        <f t="shared" si="99"/>
        <v>122.45199999999997</v>
      </c>
    </row>
    <row r="3164" spans="1:16" x14ac:dyDescent="0.35">
      <c r="A3164" s="9" t="s">
        <v>186</v>
      </c>
      <c r="B3164" s="2">
        <v>44.253999999999998</v>
      </c>
      <c r="C3164" s="2">
        <v>44.292000000000002</v>
      </c>
      <c r="D3164" s="2">
        <v>42.115000000000002</v>
      </c>
      <c r="E3164" s="2">
        <v>42.534999999999997</v>
      </c>
      <c r="F3164" s="2">
        <v>586715246</v>
      </c>
      <c r="G3164" s="2" t="s">
        <v>571</v>
      </c>
      <c r="H3164" s="2" t="s">
        <v>572</v>
      </c>
      <c r="I3164" s="2" t="s">
        <v>17</v>
      </c>
      <c r="J3164" s="4">
        <v>-4.7240000000000002</v>
      </c>
      <c r="K3164" s="2" t="s">
        <v>179</v>
      </c>
      <c r="L3164" s="2">
        <v>2023</v>
      </c>
      <c r="M3164" s="2" t="s">
        <v>180</v>
      </c>
      <c r="N3164" s="2" t="s">
        <v>23</v>
      </c>
      <c r="O3164">
        <f t="shared" si="98"/>
        <v>2.1769999999999996</v>
      </c>
      <c r="P3164">
        <f t="shared" si="99"/>
        <v>117.72799999999997</v>
      </c>
    </row>
    <row r="3165" spans="1:16" x14ac:dyDescent="0.35">
      <c r="A3165" s="9" t="s">
        <v>187</v>
      </c>
      <c r="B3165" s="2">
        <v>42.140999999999998</v>
      </c>
      <c r="C3165" s="2">
        <v>43.554000000000002</v>
      </c>
      <c r="D3165" s="2">
        <v>41.816000000000003</v>
      </c>
      <c r="E3165" s="2">
        <v>42.369</v>
      </c>
      <c r="F3165" s="2">
        <v>492928927</v>
      </c>
      <c r="G3165" s="2" t="s">
        <v>571</v>
      </c>
      <c r="H3165" s="2" t="s">
        <v>572</v>
      </c>
      <c r="I3165" s="2" t="s">
        <v>17</v>
      </c>
      <c r="J3165" s="4">
        <v>-0.39</v>
      </c>
      <c r="K3165" s="2" t="s">
        <v>179</v>
      </c>
      <c r="L3165" s="2">
        <v>2023</v>
      </c>
      <c r="M3165" s="2" t="s">
        <v>180</v>
      </c>
      <c r="N3165" s="2" t="s">
        <v>23</v>
      </c>
      <c r="O3165">
        <f t="shared" si="98"/>
        <v>1.7379999999999995</v>
      </c>
      <c r="P3165">
        <f t="shared" si="99"/>
        <v>117.33799999999997</v>
      </c>
    </row>
    <row r="3166" spans="1:16" x14ac:dyDescent="0.35">
      <c r="A3166" s="9" t="s">
        <v>188</v>
      </c>
      <c r="B3166" s="2">
        <v>41.731999999999999</v>
      </c>
      <c r="C3166" s="2">
        <v>41.999000000000002</v>
      </c>
      <c r="D3166" s="2">
        <v>40.621000000000002</v>
      </c>
      <c r="E3166" s="2">
        <v>40.835999999999999</v>
      </c>
      <c r="F3166" s="2">
        <v>533327215</v>
      </c>
      <c r="G3166" s="2" t="s">
        <v>571</v>
      </c>
      <c r="H3166" s="2" t="s">
        <v>572</v>
      </c>
      <c r="I3166" s="2" t="s">
        <v>17</v>
      </c>
      <c r="J3166" s="4">
        <v>-3.617</v>
      </c>
      <c r="K3166" s="2" t="s">
        <v>179</v>
      </c>
      <c r="L3166" s="2">
        <v>2023</v>
      </c>
      <c r="M3166" s="2" t="s">
        <v>180</v>
      </c>
      <c r="N3166" s="2" t="s">
        <v>23</v>
      </c>
      <c r="O3166">
        <f t="shared" si="98"/>
        <v>1.3780000000000001</v>
      </c>
      <c r="P3166">
        <f t="shared" si="99"/>
        <v>113.72099999999996</v>
      </c>
    </row>
    <row r="3167" spans="1:16" x14ac:dyDescent="0.35">
      <c r="A3167" s="9" t="s">
        <v>189</v>
      </c>
      <c r="B3167" s="2">
        <v>40.468000000000004</v>
      </c>
      <c r="C3167" s="2">
        <v>43.78</v>
      </c>
      <c r="D3167" s="2">
        <v>40.292999999999999</v>
      </c>
      <c r="E3167" s="2">
        <v>43.732999999999997</v>
      </c>
      <c r="F3167" s="2">
        <v>690599135</v>
      </c>
      <c r="G3167" s="2" t="s">
        <v>571</v>
      </c>
      <c r="H3167" s="2" t="s">
        <v>572</v>
      </c>
      <c r="I3167" s="2" t="s">
        <v>17</v>
      </c>
      <c r="J3167" s="3">
        <v>7.0940000000000003</v>
      </c>
      <c r="K3167" s="2" t="s">
        <v>179</v>
      </c>
      <c r="L3167" s="2">
        <v>2023</v>
      </c>
      <c r="M3167" s="2" t="s">
        <v>180</v>
      </c>
      <c r="N3167" s="2" t="s">
        <v>21</v>
      </c>
      <c r="O3167">
        <f t="shared" si="98"/>
        <v>3.4870000000000019</v>
      </c>
      <c r="P3167">
        <f t="shared" si="99"/>
        <v>120.81499999999996</v>
      </c>
    </row>
    <row r="3168" spans="1:16" x14ac:dyDescent="0.35">
      <c r="A3168" s="9" t="s">
        <v>190</v>
      </c>
      <c r="B3168" s="2">
        <v>44.54</v>
      </c>
      <c r="C3168" s="2">
        <v>45.247999999999998</v>
      </c>
      <c r="D3168" s="2">
        <v>43.69</v>
      </c>
      <c r="E3168" s="2">
        <v>43.92</v>
      </c>
      <c r="F3168" s="2">
        <v>676818563</v>
      </c>
      <c r="G3168" s="2" t="s">
        <v>571</v>
      </c>
      <c r="H3168" s="2" t="s">
        <v>572</v>
      </c>
      <c r="I3168" s="2" t="s">
        <v>17</v>
      </c>
      <c r="J3168" s="3">
        <v>0.42699999999999999</v>
      </c>
      <c r="K3168" s="2" t="s">
        <v>179</v>
      </c>
      <c r="L3168" s="2">
        <v>2023</v>
      </c>
      <c r="M3168" s="2" t="s">
        <v>180</v>
      </c>
      <c r="N3168" s="2" t="s">
        <v>21</v>
      </c>
      <c r="O3168">
        <f t="shared" si="98"/>
        <v>1.5579999999999998</v>
      </c>
      <c r="P3168">
        <f t="shared" si="99"/>
        <v>121.24199999999996</v>
      </c>
    </row>
    <row r="3169" spans="1:16" x14ac:dyDescent="0.35">
      <c r="A3169" s="9" t="s">
        <v>191</v>
      </c>
      <c r="B3169" s="2">
        <v>44.5</v>
      </c>
      <c r="C3169" s="2">
        <v>44.655000000000001</v>
      </c>
      <c r="D3169" s="2">
        <v>43.386000000000003</v>
      </c>
      <c r="E3169" s="2">
        <v>43.466000000000001</v>
      </c>
      <c r="F3169" s="2">
        <v>527690078</v>
      </c>
      <c r="G3169" s="2" t="s">
        <v>571</v>
      </c>
      <c r="H3169" s="2" t="s">
        <v>572</v>
      </c>
      <c r="I3169" s="2" t="s">
        <v>17</v>
      </c>
      <c r="J3169" s="4">
        <v>-1.0329999999999999</v>
      </c>
      <c r="K3169" s="2" t="s">
        <v>179</v>
      </c>
      <c r="L3169" s="2">
        <v>2023</v>
      </c>
      <c r="M3169" s="2" t="s">
        <v>180</v>
      </c>
      <c r="N3169" s="2" t="s">
        <v>23</v>
      </c>
      <c r="O3169">
        <f t="shared" si="98"/>
        <v>1.2689999999999984</v>
      </c>
      <c r="P3169">
        <f t="shared" si="99"/>
        <v>120.20899999999996</v>
      </c>
    </row>
    <row r="3170" spans="1:16" x14ac:dyDescent="0.35">
      <c r="A3170" s="9" t="s">
        <v>192</v>
      </c>
      <c r="B3170" s="2">
        <v>43.95</v>
      </c>
      <c r="C3170" s="2">
        <v>44.042000000000002</v>
      </c>
      <c r="D3170" s="2">
        <v>42.981000000000002</v>
      </c>
      <c r="E3170" s="2">
        <v>43.323999999999998</v>
      </c>
      <c r="F3170" s="2">
        <v>452600151</v>
      </c>
      <c r="G3170" s="2" t="s">
        <v>571</v>
      </c>
      <c r="H3170" s="2" t="s">
        <v>572</v>
      </c>
      <c r="I3170" s="2" t="s">
        <v>17</v>
      </c>
      <c r="J3170" s="4">
        <v>-0.32800000000000001</v>
      </c>
      <c r="K3170" s="2" t="s">
        <v>179</v>
      </c>
      <c r="L3170" s="2">
        <v>2023</v>
      </c>
      <c r="M3170" s="2" t="s">
        <v>180</v>
      </c>
      <c r="N3170" s="2" t="s">
        <v>23</v>
      </c>
      <c r="O3170">
        <f t="shared" si="98"/>
        <v>1.0609999999999999</v>
      </c>
      <c r="P3170">
        <f t="shared" si="99"/>
        <v>119.88099999999996</v>
      </c>
    </row>
    <row r="3171" spans="1:16" x14ac:dyDescent="0.35">
      <c r="A3171" s="9" t="s">
        <v>193</v>
      </c>
      <c r="B3171" s="2">
        <v>42.616</v>
      </c>
      <c r="C3171" s="2">
        <v>43.558</v>
      </c>
      <c r="D3171" s="2">
        <v>41.640999999999998</v>
      </c>
      <c r="E3171" s="2">
        <v>43.279000000000003</v>
      </c>
      <c r="F3171" s="2">
        <v>584032829</v>
      </c>
      <c r="G3171" s="2" t="s">
        <v>571</v>
      </c>
      <c r="H3171" s="2" t="s">
        <v>572</v>
      </c>
      <c r="I3171" s="2" t="s">
        <v>17</v>
      </c>
      <c r="J3171" s="4">
        <v>-0.10299999999999999</v>
      </c>
      <c r="K3171" s="2" t="s">
        <v>179</v>
      </c>
      <c r="L3171" s="2">
        <v>2023</v>
      </c>
      <c r="M3171" s="2" t="s">
        <v>180</v>
      </c>
      <c r="N3171" s="2" t="s">
        <v>23</v>
      </c>
      <c r="O3171">
        <f t="shared" si="98"/>
        <v>1.9170000000000016</v>
      </c>
      <c r="P3171">
        <f t="shared" si="99"/>
        <v>119.77799999999996</v>
      </c>
    </row>
    <row r="3172" spans="1:16" x14ac:dyDescent="0.35">
      <c r="A3172" s="9" t="s">
        <v>194</v>
      </c>
      <c r="B3172" s="2">
        <v>44.473999999999997</v>
      </c>
      <c r="C3172" s="2">
        <v>47.043999999999997</v>
      </c>
      <c r="D3172" s="2">
        <v>44.201999999999998</v>
      </c>
      <c r="E3172" s="2">
        <v>46.945999999999998</v>
      </c>
      <c r="F3172" s="2">
        <v>692887713</v>
      </c>
      <c r="G3172" s="2" t="s">
        <v>571</v>
      </c>
      <c r="H3172" s="2" t="s">
        <v>572</v>
      </c>
      <c r="I3172" s="2" t="s">
        <v>17</v>
      </c>
      <c r="J3172" s="3">
        <v>8.4710000000000001</v>
      </c>
      <c r="K3172" s="2" t="s">
        <v>179</v>
      </c>
      <c r="L3172" s="2">
        <v>2023</v>
      </c>
      <c r="M3172" s="2" t="s">
        <v>180</v>
      </c>
      <c r="N3172" s="2" t="s">
        <v>21</v>
      </c>
      <c r="O3172">
        <f t="shared" si="98"/>
        <v>2.8419999999999987</v>
      </c>
      <c r="P3172">
        <f t="shared" si="99"/>
        <v>128.24899999999997</v>
      </c>
    </row>
    <row r="3173" spans="1:16" x14ac:dyDescent="0.35">
      <c r="A3173" s="9" t="s">
        <v>195</v>
      </c>
      <c r="B3173" s="2">
        <v>48.113</v>
      </c>
      <c r="C3173" s="2">
        <v>48.164999999999999</v>
      </c>
      <c r="D3173" s="2">
        <v>45.313000000000002</v>
      </c>
      <c r="E3173" s="2">
        <v>45.646999999999998</v>
      </c>
      <c r="F3173" s="2">
        <v>757550589</v>
      </c>
      <c r="G3173" s="2" t="s">
        <v>571</v>
      </c>
      <c r="H3173" s="2" t="s">
        <v>572</v>
      </c>
      <c r="I3173" s="2" t="s">
        <v>17</v>
      </c>
      <c r="J3173" s="4">
        <v>-2.766</v>
      </c>
      <c r="K3173" s="2" t="s">
        <v>179</v>
      </c>
      <c r="L3173" s="2">
        <v>2023</v>
      </c>
      <c r="M3173" s="2" t="s">
        <v>180</v>
      </c>
      <c r="N3173" s="2" t="s">
        <v>23</v>
      </c>
      <c r="O3173">
        <f t="shared" si="98"/>
        <v>2.8519999999999968</v>
      </c>
      <c r="P3173">
        <f t="shared" si="99"/>
        <v>125.48299999999996</v>
      </c>
    </row>
    <row r="3174" spans="1:16" x14ac:dyDescent="0.35">
      <c r="A3174" s="9" t="s">
        <v>196</v>
      </c>
      <c r="B3174" s="2">
        <v>45.844999999999999</v>
      </c>
      <c r="C3174" s="2">
        <v>47.179000000000002</v>
      </c>
      <c r="D3174" s="2">
        <v>45.188000000000002</v>
      </c>
      <c r="E3174" s="2">
        <v>47.094999999999999</v>
      </c>
      <c r="F3174" s="2">
        <v>779399671</v>
      </c>
      <c r="G3174" s="2" t="s">
        <v>571</v>
      </c>
      <c r="H3174" s="2" t="s">
        <v>572</v>
      </c>
      <c r="I3174" s="2" t="s">
        <v>17</v>
      </c>
      <c r="J3174" s="3">
        <v>3.1709999999999998</v>
      </c>
      <c r="K3174" s="2" t="s">
        <v>179</v>
      </c>
      <c r="L3174" s="2">
        <v>2023</v>
      </c>
      <c r="M3174" s="2" t="s">
        <v>180</v>
      </c>
      <c r="N3174" s="2" t="s">
        <v>21</v>
      </c>
      <c r="O3174">
        <f t="shared" si="98"/>
        <v>1.9909999999999997</v>
      </c>
      <c r="P3174">
        <f t="shared" si="99"/>
        <v>128.65399999999997</v>
      </c>
    </row>
    <row r="3175" spans="1:16" x14ac:dyDescent="0.35">
      <c r="A3175" s="9" t="s">
        <v>197</v>
      </c>
      <c r="B3175" s="2">
        <v>50.192999999999998</v>
      </c>
      <c r="C3175" s="2">
        <v>50.243000000000002</v>
      </c>
      <c r="D3175" s="2">
        <v>47.137999999999998</v>
      </c>
      <c r="E3175" s="2">
        <v>47.142000000000003</v>
      </c>
      <c r="F3175" s="2">
        <v>1156568792</v>
      </c>
      <c r="G3175" s="2" t="s">
        <v>571</v>
      </c>
      <c r="H3175" s="2" t="s">
        <v>572</v>
      </c>
      <c r="I3175" s="2" t="s">
        <v>17</v>
      </c>
      <c r="J3175" s="3">
        <v>0.1</v>
      </c>
      <c r="K3175" s="2" t="s">
        <v>179</v>
      </c>
      <c r="L3175" s="2">
        <v>2023</v>
      </c>
      <c r="M3175" s="2" t="s">
        <v>180</v>
      </c>
      <c r="N3175" s="2" t="s">
        <v>21</v>
      </c>
      <c r="O3175">
        <f t="shared" si="98"/>
        <v>3.105000000000004</v>
      </c>
      <c r="P3175">
        <f t="shared" si="99"/>
        <v>128.75399999999996</v>
      </c>
    </row>
    <row r="3176" spans="1:16" x14ac:dyDescent="0.35">
      <c r="A3176" s="9" t="s">
        <v>198</v>
      </c>
      <c r="B3176" s="2">
        <v>46.991</v>
      </c>
      <c r="C3176" s="2">
        <v>47.783000000000001</v>
      </c>
      <c r="D3176" s="2">
        <v>45.003999999999998</v>
      </c>
      <c r="E3176" s="2">
        <v>45.997</v>
      </c>
      <c r="F3176" s="2">
        <v>925760511</v>
      </c>
      <c r="G3176" s="2" t="s">
        <v>571</v>
      </c>
      <c r="H3176" s="2" t="s">
        <v>572</v>
      </c>
      <c r="I3176" s="2" t="s">
        <v>17</v>
      </c>
      <c r="J3176" s="4">
        <v>-2.4279999999999999</v>
      </c>
      <c r="K3176" s="2" t="s">
        <v>179</v>
      </c>
      <c r="L3176" s="2">
        <v>2023</v>
      </c>
      <c r="M3176" s="2" t="s">
        <v>180</v>
      </c>
      <c r="N3176" s="2" t="s">
        <v>23</v>
      </c>
      <c r="O3176">
        <f t="shared" si="98"/>
        <v>2.7790000000000035</v>
      </c>
      <c r="P3176">
        <f t="shared" si="99"/>
        <v>126.32599999999996</v>
      </c>
    </row>
    <row r="3177" spans="1:16" x14ac:dyDescent="0.35">
      <c r="A3177" s="9" t="s">
        <v>199</v>
      </c>
      <c r="B3177" s="2">
        <v>46.460999999999999</v>
      </c>
      <c r="C3177" s="2">
        <v>46.959000000000003</v>
      </c>
      <c r="D3177" s="2">
        <v>44.868000000000002</v>
      </c>
      <c r="E3177" s="2">
        <v>46.814</v>
      </c>
      <c r="F3177" s="2">
        <v>685503223</v>
      </c>
      <c r="G3177" s="2" t="s">
        <v>571</v>
      </c>
      <c r="H3177" s="2" t="s">
        <v>572</v>
      </c>
      <c r="I3177" s="2" t="s">
        <v>17</v>
      </c>
      <c r="J3177" s="3">
        <v>1.776</v>
      </c>
      <c r="K3177" s="2" t="s">
        <v>179</v>
      </c>
      <c r="L3177" s="2">
        <v>2023</v>
      </c>
      <c r="M3177" s="2" t="s">
        <v>180</v>
      </c>
      <c r="N3177" s="2" t="s">
        <v>21</v>
      </c>
      <c r="O3177">
        <f t="shared" si="98"/>
        <v>2.0910000000000011</v>
      </c>
      <c r="P3177">
        <f t="shared" si="99"/>
        <v>128.10199999999998</v>
      </c>
    </row>
    <row r="3178" spans="1:16" x14ac:dyDescent="0.35">
      <c r="A3178" s="9" t="s">
        <v>200</v>
      </c>
      <c r="B3178" s="2">
        <v>46.645000000000003</v>
      </c>
      <c r="C3178" s="2">
        <v>49.058999999999997</v>
      </c>
      <c r="D3178" s="2">
        <v>46.37</v>
      </c>
      <c r="E3178" s="2">
        <v>48.762</v>
      </c>
      <c r="F3178" s="2">
        <v>701715338</v>
      </c>
      <c r="G3178" s="2" t="s">
        <v>571</v>
      </c>
      <c r="H3178" s="2" t="s">
        <v>572</v>
      </c>
      <c r="I3178" s="2" t="s">
        <v>17</v>
      </c>
      <c r="J3178" s="3">
        <v>4.1609999999999996</v>
      </c>
      <c r="K3178" s="2" t="s">
        <v>179</v>
      </c>
      <c r="L3178" s="2">
        <v>2023</v>
      </c>
      <c r="M3178" s="2" t="s">
        <v>180</v>
      </c>
      <c r="N3178" s="2" t="s">
        <v>21</v>
      </c>
      <c r="O3178">
        <f t="shared" si="98"/>
        <v>2.6890000000000001</v>
      </c>
      <c r="P3178">
        <f t="shared" si="99"/>
        <v>132.26299999999998</v>
      </c>
    </row>
    <row r="3179" spans="1:16" x14ac:dyDescent="0.35">
      <c r="A3179" s="9" t="s">
        <v>201</v>
      </c>
      <c r="B3179" s="2">
        <v>49.021999999999998</v>
      </c>
      <c r="C3179" s="2">
        <v>49.904000000000003</v>
      </c>
      <c r="D3179" s="2">
        <v>48.402999999999999</v>
      </c>
      <c r="E3179" s="2">
        <v>49.241999999999997</v>
      </c>
      <c r="F3179" s="2">
        <v>735539673</v>
      </c>
      <c r="G3179" s="2" t="s">
        <v>571</v>
      </c>
      <c r="H3179" s="2" t="s">
        <v>572</v>
      </c>
      <c r="I3179" s="2" t="s">
        <v>17</v>
      </c>
      <c r="J3179" s="3">
        <v>0.98399999999999999</v>
      </c>
      <c r="K3179" s="2" t="s">
        <v>179</v>
      </c>
      <c r="L3179" s="2">
        <v>2023</v>
      </c>
      <c r="M3179" s="2" t="s">
        <v>180</v>
      </c>
      <c r="N3179" s="2" t="s">
        <v>21</v>
      </c>
      <c r="O3179">
        <f t="shared" si="98"/>
        <v>1.5010000000000048</v>
      </c>
      <c r="P3179">
        <f t="shared" si="99"/>
        <v>133.24699999999999</v>
      </c>
    </row>
    <row r="3180" spans="1:16" x14ac:dyDescent="0.35">
      <c r="A3180" s="9" t="s">
        <v>202</v>
      </c>
      <c r="B3180" s="2">
        <v>49.357999999999997</v>
      </c>
      <c r="C3180" s="2">
        <v>49.720999999999997</v>
      </c>
      <c r="D3180" s="2">
        <v>48.936</v>
      </c>
      <c r="E3180" s="2">
        <v>49.332999999999998</v>
      </c>
      <c r="F3180" s="2">
        <v>528809675</v>
      </c>
      <c r="G3180" s="2" t="s">
        <v>571</v>
      </c>
      <c r="H3180" s="2" t="s">
        <v>572</v>
      </c>
      <c r="I3180" s="2" t="s">
        <v>17</v>
      </c>
      <c r="J3180" s="3">
        <v>0.185</v>
      </c>
      <c r="K3180" s="2" t="s">
        <v>179</v>
      </c>
      <c r="L3180" s="2">
        <v>2023</v>
      </c>
      <c r="M3180" s="2" t="s">
        <v>180</v>
      </c>
      <c r="N3180" s="2" t="s">
        <v>21</v>
      </c>
      <c r="O3180">
        <f t="shared" si="98"/>
        <v>0.78499999999999659</v>
      </c>
      <c r="P3180">
        <f t="shared" si="99"/>
        <v>133.43199999999999</v>
      </c>
    </row>
    <row r="3181" spans="1:16" x14ac:dyDescent="0.35">
      <c r="A3181" s="9" t="s">
        <v>203</v>
      </c>
      <c r="B3181" s="2">
        <v>49.738999999999997</v>
      </c>
      <c r="C3181" s="2">
        <v>49.777000000000001</v>
      </c>
      <c r="D3181" s="2">
        <v>48.12</v>
      </c>
      <c r="E3181" s="2">
        <v>48.487000000000002</v>
      </c>
      <c r="F3181" s="2">
        <v>464040822</v>
      </c>
      <c r="G3181" s="2" t="s">
        <v>571</v>
      </c>
      <c r="H3181" s="2" t="s">
        <v>572</v>
      </c>
      <c r="I3181" s="2" t="s">
        <v>17</v>
      </c>
      <c r="J3181" s="4">
        <v>-1.714</v>
      </c>
      <c r="K3181" s="2" t="s">
        <v>204</v>
      </c>
      <c r="L3181" s="2">
        <v>2023</v>
      </c>
      <c r="M3181" s="2" t="s">
        <v>205</v>
      </c>
      <c r="N3181" s="2" t="s">
        <v>23</v>
      </c>
      <c r="O3181">
        <f t="shared" si="98"/>
        <v>1.6570000000000036</v>
      </c>
      <c r="P3181">
        <f t="shared" si="99"/>
        <v>131.71799999999999</v>
      </c>
    </row>
    <row r="3182" spans="1:16" x14ac:dyDescent="0.35">
      <c r="A3182" s="9" t="s">
        <v>206</v>
      </c>
      <c r="B3182" s="2">
        <v>48.201000000000001</v>
      </c>
      <c r="C3182" s="2">
        <v>48.829000000000001</v>
      </c>
      <c r="D3182" s="2">
        <v>47.838000000000001</v>
      </c>
      <c r="E3182" s="2">
        <v>48.526000000000003</v>
      </c>
      <c r="F3182" s="2">
        <v>382826257</v>
      </c>
      <c r="G3182" s="2" t="s">
        <v>571</v>
      </c>
      <c r="H3182" s="2" t="s">
        <v>572</v>
      </c>
      <c r="I3182" s="2" t="s">
        <v>17</v>
      </c>
      <c r="J3182" s="3">
        <v>0.08</v>
      </c>
      <c r="K3182" s="2" t="s">
        <v>204</v>
      </c>
      <c r="L3182" s="2">
        <v>2023</v>
      </c>
      <c r="M3182" s="2" t="s">
        <v>205</v>
      </c>
      <c r="N3182" s="2" t="s">
        <v>21</v>
      </c>
      <c r="O3182">
        <f t="shared" si="98"/>
        <v>0.99099999999999966</v>
      </c>
      <c r="P3182">
        <f t="shared" si="99"/>
        <v>131.798</v>
      </c>
    </row>
    <row r="3183" spans="1:16" x14ac:dyDescent="0.35">
      <c r="A3183" s="9" t="s">
        <v>207</v>
      </c>
      <c r="B3183" s="2">
        <v>48.423000000000002</v>
      </c>
      <c r="C3183" s="2">
        <v>48.530999999999999</v>
      </c>
      <c r="D3183" s="2">
        <v>46.563000000000002</v>
      </c>
      <c r="E3183" s="2">
        <v>47.043999999999997</v>
      </c>
      <c r="F3183" s="2">
        <v>468843656</v>
      </c>
      <c r="G3183" s="2" t="s">
        <v>571</v>
      </c>
      <c r="H3183" s="2" t="s">
        <v>572</v>
      </c>
      <c r="I3183" s="2" t="s">
        <v>17</v>
      </c>
      <c r="J3183" s="4">
        <v>-3.0550000000000002</v>
      </c>
      <c r="K3183" s="2" t="s">
        <v>204</v>
      </c>
      <c r="L3183" s="2">
        <v>2023</v>
      </c>
      <c r="M3183" s="2" t="s">
        <v>205</v>
      </c>
      <c r="N3183" s="2" t="s">
        <v>23</v>
      </c>
      <c r="O3183">
        <f t="shared" si="98"/>
        <v>1.9679999999999964</v>
      </c>
      <c r="P3183">
        <f t="shared" si="99"/>
        <v>128.74299999999999</v>
      </c>
    </row>
    <row r="3184" spans="1:16" x14ac:dyDescent="0.35">
      <c r="A3184" s="9" t="s">
        <v>208</v>
      </c>
      <c r="B3184" s="2">
        <v>45.508000000000003</v>
      </c>
      <c r="C3184" s="2">
        <v>46.326999999999998</v>
      </c>
      <c r="D3184" s="2">
        <v>45.134999999999998</v>
      </c>
      <c r="E3184" s="2">
        <v>46.223999999999997</v>
      </c>
      <c r="F3184" s="2">
        <v>433490849</v>
      </c>
      <c r="G3184" s="2" t="s">
        <v>571</v>
      </c>
      <c r="H3184" s="2" t="s">
        <v>572</v>
      </c>
      <c r="I3184" s="2" t="s">
        <v>17</v>
      </c>
      <c r="J3184" s="4">
        <v>-1.7430000000000001</v>
      </c>
      <c r="K3184" s="2" t="s">
        <v>204</v>
      </c>
      <c r="L3184" s="2">
        <v>2023</v>
      </c>
      <c r="M3184" s="2" t="s">
        <v>205</v>
      </c>
      <c r="N3184" s="2" t="s">
        <v>23</v>
      </c>
      <c r="O3184">
        <f t="shared" si="98"/>
        <v>1.1920000000000002</v>
      </c>
      <c r="P3184">
        <f t="shared" si="99"/>
        <v>127</v>
      </c>
    </row>
    <row r="3185" spans="1:16" x14ac:dyDescent="0.35">
      <c r="A3185" s="9" t="s">
        <v>209</v>
      </c>
      <c r="B3185" s="2">
        <v>45.924999999999997</v>
      </c>
      <c r="C3185" s="2">
        <v>46.588999999999999</v>
      </c>
      <c r="D3185" s="2">
        <v>45.253999999999998</v>
      </c>
      <c r="E3185" s="2">
        <v>45.555</v>
      </c>
      <c r="F3185" s="2">
        <v>474075968</v>
      </c>
      <c r="G3185" s="2" t="s">
        <v>571</v>
      </c>
      <c r="H3185" s="2" t="s">
        <v>572</v>
      </c>
      <c r="I3185" s="2" t="s">
        <v>17</v>
      </c>
      <c r="J3185" s="4">
        <v>-1.446</v>
      </c>
      <c r="K3185" s="2" t="s">
        <v>204</v>
      </c>
      <c r="L3185" s="2">
        <v>2023</v>
      </c>
      <c r="M3185" s="2" t="s">
        <v>205</v>
      </c>
      <c r="N3185" s="2" t="s">
        <v>23</v>
      </c>
      <c r="O3185">
        <f t="shared" si="98"/>
        <v>1.3350000000000009</v>
      </c>
      <c r="P3185">
        <f t="shared" si="99"/>
        <v>125.554</v>
      </c>
    </row>
    <row r="3186" spans="1:16" x14ac:dyDescent="0.35">
      <c r="A3186" s="9" t="s">
        <v>210</v>
      </c>
      <c r="B3186" s="2">
        <v>46.131</v>
      </c>
      <c r="C3186" s="2">
        <v>46.146000000000001</v>
      </c>
      <c r="D3186" s="2">
        <v>44.295000000000002</v>
      </c>
      <c r="E3186" s="2">
        <v>45.161000000000001</v>
      </c>
      <c r="F3186" s="2">
        <v>474141603</v>
      </c>
      <c r="G3186" s="2" t="s">
        <v>571</v>
      </c>
      <c r="H3186" s="2" t="s">
        <v>572</v>
      </c>
      <c r="I3186" s="2" t="s">
        <v>17</v>
      </c>
      <c r="J3186" s="4">
        <v>-0.86499999999999999</v>
      </c>
      <c r="K3186" s="2" t="s">
        <v>204</v>
      </c>
      <c r="L3186" s="2">
        <v>2023</v>
      </c>
      <c r="M3186" s="2" t="s">
        <v>205</v>
      </c>
      <c r="N3186" s="2" t="s">
        <v>23</v>
      </c>
      <c r="O3186">
        <f t="shared" si="98"/>
        <v>1.8509999999999991</v>
      </c>
      <c r="P3186">
        <f t="shared" si="99"/>
        <v>124.68900000000001</v>
      </c>
    </row>
    <row r="3187" spans="1:16" x14ac:dyDescent="0.35">
      <c r="A3187" s="9" t="s">
        <v>211</v>
      </c>
      <c r="B3187" s="2">
        <v>44.720999999999997</v>
      </c>
      <c r="C3187" s="2">
        <v>45.655999999999999</v>
      </c>
      <c r="D3187" s="2">
        <v>44.514000000000003</v>
      </c>
      <c r="E3187" s="2">
        <v>44.853000000000002</v>
      </c>
      <c r="F3187" s="2">
        <v>349386070</v>
      </c>
      <c r="G3187" s="2" t="s">
        <v>571</v>
      </c>
      <c r="H3187" s="2" t="s">
        <v>572</v>
      </c>
      <c r="I3187" s="2" t="s">
        <v>17</v>
      </c>
      <c r="J3187" s="4">
        <v>-0.68200000000000005</v>
      </c>
      <c r="K3187" s="2" t="s">
        <v>204</v>
      </c>
      <c r="L3187" s="2">
        <v>2023</v>
      </c>
      <c r="M3187" s="2" t="s">
        <v>205</v>
      </c>
      <c r="N3187" s="2" t="s">
        <v>23</v>
      </c>
      <c r="O3187">
        <f t="shared" si="98"/>
        <v>1.1419999999999959</v>
      </c>
      <c r="P3187">
        <f t="shared" si="99"/>
        <v>124.00700000000001</v>
      </c>
    </row>
    <row r="3188" spans="1:16" x14ac:dyDescent="0.35">
      <c r="A3188" s="9" t="s">
        <v>212</v>
      </c>
      <c r="B3188" s="2">
        <v>44.582999999999998</v>
      </c>
      <c r="C3188" s="2">
        <v>45.912999999999997</v>
      </c>
      <c r="D3188" s="2">
        <v>44.485999999999997</v>
      </c>
      <c r="E3188" s="2">
        <v>45.468000000000004</v>
      </c>
      <c r="F3188" s="2">
        <v>398503318</v>
      </c>
      <c r="G3188" s="2" t="s">
        <v>571</v>
      </c>
      <c r="H3188" s="2" t="s">
        <v>572</v>
      </c>
      <c r="I3188" s="2" t="s">
        <v>17</v>
      </c>
      <c r="J3188" s="3">
        <v>1.371</v>
      </c>
      <c r="K3188" s="2" t="s">
        <v>204</v>
      </c>
      <c r="L3188" s="2">
        <v>2023</v>
      </c>
      <c r="M3188" s="2" t="s">
        <v>205</v>
      </c>
      <c r="N3188" s="2" t="s">
        <v>21</v>
      </c>
      <c r="O3188">
        <f t="shared" si="98"/>
        <v>1.4269999999999996</v>
      </c>
      <c r="P3188">
        <f t="shared" si="99"/>
        <v>125.378</v>
      </c>
    </row>
    <row r="3189" spans="1:16" x14ac:dyDescent="0.35">
      <c r="A3189" s="9" t="s">
        <v>213</v>
      </c>
      <c r="B3189" s="2">
        <v>45.933</v>
      </c>
      <c r="C3189" s="2">
        <v>45.97</v>
      </c>
      <c r="D3189" s="2">
        <v>45.113999999999997</v>
      </c>
      <c r="E3189" s="2">
        <v>45.564</v>
      </c>
      <c r="F3189" s="2">
        <v>370234671</v>
      </c>
      <c r="G3189" s="2" t="s">
        <v>571</v>
      </c>
      <c r="H3189" s="2" t="s">
        <v>572</v>
      </c>
      <c r="I3189" s="2" t="s">
        <v>17</v>
      </c>
      <c r="J3189" s="3">
        <v>0.21099999999999999</v>
      </c>
      <c r="K3189" s="2" t="s">
        <v>204</v>
      </c>
      <c r="L3189" s="2">
        <v>2023</v>
      </c>
      <c r="M3189" s="2" t="s">
        <v>205</v>
      </c>
      <c r="N3189" s="2" t="s">
        <v>21</v>
      </c>
      <c r="O3189">
        <f t="shared" si="98"/>
        <v>0.85600000000000165</v>
      </c>
      <c r="P3189">
        <f t="shared" si="99"/>
        <v>125.589</v>
      </c>
    </row>
    <row r="3190" spans="1:16" x14ac:dyDescent="0.35">
      <c r="A3190" s="9" t="s">
        <v>214</v>
      </c>
      <c r="B3190" s="2">
        <v>45.323999999999998</v>
      </c>
      <c r="C3190" s="2">
        <v>45.582000000000001</v>
      </c>
      <c r="D3190" s="2">
        <v>43.792000000000002</v>
      </c>
      <c r="E3190" s="2">
        <v>43.884</v>
      </c>
      <c r="F3190" s="2">
        <v>507018770</v>
      </c>
      <c r="G3190" s="2" t="s">
        <v>571</v>
      </c>
      <c r="H3190" s="2" t="s">
        <v>572</v>
      </c>
      <c r="I3190" s="2" t="s">
        <v>17</v>
      </c>
      <c r="J3190" s="4">
        <v>-3.6880000000000002</v>
      </c>
      <c r="K3190" s="2" t="s">
        <v>204</v>
      </c>
      <c r="L3190" s="2">
        <v>2023</v>
      </c>
      <c r="M3190" s="2" t="s">
        <v>205</v>
      </c>
      <c r="N3190" s="2" t="s">
        <v>23</v>
      </c>
      <c r="O3190">
        <f t="shared" si="98"/>
        <v>1.7899999999999991</v>
      </c>
      <c r="P3190">
        <f t="shared" si="99"/>
        <v>121.901</v>
      </c>
    </row>
    <row r="3191" spans="1:16" x14ac:dyDescent="0.35">
      <c r="A3191" s="9" t="s">
        <v>215</v>
      </c>
      <c r="B3191" s="2">
        <v>42.731999999999999</v>
      </c>
      <c r="C3191" s="2">
        <v>44.225999999999999</v>
      </c>
      <c r="D3191" s="2">
        <v>41.984000000000002</v>
      </c>
      <c r="E3191" s="2">
        <v>43.95</v>
      </c>
      <c r="F3191" s="2">
        <v>500456614</v>
      </c>
      <c r="G3191" s="2" t="s">
        <v>571</v>
      </c>
      <c r="H3191" s="2" t="s">
        <v>572</v>
      </c>
      <c r="I3191" s="2" t="s">
        <v>17</v>
      </c>
      <c r="J3191" s="3">
        <v>0.15</v>
      </c>
      <c r="K3191" s="2" t="s">
        <v>204</v>
      </c>
      <c r="L3191" s="2">
        <v>2023</v>
      </c>
      <c r="M3191" s="2" t="s">
        <v>205</v>
      </c>
      <c r="N3191" s="2" t="s">
        <v>21</v>
      </c>
      <c r="O3191">
        <f t="shared" si="98"/>
        <v>2.2419999999999973</v>
      </c>
      <c r="P3191">
        <f t="shared" si="99"/>
        <v>122.051</v>
      </c>
    </row>
    <row r="3192" spans="1:16" x14ac:dyDescent="0.35">
      <c r="A3192" s="9" t="s">
        <v>216</v>
      </c>
      <c r="B3192" s="2">
        <v>43.817</v>
      </c>
      <c r="C3192" s="2">
        <v>43.95</v>
      </c>
      <c r="D3192" s="2">
        <v>42.985999999999997</v>
      </c>
      <c r="E3192" s="2">
        <v>43.503999999999998</v>
      </c>
      <c r="F3192" s="2">
        <v>373202813</v>
      </c>
      <c r="G3192" s="2" t="s">
        <v>571</v>
      </c>
      <c r="H3192" s="2" t="s">
        <v>572</v>
      </c>
      <c r="I3192" s="2" t="s">
        <v>17</v>
      </c>
      <c r="J3192" s="4">
        <v>-1.014</v>
      </c>
      <c r="K3192" s="2" t="s">
        <v>204</v>
      </c>
      <c r="L3192" s="2">
        <v>2023</v>
      </c>
      <c r="M3192" s="2" t="s">
        <v>205</v>
      </c>
      <c r="N3192" s="2" t="s">
        <v>23</v>
      </c>
      <c r="O3192">
        <f t="shared" si="98"/>
        <v>0.96400000000000574</v>
      </c>
      <c r="P3192">
        <f t="shared" si="99"/>
        <v>121.03700000000001</v>
      </c>
    </row>
    <row r="3193" spans="1:16" x14ac:dyDescent="0.35">
      <c r="A3193" s="9" t="s">
        <v>217</v>
      </c>
      <c r="B3193" s="2">
        <v>43.584000000000003</v>
      </c>
      <c r="C3193" s="2">
        <v>43.887</v>
      </c>
      <c r="D3193" s="2">
        <v>42.207000000000001</v>
      </c>
      <c r="E3193" s="2">
        <v>42.222999999999999</v>
      </c>
      <c r="F3193" s="2">
        <v>367244051</v>
      </c>
      <c r="G3193" s="2" t="s">
        <v>571</v>
      </c>
      <c r="H3193" s="2" t="s">
        <v>572</v>
      </c>
      <c r="I3193" s="2" t="s">
        <v>17</v>
      </c>
      <c r="J3193" s="4">
        <v>-2.944</v>
      </c>
      <c r="K3193" s="2" t="s">
        <v>204</v>
      </c>
      <c r="L3193" s="2">
        <v>2023</v>
      </c>
      <c r="M3193" s="2" t="s">
        <v>205</v>
      </c>
      <c r="N3193" s="2" t="s">
        <v>23</v>
      </c>
      <c r="O3193">
        <f t="shared" si="98"/>
        <v>1.6799999999999997</v>
      </c>
      <c r="P3193">
        <f t="shared" si="99"/>
        <v>118.093</v>
      </c>
    </row>
    <row r="3194" spans="1:16" x14ac:dyDescent="0.35">
      <c r="A3194" s="9" t="s">
        <v>218</v>
      </c>
      <c r="B3194" s="2">
        <v>41.567</v>
      </c>
      <c r="C3194" s="2">
        <v>42.084000000000003</v>
      </c>
      <c r="D3194" s="2">
        <v>40.965000000000003</v>
      </c>
      <c r="E3194" s="2">
        <v>41.002000000000002</v>
      </c>
      <c r="F3194" s="2">
        <v>450903384</v>
      </c>
      <c r="G3194" s="2" t="s">
        <v>571</v>
      </c>
      <c r="H3194" s="2" t="s">
        <v>572</v>
      </c>
      <c r="I3194" s="2" t="s">
        <v>17</v>
      </c>
      <c r="J3194" s="4">
        <v>-2.8929999999999998</v>
      </c>
      <c r="K3194" s="2" t="s">
        <v>204</v>
      </c>
      <c r="L3194" s="2">
        <v>2023</v>
      </c>
      <c r="M3194" s="2" t="s">
        <v>205</v>
      </c>
      <c r="N3194" s="2" t="s">
        <v>23</v>
      </c>
      <c r="O3194">
        <f t="shared" si="98"/>
        <v>1.1189999999999998</v>
      </c>
      <c r="P3194">
        <f t="shared" si="99"/>
        <v>115.2</v>
      </c>
    </row>
    <row r="3195" spans="1:16" x14ac:dyDescent="0.35">
      <c r="A3195" s="9" t="s">
        <v>219</v>
      </c>
      <c r="B3195" s="2">
        <v>41.555999999999997</v>
      </c>
      <c r="C3195" s="2">
        <v>42.098999999999997</v>
      </c>
      <c r="D3195" s="2">
        <v>41.216000000000001</v>
      </c>
      <c r="E3195" s="2">
        <v>41.594000000000001</v>
      </c>
      <c r="F3195" s="2">
        <v>479414321</v>
      </c>
      <c r="G3195" s="2" t="s">
        <v>571</v>
      </c>
      <c r="H3195" s="2" t="s">
        <v>572</v>
      </c>
      <c r="I3195" s="2" t="s">
        <v>17</v>
      </c>
      <c r="J3195" s="3">
        <v>1.4450000000000001</v>
      </c>
      <c r="K3195" s="2" t="s">
        <v>204</v>
      </c>
      <c r="L3195" s="2">
        <v>2023</v>
      </c>
      <c r="M3195" s="2" t="s">
        <v>205</v>
      </c>
      <c r="N3195" s="2" t="s">
        <v>21</v>
      </c>
      <c r="O3195">
        <f t="shared" si="98"/>
        <v>0.88299999999999557</v>
      </c>
      <c r="P3195">
        <f t="shared" si="99"/>
        <v>116.645</v>
      </c>
    </row>
    <row r="3196" spans="1:16" x14ac:dyDescent="0.35">
      <c r="A3196" s="9" t="s">
        <v>220</v>
      </c>
      <c r="B3196" s="2">
        <v>41.575000000000003</v>
      </c>
      <c r="C3196" s="2">
        <v>42.52</v>
      </c>
      <c r="D3196" s="2">
        <v>41.161999999999999</v>
      </c>
      <c r="E3196" s="2">
        <v>42.206000000000003</v>
      </c>
      <c r="F3196" s="2">
        <v>419246630</v>
      </c>
      <c r="G3196" s="2" t="s">
        <v>571</v>
      </c>
      <c r="H3196" s="2" t="s">
        <v>572</v>
      </c>
      <c r="I3196" s="2" t="s">
        <v>17</v>
      </c>
      <c r="J3196" s="3">
        <v>1.4710000000000001</v>
      </c>
      <c r="K3196" s="2" t="s">
        <v>204</v>
      </c>
      <c r="L3196" s="2">
        <v>2023</v>
      </c>
      <c r="M3196" s="2" t="s">
        <v>205</v>
      </c>
      <c r="N3196" s="2" t="s">
        <v>21</v>
      </c>
      <c r="O3196">
        <f t="shared" si="98"/>
        <v>1.3580000000000041</v>
      </c>
      <c r="P3196">
        <f t="shared" si="99"/>
        <v>118.116</v>
      </c>
    </row>
    <row r="3197" spans="1:16" x14ac:dyDescent="0.35">
      <c r="A3197" s="9" t="s">
        <v>221</v>
      </c>
      <c r="B3197" s="2">
        <v>41.984999999999999</v>
      </c>
      <c r="C3197" s="2">
        <v>42.804000000000002</v>
      </c>
      <c r="D3197" s="2">
        <v>41.639000000000003</v>
      </c>
      <c r="E3197" s="2">
        <v>41.895000000000003</v>
      </c>
      <c r="F3197" s="2">
        <v>402431516</v>
      </c>
      <c r="G3197" s="2" t="s">
        <v>571</v>
      </c>
      <c r="H3197" s="2" t="s">
        <v>572</v>
      </c>
      <c r="I3197" s="2" t="s">
        <v>17</v>
      </c>
      <c r="J3197" s="4">
        <v>-0.73699999999999999</v>
      </c>
      <c r="K3197" s="2" t="s">
        <v>204</v>
      </c>
      <c r="L3197" s="2">
        <v>2023</v>
      </c>
      <c r="M3197" s="2" t="s">
        <v>205</v>
      </c>
      <c r="N3197" s="2" t="s">
        <v>23</v>
      </c>
      <c r="O3197">
        <f t="shared" si="98"/>
        <v>1.1649999999999991</v>
      </c>
      <c r="P3197">
        <f t="shared" si="99"/>
        <v>117.379</v>
      </c>
    </row>
    <row r="3198" spans="1:16" x14ac:dyDescent="0.35">
      <c r="A3198" s="9" t="s">
        <v>222</v>
      </c>
      <c r="B3198" s="2">
        <v>42.314</v>
      </c>
      <c r="C3198" s="2">
        <v>42.856000000000002</v>
      </c>
      <c r="D3198" s="2">
        <v>41.613999999999997</v>
      </c>
      <c r="E3198" s="2">
        <v>42.451999999999998</v>
      </c>
      <c r="F3198" s="2">
        <v>445100470</v>
      </c>
      <c r="G3198" s="2" t="s">
        <v>571</v>
      </c>
      <c r="H3198" s="2" t="s">
        <v>572</v>
      </c>
      <c r="I3198" s="2" t="s">
        <v>17</v>
      </c>
      <c r="J3198" s="3">
        <v>1.329</v>
      </c>
      <c r="K3198" s="2" t="s">
        <v>204</v>
      </c>
      <c r="L3198" s="2">
        <v>2023</v>
      </c>
      <c r="M3198" s="2" t="s">
        <v>205</v>
      </c>
      <c r="N3198" s="2" t="s">
        <v>21</v>
      </c>
      <c r="O3198">
        <f t="shared" si="98"/>
        <v>1.2420000000000044</v>
      </c>
      <c r="P3198">
        <f t="shared" si="99"/>
        <v>118.708</v>
      </c>
    </row>
    <row r="3199" spans="1:16" x14ac:dyDescent="0.35">
      <c r="A3199" s="9" t="s">
        <v>223</v>
      </c>
      <c r="B3199" s="2">
        <v>42.444000000000003</v>
      </c>
      <c r="C3199" s="2">
        <v>43.43</v>
      </c>
      <c r="D3199" s="2">
        <v>42.098999999999997</v>
      </c>
      <c r="E3199" s="2">
        <v>43.073</v>
      </c>
      <c r="F3199" s="2">
        <v>424820529</v>
      </c>
      <c r="G3199" s="2" t="s">
        <v>571</v>
      </c>
      <c r="H3199" s="2" t="s">
        <v>572</v>
      </c>
      <c r="I3199" s="2" t="s">
        <v>17</v>
      </c>
      <c r="J3199" s="3">
        <v>1.462</v>
      </c>
      <c r="K3199" s="2" t="s">
        <v>204</v>
      </c>
      <c r="L3199" s="2">
        <v>2023</v>
      </c>
      <c r="M3199" s="2" t="s">
        <v>205</v>
      </c>
      <c r="N3199" s="2" t="s">
        <v>21</v>
      </c>
      <c r="O3199">
        <f t="shared" si="98"/>
        <v>1.3310000000000031</v>
      </c>
      <c r="P3199">
        <f t="shared" si="99"/>
        <v>120.17</v>
      </c>
    </row>
    <row r="3200" spans="1:16" x14ac:dyDescent="0.35">
      <c r="A3200" s="9" t="s">
        <v>224</v>
      </c>
      <c r="B3200" s="2">
        <v>43.811</v>
      </c>
      <c r="C3200" s="2">
        <v>44.128</v>
      </c>
      <c r="D3200" s="2">
        <v>43.290999999999997</v>
      </c>
      <c r="E3200" s="2">
        <v>43.482999999999997</v>
      </c>
      <c r="F3200" s="2">
        <v>397977702</v>
      </c>
      <c r="G3200" s="2" t="s">
        <v>571</v>
      </c>
      <c r="H3200" s="2" t="s">
        <v>572</v>
      </c>
      <c r="I3200" s="2" t="s">
        <v>17</v>
      </c>
      <c r="J3200" s="3">
        <v>0.95199999999999996</v>
      </c>
      <c r="K3200" s="2" t="s">
        <v>204</v>
      </c>
      <c r="L3200" s="2">
        <v>2023</v>
      </c>
      <c r="M3200" s="2" t="s">
        <v>205</v>
      </c>
      <c r="N3200" s="2" t="s">
        <v>21</v>
      </c>
      <c r="O3200">
        <f t="shared" si="98"/>
        <v>0.8370000000000033</v>
      </c>
      <c r="P3200">
        <f t="shared" si="99"/>
        <v>121.122</v>
      </c>
    </row>
    <row r="3201" spans="1:16" x14ac:dyDescent="0.35">
      <c r="A3201" s="9" t="s">
        <v>225</v>
      </c>
      <c r="B3201" s="2">
        <v>44.014000000000003</v>
      </c>
      <c r="C3201" s="2">
        <v>45.158000000000001</v>
      </c>
      <c r="D3201" s="2">
        <v>43.844999999999999</v>
      </c>
      <c r="E3201" s="2">
        <v>44.765000000000001</v>
      </c>
      <c r="F3201" s="2">
        <v>433459157</v>
      </c>
      <c r="G3201" s="2" t="s">
        <v>571</v>
      </c>
      <c r="H3201" s="2" t="s">
        <v>572</v>
      </c>
      <c r="I3201" s="2" t="s">
        <v>17</v>
      </c>
      <c r="J3201" s="3">
        <v>2.9489999999999998</v>
      </c>
      <c r="K3201" s="2" t="s">
        <v>226</v>
      </c>
      <c r="L3201" s="2">
        <v>2023</v>
      </c>
      <c r="M3201" s="2" t="s">
        <v>227</v>
      </c>
      <c r="N3201" s="2" t="s">
        <v>21</v>
      </c>
      <c r="O3201">
        <f t="shared" si="98"/>
        <v>1.3130000000000024</v>
      </c>
      <c r="P3201">
        <f t="shared" si="99"/>
        <v>124.071</v>
      </c>
    </row>
    <row r="3202" spans="1:16" x14ac:dyDescent="0.35">
      <c r="A3202" s="9" t="s">
        <v>228</v>
      </c>
      <c r="B3202" s="2">
        <v>44.790999999999997</v>
      </c>
      <c r="C3202" s="2">
        <v>45.113</v>
      </c>
      <c r="D3202" s="2">
        <v>43.23</v>
      </c>
      <c r="E3202" s="2">
        <v>43.500999999999998</v>
      </c>
      <c r="F3202" s="2">
        <v>471024435</v>
      </c>
      <c r="G3202" s="2" t="s">
        <v>571</v>
      </c>
      <c r="H3202" s="2" t="s">
        <v>572</v>
      </c>
      <c r="I3202" s="2" t="s">
        <v>17</v>
      </c>
      <c r="J3202" s="4">
        <v>-2.8250000000000002</v>
      </c>
      <c r="K3202" s="2" t="s">
        <v>226</v>
      </c>
      <c r="L3202" s="2">
        <v>2023</v>
      </c>
      <c r="M3202" s="2" t="s">
        <v>227</v>
      </c>
      <c r="N3202" s="2" t="s">
        <v>23</v>
      </c>
      <c r="O3202">
        <f t="shared" si="98"/>
        <v>1.8830000000000027</v>
      </c>
      <c r="P3202">
        <f t="shared" si="99"/>
        <v>121.246</v>
      </c>
    </row>
    <row r="3203" spans="1:16" x14ac:dyDescent="0.35">
      <c r="A3203" s="9" t="s">
        <v>229</v>
      </c>
      <c r="B3203" s="2">
        <v>43.725999999999999</v>
      </c>
      <c r="C3203" s="2">
        <v>44.127000000000002</v>
      </c>
      <c r="D3203" s="2">
        <v>43.276000000000003</v>
      </c>
      <c r="E3203" s="2">
        <v>44.024999999999999</v>
      </c>
      <c r="F3203" s="2">
        <v>361955257</v>
      </c>
      <c r="G3203" s="2" t="s">
        <v>571</v>
      </c>
      <c r="H3203" s="2" t="s">
        <v>572</v>
      </c>
      <c r="I3203" s="2" t="s">
        <v>17</v>
      </c>
      <c r="J3203" s="3">
        <v>1.204</v>
      </c>
      <c r="K3203" s="2" t="s">
        <v>226</v>
      </c>
      <c r="L3203" s="2">
        <v>2023</v>
      </c>
      <c r="M3203" s="2" t="s">
        <v>227</v>
      </c>
      <c r="N3203" s="2" t="s">
        <v>21</v>
      </c>
      <c r="O3203">
        <f t="shared" ref="O3203:O3266" si="100">C3203-D3203</f>
        <v>0.85099999999999909</v>
      </c>
      <c r="P3203">
        <f t="shared" si="99"/>
        <v>122.44999999999999</v>
      </c>
    </row>
    <row r="3204" spans="1:16" x14ac:dyDescent="0.35">
      <c r="A3204" s="9" t="s">
        <v>230</v>
      </c>
      <c r="B3204" s="2">
        <v>44.033999999999999</v>
      </c>
      <c r="C3204" s="2">
        <v>44.883000000000003</v>
      </c>
      <c r="D3204" s="2">
        <v>43.872</v>
      </c>
      <c r="E3204" s="2">
        <v>44.670999999999999</v>
      </c>
      <c r="F3204" s="2">
        <v>393629248</v>
      </c>
      <c r="G3204" s="2" t="s">
        <v>571</v>
      </c>
      <c r="H3204" s="2" t="s">
        <v>572</v>
      </c>
      <c r="I3204" s="2" t="s">
        <v>17</v>
      </c>
      <c r="J3204" s="3">
        <v>1.4690000000000001</v>
      </c>
      <c r="K3204" s="2" t="s">
        <v>226</v>
      </c>
      <c r="L3204" s="2">
        <v>2023</v>
      </c>
      <c r="M3204" s="2" t="s">
        <v>227</v>
      </c>
      <c r="N3204" s="2" t="s">
        <v>21</v>
      </c>
      <c r="O3204">
        <f t="shared" si="100"/>
        <v>1.0110000000000028</v>
      </c>
      <c r="P3204">
        <f t="shared" ref="P3204:P3267" si="101">IF(G3204=G3203, P3203+J3204, J3204)</f>
        <v>123.91899999999998</v>
      </c>
    </row>
    <row r="3205" spans="1:16" x14ac:dyDescent="0.35">
      <c r="A3205" s="9" t="s">
        <v>231</v>
      </c>
      <c r="B3205" s="2">
        <v>44.177</v>
      </c>
      <c r="C3205" s="2">
        <v>45.771999999999998</v>
      </c>
      <c r="D3205" s="2">
        <v>44.01</v>
      </c>
      <c r="E3205" s="2">
        <v>45.744999999999997</v>
      </c>
      <c r="F3205" s="2">
        <v>434597390</v>
      </c>
      <c r="G3205" s="2" t="s">
        <v>571</v>
      </c>
      <c r="H3205" s="2" t="s">
        <v>572</v>
      </c>
      <c r="I3205" s="2" t="s">
        <v>17</v>
      </c>
      <c r="J3205" s="3">
        <v>2.403</v>
      </c>
      <c r="K3205" s="2" t="s">
        <v>226</v>
      </c>
      <c r="L3205" s="2">
        <v>2023</v>
      </c>
      <c r="M3205" s="2" t="s">
        <v>227</v>
      </c>
      <c r="N3205" s="2" t="s">
        <v>21</v>
      </c>
      <c r="O3205">
        <f t="shared" si="100"/>
        <v>1.7620000000000005</v>
      </c>
      <c r="P3205">
        <f t="shared" si="101"/>
        <v>126.32199999999999</v>
      </c>
    </row>
    <row r="3206" spans="1:16" x14ac:dyDescent="0.35">
      <c r="A3206" s="9" t="s">
        <v>232</v>
      </c>
      <c r="B3206" s="2">
        <v>44.825000000000003</v>
      </c>
      <c r="C3206" s="2">
        <v>45.588000000000001</v>
      </c>
      <c r="D3206" s="2">
        <v>44.351999999999997</v>
      </c>
      <c r="E3206" s="2">
        <v>45.256</v>
      </c>
      <c r="F3206" s="2">
        <v>409826892</v>
      </c>
      <c r="G3206" s="2" t="s">
        <v>571</v>
      </c>
      <c r="H3206" s="2" t="s">
        <v>572</v>
      </c>
      <c r="I3206" s="2" t="s">
        <v>17</v>
      </c>
      <c r="J3206" s="4">
        <v>-1.069</v>
      </c>
      <c r="K3206" s="2" t="s">
        <v>226</v>
      </c>
      <c r="L3206" s="2">
        <v>2023</v>
      </c>
      <c r="M3206" s="2" t="s">
        <v>227</v>
      </c>
      <c r="N3206" s="2" t="s">
        <v>23</v>
      </c>
      <c r="O3206">
        <f t="shared" si="100"/>
        <v>1.2360000000000042</v>
      </c>
      <c r="P3206">
        <f t="shared" si="101"/>
        <v>125.25299999999999</v>
      </c>
    </row>
    <row r="3207" spans="1:16" x14ac:dyDescent="0.35">
      <c r="A3207" s="9" t="s">
        <v>233</v>
      </c>
      <c r="B3207" s="2">
        <v>45.292999999999999</v>
      </c>
      <c r="C3207" s="2">
        <v>46.241999999999997</v>
      </c>
      <c r="D3207" s="2">
        <v>45.070999999999998</v>
      </c>
      <c r="E3207" s="2">
        <v>45.780999999999999</v>
      </c>
      <c r="F3207" s="2">
        <v>368718988</v>
      </c>
      <c r="G3207" s="2" t="s">
        <v>571</v>
      </c>
      <c r="H3207" s="2" t="s">
        <v>572</v>
      </c>
      <c r="I3207" s="2" t="s">
        <v>17</v>
      </c>
      <c r="J3207" s="3">
        <v>1.1599999999999999</v>
      </c>
      <c r="K3207" s="2" t="s">
        <v>226</v>
      </c>
      <c r="L3207" s="2">
        <v>2023</v>
      </c>
      <c r="M3207" s="2" t="s">
        <v>227</v>
      </c>
      <c r="N3207" s="2" t="s">
        <v>21</v>
      </c>
      <c r="O3207">
        <f t="shared" si="100"/>
        <v>1.1709999999999994</v>
      </c>
      <c r="P3207">
        <f t="shared" si="101"/>
        <v>126.41299999999998</v>
      </c>
    </row>
    <row r="3208" spans="1:16" x14ac:dyDescent="0.35">
      <c r="A3208" s="9" t="s">
        <v>234</v>
      </c>
      <c r="B3208" s="2">
        <v>46.179000000000002</v>
      </c>
      <c r="C3208" s="2">
        <v>46.841999999999999</v>
      </c>
      <c r="D3208" s="2">
        <v>46.033000000000001</v>
      </c>
      <c r="E3208" s="2">
        <v>46.789000000000001</v>
      </c>
      <c r="F3208" s="2">
        <v>378277348</v>
      </c>
      <c r="G3208" s="2" t="s">
        <v>571</v>
      </c>
      <c r="H3208" s="2" t="s">
        <v>572</v>
      </c>
      <c r="I3208" s="2" t="s">
        <v>17</v>
      </c>
      <c r="J3208" s="3">
        <v>2.2010000000000001</v>
      </c>
      <c r="K3208" s="2" t="s">
        <v>226</v>
      </c>
      <c r="L3208" s="2">
        <v>2023</v>
      </c>
      <c r="M3208" s="2" t="s">
        <v>227</v>
      </c>
      <c r="N3208" s="2" t="s">
        <v>21</v>
      </c>
      <c r="O3208">
        <f t="shared" si="100"/>
        <v>0.8089999999999975</v>
      </c>
      <c r="P3208">
        <f t="shared" si="101"/>
        <v>128.61399999999998</v>
      </c>
    </row>
    <row r="3209" spans="1:16" x14ac:dyDescent="0.35">
      <c r="A3209" s="9" t="s">
        <v>235</v>
      </c>
      <c r="B3209" s="2">
        <v>46.76</v>
      </c>
      <c r="C3209" s="2">
        <v>47.591000000000001</v>
      </c>
      <c r="D3209" s="2">
        <v>46.313000000000002</v>
      </c>
      <c r="E3209" s="2">
        <v>46.927999999999997</v>
      </c>
      <c r="F3209" s="2">
        <v>481503786</v>
      </c>
      <c r="G3209" s="2" t="s">
        <v>571</v>
      </c>
      <c r="H3209" s="2" t="s">
        <v>572</v>
      </c>
      <c r="I3209" s="2" t="s">
        <v>17</v>
      </c>
      <c r="J3209" s="3">
        <v>0.29699999999999999</v>
      </c>
      <c r="K3209" s="2" t="s">
        <v>226</v>
      </c>
      <c r="L3209" s="2">
        <v>2023</v>
      </c>
      <c r="M3209" s="2" t="s">
        <v>227</v>
      </c>
      <c r="N3209" s="2" t="s">
        <v>21</v>
      </c>
      <c r="O3209">
        <f t="shared" si="100"/>
        <v>1.2779999999999987</v>
      </c>
      <c r="P3209">
        <f t="shared" si="101"/>
        <v>128.91099999999997</v>
      </c>
    </row>
    <row r="3210" spans="1:16" x14ac:dyDescent="0.35">
      <c r="A3210" s="9" t="s">
        <v>236</v>
      </c>
      <c r="B3210" s="2">
        <v>46.942999999999998</v>
      </c>
      <c r="C3210" s="2">
        <v>47.098999999999997</v>
      </c>
      <c r="D3210" s="2">
        <v>45.262999999999998</v>
      </c>
      <c r="E3210" s="2">
        <v>45.444000000000003</v>
      </c>
      <c r="F3210" s="2">
        <v>475602585</v>
      </c>
      <c r="G3210" s="2" t="s">
        <v>571</v>
      </c>
      <c r="H3210" s="2" t="s">
        <v>572</v>
      </c>
      <c r="I3210" s="2" t="s">
        <v>17</v>
      </c>
      <c r="J3210" s="4">
        <v>-3.161</v>
      </c>
      <c r="K3210" s="2" t="s">
        <v>226</v>
      </c>
      <c r="L3210" s="2">
        <v>2023</v>
      </c>
      <c r="M3210" s="2" t="s">
        <v>227</v>
      </c>
      <c r="N3210" s="2" t="s">
        <v>23</v>
      </c>
      <c r="O3210">
        <f t="shared" si="100"/>
        <v>1.8359999999999985</v>
      </c>
      <c r="P3210">
        <f t="shared" si="101"/>
        <v>125.74999999999997</v>
      </c>
    </row>
    <row r="3211" spans="1:16" x14ac:dyDescent="0.35">
      <c r="A3211" s="9" t="s">
        <v>237</v>
      </c>
      <c r="B3211" s="2">
        <v>45.045999999999999</v>
      </c>
      <c r="C3211" s="2">
        <v>46.207999999999998</v>
      </c>
      <c r="D3211" s="2">
        <v>44.895000000000003</v>
      </c>
      <c r="E3211" s="2">
        <v>46.078000000000003</v>
      </c>
      <c r="F3211" s="2">
        <v>375238569</v>
      </c>
      <c r="G3211" s="2" t="s">
        <v>571</v>
      </c>
      <c r="H3211" s="2" t="s">
        <v>572</v>
      </c>
      <c r="I3211" s="2" t="s">
        <v>17</v>
      </c>
      <c r="J3211" s="3">
        <v>1.3939999999999999</v>
      </c>
      <c r="K3211" s="2" t="s">
        <v>226</v>
      </c>
      <c r="L3211" s="2">
        <v>2023</v>
      </c>
      <c r="M3211" s="2" t="s">
        <v>227</v>
      </c>
      <c r="N3211" s="2" t="s">
        <v>21</v>
      </c>
      <c r="O3211">
        <f t="shared" si="100"/>
        <v>1.3129999999999953</v>
      </c>
      <c r="P3211">
        <f t="shared" si="101"/>
        <v>127.14399999999998</v>
      </c>
    </row>
    <row r="3212" spans="1:16" x14ac:dyDescent="0.35">
      <c r="A3212" s="9" t="s">
        <v>238</v>
      </c>
      <c r="B3212" s="2">
        <v>43.984000000000002</v>
      </c>
      <c r="C3212" s="2">
        <v>44.737000000000002</v>
      </c>
      <c r="D3212" s="2">
        <v>42.463999999999999</v>
      </c>
      <c r="E3212" s="2">
        <v>43.921999999999997</v>
      </c>
      <c r="F3212" s="2">
        <v>812634408</v>
      </c>
      <c r="G3212" s="2" t="s">
        <v>571</v>
      </c>
      <c r="H3212" s="2" t="s">
        <v>572</v>
      </c>
      <c r="I3212" s="2" t="s">
        <v>17</v>
      </c>
      <c r="J3212" s="4">
        <v>-4.6790000000000003</v>
      </c>
      <c r="K3212" s="2" t="s">
        <v>226</v>
      </c>
      <c r="L3212" s="2">
        <v>2023</v>
      </c>
      <c r="M3212" s="2" t="s">
        <v>227</v>
      </c>
      <c r="N3212" s="2" t="s">
        <v>23</v>
      </c>
      <c r="O3212">
        <f t="shared" si="100"/>
        <v>2.2730000000000032</v>
      </c>
      <c r="P3212">
        <f t="shared" si="101"/>
        <v>122.46499999999997</v>
      </c>
    </row>
    <row r="3213" spans="1:16" x14ac:dyDescent="0.35">
      <c r="A3213" s="9" t="s">
        <v>239</v>
      </c>
      <c r="B3213" s="2">
        <v>42.575000000000003</v>
      </c>
      <c r="C3213" s="2">
        <v>43.203000000000003</v>
      </c>
      <c r="D3213" s="2">
        <v>41.808999999999997</v>
      </c>
      <c r="E3213" s="2">
        <v>42.18</v>
      </c>
      <c r="F3213" s="2">
        <v>627527346</v>
      </c>
      <c r="G3213" s="2" t="s">
        <v>571</v>
      </c>
      <c r="H3213" s="2" t="s">
        <v>572</v>
      </c>
      <c r="I3213" s="2" t="s">
        <v>17</v>
      </c>
      <c r="J3213" s="4">
        <v>-3.9649999999999999</v>
      </c>
      <c r="K3213" s="2" t="s">
        <v>226</v>
      </c>
      <c r="L3213" s="2">
        <v>2023</v>
      </c>
      <c r="M3213" s="2" t="s">
        <v>227</v>
      </c>
      <c r="N3213" s="2" t="s">
        <v>23</v>
      </c>
      <c r="O3213">
        <f t="shared" si="100"/>
        <v>1.3940000000000055</v>
      </c>
      <c r="P3213">
        <f t="shared" si="101"/>
        <v>118.49999999999997</v>
      </c>
    </row>
    <row r="3214" spans="1:16" x14ac:dyDescent="0.35">
      <c r="A3214" s="9" t="s">
        <v>240</v>
      </c>
      <c r="B3214" s="2">
        <v>42.795000000000002</v>
      </c>
      <c r="C3214" s="2">
        <v>43.280999999999999</v>
      </c>
      <c r="D3214" s="2">
        <v>41.866</v>
      </c>
      <c r="E3214" s="2">
        <v>42.085000000000001</v>
      </c>
      <c r="F3214" s="2">
        <v>501419261</v>
      </c>
      <c r="G3214" s="2" t="s">
        <v>571</v>
      </c>
      <c r="H3214" s="2" t="s">
        <v>572</v>
      </c>
      <c r="I3214" s="2" t="s">
        <v>17</v>
      </c>
      <c r="J3214" s="4">
        <v>-0.22500000000000001</v>
      </c>
      <c r="K3214" s="2" t="s">
        <v>226</v>
      </c>
      <c r="L3214" s="2">
        <v>2023</v>
      </c>
      <c r="M3214" s="2" t="s">
        <v>227</v>
      </c>
      <c r="N3214" s="2" t="s">
        <v>23</v>
      </c>
      <c r="O3214">
        <f t="shared" si="100"/>
        <v>1.4149999999999991</v>
      </c>
      <c r="P3214">
        <f t="shared" si="101"/>
        <v>118.27499999999998</v>
      </c>
    </row>
    <row r="3215" spans="1:16" x14ac:dyDescent="0.35">
      <c r="A3215" s="9" t="s">
        <v>241</v>
      </c>
      <c r="B3215" s="2">
        <v>41.874000000000002</v>
      </c>
      <c r="C3215" s="2">
        <v>42.454000000000001</v>
      </c>
      <c r="D3215" s="2">
        <v>41.063000000000002</v>
      </c>
      <c r="E3215" s="2">
        <v>41.372</v>
      </c>
      <c r="F3215" s="2">
        <v>477443329</v>
      </c>
      <c r="G3215" s="2" t="s">
        <v>571</v>
      </c>
      <c r="H3215" s="2" t="s">
        <v>572</v>
      </c>
      <c r="I3215" s="2" t="s">
        <v>17</v>
      </c>
      <c r="J3215" s="4">
        <v>-1.696</v>
      </c>
      <c r="K3215" s="2" t="s">
        <v>226</v>
      </c>
      <c r="L3215" s="2">
        <v>2023</v>
      </c>
      <c r="M3215" s="2" t="s">
        <v>227</v>
      </c>
      <c r="N3215" s="2" t="s">
        <v>23</v>
      </c>
      <c r="O3215">
        <f t="shared" si="100"/>
        <v>1.3909999999999982</v>
      </c>
      <c r="P3215">
        <f t="shared" si="101"/>
        <v>116.57899999999998</v>
      </c>
    </row>
    <row r="3216" spans="1:16" x14ac:dyDescent="0.35">
      <c r="A3216" s="9" t="s">
        <v>242</v>
      </c>
      <c r="B3216" s="2">
        <v>41.213999999999999</v>
      </c>
      <c r="C3216" s="2">
        <v>43.231999999999999</v>
      </c>
      <c r="D3216" s="2">
        <v>40.93</v>
      </c>
      <c r="E3216" s="2">
        <v>42.959000000000003</v>
      </c>
      <c r="F3216" s="2">
        <v>478708238</v>
      </c>
      <c r="G3216" s="2" t="s">
        <v>571</v>
      </c>
      <c r="H3216" s="2" t="s">
        <v>572</v>
      </c>
      <c r="I3216" s="2" t="s">
        <v>17</v>
      </c>
      <c r="J3216" s="3">
        <v>3.8370000000000002</v>
      </c>
      <c r="K3216" s="2" t="s">
        <v>226</v>
      </c>
      <c r="L3216" s="2">
        <v>2023</v>
      </c>
      <c r="M3216" s="2" t="s">
        <v>227</v>
      </c>
      <c r="N3216" s="2" t="s">
        <v>21</v>
      </c>
      <c r="O3216">
        <f t="shared" si="100"/>
        <v>2.3019999999999996</v>
      </c>
      <c r="P3216">
        <f t="shared" si="101"/>
        <v>120.41599999999998</v>
      </c>
    </row>
    <row r="3217" spans="1:16" x14ac:dyDescent="0.35">
      <c r="A3217" s="9" t="s">
        <v>243</v>
      </c>
      <c r="B3217" s="2">
        <v>43.061</v>
      </c>
      <c r="C3217" s="2">
        <v>43.680999999999997</v>
      </c>
      <c r="D3217" s="2">
        <v>42.674999999999997</v>
      </c>
      <c r="E3217" s="2">
        <v>43.646999999999998</v>
      </c>
      <c r="F3217" s="2">
        <v>401612492</v>
      </c>
      <c r="G3217" s="2" t="s">
        <v>571</v>
      </c>
      <c r="H3217" s="2" t="s">
        <v>572</v>
      </c>
      <c r="I3217" s="2" t="s">
        <v>17</v>
      </c>
      <c r="J3217" s="3">
        <v>1.601</v>
      </c>
      <c r="K3217" s="2" t="s">
        <v>226</v>
      </c>
      <c r="L3217" s="2">
        <v>2023</v>
      </c>
      <c r="M3217" s="2" t="s">
        <v>227</v>
      </c>
      <c r="N3217" s="2" t="s">
        <v>21</v>
      </c>
      <c r="O3217">
        <f t="shared" si="100"/>
        <v>1.0060000000000002</v>
      </c>
      <c r="P3217">
        <f t="shared" si="101"/>
        <v>122.01699999999998</v>
      </c>
    </row>
    <row r="3218" spans="1:16" x14ac:dyDescent="0.35">
      <c r="A3218" s="9" t="s">
        <v>244</v>
      </c>
      <c r="B3218" s="2">
        <v>43.381999999999998</v>
      </c>
      <c r="C3218" s="2">
        <v>43.634</v>
      </c>
      <c r="D3218" s="2">
        <v>41.539000000000001</v>
      </c>
      <c r="E3218" s="2">
        <v>41.762999999999998</v>
      </c>
      <c r="F3218" s="2">
        <v>398527196</v>
      </c>
      <c r="G3218" s="2" t="s">
        <v>571</v>
      </c>
      <c r="H3218" s="2" t="s">
        <v>572</v>
      </c>
      <c r="I3218" s="2" t="s">
        <v>17</v>
      </c>
      <c r="J3218" s="4">
        <v>-4.3150000000000004</v>
      </c>
      <c r="K3218" s="2" t="s">
        <v>226</v>
      </c>
      <c r="L3218" s="2">
        <v>2023</v>
      </c>
      <c r="M3218" s="2" t="s">
        <v>227</v>
      </c>
      <c r="N3218" s="2" t="s">
        <v>23</v>
      </c>
      <c r="O3218">
        <f t="shared" si="100"/>
        <v>2.0949999999999989</v>
      </c>
      <c r="P3218">
        <f t="shared" si="101"/>
        <v>117.70199999999998</v>
      </c>
    </row>
    <row r="3219" spans="1:16" x14ac:dyDescent="0.35">
      <c r="A3219" s="9" t="s">
        <v>245</v>
      </c>
      <c r="B3219" s="2">
        <v>41.837000000000003</v>
      </c>
      <c r="C3219" s="2">
        <v>42.24</v>
      </c>
      <c r="D3219" s="2">
        <v>39.865000000000002</v>
      </c>
      <c r="E3219" s="2">
        <v>40.311</v>
      </c>
      <c r="F3219" s="2">
        <v>541202273</v>
      </c>
      <c r="G3219" s="2" t="s">
        <v>571</v>
      </c>
      <c r="H3219" s="2" t="s">
        <v>572</v>
      </c>
      <c r="I3219" s="2" t="s">
        <v>17</v>
      </c>
      <c r="J3219" s="4">
        <v>-3.4769999999999999</v>
      </c>
      <c r="K3219" s="2" t="s">
        <v>226</v>
      </c>
      <c r="L3219" s="2">
        <v>2023</v>
      </c>
      <c r="M3219" s="2" t="s">
        <v>227</v>
      </c>
      <c r="N3219" s="2" t="s">
        <v>23</v>
      </c>
      <c r="O3219">
        <f t="shared" si="100"/>
        <v>2.375</v>
      </c>
      <c r="P3219">
        <f t="shared" si="101"/>
        <v>114.22499999999998</v>
      </c>
    </row>
    <row r="3220" spans="1:16" x14ac:dyDescent="0.35">
      <c r="A3220" s="9" t="s">
        <v>246</v>
      </c>
      <c r="B3220" s="2">
        <v>41.115000000000002</v>
      </c>
      <c r="C3220" s="2">
        <v>41.191000000000003</v>
      </c>
      <c r="D3220" s="2">
        <v>40</v>
      </c>
      <c r="E3220" s="2">
        <v>40.484999999999999</v>
      </c>
      <c r="F3220" s="2">
        <v>416939223</v>
      </c>
      <c r="G3220" s="2" t="s">
        <v>571</v>
      </c>
      <c r="H3220" s="2" t="s">
        <v>572</v>
      </c>
      <c r="I3220" s="2" t="s">
        <v>17</v>
      </c>
      <c r="J3220" s="3">
        <v>0.43099999999999999</v>
      </c>
      <c r="K3220" s="2" t="s">
        <v>226</v>
      </c>
      <c r="L3220" s="2">
        <v>2023</v>
      </c>
      <c r="M3220" s="2" t="s">
        <v>227</v>
      </c>
      <c r="N3220" s="2" t="s">
        <v>21</v>
      </c>
      <c r="O3220">
        <f t="shared" si="100"/>
        <v>1.1910000000000025</v>
      </c>
      <c r="P3220">
        <f t="shared" si="101"/>
        <v>114.65599999999998</v>
      </c>
    </row>
    <row r="3221" spans="1:16" x14ac:dyDescent="0.35">
      <c r="A3221" s="9" t="s">
        <v>247</v>
      </c>
      <c r="B3221" s="2">
        <v>41.072000000000003</v>
      </c>
      <c r="C3221" s="2">
        <v>41.75</v>
      </c>
      <c r="D3221" s="2">
        <v>40.466000000000001</v>
      </c>
      <c r="E3221" s="2">
        <v>41.146000000000001</v>
      </c>
      <c r="F3221" s="2">
        <v>388172272</v>
      </c>
      <c r="G3221" s="2" t="s">
        <v>571</v>
      </c>
      <c r="H3221" s="2" t="s">
        <v>572</v>
      </c>
      <c r="I3221" s="2" t="s">
        <v>17</v>
      </c>
      <c r="J3221" s="3">
        <v>1.6319999999999999</v>
      </c>
      <c r="K3221" s="2" t="s">
        <v>226</v>
      </c>
      <c r="L3221" s="2">
        <v>2023</v>
      </c>
      <c r="M3221" s="2" t="s">
        <v>227</v>
      </c>
      <c r="N3221" s="2" t="s">
        <v>21</v>
      </c>
      <c r="O3221">
        <f t="shared" si="100"/>
        <v>1.2839999999999989</v>
      </c>
      <c r="P3221">
        <f t="shared" si="101"/>
        <v>116.28799999999998</v>
      </c>
    </row>
    <row r="3222" spans="1:16" x14ac:dyDescent="0.35">
      <c r="A3222" s="9" t="s">
        <v>248</v>
      </c>
      <c r="B3222" s="2">
        <v>40.435000000000002</v>
      </c>
      <c r="C3222" s="2">
        <v>40.863999999999997</v>
      </c>
      <c r="D3222" s="2">
        <v>39.215000000000003</v>
      </c>
      <c r="E3222" s="2">
        <v>40.765000000000001</v>
      </c>
      <c r="F3222" s="2">
        <v>518161098</v>
      </c>
      <c r="G3222" s="2" t="s">
        <v>571</v>
      </c>
      <c r="H3222" s="2" t="s">
        <v>572</v>
      </c>
      <c r="I3222" s="2" t="s">
        <v>17</v>
      </c>
      <c r="J3222" s="4">
        <v>-0.92600000000000005</v>
      </c>
      <c r="K3222" s="2" t="s">
        <v>226</v>
      </c>
      <c r="L3222" s="2">
        <v>2023</v>
      </c>
      <c r="M3222" s="2" t="s">
        <v>227</v>
      </c>
      <c r="N3222" s="2" t="s">
        <v>23</v>
      </c>
      <c r="O3222">
        <f t="shared" si="100"/>
        <v>1.6489999999999938</v>
      </c>
      <c r="P3222">
        <f t="shared" si="101"/>
        <v>115.36199999999998</v>
      </c>
    </row>
    <row r="3223" spans="1:16" x14ac:dyDescent="0.35">
      <c r="A3223" s="9" t="s">
        <v>249</v>
      </c>
      <c r="B3223" s="2">
        <v>40.869</v>
      </c>
      <c r="C3223" s="2">
        <v>42.365000000000002</v>
      </c>
      <c r="D3223" s="2">
        <v>40.853999999999999</v>
      </c>
      <c r="E3223" s="2">
        <v>42.308999999999997</v>
      </c>
      <c r="F3223" s="2">
        <v>437755442</v>
      </c>
      <c r="G3223" s="2" t="s">
        <v>571</v>
      </c>
      <c r="H3223" s="2" t="s">
        <v>572</v>
      </c>
      <c r="I3223" s="2" t="s">
        <v>17</v>
      </c>
      <c r="J3223" s="3">
        <v>3.7890000000000001</v>
      </c>
      <c r="K3223" s="2" t="s">
        <v>250</v>
      </c>
      <c r="L3223" s="2">
        <v>2023</v>
      </c>
      <c r="M3223" s="2" t="s">
        <v>251</v>
      </c>
      <c r="N3223" s="2" t="s">
        <v>21</v>
      </c>
      <c r="O3223">
        <f t="shared" si="100"/>
        <v>1.5110000000000028</v>
      </c>
      <c r="P3223">
        <f t="shared" si="101"/>
        <v>119.15099999999998</v>
      </c>
    </row>
    <row r="3224" spans="1:16" x14ac:dyDescent="0.35">
      <c r="A3224" s="9" t="s">
        <v>252</v>
      </c>
      <c r="B3224" s="2">
        <v>43.311999999999998</v>
      </c>
      <c r="C3224" s="2">
        <v>43.868000000000002</v>
      </c>
      <c r="D3224" s="2">
        <v>42.878</v>
      </c>
      <c r="E3224" s="2">
        <v>43.49</v>
      </c>
      <c r="F3224" s="2">
        <v>409323855</v>
      </c>
      <c r="G3224" s="2" t="s">
        <v>571</v>
      </c>
      <c r="H3224" s="2" t="s">
        <v>572</v>
      </c>
      <c r="I3224" s="2" t="s">
        <v>17</v>
      </c>
      <c r="J3224" s="3">
        <v>2.79</v>
      </c>
      <c r="K3224" s="2" t="s">
        <v>250</v>
      </c>
      <c r="L3224" s="2">
        <v>2023</v>
      </c>
      <c r="M3224" s="2" t="s">
        <v>251</v>
      </c>
      <c r="N3224" s="2" t="s">
        <v>21</v>
      </c>
      <c r="O3224">
        <f t="shared" si="100"/>
        <v>0.99000000000000199</v>
      </c>
      <c r="P3224">
        <f t="shared" si="101"/>
        <v>121.94099999999999</v>
      </c>
    </row>
    <row r="3225" spans="1:16" x14ac:dyDescent="0.35">
      <c r="A3225" s="9" t="s">
        <v>253</v>
      </c>
      <c r="B3225" s="2">
        <v>44.003999999999998</v>
      </c>
      <c r="C3225" s="2">
        <v>45.292000000000002</v>
      </c>
      <c r="D3225" s="2">
        <v>43.707000000000001</v>
      </c>
      <c r="E3225" s="2">
        <v>44.988</v>
      </c>
      <c r="F3225" s="2">
        <v>424767310</v>
      </c>
      <c r="G3225" s="2" t="s">
        <v>571</v>
      </c>
      <c r="H3225" s="2" t="s">
        <v>572</v>
      </c>
      <c r="I3225" s="2" t="s">
        <v>17</v>
      </c>
      <c r="J3225" s="3">
        <v>3.4449999999999998</v>
      </c>
      <c r="K3225" s="2" t="s">
        <v>250</v>
      </c>
      <c r="L3225" s="2">
        <v>2023</v>
      </c>
      <c r="M3225" s="2" t="s">
        <v>251</v>
      </c>
      <c r="N3225" s="2" t="s">
        <v>21</v>
      </c>
      <c r="O3225">
        <f t="shared" si="100"/>
        <v>1.5850000000000009</v>
      </c>
      <c r="P3225">
        <f t="shared" si="101"/>
        <v>125.38599999999998</v>
      </c>
    </row>
    <row r="3226" spans="1:16" x14ac:dyDescent="0.35">
      <c r="A3226" s="9" t="s">
        <v>254</v>
      </c>
      <c r="B3226" s="2">
        <v>45.268000000000001</v>
      </c>
      <c r="C3226" s="2">
        <v>45.917999999999999</v>
      </c>
      <c r="D3226" s="2">
        <v>44.881999999999998</v>
      </c>
      <c r="E3226" s="2">
        <v>45.734000000000002</v>
      </c>
      <c r="F3226" s="2">
        <v>400882201</v>
      </c>
      <c r="G3226" s="2" t="s">
        <v>571</v>
      </c>
      <c r="H3226" s="2" t="s">
        <v>572</v>
      </c>
      <c r="I3226" s="2" t="s">
        <v>17</v>
      </c>
      <c r="J3226" s="3">
        <v>1.6579999999999999</v>
      </c>
      <c r="K3226" s="2" t="s">
        <v>250</v>
      </c>
      <c r="L3226" s="2">
        <v>2023</v>
      </c>
      <c r="M3226" s="2" t="s">
        <v>251</v>
      </c>
      <c r="N3226" s="2" t="s">
        <v>21</v>
      </c>
      <c r="O3226">
        <f t="shared" si="100"/>
        <v>1.0360000000000014</v>
      </c>
      <c r="P3226">
        <f t="shared" si="101"/>
        <v>127.04399999999998</v>
      </c>
    </row>
    <row r="3227" spans="1:16" x14ac:dyDescent="0.35">
      <c r="A3227" s="9" t="s">
        <v>255</v>
      </c>
      <c r="B3227" s="2">
        <v>45.701999999999998</v>
      </c>
      <c r="C3227" s="2">
        <v>46.201000000000001</v>
      </c>
      <c r="D3227" s="2">
        <v>45.140999999999998</v>
      </c>
      <c r="E3227" s="2">
        <v>45.938000000000002</v>
      </c>
      <c r="F3227" s="2">
        <v>343292937</v>
      </c>
      <c r="G3227" s="2" t="s">
        <v>571</v>
      </c>
      <c r="H3227" s="2" t="s">
        <v>572</v>
      </c>
      <c r="I3227" s="2" t="s">
        <v>17</v>
      </c>
      <c r="J3227" s="3">
        <v>0.44600000000000001</v>
      </c>
      <c r="K3227" s="2" t="s">
        <v>250</v>
      </c>
      <c r="L3227" s="2">
        <v>2023</v>
      </c>
      <c r="M3227" s="2" t="s">
        <v>251</v>
      </c>
      <c r="N3227" s="2" t="s">
        <v>21</v>
      </c>
      <c r="O3227">
        <f t="shared" si="100"/>
        <v>1.0600000000000023</v>
      </c>
      <c r="P3227">
        <f t="shared" si="101"/>
        <v>127.48999999999998</v>
      </c>
    </row>
    <row r="3228" spans="1:16" x14ac:dyDescent="0.35">
      <c r="A3228" s="9" t="s">
        <v>256</v>
      </c>
      <c r="B3228" s="2">
        <v>46.082999999999998</v>
      </c>
      <c r="C3228" s="2">
        <v>46.85</v>
      </c>
      <c r="D3228" s="2">
        <v>45.951000000000001</v>
      </c>
      <c r="E3228" s="2">
        <v>46.557000000000002</v>
      </c>
      <c r="F3228" s="2">
        <v>346847727</v>
      </c>
      <c r="G3228" s="2" t="s">
        <v>571</v>
      </c>
      <c r="H3228" s="2" t="s">
        <v>572</v>
      </c>
      <c r="I3228" s="2" t="s">
        <v>17</v>
      </c>
      <c r="J3228" s="3">
        <v>1.347</v>
      </c>
      <c r="K3228" s="2" t="s">
        <v>250</v>
      </c>
      <c r="L3228" s="2">
        <v>2023</v>
      </c>
      <c r="M3228" s="2" t="s">
        <v>251</v>
      </c>
      <c r="N3228" s="2" t="s">
        <v>21</v>
      </c>
      <c r="O3228">
        <f t="shared" si="100"/>
        <v>0.89900000000000091</v>
      </c>
      <c r="P3228">
        <f t="shared" si="101"/>
        <v>128.83699999999999</v>
      </c>
    </row>
    <row r="3229" spans="1:16" x14ac:dyDescent="0.35">
      <c r="A3229" s="9" t="s">
        <v>257</v>
      </c>
      <c r="B3229" s="2">
        <v>47.448999999999998</v>
      </c>
      <c r="C3229" s="2">
        <v>48.212000000000003</v>
      </c>
      <c r="D3229" s="2">
        <v>46.732999999999997</v>
      </c>
      <c r="E3229" s="2">
        <v>46.933</v>
      </c>
      <c r="F3229" s="2">
        <v>540696735</v>
      </c>
      <c r="G3229" s="2" t="s">
        <v>571</v>
      </c>
      <c r="H3229" s="2" t="s">
        <v>572</v>
      </c>
      <c r="I3229" s="2" t="s">
        <v>17</v>
      </c>
      <c r="J3229" s="3">
        <v>0.80700000000000005</v>
      </c>
      <c r="K3229" s="2" t="s">
        <v>250</v>
      </c>
      <c r="L3229" s="2">
        <v>2023</v>
      </c>
      <c r="M3229" s="2" t="s">
        <v>251</v>
      </c>
      <c r="N3229" s="2" t="s">
        <v>21</v>
      </c>
      <c r="O3229">
        <f t="shared" si="100"/>
        <v>1.4790000000000063</v>
      </c>
      <c r="P3229">
        <f t="shared" si="101"/>
        <v>129.64399999999998</v>
      </c>
    </row>
    <row r="3230" spans="1:16" x14ac:dyDescent="0.35">
      <c r="A3230" s="9" t="s">
        <v>258</v>
      </c>
      <c r="B3230" s="2">
        <v>47.481999999999999</v>
      </c>
      <c r="C3230" s="2">
        <v>48.454000000000001</v>
      </c>
      <c r="D3230" s="2">
        <v>47.265999999999998</v>
      </c>
      <c r="E3230" s="2">
        <v>48.317</v>
      </c>
      <c r="F3230" s="2">
        <v>422598474</v>
      </c>
      <c r="G3230" s="2" t="s">
        <v>571</v>
      </c>
      <c r="H3230" s="2" t="s">
        <v>572</v>
      </c>
      <c r="I3230" s="2" t="s">
        <v>17</v>
      </c>
      <c r="J3230" s="3">
        <v>2.95</v>
      </c>
      <c r="K3230" s="2" t="s">
        <v>250</v>
      </c>
      <c r="L3230" s="2">
        <v>2023</v>
      </c>
      <c r="M3230" s="2" t="s">
        <v>251</v>
      </c>
      <c r="N3230" s="2" t="s">
        <v>21</v>
      </c>
      <c r="O3230">
        <f t="shared" si="100"/>
        <v>1.1880000000000024</v>
      </c>
      <c r="P3230">
        <f t="shared" si="101"/>
        <v>132.59399999999997</v>
      </c>
    </row>
    <row r="3231" spans="1:16" x14ac:dyDescent="0.35">
      <c r="A3231" s="9" t="s">
        <v>259</v>
      </c>
      <c r="B3231" s="2">
        <v>48.302</v>
      </c>
      <c r="C3231" s="2">
        <v>49.097999999999999</v>
      </c>
      <c r="D3231" s="2">
        <v>48.081000000000003</v>
      </c>
      <c r="E3231" s="2">
        <v>48.601999999999997</v>
      </c>
      <c r="F3231" s="2">
        <v>384278386</v>
      </c>
      <c r="G3231" s="2" t="s">
        <v>571</v>
      </c>
      <c r="H3231" s="2" t="s">
        <v>572</v>
      </c>
      <c r="I3231" s="2" t="s">
        <v>17</v>
      </c>
      <c r="J3231" s="3">
        <v>0.58899999999999997</v>
      </c>
      <c r="K3231" s="2" t="s">
        <v>250</v>
      </c>
      <c r="L3231" s="2">
        <v>2023</v>
      </c>
      <c r="M3231" s="2" t="s">
        <v>251</v>
      </c>
      <c r="N3231" s="2" t="s">
        <v>21</v>
      </c>
      <c r="O3231">
        <f t="shared" si="100"/>
        <v>1.0169999999999959</v>
      </c>
      <c r="P3231">
        <f t="shared" si="101"/>
        <v>133.18299999999996</v>
      </c>
    </row>
    <row r="3232" spans="1:16" x14ac:dyDescent="0.35">
      <c r="A3232" s="9" t="s">
        <v>260</v>
      </c>
      <c r="B3232" s="2">
        <v>49.661999999999999</v>
      </c>
      <c r="C3232" s="2">
        <v>49.816000000000003</v>
      </c>
      <c r="D3232" s="2">
        <v>49.021999999999998</v>
      </c>
      <c r="E3232" s="2">
        <v>49.637999999999998</v>
      </c>
      <c r="F3232" s="2">
        <v>417108746</v>
      </c>
      <c r="G3232" s="2" t="s">
        <v>571</v>
      </c>
      <c r="H3232" s="2" t="s">
        <v>572</v>
      </c>
      <c r="I3232" s="2" t="s">
        <v>17</v>
      </c>
      <c r="J3232" s="3">
        <v>2.1309999999999998</v>
      </c>
      <c r="K3232" s="2" t="s">
        <v>250</v>
      </c>
      <c r="L3232" s="2">
        <v>2023</v>
      </c>
      <c r="M3232" s="2" t="s">
        <v>251</v>
      </c>
      <c r="N3232" s="2" t="s">
        <v>21</v>
      </c>
      <c r="O3232">
        <f t="shared" si="100"/>
        <v>0.79400000000000404</v>
      </c>
      <c r="P3232">
        <f t="shared" si="101"/>
        <v>135.31399999999996</v>
      </c>
    </row>
    <row r="3233" spans="1:16" x14ac:dyDescent="0.35">
      <c r="A3233" s="9" t="s">
        <v>261</v>
      </c>
      <c r="B3233" s="2">
        <v>49.915999999999997</v>
      </c>
      <c r="C3233" s="2">
        <v>49.941000000000003</v>
      </c>
      <c r="D3233" s="2">
        <v>48.182000000000002</v>
      </c>
      <c r="E3233" s="2">
        <v>48.87</v>
      </c>
      <c r="F3233" s="2">
        <v>475673972</v>
      </c>
      <c r="G3233" s="2" t="s">
        <v>571</v>
      </c>
      <c r="H3233" s="2" t="s">
        <v>572</v>
      </c>
      <c r="I3233" s="2" t="s">
        <v>17</v>
      </c>
      <c r="J3233" s="4">
        <v>-1.5469999999999999</v>
      </c>
      <c r="K3233" s="2" t="s">
        <v>250</v>
      </c>
      <c r="L3233" s="2">
        <v>2023</v>
      </c>
      <c r="M3233" s="2" t="s">
        <v>251</v>
      </c>
      <c r="N3233" s="2" t="s">
        <v>23</v>
      </c>
      <c r="O3233">
        <f t="shared" si="100"/>
        <v>1.7590000000000003</v>
      </c>
      <c r="P3233">
        <f t="shared" si="101"/>
        <v>133.76699999999997</v>
      </c>
    </row>
    <row r="3234" spans="1:16" x14ac:dyDescent="0.35">
      <c r="A3234" s="9" t="s">
        <v>262</v>
      </c>
      <c r="B3234" s="2">
        <v>48.661000000000001</v>
      </c>
      <c r="C3234" s="2">
        <v>49.506</v>
      </c>
      <c r="D3234" s="2">
        <v>48.311999999999998</v>
      </c>
      <c r="E3234" s="2">
        <v>49.462000000000003</v>
      </c>
      <c r="F3234" s="2">
        <v>339882441</v>
      </c>
      <c r="G3234" s="2" t="s">
        <v>571</v>
      </c>
      <c r="H3234" s="2" t="s">
        <v>572</v>
      </c>
      <c r="I3234" s="2" t="s">
        <v>17</v>
      </c>
      <c r="J3234" s="3">
        <v>1.2110000000000001</v>
      </c>
      <c r="K3234" s="2" t="s">
        <v>250</v>
      </c>
      <c r="L3234" s="2">
        <v>2023</v>
      </c>
      <c r="M3234" s="2" t="s">
        <v>251</v>
      </c>
      <c r="N3234" s="2" t="s">
        <v>21</v>
      </c>
      <c r="O3234">
        <f t="shared" si="100"/>
        <v>1.1940000000000026</v>
      </c>
      <c r="P3234">
        <f t="shared" si="101"/>
        <v>134.97799999999998</v>
      </c>
    </row>
    <row r="3235" spans="1:16" x14ac:dyDescent="0.35">
      <c r="A3235" s="9" t="s">
        <v>263</v>
      </c>
      <c r="B3235" s="2">
        <v>49.506</v>
      </c>
      <c r="C3235" s="2">
        <v>49.698999999999998</v>
      </c>
      <c r="D3235" s="2">
        <v>48.988999999999997</v>
      </c>
      <c r="E3235" s="2">
        <v>49.28</v>
      </c>
      <c r="F3235" s="2">
        <v>326017963</v>
      </c>
      <c r="G3235" s="2" t="s">
        <v>571</v>
      </c>
      <c r="H3235" s="2" t="s">
        <v>572</v>
      </c>
      <c r="I3235" s="2" t="s">
        <v>17</v>
      </c>
      <c r="J3235" s="4">
        <v>-0.36799999999999999</v>
      </c>
      <c r="K3235" s="2" t="s">
        <v>250</v>
      </c>
      <c r="L3235" s="2">
        <v>2023</v>
      </c>
      <c r="M3235" s="2" t="s">
        <v>251</v>
      </c>
      <c r="N3235" s="2" t="s">
        <v>23</v>
      </c>
      <c r="O3235">
        <f t="shared" si="100"/>
        <v>0.71000000000000085</v>
      </c>
      <c r="P3235">
        <f t="shared" si="101"/>
        <v>134.60999999999999</v>
      </c>
    </row>
    <row r="3236" spans="1:16" x14ac:dyDescent="0.35">
      <c r="A3236" s="9" t="s">
        <v>264</v>
      </c>
      <c r="B3236" s="2">
        <v>49.293999999999997</v>
      </c>
      <c r="C3236" s="2">
        <v>50.529000000000003</v>
      </c>
      <c r="D3236" s="2">
        <v>49.162999999999997</v>
      </c>
      <c r="E3236" s="2">
        <v>50.39</v>
      </c>
      <c r="F3236" s="2">
        <v>416297175</v>
      </c>
      <c r="G3236" s="2" t="s">
        <v>571</v>
      </c>
      <c r="H3236" s="2" t="s">
        <v>572</v>
      </c>
      <c r="I3236" s="2" t="s">
        <v>17</v>
      </c>
      <c r="J3236" s="3">
        <v>2.2530000000000001</v>
      </c>
      <c r="K3236" s="2" t="s">
        <v>250</v>
      </c>
      <c r="L3236" s="2">
        <v>2023</v>
      </c>
      <c r="M3236" s="2" t="s">
        <v>251</v>
      </c>
      <c r="N3236" s="2" t="s">
        <v>21</v>
      </c>
      <c r="O3236">
        <f t="shared" si="100"/>
        <v>1.3660000000000068</v>
      </c>
      <c r="P3236">
        <f t="shared" si="101"/>
        <v>136.863</v>
      </c>
    </row>
    <row r="3237" spans="1:16" x14ac:dyDescent="0.35">
      <c r="A3237" s="9" t="s">
        <v>265</v>
      </c>
      <c r="B3237" s="2">
        <v>50.106999999999999</v>
      </c>
      <c r="C3237" s="2">
        <v>50.497999999999998</v>
      </c>
      <c r="D3237" s="2">
        <v>49.204000000000001</v>
      </c>
      <c r="E3237" s="2">
        <v>49.924999999999997</v>
      </c>
      <c r="F3237" s="2">
        <v>565957015</v>
      </c>
      <c r="G3237" s="2" t="s">
        <v>571</v>
      </c>
      <c r="H3237" s="2" t="s">
        <v>572</v>
      </c>
      <c r="I3237" s="2" t="s">
        <v>17</v>
      </c>
      <c r="J3237" s="4">
        <v>-0.92200000000000004</v>
      </c>
      <c r="K3237" s="2" t="s">
        <v>250</v>
      </c>
      <c r="L3237" s="2">
        <v>2023</v>
      </c>
      <c r="M3237" s="2" t="s">
        <v>251</v>
      </c>
      <c r="N3237" s="2" t="s">
        <v>23</v>
      </c>
      <c r="O3237">
        <f t="shared" si="100"/>
        <v>1.2939999999999969</v>
      </c>
      <c r="P3237">
        <f t="shared" si="101"/>
        <v>135.941</v>
      </c>
    </row>
    <row r="3238" spans="1:16" x14ac:dyDescent="0.35">
      <c r="A3238" s="9" t="s">
        <v>266</v>
      </c>
      <c r="B3238" s="2">
        <v>49.834000000000003</v>
      </c>
      <c r="C3238" s="2">
        <v>50.316000000000003</v>
      </c>
      <c r="D3238" s="2">
        <v>47.671999999999997</v>
      </c>
      <c r="E3238" s="2">
        <v>48.698</v>
      </c>
      <c r="F3238" s="2">
        <v>900976871</v>
      </c>
      <c r="G3238" s="2" t="s">
        <v>571</v>
      </c>
      <c r="H3238" s="2" t="s">
        <v>572</v>
      </c>
      <c r="I3238" s="2" t="s">
        <v>17</v>
      </c>
      <c r="J3238" s="4">
        <v>-2.4590000000000001</v>
      </c>
      <c r="K3238" s="2" t="s">
        <v>250</v>
      </c>
      <c r="L3238" s="2">
        <v>2023</v>
      </c>
      <c r="M3238" s="2" t="s">
        <v>251</v>
      </c>
      <c r="N3238" s="2" t="s">
        <v>23</v>
      </c>
      <c r="O3238">
        <f t="shared" si="100"/>
        <v>2.6440000000000055</v>
      </c>
      <c r="P3238">
        <f t="shared" si="101"/>
        <v>133.482</v>
      </c>
    </row>
    <row r="3239" spans="1:16" x14ac:dyDescent="0.35">
      <c r="A3239" s="9" t="s">
        <v>267</v>
      </c>
      <c r="B3239" s="2">
        <v>48.451999999999998</v>
      </c>
      <c r="C3239" s="2">
        <v>48.902999999999999</v>
      </c>
      <c r="D3239" s="2">
        <v>47.726999999999997</v>
      </c>
      <c r="E3239" s="2">
        <v>47.758000000000003</v>
      </c>
      <c r="F3239" s="2">
        <v>294754085</v>
      </c>
      <c r="G3239" s="2" t="s">
        <v>571</v>
      </c>
      <c r="H3239" s="2" t="s">
        <v>572</v>
      </c>
      <c r="I3239" s="2" t="s">
        <v>17</v>
      </c>
      <c r="J3239" s="4">
        <v>-1.929</v>
      </c>
      <c r="K3239" s="2" t="s">
        <v>250</v>
      </c>
      <c r="L3239" s="2">
        <v>2023</v>
      </c>
      <c r="M3239" s="2" t="s">
        <v>251</v>
      </c>
      <c r="N3239" s="2" t="s">
        <v>23</v>
      </c>
      <c r="O3239">
        <f t="shared" si="100"/>
        <v>1.1760000000000019</v>
      </c>
      <c r="P3239">
        <f t="shared" si="101"/>
        <v>131.553</v>
      </c>
    </row>
    <row r="3240" spans="1:16" x14ac:dyDescent="0.35">
      <c r="A3240" s="9" t="s">
        <v>268</v>
      </c>
      <c r="B3240" s="2">
        <v>47.781999999999996</v>
      </c>
      <c r="C3240" s="2">
        <v>48.512</v>
      </c>
      <c r="D3240" s="2">
        <v>47.634</v>
      </c>
      <c r="E3240" s="2">
        <v>48.223999999999997</v>
      </c>
      <c r="F3240" s="2">
        <v>395808867</v>
      </c>
      <c r="G3240" s="2" t="s">
        <v>571</v>
      </c>
      <c r="H3240" s="2" t="s">
        <v>572</v>
      </c>
      <c r="I3240" s="2" t="s">
        <v>17</v>
      </c>
      <c r="J3240" s="3">
        <v>0.97499999999999998</v>
      </c>
      <c r="K3240" s="2" t="s">
        <v>250</v>
      </c>
      <c r="L3240" s="2">
        <v>2023</v>
      </c>
      <c r="M3240" s="2" t="s">
        <v>251</v>
      </c>
      <c r="N3240" s="2" t="s">
        <v>21</v>
      </c>
      <c r="O3240">
        <f t="shared" si="100"/>
        <v>0.87800000000000011</v>
      </c>
      <c r="P3240">
        <f t="shared" si="101"/>
        <v>132.52799999999999</v>
      </c>
    </row>
    <row r="3241" spans="1:16" x14ac:dyDescent="0.35">
      <c r="A3241" s="9" t="s">
        <v>269</v>
      </c>
      <c r="B3241" s="2">
        <v>48.218000000000004</v>
      </c>
      <c r="C3241" s="2">
        <v>48.305</v>
      </c>
      <c r="D3241" s="2">
        <v>47.454999999999998</v>
      </c>
      <c r="E3241" s="2">
        <v>47.802999999999997</v>
      </c>
      <c r="F3241" s="2">
        <v>401639982</v>
      </c>
      <c r="G3241" s="2" t="s">
        <v>571</v>
      </c>
      <c r="H3241" s="2" t="s">
        <v>572</v>
      </c>
      <c r="I3241" s="2" t="s">
        <v>17</v>
      </c>
      <c r="J3241" s="4">
        <v>-0.873</v>
      </c>
      <c r="K3241" s="2" t="s">
        <v>250</v>
      </c>
      <c r="L3241" s="2">
        <v>2023</v>
      </c>
      <c r="M3241" s="2" t="s">
        <v>251</v>
      </c>
      <c r="N3241" s="2" t="s">
        <v>23</v>
      </c>
      <c r="O3241">
        <f t="shared" si="100"/>
        <v>0.85000000000000142</v>
      </c>
      <c r="P3241">
        <f t="shared" si="101"/>
        <v>131.655</v>
      </c>
    </row>
    <row r="3242" spans="1:16" x14ac:dyDescent="0.35">
      <c r="A3242" s="9" t="s">
        <v>270</v>
      </c>
      <c r="B3242" s="2">
        <v>48.360999999999997</v>
      </c>
      <c r="C3242" s="2">
        <v>48.744</v>
      </c>
      <c r="D3242" s="2">
        <v>47.841999999999999</v>
      </c>
      <c r="E3242" s="2">
        <v>48.122</v>
      </c>
      <c r="F3242" s="2">
        <v>382146544</v>
      </c>
      <c r="G3242" s="2" t="s">
        <v>571</v>
      </c>
      <c r="H3242" s="2" t="s">
        <v>572</v>
      </c>
      <c r="I3242" s="2" t="s">
        <v>17</v>
      </c>
      <c r="J3242" s="3">
        <v>0.66700000000000004</v>
      </c>
      <c r="K3242" s="2" t="s">
        <v>250</v>
      </c>
      <c r="L3242" s="2">
        <v>2023</v>
      </c>
      <c r="M3242" s="2" t="s">
        <v>251</v>
      </c>
      <c r="N3242" s="2" t="s">
        <v>21</v>
      </c>
      <c r="O3242">
        <f t="shared" si="100"/>
        <v>0.90200000000000102</v>
      </c>
      <c r="P3242">
        <f t="shared" si="101"/>
        <v>132.322</v>
      </c>
    </row>
    <row r="3243" spans="1:16" x14ac:dyDescent="0.35">
      <c r="A3243" s="9" t="s">
        <v>271</v>
      </c>
      <c r="B3243" s="2">
        <v>48.006</v>
      </c>
      <c r="C3243" s="2">
        <v>48.091999999999999</v>
      </c>
      <c r="D3243" s="2">
        <v>46.405000000000001</v>
      </c>
      <c r="E3243" s="2">
        <v>46.753</v>
      </c>
      <c r="F3243" s="2">
        <v>526442102</v>
      </c>
      <c r="G3243" s="2" t="s">
        <v>571</v>
      </c>
      <c r="H3243" s="2" t="s">
        <v>572</v>
      </c>
      <c r="I3243" s="2" t="s">
        <v>17</v>
      </c>
      <c r="J3243" s="4">
        <v>-2.8460000000000001</v>
      </c>
      <c r="K3243" s="2" t="s">
        <v>250</v>
      </c>
      <c r="L3243" s="2">
        <v>2023</v>
      </c>
      <c r="M3243" s="2" t="s">
        <v>251</v>
      </c>
      <c r="N3243" s="2" t="s">
        <v>23</v>
      </c>
      <c r="O3243">
        <f t="shared" si="100"/>
        <v>1.6869999999999976</v>
      </c>
      <c r="P3243">
        <f t="shared" si="101"/>
        <v>129.476</v>
      </c>
    </row>
    <row r="3244" spans="1:16" x14ac:dyDescent="0.35">
      <c r="A3244" s="9" t="s">
        <v>272</v>
      </c>
      <c r="B3244" s="2">
        <v>46.508000000000003</v>
      </c>
      <c r="C3244" s="2">
        <v>47.182000000000002</v>
      </c>
      <c r="D3244" s="2">
        <v>46.17</v>
      </c>
      <c r="E3244" s="2">
        <v>46.747999999999998</v>
      </c>
      <c r="F3244" s="2">
        <v>369454191</v>
      </c>
      <c r="G3244" s="2" t="s">
        <v>571</v>
      </c>
      <c r="H3244" s="2" t="s">
        <v>572</v>
      </c>
      <c r="I3244" s="2" t="s">
        <v>17</v>
      </c>
      <c r="J3244" s="4">
        <v>-1.0999999999999999E-2</v>
      </c>
      <c r="K3244" s="2" t="s">
        <v>273</v>
      </c>
      <c r="L3244" s="2">
        <v>2023</v>
      </c>
      <c r="M3244" s="2" t="s">
        <v>274</v>
      </c>
      <c r="N3244" s="2" t="s">
        <v>23</v>
      </c>
      <c r="O3244">
        <f t="shared" si="100"/>
        <v>1.0120000000000005</v>
      </c>
      <c r="P3244">
        <f t="shared" si="101"/>
        <v>129.465</v>
      </c>
    </row>
    <row r="3245" spans="1:16" x14ac:dyDescent="0.35">
      <c r="A3245" s="9" t="s">
        <v>275</v>
      </c>
      <c r="B3245" s="2">
        <v>46.06</v>
      </c>
      <c r="C3245" s="2">
        <v>46.06</v>
      </c>
      <c r="D3245" s="2">
        <v>44.993000000000002</v>
      </c>
      <c r="E3245" s="2">
        <v>45.493000000000002</v>
      </c>
      <c r="F3245" s="2">
        <v>437705964</v>
      </c>
      <c r="G3245" s="2" t="s">
        <v>571</v>
      </c>
      <c r="H3245" s="2" t="s">
        <v>572</v>
      </c>
      <c r="I3245" s="2" t="s">
        <v>17</v>
      </c>
      <c r="J3245" s="4">
        <v>-2.6840000000000002</v>
      </c>
      <c r="K3245" s="2" t="s">
        <v>273</v>
      </c>
      <c r="L3245" s="2">
        <v>2023</v>
      </c>
      <c r="M3245" s="2" t="s">
        <v>274</v>
      </c>
      <c r="N3245" s="2" t="s">
        <v>23</v>
      </c>
      <c r="O3245">
        <f t="shared" si="100"/>
        <v>1.0670000000000002</v>
      </c>
      <c r="P3245">
        <f t="shared" si="101"/>
        <v>126.78100000000001</v>
      </c>
    </row>
    <row r="3246" spans="1:16" x14ac:dyDescent="0.35">
      <c r="A3246" s="9" t="s">
        <v>276</v>
      </c>
      <c r="B3246" s="2">
        <v>45.453000000000003</v>
      </c>
      <c r="C3246" s="2">
        <v>46.587000000000003</v>
      </c>
      <c r="D3246" s="2">
        <v>45.258000000000003</v>
      </c>
      <c r="E3246" s="2">
        <v>46.552999999999997</v>
      </c>
      <c r="F3246" s="2">
        <v>371823010</v>
      </c>
      <c r="G3246" s="2" t="s">
        <v>571</v>
      </c>
      <c r="H3246" s="2" t="s">
        <v>572</v>
      </c>
      <c r="I3246" s="2" t="s">
        <v>17</v>
      </c>
      <c r="J3246" s="3">
        <v>2.3290000000000002</v>
      </c>
      <c r="K3246" s="2" t="s">
        <v>273</v>
      </c>
      <c r="L3246" s="2">
        <v>2023</v>
      </c>
      <c r="M3246" s="2" t="s">
        <v>274</v>
      </c>
      <c r="N3246" s="2" t="s">
        <v>21</v>
      </c>
      <c r="O3246">
        <f t="shared" si="100"/>
        <v>1.3290000000000006</v>
      </c>
      <c r="P3246">
        <f t="shared" si="101"/>
        <v>129.11000000000001</v>
      </c>
    </row>
    <row r="3247" spans="1:16" x14ac:dyDescent="0.35">
      <c r="A3247" s="9" t="s">
        <v>277</v>
      </c>
      <c r="B3247" s="2">
        <v>47.201000000000001</v>
      </c>
      <c r="C3247" s="2">
        <v>47.372999999999998</v>
      </c>
      <c r="D3247" s="2">
        <v>45.399000000000001</v>
      </c>
      <c r="E3247" s="2">
        <v>45.49</v>
      </c>
      <c r="F3247" s="2">
        <v>380697455</v>
      </c>
      <c r="G3247" s="2" t="s">
        <v>571</v>
      </c>
      <c r="H3247" s="2" t="s">
        <v>572</v>
      </c>
      <c r="I3247" s="2" t="s">
        <v>17</v>
      </c>
      <c r="J3247" s="4">
        <v>-2.2829999999999999</v>
      </c>
      <c r="K3247" s="2" t="s">
        <v>273</v>
      </c>
      <c r="L3247" s="2">
        <v>2023</v>
      </c>
      <c r="M3247" s="2" t="s">
        <v>274</v>
      </c>
      <c r="N3247" s="2" t="s">
        <v>23</v>
      </c>
      <c r="O3247">
        <f t="shared" si="100"/>
        <v>1.9739999999999966</v>
      </c>
      <c r="P3247">
        <f t="shared" si="101"/>
        <v>126.82700000000001</v>
      </c>
    </row>
    <row r="3248" spans="1:16" x14ac:dyDescent="0.35">
      <c r="A3248" s="9" t="s">
        <v>278</v>
      </c>
      <c r="B3248" s="2">
        <v>45.686999999999998</v>
      </c>
      <c r="C3248" s="2">
        <v>46.616</v>
      </c>
      <c r="D3248" s="2">
        <v>45.591000000000001</v>
      </c>
      <c r="E3248" s="2">
        <v>46.582999999999998</v>
      </c>
      <c r="F3248" s="2">
        <v>350922015</v>
      </c>
      <c r="G3248" s="2" t="s">
        <v>571</v>
      </c>
      <c r="H3248" s="2" t="s">
        <v>572</v>
      </c>
      <c r="I3248" s="2" t="s">
        <v>17</v>
      </c>
      <c r="J3248" s="3">
        <v>2.4020000000000001</v>
      </c>
      <c r="K3248" s="2" t="s">
        <v>273</v>
      </c>
      <c r="L3248" s="2">
        <v>2023</v>
      </c>
      <c r="M3248" s="2" t="s">
        <v>274</v>
      </c>
      <c r="N3248" s="2" t="s">
        <v>21</v>
      </c>
      <c r="O3248">
        <f t="shared" si="100"/>
        <v>1.0249999999999986</v>
      </c>
      <c r="P3248">
        <f t="shared" si="101"/>
        <v>129.22900000000001</v>
      </c>
    </row>
    <row r="3249" spans="1:16" x14ac:dyDescent="0.35">
      <c r="A3249" s="9" t="s">
        <v>279</v>
      </c>
      <c r="B3249" s="2">
        <v>46.582000000000001</v>
      </c>
      <c r="C3249" s="2">
        <v>47.726999999999997</v>
      </c>
      <c r="D3249" s="2">
        <v>46.536999999999999</v>
      </c>
      <c r="E3249" s="2">
        <v>47.491999999999997</v>
      </c>
      <c r="F3249" s="2">
        <v>359325547</v>
      </c>
      <c r="G3249" s="2" t="s">
        <v>571</v>
      </c>
      <c r="H3249" s="2" t="s">
        <v>572</v>
      </c>
      <c r="I3249" s="2" t="s">
        <v>17</v>
      </c>
      <c r="J3249" s="3">
        <v>1.9530000000000001</v>
      </c>
      <c r="K3249" s="2" t="s">
        <v>273</v>
      </c>
      <c r="L3249" s="2">
        <v>2023</v>
      </c>
      <c r="M3249" s="2" t="s">
        <v>274</v>
      </c>
      <c r="N3249" s="2" t="s">
        <v>21</v>
      </c>
      <c r="O3249">
        <f t="shared" si="100"/>
        <v>1.1899999999999977</v>
      </c>
      <c r="P3249">
        <f t="shared" si="101"/>
        <v>131.18200000000002</v>
      </c>
    </row>
    <row r="3250" spans="1:16" x14ac:dyDescent="0.35">
      <c r="A3250" s="9" t="s">
        <v>280</v>
      </c>
      <c r="B3250" s="2">
        <v>47.476999999999997</v>
      </c>
      <c r="C3250" s="2">
        <v>47.517000000000003</v>
      </c>
      <c r="D3250" s="2">
        <v>45.817</v>
      </c>
      <c r="E3250" s="2">
        <v>46.613999999999997</v>
      </c>
      <c r="F3250" s="2">
        <v>509872609</v>
      </c>
      <c r="G3250" s="2" t="s">
        <v>571</v>
      </c>
      <c r="H3250" s="2" t="s">
        <v>572</v>
      </c>
      <c r="I3250" s="2" t="s">
        <v>17</v>
      </c>
      <c r="J3250" s="4">
        <v>-1.85</v>
      </c>
      <c r="K3250" s="2" t="s">
        <v>273</v>
      </c>
      <c r="L3250" s="2">
        <v>2023</v>
      </c>
      <c r="M3250" s="2" t="s">
        <v>274</v>
      </c>
      <c r="N3250" s="2" t="s">
        <v>23</v>
      </c>
      <c r="O3250">
        <f t="shared" si="100"/>
        <v>1.7000000000000028</v>
      </c>
      <c r="P3250">
        <f t="shared" si="101"/>
        <v>129.33200000000002</v>
      </c>
    </row>
    <row r="3251" spans="1:16" x14ac:dyDescent="0.35">
      <c r="A3251" s="9" t="s">
        <v>281</v>
      </c>
      <c r="B3251" s="2">
        <v>46.033000000000001</v>
      </c>
      <c r="C3251" s="2">
        <v>47.652999999999999</v>
      </c>
      <c r="D3251" s="2">
        <v>46.033000000000001</v>
      </c>
      <c r="E3251" s="2">
        <v>47.643999999999998</v>
      </c>
      <c r="F3251" s="2">
        <v>372492439</v>
      </c>
      <c r="G3251" s="2" t="s">
        <v>571</v>
      </c>
      <c r="H3251" s="2" t="s">
        <v>572</v>
      </c>
      <c r="I3251" s="2" t="s">
        <v>17</v>
      </c>
      <c r="J3251" s="3">
        <v>2.2090000000000001</v>
      </c>
      <c r="K3251" s="2" t="s">
        <v>273</v>
      </c>
      <c r="L3251" s="2">
        <v>2023</v>
      </c>
      <c r="M3251" s="2" t="s">
        <v>274</v>
      </c>
      <c r="N3251" s="2" t="s">
        <v>21</v>
      </c>
      <c r="O3251">
        <f t="shared" si="100"/>
        <v>1.6199999999999974</v>
      </c>
      <c r="P3251">
        <f t="shared" si="101"/>
        <v>131.54100000000003</v>
      </c>
    </row>
    <row r="3252" spans="1:16" x14ac:dyDescent="0.35">
      <c r="A3252" s="9" t="s">
        <v>282</v>
      </c>
      <c r="B3252" s="2">
        <v>47.615000000000002</v>
      </c>
      <c r="C3252" s="2">
        <v>48.58</v>
      </c>
      <c r="D3252" s="2">
        <v>47.594000000000001</v>
      </c>
      <c r="E3252" s="2">
        <v>48.073999999999998</v>
      </c>
      <c r="F3252" s="2">
        <v>447918818</v>
      </c>
      <c r="G3252" s="2" t="s">
        <v>571</v>
      </c>
      <c r="H3252" s="2" t="s">
        <v>572</v>
      </c>
      <c r="I3252" s="2" t="s">
        <v>17</v>
      </c>
      <c r="J3252" s="3">
        <v>0.90400000000000003</v>
      </c>
      <c r="K3252" s="2" t="s">
        <v>273</v>
      </c>
      <c r="L3252" s="2">
        <v>2023</v>
      </c>
      <c r="M3252" s="2" t="s">
        <v>274</v>
      </c>
      <c r="N3252" s="2" t="s">
        <v>21</v>
      </c>
      <c r="O3252">
        <f t="shared" si="100"/>
        <v>0.9859999999999971</v>
      </c>
      <c r="P3252">
        <f t="shared" si="101"/>
        <v>132.44500000000002</v>
      </c>
    </row>
    <row r="3253" spans="1:16" x14ac:dyDescent="0.35">
      <c r="A3253" s="9" t="s">
        <v>283</v>
      </c>
      <c r="B3253" s="2">
        <v>48.375999999999998</v>
      </c>
      <c r="C3253" s="2">
        <v>48.655999999999999</v>
      </c>
      <c r="D3253" s="2">
        <v>47.408000000000001</v>
      </c>
      <c r="E3253" s="2">
        <v>48.335999999999999</v>
      </c>
      <c r="F3253" s="2">
        <v>391342662</v>
      </c>
      <c r="G3253" s="2" t="s">
        <v>571</v>
      </c>
      <c r="H3253" s="2" t="s">
        <v>572</v>
      </c>
      <c r="I3253" s="2" t="s">
        <v>17</v>
      </c>
      <c r="J3253" s="3">
        <v>0.54500000000000004</v>
      </c>
      <c r="K3253" s="2" t="s">
        <v>273</v>
      </c>
      <c r="L3253" s="2">
        <v>2023</v>
      </c>
      <c r="M3253" s="2" t="s">
        <v>274</v>
      </c>
      <c r="N3253" s="2" t="s">
        <v>21</v>
      </c>
      <c r="O3253">
        <f t="shared" si="100"/>
        <v>1.2479999999999976</v>
      </c>
      <c r="P3253">
        <f t="shared" si="101"/>
        <v>132.99</v>
      </c>
    </row>
    <row r="3254" spans="1:16" x14ac:dyDescent="0.35">
      <c r="A3254" s="9" t="s">
        <v>284</v>
      </c>
      <c r="B3254" s="2">
        <v>48.18</v>
      </c>
      <c r="C3254" s="2">
        <v>49.39</v>
      </c>
      <c r="D3254" s="2">
        <v>48.106000000000002</v>
      </c>
      <c r="E3254" s="2">
        <v>48.875999999999998</v>
      </c>
      <c r="F3254" s="2">
        <v>480083655</v>
      </c>
      <c r="G3254" s="2" t="s">
        <v>571</v>
      </c>
      <c r="H3254" s="2" t="s">
        <v>572</v>
      </c>
      <c r="I3254" s="2" t="s">
        <v>17</v>
      </c>
      <c r="J3254" s="3">
        <v>1.117</v>
      </c>
      <c r="K3254" s="2" t="s">
        <v>273</v>
      </c>
      <c r="L3254" s="2">
        <v>2023</v>
      </c>
      <c r="M3254" s="2" t="s">
        <v>274</v>
      </c>
      <c r="N3254" s="2" t="s">
        <v>21</v>
      </c>
      <c r="O3254">
        <f t="shared" si="100"/>
        <v>1.2839999999999989</v>
      </c>
      <c r="P3254">
        <f t="shared" si="101"/>
        <v>134.107</v>
      </c>
    </row>
    <row r="3255" spans="1:16" x14ac:dyDescent="0.35">
      <c r="A3255" s="9" t="s">
        <v>285</v>
      </c>
      <c r="B3255" s="2">
        <v>49.386000000000003</v>
      </c>
      <c r="C3255" s="2">
        <v>50.418999999999997</v>
      </c>
      <c r="D3255" s="2">
        <v>49.136000000000003</v>
      </c>
      <c r="E3255" s="2">
        <v>50.063000000000002</v>
      </c>
      <c r="F3255" s="2">
        <v>412704147</v>
      </c>
      <c r="G3255" s="2" t="s">
        <v>571</v>
      </c>
      <c r="H3255" s="2" t="s">
        <v>572</v>
      </c>
      <c r="I3255" s="2" t="s">
        <v>17</v>
      </c>
      <c r="J3255" s="3">
        <v>2.4279999999999999</v>
      </c>
      <c r="K3255" s="2" t="s">
        <v>273</v>
      </c>
      <c r="L3255" s="2">
        <v>2023</v>
      </c>
      <c r="M3255" s="2" t="s">
        <v>274</v>
      </c>
      <c r="N3255" s="2" t="s">
        <v>21</v>
      </c>
      <c r="O3255">
        <f t="shared" si="100"/>
        <v>1.2829999999999941</v>
      </c>
      <c r="P3255">
        <f t="shared" si="101"/>
        <v>136.535</v>
      </c>
    </row>
    <row r="3256" spans="1:16" x14ac:dyDescent="0.35">
      <c r="A3256" s="9" t="s">
        <v>286</v>
      </c>
      <c r="B3256" s="2">
        <v>49.41</v>
      </c>
      <c r="C3256" s="2">
        <v>49.686</v>
      </c>
      <c r="D3256" s="2">
        <v>48.881</v>
      </c>
      <c r="E3256" s="2">
        <v>49.59</v>
      </c>
      <c r="F3256" s="2">
        <v>464576140</v>
      </c>
      <c r="G3256" s="2" t="s">
        <v>571</v>
      </c>
      <c r="H3256" s="2" t="s">
        <v>572</v>
      </c>
      <c r="I3256" s="2" t="s">
        <v>17</v>
      </c>
      <c r="J3256" s="4">
        <v>-0.94399999999999995</v>
      </c>
      <c r="K3256" s="2" t="s">
        <v>273</v>
      </c>
      <c r="L3256" s="2">
        <v>2023</v>
      </c>
      <c r="M3256" s="2" t="s">
        <v>274</v>
      </c>
      <c r="N3256" s="2" t="s">
        <v>23</v>
      </c>
      <c r="O3256">
        <f t="shared" si="100"/>
        <v>0.80499999999999972</v>
      </c>
      <c r="P3256">
        <f t="shared" si="101"/>
        <v>135.59100000000001</v>
      </c>
    </row>
    <row r="3257" spans="1:16" x14ac:dyDescent="0.35">
      <c r="A3257" s="9" t="s">
        <v>287</v>
      </c>
      <c r="B3257" s="2">
        <v>49.640999999999998</v>
      </c>
      <c r="C3257" s="2">
        <v>49.984999999999999</v>
      </c>
      <c r="D3257" s="2">
        <v>48.084000000000003</v>
      </c>
      <c r="E3257" s="2">
        <v>48.097000000000001</v>
      </c>
      <c r="F3257" s="2">
        <v>398007201</v>
      </c>
      <c r="G3257" s="2" t="s">
        <v>571</v>
      </c>
      <c r="H3257" s="2" t="s">
        <v>572</v>
      </c>
      <c r="I3257" s="2" t="s">
        <v>17</v>
      </c>
      <c r="J3257" s="4">
        <v>-3.01</v>
      </c>
      <c r="K3257" s="2" t="s">
        <v>273</v>
      </c>
      <c r="L3257" s="2">
        <v>2023</v>
      </c>
      <c r="M3257" s="2" t="s">
        <v>274</v>
      </c>
      <c r="N3257" s="2" t="s">
        <v>23</v>
      </c>
      <c r="O3257">
        <f t="shared" si="100"/>
        <v>1.9009999999999962</v>
      </c>
      <c r="P3257">
        <f t="shared" si="101"/>
        <v>132.58100000000002</v>
      </c>
    </row>
    <row r="3258" spans="1:16" x14ac:dyDescent="0.35">
      <c r="A3258" s="9" t="s">
        <v>288</v>
      </c>
      <c r="B3258" s="2">
        <v>48.796999999999997</v>
      </c>
      <c r="C3258" s="2">
        <v>49.081000000000003</v>
      </c>
      <c r="D3258" s="2">
        <v>48.405000000000001</v>
      </c>
      <c r="E3258" s="2">
        <v>48.975999999999999</v>
      </c>
      <c r="F3258" s="2">
        <v>300510527</v>
      </c>
      <c r="G3258" s="2" t="s">
        <v>571</v>
      </c>
      <c r="H3258" s="2" t="s">
        <v>572</v>
      </c>
      <c r="I3258" s="2" t="s">
        <v>17</v>
      </c>
      <c r="J3258" s="3">
        <v>1.827</v>
      </c>
      <c r="K3258" s="2" t="s">
        <v>273</v>
      </c>
      <c r="L3258" s="2">
        <v>2023</v>
      </c>
      <c r="M3258" s="2" t="s">
        <v>274</v>
      </c>
      <c r="N3258" s="2" t="s">
        <v>21</v>
      </c>
      <c r="O3258">
        <f t="shared" si="100"/>
        <v>0.67600000000000193</v>
      </c>
      <c r="P3258">
        <f t="shared" si="101"/>
        <v>134.40800000000002</v>
      </c>
    </row>
    <row r="3259" spans="1:16" x14ac:dyDescent="0.35">
      <c r="A3259" s="9" t="s">
        <v>289</v>
      </c>
      <c r="B3259" s="2">
        <v>49.180999999999997</v>
      </c>
      <c r="C3259" s="2">
        <v>49.369</v>
      </c>
      <c r="D3259" s="2">
        <v>48.453000000000003</v>
      </c>
      <c r="E3259" s="2">
        <v>48.816000000000003</v>
      </c>
      <c r="F3259" s="2">
        <v>252578351</v>
      </c>
      <c r="G3259" s="2" t="s">
        <v>571</v>
      </c>
      <c r="H3259" s="2" t="s">
        <v>572</v>
      </c>
      <c r="I3259" s="2" t="s">
        <v>17</v>
      </c>
      <c r="J3259" s="4">
        <v>-0.32700000000000001</v>
      </c>
      <c r="K3259" s="2" t="s">
        <v>273</v>
      </c>
      <c r="L3259" s="2">
        <v>2023</v>
      </c>
      <c r="M3259" s="2" t="s">
        <v>274</v>
      </c>
      <c r="N3259" s="2" t="s">
        <v>23</v>
      </c>
      <c r="O3259">
        <f t="shared" si="100"/>
        <v>0.91599999999999682</v>
      </c>
      <c r="P3259">
        <f t="shared" si="101"/>
        <v>134.08100000000002</v>
      </c>
    </row>
    <row r="3260" spans="1:16" x14ac:dyDescent="0.35">
      <c r="A3260" s="9" t="s">
        <v>290</v>
      </c>
      <c r="B3260" s="2">
        <v>48.954000000000001</v>
      </c>
      <c r="C3260" s="2">
        <v>49.585999999999999</v>
      </c>
      <c r="D3260" s="2">
        <v>48.945999999999998</v>
      </c>
      <c r="E3260" s="2">
        <v>49.265000000000001</v>
      </c>
      <c r="F3260" s="2">
        <v>244268755</v>
      </c>
      <c r="G3260" s="2" t="s">
        <v>571</v>
      </c>
      <c r="H3260" s="2" t="s">
        <v>572</v>
      </c>
      <c r="I3260" s="2" t="s">
        <v>17</v>
      </c>
      <c r="J3260" s="3">
        <v>0.92</v>
      </c>
      <c r="K3260" s="2" t="s">
        <v>273</v>
      </c>
      <c r="L3260" s="2">
        <v>2023</v>
      </c>
      <c r="M3260" s="2" t="s">
        <v>274</v>
      </c>
      <c r="N3260" s="2" t="s">
        <v>21</v>
      </c>
      <c r="O3260">
        <f t="shared" si="100"/>
        <v>0.64000000000000057</v>
      </c>
      <c r="P3260">
        <f t="shared" si="101"/>
        <v>135.001</v>
      </c>
    </row>
    <row r="3261" spans="1:16" x14ac:dyDescent="0.35">
      <c r="A3261" s="9" t="s">
        <v>291</v>
      </c>
      <c r="B3261" s="2">
        <v>49.497</v>
      </c>
      <c r="C3261" s="2">
        <v>49.665999999999997</v>
      </c>
      <c r="D3261" s="2">
        <v>49.070999999999998</v>
      </c>
      <c r="E3261" s="2">
        <v>49.402999999999999</v>
      </c>
      <c r="F3261" s="2">
        <v>233714224</v>
      </c>
      <c r="G3261" s="2" t="s">
        <v>571</v>
      </c>
      <c r="H3261" s="2" t="s">
        <v>572</v>
      </c>
      <c r="I3261" s="2" t="s">
        <v>17</v>
      </c>
      <c r="J3261" s="3">
        <v>0.28000000000000003</v>
      </c>
      <c r="K3261" s="2" t="s">
        <v>273</v>
      </c>
      <c r="L3261" s="2">
        <v>2023</v>
      </c>
      <c r="M3261" s="2" t="s">
        <v>274</v>
      </c>
      <c r="N3261" s="2" t="s">
        <v>21</v>
      </c>
      <c r="O3261">
        <f t="shared" si="100"/>
        <v>0.59499999999999886</v>
      </c>
      <c r="P3261">
        <f t="shared" si="101"/>
        <v>135.28100000000001</v>
      </c>
    </row>
    <row r="3262" spans="1:16" x14ac:dyDescent="0.35">
      <c r="A3262" s="9" t="s">
        <v>292</v>
      </c>
      <c r="B3262" s="2">
        <v>49.628999999999998</v>
      </c>
      <c r="C3262" s="2">
        <v>49.87</v>
      </c>
      <c r="D3262" s="2">
        <v>49.398000000000003</v>
      </c>
      <c r="E3262" s="2">
        <v>49.508000000000003</v>
      </c>
      <c r="F3262" s="2">
        <v>246657392</v>
      </c>
      <c r="G3262" s="2" t="s">
        <v>571</v>
      </c>
      <c r="H3262" s="2" t="s">
        <v>572</v>
      </c>
      <c r="I3262" s="2" t="s">
        <v>17</v>
      </c>
      <c r="J3262" s="3">
        <v>0.21299999999999999</v>
      </c>
      <c r="K3262" s="2" t="s">
        <v>273</v>
      </c>
      <c r="L3262" s="2">
        <v>2023</v>
      </c>
      <c r="M3262" s="2" t="s">
        <v>274</v>
      </c>
      <c r="N3262" s="2" t="s">
        <v>21</v>
      </c>
      <c r="O3262">
        <f t="shared" si="100"/>
        <v>0.4719999999999942</v>
      </c>
      <c r="P3262">
        <f t="shared" si="101"/>
        <v>135.494</v>
      </c>
    </row>
    <row r="3263" spans="1:16" x14ac:dyDescent="0.35">
      <c r="A3263" s="9" t="s">
        <v>293</v>
      </c>
      <c r="B3263" s="2">
        <v>49.798999999999999</v>
      </c>
      <c r="C3263" s="2">
        <v>49.982999999999997</v>
      </c>
      <c r="D3263" s="2">
        <v>48.737000000000002</v>
      </c>
      <c r="E3263" s="2">
        <v>49.508000000000003</v>
      </c>
      <c r="F3263" s="2">
        <v>389403673</v>
      </c>
      <c r="G3263" s="2" t="s">
        <v>571</v>
      </c>
      <c r="H3263" s="2" t="s">
        <v>572</v>
      </c>
      <c r="I3263" s="2" t="s">
        <v>17</v>
      </c>
      <c r="J3263" s="2">
        <v>0</v>
      </c>
      <c r="K3263" s="2" t="s">
        <v>273</v>
      </c>
      <c r="L3263" s="2">
        <v>2023</v>
      </c>
      <c r="M3263" s="2" t="s">
        <v>274</v>
      </c>
      <c r="N3263" s="2" t="s">
        <v>122</v>
      </c>
      <c r="O3263">
        <f t="shared" si="100"/>
        <v>1.2459999999999951</v>
      </c>
      <c r="P3263">
        <f t="shared" si="101"/>
        <v>135.494</v>
      </c>
    </row>
    <row r="3264" spans="1:16" x14ac:dyDescent="0.35">
      <c r="A3264" s="9" t="s">
        <v>294</v>
      </c>
      <c r="B3264" s="2">
        <v>49.23</v>
      </c>
      <c r="C3264" s="2">
        <v>49.280999999999999</v>
      </c>
      <c r="D3264" s="2">
        <v>47.581000000000003</v>
      </c>
      <c r="E3264" s="2">
        <v>48.154000000000003</v>
      </c>
      <c r="F3264" s="2">
        <v>411370819</v>
      </c>
      <c r="G3264" s="2" t="s">
        <v>571</v>
      </c>
      <c r="H3264" s="2" t="s">
        <v>572</v>
      </c>
      <c r="I3264" s="2" t="s">
        <v>17</v>
      </c>
      <c r="J3264" s="4">
        <v>-2.734</v>
      </c>
      <c r="K3264" s="2" t="s">
        <v>295</v>
      </c>
      <c r="L3264" s="2">
        <v>2024</v>
      </c>
      <c r="M3264" s="2" t="s">
        <v>19</v>
      </c>
      <c r="N3264" s="2" t="s">
        <v>23</v>
      </c>
      <c r="O3264">
        <f t="shared" si="100"/>
        <v>1.6999999999999957</v>
      </c>
      <c r="P3264">
        <f t="shared" si="101"/>
        <v>132.76</v>
      </c>
    </row>
    <row r="3265" spans="1:16" x14ac:dyDescent="0.35">
      <c r="A3265" s="9" t="s">
        <v>296</v>
      </c>
      <c r="B3265" s="2">
        <v>47.470999999999997</v>
      </c>
      <c r="C3265" s="2">
        <v>48.17</v>
      </c>
      <c r="D3265" s="2">
        <v>47.307000000000002</v>
      </c>
      <c r="E3265" s="2">
        <v>47.555999999999997</v>
      </c>
      <c r="F3265" s="2">
        <v>320987151</v>
      </c>
      <c r="G3265" s="2" t="s">
        <v>571</v>
      </c>
      <c r="H3265" s="2" t="s">
        <v>572</v>
      </c>
      <c r="I3265" s="2" t="s">
        <v>17</v>
      </c>
      <c r="J3265" s="4">
        <v>-1.244</v>
      </c>
      <c r="K3265" s="2" t="s">
        <v>295</v>
      </c>
      <c r="L3265" s="2">
        <v>2024</v>
      </c>
      <c r="M3265" s="2" t="s">
        <v>19</v>
      </c>
      <c r="N3265" s="2" t="s">
        <v>23</v>
      </c>
      <c r="O3265">
        <f t="shared" si="100"/>
        <v>0.86299999999999955</v>
      </c>
      <c r="P3265">
        <f t="shared" si="101"/>
        <v>131.51599999999999</v>
      </c>
    </row>
    <row r="3266" spans="1:16" x14ac:dyDescent="0.35">
      <c r="A3266" s="9" t="s">
        <v>297</v>
      </c>
      <c r="B3266" s="2">
        <v>47.753999999999998</v>
      </c>
      <c r="C3266" s="2">
        <v>48.485999999999997</v>
      </c>
      <c r="D3266" s="2">
        <v>47.494999999999997</v>
      </c>
      <c r="E3266" s="2">
        <v>47.984000000000002</v>
      </c>
      <c r="F3266" s="2">
        <v>306621799</v>
      </c>
      <c r="G3266" s="2" t="s">
        <v>571</v>
      </c>
      <c r="H3266" s="2" t="s">
        <v>572</v>
      </c>
      <c r="I3266" s="2" t="s">
        <v>17</v>
      </c>
      <c r="J3266" s="3">
        <v>0.90200000000000002</v>
      </c>
      <c r="K3266" s="2" t="s">
        <v>295</v>
      </c>
      <c r="L3266" s="2">
        <v>2024</v>
      </c>
      <c r="M3266" s="2" t="s">
        <v>19</v>
      </c>
      <c r="N3266" s="2" t="s">
        <v>21</v>
      </c>
      <c r="O3266">
        <f t="shared" si="100"/>
        <v>0.99099999999999966</v>
      </c>
      <c r="P3266">
        <f t="shared" si="101"/>
        <v>132.41799999999998</v>
      </c>
    </row>
    <row r="3267" spans="1:16" x14ac:dyDescent="0.35">
      <c r="A3267" s="9" t="s">
        <v>298</v>
      </c>
      <c r="B3267" s="2">
        <v>48.448</v>
      </c>
      <c r="C3267" s="2">
        <v>49.533000000000001</v>
      </c>
      <c r="D3267" s="2">
        <v>48.292000000000002</v>
      </c>
      <c r="E3267" s="2">
        <v>49.082999999999998</v>
      </c>
      <c r="F3267" s="2">
        <v>415156942</v>
      </c>
      <c r="G3267" s="2" t="s">
        <v>571</v>
      </c>
      <c r="H3267" s="2" t="s">
        <v>572</v>
      </c>
      <c r="I3267" s="2" t="s">
        <v>17</v>
      </c>
      <c r="J3267" s="3">
        <v>2.29</v>
      </c>
      <c r="K3267" s="2" t="s">
        <v>295</v>
      </c>
      <c r="L3267" s="2">
        <v>2024</v>
      </c>
      <c r="M3267" s="2" t="s">
        <v>19</v>
      </c>
      <c r="N3267" s="2" t="s">
        <v>21</v>
      </c>
      <c r="O3267">
        <f t="shared" ref="O3267:O3330" si="102">C3267-D3267</f>
        <v>1.2409999999999997</v>
      </c>
      <c r="P3267">
        <f t="shared" si="101"/>
        <v>134.70799999999997</v>
      </c>
    </row>
    <row r="3268" spans="1:16" x14ac:dyDescent="0.35">
      <c r="A3268" s="9" t="s">
        <v>299</v>
      </c>
      <c r="B3268" s="2">
        <v>49.497999999999998</v>
      </c>
      <c r="C3268" s="2">
        <v>52.26</v>
      </c>
      <c r="D3268" s="2">
        <v>49.465000000000003</v>
      </c>
      <c r="E3268" s="2">
        <v>52.238</v>
      </c>
      <c r="F3268" s="2">
        <v>642692065</v>
      </c>
      <c r="G3268" s="2" t="s">
        <v>571</v>
      </c>
      <c r="H3268" s="2" t="s">
        <v>572</v>
      </c>
      <c r="I3268" s="2" t="s">
        <v>17</v>
      </c>
      <c r="J3268" s="3">
        <v>6.4279999999999999</v>
      </c>
      <c r="K3268" s="2" t="s">
        <v>295</v>
      </c>
      <c r="L3268" s="2">
        <v>2024</v>
      </c>
      <c r="M3268" s="2" t="s">
        <v>19</v>
      </c>
      <c r="N3268" s="2" t="s">
        <v>21</v>
      </c>
      <c r="O3268">
        <f t="shared" si="102"/>
        <v>2.7949999999999946</v>
      </c>
      <c r="P3268">
        <f t="shared" ref="P3268:P3331" si="103">IF(G3268=G3267, P3267+J3268, J3268)</f>
        <v>141.13599999999997</v>
      </c>
    </row>
    <row r="3269" spans="1:16" x14ac:dyDescent="0.35">
      <c r="A3269" s="9" t="s">
        <v>300</v>
      </c>
      <c r="B3269" s="2">
        <v>52.386000000000003</v>
      </c>
      <c r="C3269" s="2">
        <v>54.31</v>
      </c>
      <c r="D3269" s="2">
        <v>51.674999999999997</v>
      </c>
      <c r="E3269" s="2">
        <v>53.125</v>
      </c>
      <c r="F3269" s="2">
        <v>773319250</v>
      </c>
      <c r="G3269" s="2" t="s">
        <v>571</v>
      </c>
      <c r="H3269" s="2" t="s">
        <v>572</v>
      </c>
      <c r="I3269" s="2" t="s">
        <v>17</v>
      </c>
      <c r="J3269" s="3">
        <v>1.698</v>
      </c>
      <c r="K3269" s="2" t="s">
        <v>295</v>
      </c>
      <c r="L3269" s="2">
        <v>2024</v>
      </c>
      <c r="M3269" s="2" t="s">
        <v>19</v>
      </c>
      <c r="N3269" s="2" t="s">
        <v>21</v>
      </c>
      <c r="O3269">
        <f t="shared" si="102"/>
        <v>2.6350000000000051</v>
      </c>
      <c r="P3269">
        <f t="shared" si="103"/>
        <v>142.83399999999997</v>
      </c>
    </row>
    <row r="3270" spans="1:16" x14ac:dyDescent="0.35">
      <c r="A3270" s="9" t="s">
        <v>301</v>
      </c>
      <c r="B3270" s="2">
        <v>53.600999999999999</v>
      </c>
      <c r="C3270" s="2">
        <v>54.584000000000003</v>
      </c>
      <c r="D3270" s="2">
        <v>53.473999999999997</v>
      </c>
      <c r="E3270" s="2">
        <v>54.335000000000001</v>
      </c>
      <c r="F3270" s="2">
        <v>533947102</v>
      </c>
      <c r="G3270" s="2" t="s">
        <v>571</v>
      </c>
      <c r="H3270" s="2" t="s">
        <v>572</v>
      </c>
      <c r="I3270" s="2" t="s">
        <v>17</v>
      </c>
      <c r="J3270" s="3">
        <v>2.2770000000000001</v>
      </c>
      <c r="K3270" s="2" t="s">
        <v>295</v>
      </c>
      <c r="L3270" s="2">
        <v>2024</v>
      </c>
      <c r="M3270" s="2" t="s">
        <v>19</v>
      </c>
      <c r="N3270" s="2" t="s">
        <v>21</v>
      </c>
      <c r="O3270">
        <f t="shared" si="102"/>
        <v>1.1100000000000065</v>
      </c>
      <c r="P3270">
        <f t="shared" si="103"/>
        <v>145.11099999999996</v>
      </c>
    </row>
    <row r="3271" spans="1:16" x14ac:dyDescent="0.35">
      <c r="A3271" s="9" t="s">
        <v>302</v>
      </c>
      <c r="B3271" s="2">
        <v>54.982999999999997</v>
      </c>
      <c r="C3271" s="2">
        <v>55.33</v>
      </c>
      <c r="D3271" s="2">
        <v>53.545000000000002</v>
      </c>
      <c r="E3271" s="2">
        <v>54.805999999999997</v>
      </c>
      <c r="F3271" s="2">
        <v>596927964</v>
      </c>
      <c r="G3271" s="2" t="s">
        <v>571</v>
      </c>
      <c r="H3271" s="2" t="s">
        <v>572</v>
      </c>
      <c r="I3271" s="2" t="s">
        <v>17</v>
      </c>
      <c r="J3271" s="3">
        <v>0.86799999999999999</v>
      </c>
      <c r="K3271" s="2" t="s">
        <v>295</v>
      </c>
      <c r="L3271" s="2">
        <v>2024</v>
      </c>
      <c r="M3271" s="2" t="s">
        <v>19</v>
      </c>
      <c r="N3271" s="2" t="s">
        <v>21</v>
      </c>
      <c r="O3271">
        <f t="shared" si="102"/>
        <v>1.7849999999999966</v>
      </c>
      <c r="P3271">
        <f t="shared" si="103"/>
        <v>145.97899999999996</v>
      </c>
    </row>
    <row r="3272" spans="1:16" x14ac:dyDescent="0.35">
      <c r="A3272" s="9" t="s">
        <v>303</v>
      </c>
      <c r="B3272" s="2">
        <v>54.603999999999999</v>
      </c>
      <c r="C3272" s="2">
        <v>54.954000000000001</v>
      </c>
      <c r="D3272" s="2">
        <v>54.314999999999998</v>
      </c>
      <c r="E3272" s="2">
        <v>54.694000000000003</v>
      </c>
      <c r="F3272" s="2">
        <v>353093681</v>
      </c>
      <c r="G3272" s="2" t="s">
        <v>571</v>
      </c>
      <c r="H3272" s="2" t="s">
        <v>572</v>
      </c>
      <c r="I3272" s="2" t="s">
        <v>17</v>
      </c>
      <c r="J3272" s="4">
        <v>-0.20399999999999999</v>
      </c>
      <c r="K3272" s="2" t="s">
        <v>295</v>
      </c>
      <c r="L3272" s="2">
        <v>2024</v>
      </c>
      <c r="M3272" s="2" t="s">
        <v>19</v>
      </c>
      <c r="N3272" s="2" t="s">
        <v>23</v>
      </c>
      <c r="O3272">
        <f t="shared" si="102"/>
        <v>0.6390000000000029</v>
      </c>
      <c r="P3272">
        <f t="shared" si="103"/>
        <v>145.77499999999995</v>
      </c>
    </row>
    <row r="3273" spans="1:16" x14ac:dyDescent="0.35">
      <c r="A3273" s="9" t="s">
        <v>304</v>
      </c>
      <c r="B3273" s="2">
        <v>55.002000000000002</v>
      </c>
      <c r="C3273" s="2">
        <v>56.819000000000003</v>
      </c>
      <c r="D3273" s="2">
        <v>54.884</v>
      </c>
      <c r="E3273" s="2">
        <v>56.366</v>
      </c>
      <c r="F3273" s="2">
        <v>449707195</v>
      </c>
      <c r="G3273" s="2" t="s">
        <v>571</v>
      </c>
      <c r="H3273" s="2" t="s">
        <v>572</v>
      </c>
      <c r="I3273" s="2" t="s">
        <v>17</v>
      </c>
      <c r="J3273" s="3">
        <v>3.056</v>
      </c>
      <c r="K3273" s="2" t="s">
        <v>295</v>
      </c>
      <c r="L3273" s="2">
        <v>2024</v>
      </c>
      <c r="M3273" s="2" t="s">
        <v>19</v>
      </c>
      <c r="N3273" s="2" t="s">
        <v>21</v>
      </c>
      <c r="O3273">
        <f t="shared" si="102"/>
        <v>1.9350000000000023</v>
      </c>
      <c r="P3273">
        <f t="shared" si="103"/>
        <v>148.83099999999996</v>
      </c>
    </row>
    <row r="3274" spans="1:16" x14ac:dyDescent="0.35">
      <c r="A3274" s="9" t="s">
        <v>305</v>
      </c>
      <c r="B3274" s="2">
        <v>56.331000000000003</v>
      </c>
      <c r="C3274" s="2">
        <v>56.454999999999998</v>
      </c>
      <c r="D3274" s="2">
        <v>54.723999999999997</v>
      </c>
      <c r="E3274" s="2">
        <v>56.036999999999999</v>
      </c>
      <c r="F3274" s="2">
        <v>474528941</v>
      </c>
      <c r="G3274" s="2" t="s">
        <v>571</v>
      </c>
      <c r="H3274" s="2" t="s">
        <v>572</v>
      </c>
      <c r="I3274" s="2" t="s">
        <v>17</v>
      </c>
      <c r="J3274" s="4">
        <v>-0.58399999999999996</v>
      </c>
      <c r="K3274" s="2" t="s">
        <v>295</v>
      </c>
      <c r="L3274" s="2">
        <v>2024</v>
      </c>
      <c r="M3274" s="2" t="s">
        <v>19</v>
      </c>
      <c r="N3274" s="2" t="s">
        <v>23</v>
      </c>
      <c r="O3274">
        <f t="shared" si="102"/>
        <v>1.7310000000000016</v>
      </c>
      <c r="P3274">
        <f t="shared" si="103"/>
        <v>148.24699999999996</v>
      </c>
    </row>
    <row r="3275" spans="1:16" x14ac:dyDescent="0.35">
      <c r="A3275" s="9" t="s">
        <v>306</v>
      </c>
      <c r="B3275" s="2">
        <v>57.244</v>
      </c>
      <c r="C3275" s="2">
        <v>57.584000000000003</v>
      </c>
      <c r="D3275" s="2">
        <v>56.091000000000001</v>
      </c>
      <c r="E3275" s="2">
        <v>57.091000000000001</v>
      </c>
      <c r="F3275" s="2">
        <v>491789753</v>
      </c>
      <c r="G3275" s="2" t="s">
        <v>571</v>
      </c>
      <c r="H3275" s="2" t="s">
        <v>572</v>
      </c>
      <c r="I3275" s="2" t="s">
        <v>17</v>
      </c>
      <c r="J3275" s="3">
        <v>1.88</v>
      </c>
      <c r="K3275" s="2" t="s">
        <v>295</v>
      </c>
      <c r="L3275" s="2">
        <v>2024</v>
      </c>
      <c r="M3275" s="2" t="s">
        <v>19</v>
      </c>
      <c r="N3275" s="2" t="s">
        <v>21</v>
      </c>
      <c r="O3275">
        <f t="shared" si="102"/>
        <v>1.4930000000000021</v>
      </c>
      <c r="P3275">
        <f t="shared" si="103"/>
        <v>150.12699999999995</v>
      </c>
    </row>
    <row r="3276" spans="1:16" x14ac:dyDescent="0.35">
      <c r="A3276" s="9" t="s">
        <v>307</v>
      </c>
      <c r="B3276" s="2">
        <v>57.972000000000001</v>
      </c>
      <c r="C3276" s="2">
        <v>59.482999999999997</v>
      </c>
      <c r="D3276" s="2">
        <v>57.209000000000003</v>
      </c>
      <c r="E3276" s="2">
        <v>59.473999999999997</v>
      </c>
      <c r="F3276" s="2">
        <v>543655574</v>
      </c>
      <c r="G3276" s="2" t="s">
        <v>571</v>
      </c>
      <c r="H3276" s="2" t="s">
        <v>572</v>
      </c>
      <c r="I3276" s="2" t="s">
        <v>17</v>
      </c>
      <c r="J3276" s="3">
        <v>4.1749999999999998</v>
      </c>
      <c r="K3276" s="2" t="s">
        <v>295</v>
      </c>
      <c r="L3276" s="2">
        <v>2024</v>
      </c>
      <c r="M3276" s="2" t="s">
        <v>19</v>
      </c>
      <c r="N3276" s="2" t="s">
        <v>21</v>
      </c>
      <c r="O3276">
        <f t="shared" si="102"/>
        <v>2.2739999999999938</v>
      </c>
      <c r="P3276">
        <f t="shared" si="103"/>
        <v>154.30199999999996</v>
      </c>
    </row>
    <row r="3277" spans="1:16" x14ac:dyDescent="0.35">
      <c r="A3277" s="9" t="s">
        <v>308</v>
      </c>
      <c r="B3277" s="2">
        <v>60.031999999999996</v>
      </c>
      <c r="C3277" s="2">
        <v>60.314</v>
      </c>
      <c r="D3277" s="2">
        <v>59.052999999999997</v>
      </c>
      <c r="E3277" s="2">
        <v>59.637</v>
      </c>
      <c r="F3277" s="2">
        <v>453083052</v>
      </c>
      <c r="G3277" s="2" t="s">
        <v>571</v>
      </c>
      <c r="H3277" s="2" t="s">
        <v>572</v>
      </c>
      <c r="I3277" s="2" t="s">
        <v>17</v>
      </c>
      <c r="J3277" s="3">
        <v>0.27400000000000002</v>
      </c>
      <c r="K3277" s="2" t="s">
        <v>295</v>
      </c>
      <c r="L3277" s="2">
        <v>2024</v>
      </c>
      <c r="M3277" s="2" t="s">
        <v>19</v>
      </c>
      <c r="N3277" s="2" t="s">
        <v>21</v>
      </c>
      <c r="O3277">
        <f t="shared" si="102"/>
        <v>1.2610000000000028</v>
      </c>
      <c r="P3277">
        <f t="shared" si="103"/>
        <v>154.57599999999996</v>
      </c>
    </row>
    <row r="3278" spans="1:16" x14ac:dyDescent="0.35">
      <c r="A3278" s="9" t="s">
        <v>309</v>
      </c>
      <c r="B3278" s="2">
        <v>59.552999999999997</v>
      </c>
      <c r="C3278" s="2">
        <v>59.893000000000001</v>
      </c>
      <c r="D3278" s="2">
        <v>58.569000000000003</v>
      </c>
      <c r="E3278" s="2">
        <v>59.856000000000002</v>
      </c>
      <c r="F3278" s="2">
        <v>294737991</v>
      </c>
      <c r="G3278" s="2" t="s">
        <v>571</v>
      </c>
      <c r="H3278" s="2" t="s">
        <v>572</v>
      </c>
      <c r="I3278" s="2" t="s">
        <v>17</v>
      </c>
      <c r="J3278" s="3">
        <v>0.36699999999999999</v>
      </c>
      <c r="K3278" s="2" t="s">
        <v>295</v>
      </c>
      <c r="L3278" s="2">
        <v>2024</v>
      </c>
      <c r="M3278" s="2" t="s">
        <v>19</v>
      </c>
      <c r="N3278" s="2" t="s">
        <v>21</v>
      </c>
      <c r="O3278">
        <f t="shared" si="102"/>
        <v>1.3239999999999981</v>
      </c>
      <c r="P3278">
        <f t="shared" si="103"/>
        <v>154.94299999999996</v>
      </c>
    </row>
    <row r="3279" spans="1:16" x14ac:dyDescent="0.35">
      <c r="A3279" s="9" t="s">
        <v>310</v>
      </c>
      <c r="B3279" s="2">
        <v>60.286999999999999</v>
      </c>
      <c r="C3279" s="2">
        <v>62.831000000000003</v>
      </c>
      <c r="D3279" s="2">
        <v>59.920999999999999</v>
      </c>
      <c r="E3279" s="2">
        <v>61.344999999999999</v>
      </c>
      <c r="F3279" s="2">
        <v>560429609</v>
      </c>
      <c r="G3279" s="2" t="s">
        <v>571</v>
      </c>
      <c r="H3279" s="2" t="s">
        <v>572</v>
      </c>
      <c r="I3279" s="2" t="s">
        <v>17</v>
      </c>
      <c r="J3279" s="3">
        <v>2.4870000000000001</v>
      </c>
      <c r="K3279" s="2" t="s">
        <v>295</v>
      </c>
      <c r="L3279" s="2">
        <v>2024</v>
      </c>
      <c r="M3279" s="2" t="s">
        <v>19</v>
      </c>
      <c r="N3279" s="2" t="s">
        <v>21</v>
      </c>
      <c r="O3279">
        <f t="shared" si="102"/>
        <v>2.9100000000000037</v>
      </c>
      <c r="P3279">
        <f t="shared" si="103"/>
        <v>157.42999999999995</v>
      </c>
    </row>
    <row r="3280" spans="1:16" x14ac:dyDescent="0.35">
      <c r="A3280" s="9" t="s">
        <v>311</v>
      </c>
      <c r="B3280" s="2">
        <v>62.332000000000001</v>
      </c>
      <c r="C3280" s="2">
        <v>62.701000000000001</v>
      </c>
      <c r="D3280" s="2">
        <v>60.832999999999998</v>
      </c>
      <c r="E3280" s="2">
        <v>61.598999999999997</v>
      </c>
      <c r="F3280" s="2">
        <v>482913717</v>
      </c>
      <c r="G3280" s="2" t="s">
        <v>571</v>
      </c>
      <c r="H3280" s="2" t="s">
        <v>572</v>
      </c>
      <c r="I3280" s="2" t="s">
        <v>17</v>
      </c>
      <c r="J3280" s="3">
        <v>0.41499999999999998</v>
      </c>
      <c r="K3280" s="2" t="s">
        <v>295</v>
      </c>
      <c r="L3280" s="2">
        <v>2024</v>
      </c>
      <c r="M3280" s="2" t="s">
        <v>19</v>
      </c>
      <c r="N3280" s="2" t="s">
        <v>21</v>
      </c>
      <c r="O3280">
        <f t="shared" si="102"/>
        <v>1.8680000000000021</v>
      </c>
      <c r="P3280">
        <f t="shared" si="103"/>
        <v>157.84499999999994</v>
      </c>
    </row>
    <row r="3281" spans="1:16" x14ac:dyDescent="0.35">
      <c r="A3281" s="9" t="s">
        <v>312</v>
      </c>
      <c r="B3281" s="2">
        <v>60.942999999999998</v>
      </c>
      <c r="C3281" s="2">
        <v>61.765000000000001</v>
      </c>
      <c r="D3281" s="2">
        <v>60.555999999999997</v>
      </c>
      <c r="E3281" s="2">
        <v>61.014000000000003</v>
      </c>
      <c r="F3281" s="2">
        <v>390419251</v>
      </c>
      <c r="G3281" s="2" t="s">
        <v>571</v>
      </c>
      <c r="H3281" s="2" t="s">
        <v>572</v>
      </c>
      <c r="I3281" s="2" t="s">
        <v>17</v>
      </c>
      <c r="J3281" s="4">
        <v>-0.95099999999999996</v>
      </c>
      <c r="K3281" s="2" t="s">
        <v>295</v>
      </c>
      <c r="L3281" s="2">
        <v>2024</v>
      </c>
      <c r="M3281" s="2" t="s">
        <v>19</v>
      </c>
      <c r="N3281" s="2" t="s">
        <v>23</v>
      </c>
      <c r="O3281">
        <f t="shared" si="102"/>
        <v>1.2090000000000032</v>
      </c>
      <c r="P3281">
        <f t="shared" si="103"/>
        <v>156.89399999999995</v>
      </c>
    </row>
    <row r="3282" spans="1:16" x14ac:dyDescent="0.35">
      <c r="A3282" s="9" t="s">
        <v>313</v>
      </c>
      <c r="B3282" s="2">
        <v>61.215000000000003</v>
      </c>
      <c r="C3282" s="2">
        <v>62.470999999999997</v>
      </c>
      <c r="D3282" s="2">
        <v>60.89</v>
      </c>
      <c r="E3282" s="2">
        <v>62.447000000000003</v>
      </c>
      <c r="F3282" s="2">
        <v>348831853</v>
      </c>
      <c r="G3282" s="2" t="s">
        <v>571</v>
      </c>
      <c r="H3282" s="2" t="s">
        <v>572</v>
      </c>
      <c r="I3282" s="2" t="s">
        <v>17</v>
      </c>
      <c r="J3282" s="3">
        <v>2.35</v>
      </c>
      <c r="K3282" s="2" t="s">
        <v>295</v>
      </c>
      <c r="L3282" s="2">
        <v>2024</v>
      </c>
      <c r="M3282" s="2" t="s">
        <v>19</v>
      </c>
      <c r="N3282" s="2" t="s">
        <v>21</v>
      </c>
      <c r="O3282">
        <f t="shared" si="102"/>
        <v>1.580999999999996</v>
      </c>
      <c r="P3282">
        <f t="shared" si="103"/>
        <v>159.24399999999994</v>
      </c>
    </row>
    <row r="3283" spans="1:16" x14ac:dyDescent="0.35">
      <c r="A3283" s="9" t="s">
        <v>314</v>
      </c>
      <c r="B3283" s="2">
        <v>62.881999999999998</v>
      </c>
      <c r="C3283" s="2">
        <v>63.475000000000001</v>
      </c>
      <c r="D3283" s="2">
        <v>62.241999999999997</v>
      </c>
      <c r="E3283" s="2">
        <v>62.756</v>
      </c>
      <c r="F3283" s="2">
        <v>410851752</v>
      </c>
      <c r="G3283" s="2" t="s">
        <v>571</v>
      </c>
      <c r="H3283" s="2" t="s">
        <v>572</v>
      </c>
      <c r="I3283" s="2" t="s">
        <v>17</v>
      </c>
      <c r="J3283" s="3">
        <v>0.49399999999999999</v>
      </c>
      <c r="K3283" s="2" t="s">
        <v>295</v>
      </c>
      <c r="L3283" s="2">
        <v>2024</v>
      </c>
      <c r="M3283" s="2" t="s">
        <v>19</v>
      </c>
      <c r="N3283" s="2" t="s">
        <v>21</v>
      </c>
      <c r="O3283">
        <f t="shared" si="102"/>
        <v>1.2330000000000041</v>
      </c>
      <c r="P3283">
        <f t="shared" si="103"/>
        <v>159.73799999999994</v>
      </c>
    </row>
    <row r="3284" spans="1:16" x14ac:dyDescent="0.35">
      <c r="A3284" s="9" t="s">
        <v>315</v>
      </c>
      <c r="B3284" s="2">
        <v>61.423000000000002</v>
      </c>
      <c r="C3284" s="2">
        <v>62.250999999999998</v>
      </c>
      <c r="D3284" s="2">
        <v>60.683</v>
      </c>
      <c r="E3284" s="2">
        <v>61.51</v>
      </c>
      <c r="F3284" s="2">
        <v>453923530</v>
      </c>
      <c r="G3284" s="2" t="s">
        <v>571</v>
      </c>
      <c r="H3284" s="2" t="s">
        <v>572</v>
      </c>
      <c r="I3284" s="2" t="s">
        <v>17</v>
      </c>
      <c r="J3284" s="4">
        <v>-1.9870000000000001</v>
      </c>
      <c r="K3284" s="2" t="s">
        <v>295</v>
      </c>
      <c r="L3284" s="2">
        <v>2024</v>
      </c>
      <c r="M3284" s="2" t="s">
        <v>19</v>
      </c>
      <c r="N3284" s="2" t="s">
        <v>23</v>
      </c>
      <c r="O3284">
        <f t="shared" si="102"/>
        <v>1.5679999999999978</v>
      </c>
      <c r="P3284">
        <f t="shared" si="103"/>
        <v>157.75099999999995</v>
      </c>
    </row>
    <row r="3285" spans="1:16" x14ac:dyDescent="0.35">
      <c r="A3285" s="9" t="s">
        <v>316</v>
      </c>
      <c r="B3285" s="2">
        <v>62.082000000000001</v>
      </c>
      <c r="C3285" s="2">
        <v>63.173000000000002</v>
      </c>
      <c r="D3285" s="2">
        <v>61.633000000000003</v>
      </c>
      <c r="E3285" s="2">
        <v>63.009</v>
      </c>
      <c r="F3285" s="2">
        <v>369250450</v>
      </c>
      <c r="G3285" s="2" t="s">
        <v>571</v>
      </c>
      <c r="H3285" s="2" t="s">
        <v>572</v>
      </c>
      <c r="I3285" s="2" t="s">
        <v>17</v>
      </c>
      <c r="J3285" s="3">
        <v>2.4380000000000002</v>
      </c>
      <c r="K3285" s="2" t="s">
        <v>317</v>
      </c>
      <c r="L3285" s="2">
        <v>2024</v>
      </c>
      <c r="M3285" s="2" t="s">
        <v>43</v>
      </c>
      <c r="N3285" s="2" t="s">
        <v>21</v>
      </c>
      <c r="O3285">
        <f t="shared" si="102"/>
        <v>1.5399999999999991</v>
      </c>
      <c r="P3285">
        <f t="shared" si="103"/>
        <v>160.18899999999994</v>
      </c>
    </row>
    <row r="3286" spans="1:16" x14ac:dyDescent="0.35">
      <c r="A3286" s="9" t="s">
        <v>318</v>
      </c>
      <c r="B3286" s="2">
        <v>63.956000000000003</v>
      </c>
      <c r="C3286" s="2">
        <v>66.581000000000003</v>
      </c>
      <c r="D3286" s="2">
        <v>63.671999999999997</v>
      </c>
      <c r="E3286" s="2">
        <v>66.141000000000005</v>
      </c>
      <c r="F3286" s="2">
        <v>476712770</v>
      </c>
      <c r="G3286" s="2" t="s">
        <v>571</v>
      </c>
      <c r="H3286" s="2" t="s">
        <v>572</v>
      </c>
      <c r="I3286" s="2" t="s">
        <v>17</v>
      </c>
      <c r="J3286" s="3">
        <v>4.9710000000000001</v>
      </c>
      <c r="K3286" s="2" t="s">
        <v>317</v>
      </c>
      <c r="L3286" s="2">
        <v>2024</v>
      </c>
      <c r="M3286" s="2" t="s">
        <v>43</v>
      </c>
      <c r="N3286" s="2" t="s">
        <v>21</v>
      </c>
      <c r="O3286">
        <f t="shared" si="102"/>
        <v>2.909000000000006</v>
      </c>
      <c r="P3286">
        <f t="shared" si="103"/>
        <v>165.15999999999994</v>
      </c>
    </row>
    <row r="3287" spans="1:16" x14ac:dyDescent="0.35">
      <c r="A3287" s="9" t="s">
        <v>319</v>
      </c>
      <c r="B3287" s="2">
        <v>68.206000000000003</v>
      </c>
      <c r="C3287" s="2">
        <v>69.477000000000004</v>
      </c>
      <c r="D3287" s="2">
        <v>67.186000000000007</v>
      </c>
      <c r="E3287" s="2">
        <v>69.311999999999998</v>
      </c>
      <c r="F3287" s="2">
        <v>680270827</v>
      </c>
      <c r="G3287" s="2" t="s">
        <v>571</v>
      </c>
      <c r="H3287" s="2" t="s">
        <v>572</v>
      </c>
      <c r="I3287" s="2" t="s">
        <v>17</v>
      </c>
      <c r="J3287" s="3">
        <v>4.7939999999999996</v>
      </c>
      <c r="K3287" s="2" t="s">
        <v>317</v>
      </c>
      <c r="L3287" s="2">
        <v>2024</v>
      </c>
      <c r="M3287" s="2" t="s">
        <v>43</v>
      </c>
      <c r="N3287" s="2" t="s">
        <v>21</v>
      </c>
      <c r="O3287">
        <f t="shared" si="102"/>
        <v>2.2909999999999968</v>
      </c>
      <c r="P3287">
        <f t="shared" si="103"/>
        <v>169.95399999999995</v>
      </c>
    </row>
    <row r="3288" spans="1:16" x14ac:dyDescent="0.35">
      <c r="A3288" s="9" t="s">
        <v>320</v>
      </c>
      <c r="B3288" s="2">
        <v>69.61</v>
      </c>
      <c r="C3288" s="2">
        <v>69.733999999999995</v>
      </c>
      <c r="D3288" s="2">
        <v>66.281000000000006</v>
      </c>
      <c r="E3288" s="2">
        <v>68.203999999999994</v>
      </c>
      <c r="F3288" s="2">
        <v>683305037</v>
      </c>
      <c r="G3288" s="2" t="s">
        <v>571</v>
      </c>
      <c r="H3288" s="2" t="s">
        <v>572</v>
      </c>
      <c r="I3288" s="2" t="s">
        <v>17</v>
      </c>
      <c r="J3288" s="4">
        <v>-1.599</v>
      </c>
      <c r="K3288" s="2" t="s">
        <v>317</v>
      </c>
      <c r="L3288" s="2">
        <v>2024</v>
      </c>
      <c r="M3288" s="2" t="s">
        <v>43</v>
      </c>
      <c r="N3288" s="2" t="s">
        <v>23</v>
      </c>
      <c r="O3288">
        <f t="shared" si="102"/>
        <v>3.4529999999999887</v>
      </c>
      <c r="P3288">
        <f t="shared" si="103"/>
        <v>168.35499999999996</v>
      </c>
    </row>
    <row r="3289" spans="1:16" x14ac:dyDescent="0.35">
      <c r="A3289" s="9" t="s">
        <v>321</v>
      </c>
      <c r="B3289" s="2">
        <v>68.3</v>
      </c>
      <c r="C3289" s="2">
        <v>70.2</v>
      </c>
      <c r="D3289" s="2">
        <v>67.581000000000003</v>
      </c>
      <c r="E3289" s="2">
        <v>70.078999999999994</v>
      </c>
      <c r="F3289" s="2">
        <v>495715056</v>
      </c>
      <c r="G3289" s="2" t="s">
        <v>571</v>
      </c>
      <c r="H3289" s="2" t="s">
        <v>572</v>
      </c>
      <c r="I3289" s="2" t="s">
        <v>17</v>
      </c>
      <c r="J3289" s="3">
        <v>2.75</v>
      </c>
      <c r="K3289" s="2" t="s">
        <v>317</v>
      </c>
      <c r="L3289" s="2">
        <v>2024</v>
      </c>
      <c r="M3289" s="2" t="s">
        <v>43</v>
      </c>
      <c r="N3289" s="2" t="s">
        <v>21</v>
      </c>
      <c r="O3289">
        <f t="shared" si="102"/>
        <v>2.6189999999999998</v>
      </c>
      <c r="P3289">
        <f t="shared" si="103"/>
        <v>171.10499999999996</v>
      </c>
    </row>
    <row r="3290" spans="1:16" x14ac:dyDescent="0.35">
      <c r="A3290" s="9" t="s">
        <v>322</v>
      </c>
      <c r="B3290" s="2">
        <v>70.054000000000002</v>
      </c>
      <c r="C3290" s="2">
        <v>70.774000000000001</v>
      </c>
      <c r="D3290" s="2">
        <v>69.435000000000002</v>
      </c>
      <c r="E3290" s="2">
        <v>69.620999999999995</v>
      </c>
      <c r="F3290" s="2">
        <v>414539607</v>
      </c>
      <c r="G3290" s="2" t="s">
        <v>571</v>
      </c>
      <c r="H3290" s="2" t="s">
        <v>572</v>
      </c>
      <c r="I3290" s="2" t="s">
        <v>17</v>
      </c>
      <c r="J3290" s="4">
        <v>-0.65300000000000002</v>
      </c>
      <c r="K3290" s="2" t="s">
        <v>317</v>
      </c>
      <c r="L3290" s="2">
        <v>2024</v>
      </c>
      <c r="M3290" s="2" t="s">
        <v>43</v>
      </c>
      <c r="N3290" s="2" t="s">
        <v>23</v>
      </c>
      <c r="O3290">
        <f t="shared" si="102"/>
        <v>1.3389999999999986</v>
      </c>
      <c r="P3290">
        <f t="shared" si="103"/>
        <v>170.45199999999997</v>
      </c>
    </row>
    <row r="3291" spans="1:16" x14ac:dyDescent="0.35">
      <c r="A3291" s="9" t="s">
        <v>323</v>
      </c>
      <c r="B3291" s="2">
        <v>70.513000000000005</v>
      </c>
      <c r="C3291" s="2">
        <v>72.165000000000006</v>
      </c>
      <c r="D3291" s="2">
        <v>70.191999999999993</v>
      </c>
      <c r="E3291" s="2">
        <v>72.111999999999995</v>
      </c>
      <c r="F3291" s="2">
        <v>436760686</v>
      </c>
      <c r="G3291" s="2" t="s">
        <v>571</v>
      </c>
      <c r="H3291" s="2" t="s">
        <v>572</v>
      </c>
      <c r="I3291" s="2" t="s">
        <v>17</v>
      </c>
      <c r="J3291" s="3">
        <v>3.5779999999999998</v>
      </c>
      <c r="K3291" s="2" t="s">
        <v>317</v>
      </c>
      <c r="L3291" s="2">
        <v>2024</v>
      </c>
      <c r="M3291" s="2" t="s">
        <v>43</v>
      </c>
      <c r="N3291" s="2" t="s">
        <v>21</v>
      </c>
      <c r="O3291">
        <f t="shared" si="102"/>
        <v>1.9730000000000132</v>
      </c>
      <c r="P3291">
        <f t="shared" si="103"/>
        <v>174.02999999999997</v>
      </c>
    </row>
    <row r="3292" spans="1:16" x14ac:dyDescent="0.35">
      <c r="A3292" s="9" t="s">
        <v>324</v>
      </c>
      <c r="B3292" s="2">
        <v>72.578999999999994</v>
      </c>
      <c r="C3292" s="2">
        <v>74.59</v>
      </c>
      <c r="D3292" s="2">
        <v>71.23</v>
      </c>
      <c r="E3292" s="2">
        <v>72.227999999999994</v>
      </c>
      <c r="F3292" s="2">
        <v>613884180</v>
      </c>
      <c r="G3292" s="2" t="s">
        <v>571</v>
      </c>
      <c r="H3292" s="2" t="s">
        <v>572</v>
      </c>
      <c r="I3292" s="2" t="s">
        <v>17</v>
      </c>
      <c r="J3292" s="3">
        <v>0.159</v>
      </c>
      <c r="K3292" s="2" t="s">
        <v>317</v>
      </c>
      <c r="L3292" s="2">
        <v>2024</v>
      </c>
      <c r="M3292" s="2" t="s">
        <v>43</v>
      </c>
      <c r="N3292" s="2" t="s">
        <v>21</v>
      </c>
      <c r="O3292">
        <f t="shared" si="102"/>
        <v>3.3599999999999994</v>
      </c>
      <c r="P3292">
        <f t="shared" si="103"/>
        <v>174.18899999999996</v>
      </c>
    </row>
    <row r="3293" spans="1:16" x14ac:dyDescent="0.35">
      <c r="A3293" s="9" t="s">
        <v>325</v>
      </c>
      <c r="B3293" s="2">
        <v>70.38</v>
      </c>
      <c r="C3293" s="2">
        <v>73.429000000000002</v>
      </c>
      <c r="D3293" s="2">
        <v>69.599999999999994</v>
      </c>
      <c r="E3293" s="2">
        <v>72.108000000000004</v>
      </c>
      <c r="F3293" s="2">
        <v>602750994</v>
      </c>
      <c r="G3293" s="2" t="s">
        <v>571</v>
      </c>
      <c r="H3293" s="2" t="s">
        <v>572</v>
      </c>
      <c r="I3293" s="2" t="s">
        <v>17</v>
      </c>
      <c r="J3293" s="4">
        <v>-0.16600000000000001</v>
      </c>
      <c r="K3293" s="2" t="s">
        <v>317</v>
      </c>
      <c r="L3293" s="2">
        <v>2024</v>
      </c>
      <c r="M3293" s="2" t="s">
        <v>43</v>
      </c>
      <c r="N3293" s="2" t="s">
        <v>23</v>
      </c>
      <c r="O3293">
        <f t="shared" si="102"/>
        <v>3.8290000000000077</v>
      </c>
      <c r="P3293">
        <f t="shared" si="103"/>
        <v>174.02299999999997</v>
      </c>
    </row>
    <row r="3294" spans="1:16" x14ac:dyDescent="0.35">
      <c r="A3294" s="9" t="s">
        <v>326</v>
      </c>
      <c r="B3294" s="2">
        <v>73.180999999999997</v>
      </c>
      <c r="C3294" s="2">
        <v>74.215000000000003</v>
      </c>
      <c r="D3294" s="2">
        <v>71.918000000000006</v>
      </c>
      <c r="E3294" s="2">
        <v>73.879000000000005</v>
      </c>
      <c r="F3294" s="2">
        <v>505060575</v>
      </c>
      <c r="G3294" s="2" t="s">
        <v>571</v>
      </c>
      <c r="H3294" s="2" t="s">
        <v>572</v>
      </c>
      <c r="I3294" s="2" t="s">
        <v>17</v>
      </c>
      <c r="J3294" s="3">
        <v>2.4569999999999999</v>
      </c>
      <c r="K3294" s="2" t="s">
        <v>317</v>
      </c>
      <c r="L3294" s="2">
        <v>2024</v>
      </c>
      <c r="M3294" s="2" t="s">
        <v>43</v>
      </c>
      <c r="N3294" s="2" t="s">
        <v>21</v>
      </c>
      <c r="O3294">
        <f t="shared" si="102"/>
        <v>2.296999999999997</v>
      </c>
      <c r="P3294">
        <f t="shared" si="103"/>
        <v>176.47999999999996</v>
      </c>
    </row>
    <row r="3295" spans="1:16" x14ac:dyDescent="0.35">
      <c r="A3295" s="9" t="s">
        <v>327</v>
      </c>
      <c r="B3295" s="2">
        <v>73.847999999999999</v>
      </c>
      <c r="C3295" s="2">
        <v>73.953999999999994</v>
      </c>
      <c r="D3295" s="2">
        <v>72.379000000000005</v>
      </c>
      <c r="E3295" s="2">
        <v>72.637</v>
      </c>
      <c r="F3295" s="2">
        <v>420240923</v>
      </c>
      <c r="G3295" s="2" t="s">
        <v>571</v>
      </c>
      <c r="H3295" s="2" t="s">
        <v>572</v>
      </c>
      <c r="I3295" s="2" t="s">
        <v>17</v>
      </c>
      <c r="J3295" s="4">
        <v>-1.681</v>
      </c>
      <c r="K3295" s="2" t="s">
        <v>317</v>
      </c>
      <c r="L3295" s="2">
        <v>2024</v>
      </c>
      <c r="M3295" s="2" t="s">
        <v>43</v>
      </c>
      <c r="N3295" s="2" t="s">
        <v>23</v>
      </c>
      <c r="O3295">
        <f t="shared" si="102"/>
        <v>1.5749999999999886</v>
      </c>
      <c r="P3295">
        <f t="shared" si="103"/>
        <v>174.79899999999995</v>
      </c>
    </row>
    <row r="3296" spans="1:16" x14ac:dyDescent="0.35">
      <c r="A3296" s="9" t="s">
        <v>328</v>
      </c>
      <c r="B3296" s="2">
        <v>74.078999999999994</v>
      </c>
      <c r="C3296" s="2">
        <v>74.381</v>
      </c>
      <c r="D3296" s="2">
        <v>72.48</v>
      </c>
      <c r="E3296" s="2">
        <v>72.591999999999999</v>
      </c>
      <c r="F3296" s="2">
        <v>495467056</v>
      </c>
      <c r="G3296" s="2" t="s">
        <v>571</v>
      </c>
      <c r="H3296" s="2" t="s">
        <v>572</v>
      </c>
      <c r="I3296" s="2" t="s">
        <v>17</v>
      </c>
      <c r="J3296" s="4">
        <v>-6.2E-2</v>
      </c>
      <c r="K3296" s="2" t="s">
        <v>317</v>
      </c>
      <c r="L3296" s="2">
        <v>2024</v>
      </c>
      <c r="M3296" s="2" t="s">
        <v>43</v>
      </c>
      <c r="N3296" s="2" t="s">
        <v>23</v>
      </c>
      <c r="O3296">
        <f t="shared" si="102"/>
        <v>1.9009999999999962</v>
      </c>
      <c r="P3296">
        <f t="shared" si="103"/>
        <v>174.73699999999994</v>
      </c>
    </row>
    <row r="3297" spans="1:16" x14ac:dyDescent="0.35">
      <c r="A3297" s="9" t="s">
        <v>329</v>
      </c>
      <c r="B3297" s="2">
        <v>71.927000000000007</v>
      </c>
      <c r="C3297" s="2">
        <v>71.936000000000007</v>
      </c>
      <c r="D3297" s="2">
        <v>67.715000000000003</v>
      </c>
      <c r="E3297" s="2">
        <v>69.432000000000002</v>
      </c>
      <c r="F3297" s="2">
        <v>705032935</v>
      </c>
      <c r="G3297" s="2" t="s">
        <v>571</v>
      </c>
      <c r="H3297" s="2" t="s">
        <v>572</v>
      </c>
      <c r="I3297" s="2" t="s">
        <v>17</v>
      </c>
      <c r="J3297" s="4">
        <v>-4.3529999999999998</v>
      </c>
      <c r="K3297" s="2" t="s">
        <v>317</v>
      </c>
      <c r="L3297" s="2">
        <v>2024</v>
      </c>
      <c r="M3297" s="2" t="s">
        <v>43</v>
      </c>
      <c r="N3297" s="2" t="s">
        <v>23</v>
      </c>
      <c r="O3297">
        <f t="shared" si="102"/>
        <v>4.2210000000000036</v>
      </c>
      <c r="P3297">
        <f t="shared" si="103"/>
        <v>170.38399999999993</v>
      </c>
    </row>
    <row r="3298" spans="1:16" x14ac:dyDescent="0.35">
      <c r="A3298" s="9" t="s">
        <v>330</v>
      </c>
      <c r="B3298" s="2">
        <v>67.986999999999995</v>
      </c>
      <c r="C3298" s="2">
        <v>68.867999999999995</v>
      </c>
      <c r="D3298" s="2">
        <v>66.228999999999999</v>
      </c>
      <c r="E3298" s="2">
        <v>67.453000000000003</v>
      </c>
      <c r="F3298" s="2">
        <v>690493844</v>
      </c>
      <c r="G3298" s="2" t="s">
        <v>571</v>
      </c>
      <c r="H3298" s="2" t="s">
        <v>572</v>
      </c>
      <c r="I3298" s="2" t="s">
        <v>17</v>
      </c>
      <c r="J3298" s="4">
        <v>-2.851</v>
      </c>
      <c r="K3298" s="2" t="s">
        <v>317</v>
      </c>
      <c r="L3298" s="2">
        <v>2024</v>
      </c>
      <c r="M3298" s="2" t="s">
        <v>43</v>
      </c>
      <c r="N3298" s="2" t="s">
        <v>23</v>
      </c>
      <c r="O3298">
        <f t="shared" si="102"/>
        <v>2.6389999999999958</v>
      </c>
      <c r="P3298">
        <f t="shared" si="103"/>
        <v>167.53299999999993</v>
      </c>
    </row>
    <row r="3299" spans="1:16" x14ac:dyDescent="0.35">
      <c r="A3299" s="9" t="s">
        <v>331</v>
      </c>
      <c r="B3299" s="2">
        <v>75.004000000000005</v>
      </c>
      <c r="C3299" s="2">
        <v>78.552999999999997</v>
      </c>
      <c r="D3299" s="2">
        <v>74.198999999999998</v>
      </c>
      <c r="E3299" s="2">
        <v>78.516000000000005</v>
      </c>
      <c r="F3299" s="2">
        <v>865345014</v>
      </c>
      <c r="G3299" s="2" t="s">
        <v>571</v>
      </c>
      <c r="H3299" s="2" t="s">
        <v>572</v>
      </c>
      <c r="I3299" s="2" t="s">
        <v>17</v>
      </c>
      <c r="J3299" s="3">
        <v>16.401</v>
      </c>
      <c r="K3299" s="2" t="s">
        <v>317</v>
      </c>
      <c r="L3299" s="2">
        <v>2024</v>
      </c>
      <c r="M3299" s="2" t="s">
        <v>43</v>
      </c>
      <c r="N3299" s="2" t="s">
        <v>21</v>
      </c>
      <c r="O3299">
        <f t="shared" si="102"/>
        <v>4.3539999999999992</v>
      </c>
      <c r="P3299">
        <f t="shared" si="103"/>
        <v>183.93399999999994</v>
      </c>
    </row>
    <row r="3300" spans="1:16" x14ac:dyDescent="0.35">
      <c r="A3300" s="9" t="s">
        <v>332</v>
      </c>
      <c r="B3300" s="2">
        <v>80.766999999999996</v>
      </c>
      <c r="C3300" s="2">
        <v>82.370999999999995</v>
      </c>
      <c r="D3300" s="2">
        <v>77.548000000000002</v>
      </c>
      <c r="E3300" s="2">
        <v>78.795000000000002</v>
      </c>
      <c r="F3300" s="2">
        <v>829623519</v>
      </c>
      <c r="G3300" s="2" t="s">
        <v>571</v>
      </c>
      <c r="H3300" s="2" t="s">
        <v>572</v>
      </c>
      <c r="I3300" s="2" t="s">
        <v>17</v>
      </c>
      <c r="J3300" s="3">
        <v>0.35499999999999998</v>
      </c>
      <c r="K3300" s="2" t="s">
        <v>317</v>
      </c>
      <c r="L3300" s="2">
        <v>2024</v>
      </c>
      <c r="M3300" s="2" t="s">
        <v>43</v>
      </c>
      <c r="N3300" s="2" t="s">
        <v>21</v>
      </c>
      <c r="O3300">
        <f t="shared" si="102"/>
        <v>4.8229999999999933</v>
      </c>
      <c r="P3300">
        <f t="shared" si="103"/>
        <v>184.28899999999993</v>
      </c>
    </row>
    <row r="3301" spans="1:16" x14ac:dyDescent="0.35">
      <c r="A3301" s="9" t="s">
        <v>333</v>
      </c>
      <c r="B3301" s="2">
        <v>79.677000000000007</v>
      </c>
      <c r="C3301" s="2">
        <v>80.623000000000005</v>
      </c>
      <c r="D3301" s="2">
        <v>78.483000000000004</v>
      </c>
      <c r="E3301" s="2">
        <v>79.069999999999993</v>
      </c>
      <c r="F3301" s="2">
        <v>504115617</v>
      </c>
      <c r="G3301" s="2" t="s">
        <v>571</v>
      </c>
      <c r="H3301" s="2" t="s">
        <v>572</v>
      </c>
      <c r="I3301" s="2" t="s">
        <v>17</v>
      </c>
      <c r="J3301" s="3">
        <v>0.34899999999999998</v>
      </c>
      <c r="K3301" s="2" t="s">
        <v>317</v>
      </c>
      <c r="L3301" s="2">
        <v>2024</v>
      </c>
      <c r="M3301" s="2" t="s">
        <v>43</v>
      </c>
      <c r="N3301" s="2" t="s">
        <v>21</v>
      </c>
      <c r="O3301">
        <f t="shared" si="102"/>
        <v>2.1400000000000006</v>
      </c>
      <c r="P3301">
        <f t="shared" si="103"/>
        <v>184.63799999999992</v>
      </c>
    </row>
    <row r="3302" spans="1:16" x14ac:dyDescent="0.35">
      <c r="A3302" s="9" t="s">
        <v>334</v>
      </c>
      <c r="B3302" s="2">
        <v>79.358999999999995</v>
      </c>
      <c r="C3302" s="2">
        <v>79.456999999999994</v>
      </c>
      <c r="D3302" s="2">
        <v>77.14</v>
      </c>
      <c r="E3302" s="2">
        <v>78.679000000000002</v>
      </c>
      <c r="F3302" s="2">
        <v>391816297</v>
      </c>
      <c r="G3302" s="2" t="s">
        <v>571</v>
      </c>
      <c r="H3302" s="2" t="s">
        <v>572</v>
      </c>
      <c r="I3302" s="2" t="s">
        <v>17</v>
      </c>
      <c r="J3302" s="4">
        <v>-0.49399999999999999</v>
      </c>
      <c r="K3302" s="2" t="s">
        <v>317</v>
      </c>
      <c r="L3302" s="2">
        <v>2024</v>
      </c>
      <c r="M3302" s="2" t="s">
        <v>43</v>
      </c>
      <c r="N3302" s="2" t="s">
        <v>23</v>
      </c>
      <c r="O3302">
        <f t="shared" si="102"/>
        <v>2.3169999999999931</v>
      </c>
      <c r="P3302">
        <f t="shared" si="103"/>
        <v>184.14399999999992</v>
      </c>
    </row>
    <row r="3303" spans="1:16" x14ac:dyDescent="0.35">
      <c r="A3303" s="9" t="s">
        <v>335</v>
      </c>
      <c r="B3303" s="2">
        <v>77.597999999999999</v>
      </c>
      <c r="C3303" s="2">
        <v>78.911000000000001</v>
      </c>
      <c r="D3303" s="2">
        <v>77.102999999999994</v>
      </c>
      <c r="E3303" s="2">
        <v>77.641000000000005</v>
      </c>
      <c r="F3303" s="2">
        <v>393221855</v>
      </c>
      <c r="G3303" s="2" t="s">
        <v>571</v>
      </c>
      <c r="H3303" s="2" t="s">
        <v>572</v>
      </c>
      <c r="I3303" s="2" t="s">
        <v>17</v>
      </c>
      <c r="J3303" s="4">
        <v>-1.319</v>
      </c>
      <c r="K3303" s="2" t="s">
        <v>317</v>
      </c>
      <c r="L3303" s="2">
        <v>2024</v>
      </c>
      <c r="M3303" s="2" t="s">
        <v>43</v>
      </c>
      <c r="N3303" s="2" t="s">
        <v>23</v>
      </c>
      <c r="O3303">
        <f t="shared" si="102"/>
        <v>1.8080000000000069</v>
      </c>
      <c r="P3303">
        <f t="shared" si="103"/>
        <v>182.82499999999993</v>
      </c>
    </row>
    <row r="3304" spans="1:16" x14ac:dyDescent="0.35">
      <c r="A3304" s="9" t="s">
        <v>336</v>
      </c>
      <c r="B3304" s="2">
        <v>79.072000000000003</v>
      </c>
      <c r="C3304" s="2">
        <v>79.966999999999999</v>
      </c>
      <c r="D3304" s="2">
        <v>78.328000000000003</v>
      </c>
      <c r="E3304" s="2">
        <v>79.09</v>
      </c>
      <c r="F3304" s="2">
        <v>507432807</v>
      </c>
      <c r="G3304" s="2" t="s">
        <v>571</v>
      </c>
      <c r="H3304" s="2" t="s">
        <v>572</v>
      </c>
      <c r="I3304" s="2" t="s">
        <v>17</v>
      </c>
      <c r="J3304" s="3">
        <v>1.8660000000000001</v>
      </c>
      <c r="K3304" s="2" t="s">
        <v>317</v>
      </c>
      <c r="L3304" s="2">
        <v>2024</v>
      </c>
      <c r="M3304" s="2" t="s">
        <v>43</v>
      </c>
      <c r="N3304" s="2" t="s">
        <v>21</v>
      </c>
      <c r="O3304">
        <f t="shared" si="102"/>
        <v>1.6389999999999958</v>
      </c>
      <c r="P3304">
        <f t="shared" si="103"/>
        <v>184.69099999999995</v>
      </c>
    </row>
    <row r="3305" spans="1:16" x14ac:dyDescent="0.35">
      <c r="A3305" s="9" t="s">
        <v>337</v>
      </c>
      <c r="B3305" s="2">
        <v>79.977000000000004</v>
      </c>
      <c r="C3305" s="2">
        <v>82.277000000000001</v>
      </c>
      <c r="D3305" s="2">
        <v>79.412000000000006</v>
      </c>
      <c r="E3305" s="2">
        <v>82.256</v>
      </c>
      <c r="F3305" s="2">
        <v>479270945</v>
      </c>
      <c r="G3305" s="2" t="s">
        <v>571</v>
      </c>
      <c r="H3305" s="2" t="s">
        <v>572</v>
      </c>
      <c r="I3305" s="2" t="s">
        <v>17</v>
      </c>
      <c r="J3305" s="3">
        <v>4.0030000000000001</v>
      </c>
      <c r="K3305" s="2" t="s">
        <v>338</v>
      </c>
      <c r="L3305" s="2">
        <v>2024</v>
      </c>
      <c r="M3305" s="2" t="s">
        <v>64</v>
      </c>
      <c r="N3305" s="2" t="s">
        <v>21</v>
      </c>
      <c r="O3305">
        <f t="shared" si="102"/>
        <v>2.8649999999999949</v>
      </c>
      <c r="P3305">
        <f t="shared" si="103"/>
        <v>188.69399999999996</v>
      </c>
    </row>
    <row r="3306" spans="1:16" x14ac:dyDescent="0.35">
      <c r="A3306" s="9" t="s">
        <v>339</v>
      </c>
      <c r="B3306" s="2">
        <v>84.105999999999995</v>
      </c>
      <c r="C3306" s="2">
        <v>87.67</v>
      </c>
      <c r="D3306" s="2">
        <v>83.694999999999993</v>
      </c>
      <c r="E3306" s="2">
        <v>85.212999999999994</v>
      </c>
      <c r="F3306" s="2">
        <v>615790990</v>
      </c>
      <c r="G3306" s="2" t="s">
        <v>571</v>
      </c>
      <c r="H3306" s="2" t="s">
        <v>572</v>
      </c>
      <c r="I3306" s="2" t="s">
        <v>17</v>
      </c>
      <c r="J3306" s="3">
        <v>3.5950000000000002</v>
      </c>
      <c r="K3306" s="2" t="s">
        <v>338</v>
      </c>
      <c r="L3306" s="2">
        <v>2024</v>
      </c>
      <c r="M3306" s="2" t="s">
        <v>64</v>
      </c>
      <c r="N3306" s="2" t="s">
        <v>21</v>
      </c>
      <c r="O3306">
        <f t="shared" si="102"/>
        <v>3.9750000000000085</v>
      </c>
      <c r="P3306">
        <f t="shared" si="103"/>
        <v>192.28899999999996</v>
      </c>
    </row>
    <row r="3307" spans="1:16" x14ac:dyDescent="0.35">
      <c r="A3307" s="9" t="s">
        <v>340</v>
      </c>
      <c r="B3307" s="2">
        <v>85.25</v>
      </c>
      <c r="C3307" s="2">
        <v>86.076999999999998</v>
      </c>
      <c r="D3307" s="2">
        <v>83.397000000000006</v>
      </c>
      <c r="E3307" s="2">
        <v>85.944000000000003</v>
      </c>
      <c r="F3307" s="2">
        <v>520762473</v>
      </c>
      <c r="G3307" s="2" t="s">
        <v>571</v>
      </c>
      <c r="H3307" s="2" t="s">
        <v>572</v>
      </c>
      <c r="I3307" s="2" t="s">
        <v>17</v>
      </c>
      <c r="J3307" s="3">
        <v>0.85799999999999998</v>
      </c>
      <c r="K3307" s="2" t="s">
        <v>338</v>
      </c>
      <c r="L3307" s="2">
        <v>2024</v>
      </c>
      <c r="M3307" s="2" t="s">
        <v>64</v>
      </c>
      <c r="N3307" s="2" t="s">
        <v>21</v>
      </c>
      <c r="O3307">
        <f t="shared" si="102"/>
        <v>2.6799999999999926</v>
      </c>
      <c r="P3307">
        <f t="shared" si="103"/>
        <v>193.14699999999996</v>
      </c>
    </row>
    <row r="3308" spans="1:16" x14ac:dyDescent="0.35">
      <c r="A3308" s="9" t="s">
        <v>341</v>
      </c>
      <c r="B3308" s="2">
        <v>88.001000000000005</v>
      </c>
      <c r="C3308" s="2">
        <v>89.703000000000003</v>
      </c>
      <c r="D3308" s="2">
        <v>87.01</v>
      </c>
      <c r="E3308" s="2">
        <v>88.679000000000002</v>
      </c>
      <c r="F3308" s="2">
        <v>582658113</v>
      </c>
      <c r="G3308" s="2" t="s">
        <v>571</v>
      </c>
      <c r="H3308" s="2" t="s">
        <v>572</v>
      </c>
      <c r="I3308" s="2" t="s">
        <v>17</v>
      </c>
      <c r="J3308" s="3">
        <v>3.1829999999999998</v>
      </c>
      <c r="K3308" s="2" t="s">
        <v>338</v>
      </c>
      <c r="L3308" s="2">
        <v>2024</v>
      </c>
      <c r="M3308" s="2" t="s">
        <v>64</v>
      </c>
      <c r="N3308" s="2" t="s">
        <v>21</v>
      </c>
      <c r="O3308">
        <f t="shared" si="102"/>
        <v>2.6929999999999978</v>
      </c>
      <c r="P3308">
        <f t="shared" si="103"/>
        <v>196.32999999999996</v>
      </c>
    </row>
    <row r="3309" spans="1:16" x14ac:dyDescent="0.35">
      <c r="A3309" s="9" t="s">
        <v>342</v>
      </c>
      <c r="B3309" s="2">
        <v>90.137</v>
      </c>
      <c r="C3309" s="2">
        <v>92.745000000000005</v>
      </c>
      <c r="D3309" s="2">
        <v>89.581000000000003</v>
      </c>
      <c r="E3309" s="2">
        <v>92.647000000000006</v>
      </c>
      <c r="F3309" s="2">
        <v>608263029</v>
      </c>
      <c r="G3309" s="2" t="s">
        <v>571</v>
      </c>
      <c r="H3309" s="2" t="s">
        <v>572</v>
      </c>
      <c r="I3309" s="2" t="s">
        <v>17</v>
      </c>
      <c r="J3309" s="3">
        <v>4.4749999999999996</v>
      </c>
      <c r="K3309" s="2" t="s">
        <v>338</v>
      </c>
      <c r="L3309" s="2">
        <v>2024</v>
      </c>
      <c r="M3309" s="2" t="s">
        <v>64</v>
      </c>
      <c r="N3309" s="2" t="s">
        <v>21</v>
      </c>
      <c r="O3309">
        <f t="shared" si="102"/>
        <v>3.1640000000000015</v>
      </c>
      <c r="P3309">
        <f t="shared" si="103"/>
        <v>200.80499999999995</v>
      </c>
    </row>
    <row r="3310" spans="1:16" x14ac:dyDescent="0.35">
      <c r="A3310" s="9" t="s">
        <v>343</v>
      </c>
      <c r="B3310" s="2">
        <v>95.114999999999995</v>
      </c>
      <c r="C3310" s="2">
        <v>97.376999999999995</v>
      </c>
      <c r="D3310" s="2">
        <v>86.486000000000004</v>
      </c>
      <c r="E3310" s="2">
        <v>87.507000000000005</v>
      </c>
      <c r="F3310" s="2">
        <v>1142539298</v>
      </c>
      <c r="G3310" s="2" t="s">
        <v>571</v>
      </c>
      <c r="H3310" s="2" t="s">
        <v>572</v>
      </c>
      <c r="I3310" s="2" t="s">
        <v>17</v>
      </c>
      <c r="J3310" s="4">
        <v>-5.548</v>
      </c>
      <c r="K3310" s="2" t="s">
        <v>338</v>
      </c>
      <c r="L3310" s="2">
        <v>2024</v>
      </c>
      <c r="M3310" s="2" t="s">
        <v>64</v>
      </c>
      <c r="N3310" s="2" t="s">
        <v>23</v>
      </c>
      <c r="O3310">
        <f t="shared" si="102"/>
        <v>10.890999999999991</v>
      </c>
      <c r="P3310">
        <f t="shared" si="103"/>
        <v>195.25699999999995</v>
      </c>
    </row>
    <row r="3311" spans="1:16" x14ac:dyDescent="0.35">
      <c r="A3311" s="9" t="s">
        <v>344</v>
      </c>
      <c r="B3311" s="2">
        <v>86.409000000000006</v>
      </c>
      <c r="C3311" s="2">
        <v>88.775999999999996</v>
      </c>
      <c r="D3311" s="2">
        <v>84.146000000000001</v>
      </c>
      <c r="E3311" s="2">
        <v>85.754000000000005</v>
      </c>
      <c r="F3311" s="2">
        <v>678524607</v>
      </c>
      <c r="G3311" s="2" t="s">
        <v>571</v>
      </c>
      <c r="H3311" s="2" t="s">
        <v>572</v>
      </c>
      <c r="I3311" s="2" t="s">
        <v>17</v>
      </c>
      <c r="J3311" s="4">
        <v>-2.004</v>
      </c>
      <c r="K3311" s="2" t="s">
        <v>338</v>
      </c>
      <c r="L3311" s="2">
        <v>2024</v>
      </c>
      <c r="M3311" s="2" t="s">
        <v>64</v>
      </c>
      <c r="N3311" s="2" t="s">
        <v>23</v>
      </c>
      <c r="O3311">
        <f t="shared" si="102"/>
        <v>4.6299999999999955</v>
      </c>
      <c r="P3311">
        <f t="shared" si="103"/>
        <v>193.25299999999996</v>
      </c>
    </row>
    <row r="3312" spans="1:16" x14ac:dyDescent="0.35">
      <c r="A3312" s="9" t="s">
        <v>345</v>
      </c>
      <c r="B3312" s="2">
        <v>88.028000000000006</v>
      </c>
      <c r="C3312" s="2">
        <v>91.938000000000002</v>
      </c>
      <c r="D3312" s="2">
        <v>86.13</v>
      </c>
      <c r="E3312" s="2">
        <v>91.891000000000005</v>
      </c>
      <c r="F3312" s="2">
        <v>668233203</v>
      </c>
      <c r="G3312" s="2" t="s">
        <v>571</v>
      </c>
      <c r="H3312" s="2" t="s">
        <v>572</v>
      </c>
      <c r="I3312" s="2" t="s">
        <v>17</v>
      </c>
      <c r="J3312" s="3">
        <v>7.157</v>
      </c>
      <c r="K3312" s="2" t="s">
        <v>338</v>
      </c>
      <c r="L3312" s="2">
        <v>2024</v>
      </c>
      <c r="M3312" s="2" t="s">
        <v>64</v>
      </c>
      <c r="N3312" s="2" t="s">
        <v>21</v>
      </c>
      <c r="O3312">
        <f t="shared" si="102"/>
        <v>5.8080000000000069</v>
      </c>
      <c r="P3312">
        <f t="shared" si="103"/>
        <v>200.40999999999997</v>
      </c>
    </row>
    <row r="3313" spans="1:16" x14ac:dyDescent="0.35">
      <c r="A3313" s="9" t="s">
        <v>346</v>
      </c>
      <c r="B3313" s="2">
        <v>91.033000000000001</v>
      </c>
      <c r="C3313" s="2">
        <v>91.481999999999999</v>
      </c>
      <c r="D3313" s="2">
        <v>88.414000000000001</v>
      </c>
      <c r="E3313" s="2">
        <v>90.866</v>
      </c>
      <c r="F3313" s="2">
        <v>635863287</v>
      </c>
      <c r="G3313" s="2" t="s">
        <v>571</v>
      </c>
      <c r="H3313" s="2" t="s">
        <v>572</v>
      </c>
      <c r="I3313" s="2" t="s">
        <v>17</v>
      </c>
      <c r="J3313" s="4">
        <v>-1.115</v>
      </c>
      <c r="K3313" s="2" t="s">
        <v>338</v>
      </c>
      <c r="L3313" s="2">
        <v>2024</v>
      </c>
      <c r="M3313" s="2" t="s">
        <v>64</v>
      </c>
      <c r="N3313" s="2" t="s">
        <v>23</v>
      </c>
      <c r="O3313">
        <f t="shared" si="102"/>
        <v>3.0679999999999978</v>
      </c>
      <c r="P3313">
        <f t="shared" si="103"/>
        <v>199.29499999999996</v>
      </c>
    </row>
    <row r="3314" spans="1:16" x14ac:dyDescent="0.35">
      <c r="A3314" s="9" t="s">
        <v>347</v>
      </c>
      <c r="B3314" s="2">
        <v>89.555999999999997</v>
      </c>
      <c r="C3314" s="2">
        <v>90.625</v>
      </c>
      <c r="D3314" s="2">
        <v>86.578999999999994</v>
      </c>
      <c r="E3314" s="2">
        <v>87.923000000000002</v>
      </c>
      <c r="F3314" s="2">
        <v>602460656</v>
      </c>
      <c r="G3314" s="2" t="s">
        <v>571</v>
      </c>
      <c r="H3314" s="2" t="s">
        <v>572</v>
      </c>
      <c r="I3314" s="2" t="s">
        <v>17</v>
      </c>
      <c r="J3314" s="4">
        <v>-3.2389999999999999</v>
      </c>
      <c r="K3314" s="2" t="s">
        <v>338</v>
      </c>
      <c r="L3314" s="2">
        <v>2024</v>
      </c>
      <c r="M3314" s="2" t="s">
        <v>64</v>
      </c>
      <c r="N3314" s="2" t="s">
        <v>23</v>
      </c>
      <c r="O3314">
        <f t="shared" si="102"/>
        <v>4.0460000000000065</v>
      </c>
      <c r="P3314">
        <f t="shared" si="103"/>
        <v>196.05599999999995</v>
      </c>
    </row>
    <row r="3315" spans="1:16" x14ac:dyDescent="0.35">
      <c r="A3315" s="9" t="s">
        <v>348</v>
      </c>
      <c r="B3315" s="2">
        <v>86.909000000000006</v>
      </c>
      <c r="C3315" s="2">
        <v>89.525000000000006</v>
      </c>
      <c r="D3315" s="2">
        <v>86.236999999999995</v>
      </c>
      <c r="E3315" s="2">
        <v>87.816000000000003</v>
      </c>
      <c r="F3315" s="2">
        <v>642238065</v>
      </c>
      <c r="G3315" s="2" t="s">
        <v>571</v>
      </c>
      <c r="H3315" s="2" t="s">
        <v>572</v>
      </c>
      <c r="I3315" s="2" t="s">
        <v>17</v>
      </c>
      <c r="J3315" s="4">
        <v>-0.122</v>
      </c>
      <c r="K3315" s="2" t="s">
        <v>338</v>
      </c>
      <c r="L3315" s="2">
        <v>2024</v>
      </c>
      <c r="M3315" s="2" t="s">
        <v>64</v>
      </c>
      <c r="N3315" s="2" t="s">
        <v>23</v>
      </c>
      <c r="O3315">
        <f t="shared" si="102"/>
        <v>3.2880000000000109</v>
      </c>
      <c r="P3315">
        <f t="shared" si="103"/>
        <v>195.93399999999994</v>
      </c>
    </row>
    <row r="3316" spans="1:16" x14ac:dyDescent="0.35">
      <c r="A3316" s="9" t="s">
        <v>349</v>
      </c>
      <c r="B3316" s="2">
        <v>90.367000000000004</v>
      </c>
      <c r="C3316" s="2">
        <v>92.382999999999996</v>
      </c>
      <c r="D3316" s="2">
        <v>87.063999999999993</v>
      </c>
      <c r="E3316" s="2">
        <v>88.433999999999997</v>
      </c>
      <c r="F3316" s="2">
        <v>669134196</v>
      </c>
      <c r="G3316" s="2" t="s">
        <v>571</v>
      </c>
      <c r="H3316" s="2" t="s">
        <v>572</v>
      </c>
      <c r="I3316" s="2" t="s">
        <v>17</v>
      </c>
      <c r="J3316" s="3">
        <v>0.70399999999999996</v>
      </c>
      <c r="K3316" s="2" t="s">
        <v>338</v>
      </c>
      <c r="L3316" s="2">
        <v>2024</v>
      </c>
      <c r="M3316" s="2" t="s">
        <v>64</v>
      </c>
      <c r="N3316" s="2" t="s">
        <v>21</v>
      </c>
      <c r="O3316">
        <f t="shared" si="102"/>
        <v>5.3190000000000026</v>
      </c>
      <c r="P3316">
        <f t="shared" si="103"/>
        <v>196.63799999999995</v>
      </c>
    </row>
    <row r="3317" spans="1:16" x14ac:dyDescent="0.35">
      <c r="A3317" s="9" t="s">
        <v>350</v>
      </c>
      <c r="B3317" s="2">
        <v>86.68</v>
      </c>
      <c r="C3317" s="2">
        <v>90.522999999999996</v>
      </c>
      <c r="D3317" s="2">
        <v>84.99</v>
      </c>
      <c r="E3317" s="2">
        <v>89.376999999999995</v>
      </c>
      <c r="F3317" s="2">
        <v>672330292</v>
      </c>
      <c r="G3317" s="2" t="s">
        <v>571</v>
      </c>
      <c r="H3317" s="2" t="s">
        <v>572</v>
      </c>
      <c r="I3317" s="2" t="s">
        <v>17</v>
      </c>
      <c r="J3317" s="3">
        <v>1.0660000000000001</v>
      </c>
      <c r="K3317" s="2" t="s">
        <v>338</v>
      </c>
      <c r="L3317" s="2">
        <v>2024</v>
      </c>
      <c r="M3317" s="2" t="s">
        <v>64</v>
      </c>
      <c r="N3317" s="2" t="s">
        <v>21</v>
      </c>
      <c r="O3317">
        <f t="shared" si="102"/>
        <v>5.5330000000000013</v>
      </c>
      <c r="P3317">
        <f t="shared" si="103"/>
        <v>197.70399999999995</v>
      </c>
    </row>
    <row r="3318" spans="1:16" x14ac:dyDescent="0.35">
      <c r="A3318" s="9" t="s">
        <v>351</v>
      </c>
      <c r="B3318" s="2">
        <v>89.775999999999996</v>
      </c>
      <c r="C3318" s="2">
        <v>90.388999999999996</v>
      </c>
      <c r="D3318" s="2">
        <v>88.201999999999998</v>
      </c>
      <c r="E3318" s="2">
        <v>90.350999999999999</v>
      </c>
      <c r="F3318" s="2">
        <v>479176127</v>
      </c>
      <c r="G3318" s="2" t="s">
        <v>571</v>
      </c>
      <c r="H3318" s="2" t="s">
        <v>572</v>
      </c>
      <c r="I3318" s="2" t="s">
        <v>17</v>
      </c>
      <c r="J3318" s="3">
        <v>1.0900000000000001</v>
      </c>
      <c r="K3318" s="2" t="s">
        <v>338</v>
      </c>
      <c r="L3318" s="2">
        <v>2024</v>
      </c>
      <c r="M3318" s="2" t="s">
        <v>64</v>
      </c>
      <c r="N3318" s="2" t="s">
        <v>21</v>
      </c>
      <c r="O3318">
        <f t="shared" si="102"/>
        <v>2.1869999999999976</v>
      </c>
      <c r="P3318">
        <f t="shared" si="103"/>
        <v>198.79399999999995</v>
      </c>
    </row>
    <row r="3319" spans="1:16" x14ac:dyDescent="0.35">
      <c r="A3319" s="9" t="s">
        <v>352</v>
      </c>
      <c r="B3319" s="2">
        <v>92.278000000000006</v>
      </c>
      <c r="C3319" s="2">
        <v>92.626000000000005</v>
      </c>
      <c r="D3319" s="2">
        <v>90.384</v>
      </c>
      <c r="E3319" s="2">
        <v>91.412999999999997</v>
      </c>
      <c r="F3319" s="2">
        <v>480485956</v>
      </c>
      <c r="G3319" s="2" t="s">
        <v>571</v>
      </c>
      <c r="H3319" s="2" t="s">
        <v>572</v>
      </c>
      <c r="I3319" s="2" t="s">
        <v>17</v>
      </c>
      <c r="J3319" s="3">
        <v>1.1759999999999999</v>
      </c>
      <c r="K3319" s="2" t="s">
        <v>338</v>
      </c>
      <c r="L3319" s="2">
        <v>2024</v>
      </c>
      <c r="M3319" s="2" t="s">
        <v>64</v>
      </c>
      <c r="N3319" s="2" t="s">
        <v>21</v>
      </c>
      <c r="O3319">
        <f t="shared" si="102"/>
        <v>2.2420000000000044</v>
      </c>
      <c r="P3319">
        <f t="shared" si="103"/>
        <v>199.96999999999994</v>
      </c>
    </row>
    <row r="3320" spans="1:16" x14ac:dyDescent="0.35">
      <c r="A3320" s="9" t="s">
        <v>353</v>
      </c>
      <c r="B3320" s="2">
        <v>91.119</v>
      </c>
      <c r="C3320" s="2">
        <v>94.756</v>
      </c>
      <c r="D3320" s="2">
        <v>90.811999999999998</v>
      </c>
      <c r="E3320" s="2">
        <v>94.266999999999996</v>
      </c>
      <c r="F3320" s="2">
        <v>586858166</v>
      </c>
      <c r="G3320" s="2" t="s">
        <v>571</v>
      </c>
      <c r="H3320" s="2" t="s">
        <v>572</v>
      </c>
      <c r="I3320" s="2" t="s">
        <v>17</v>
      </c>
      <c r="J3320" s="3">
        <v>3.121</v>
      </c>
      <c r="K3320" s="2" t="s">
        <v>338</v>
      </c>
      <c r="L3320" s="2">
        <v>2024</v>
      </c>
      <c r="M3320" s="2" t="s">
        <v>64</v>
      </c>
      <c r="N3320" s="2" t="s">
        <v>21</v>
      </c>
      <c r="O3320">
        <f t="shared" si="102"/>
        <v>3.9440000000000026</v>
      </c>
      <c r="P3320">
        <f t="shared" si="103"/>
        <v>203.09099999999995</v>
      </c>
    </row>
    <row r="3321" spans="1:16" x14ac:dyDescent="0.35">
      <c r="A3321" s="9" t="s">
        <v>354</v>
      </c>
      <c r="B3321" s="2">
        <v>93.918999999999997</v>
      </c>
      <c r="C3321" s="2">
        <v>96.742999999999995</v>
      </c>
      <c r="D3321" s="2">
        <v>93.488</v>
      </c>
      <c r="E3321" s="2">
        <v>94.98</v>
      </c>
      <c r="F3321" s="2">
        <v>552266704</v>
      </c>
      <c r="G3321" s="2" t="s">
        <v>571</v>
      </c>
      <c r="H3321" s="2" t="s">
        <v>572</v>
      </c>
      <c r="I3321" s="2" t="s">
        <v>17</v>
      </c>
      <c r="J3321" s="3">
        <v>0.75600000000000001</v>
      </c>
      <c r="K3321" s="2" t="s">
        <v>338</v>
      </c>
      <c r="L3321" s="2">
        <v>2024</v>
      </c>
      <c r="M3321" s="2" t="s">
        <v>64</v>
      </c>
      <c r="N3321" s="2" t="s">
        <v>21</v>
      </c>
      <c r="O3321">
        <f t="shared" si="102"/>
        <v>3.2549999999999955</v>
      </c>
      <c r="P3321">
        <f t="shared" si="103"/>
        <v>203.84699999999995</v>
      </c>
    </row>
    <row r="3322" spans="1:16" x14ac:dyDescent="0.35">
      <c r="A3322" s="9" t="s">
        <v>355</v>
      </c>
      <c r="B3322" s="2">
        <v>95.828000000000003</v>
      </c>
      <c r="C3322" s="2">
        <v>96.352000000000004</v>
      </c>
      <c r="D3322" s="2">
        <v>92.48</v>
      </c>
      <c r="E3322" s="2">
        <v>92.539000000000001</v>
      </c>
      <c r="F3322" s="2">
        <v>513769099</v>
      </c>
      <c r="G3322" s="2" t="s">
        <v>571</v>
      </c>
      <c r="H3322" s="2" t="s">
        <v>572</v>
      </c>
      <c r="I3322" s="2" t="s">
        <v>17</v>
      </c>
      <c r="J3322" s="4">
        <v>-2.569</v>
      </c>
      <c r="K3322" s="2" t="s">
        <v>338</v>
      </c>
      <c r="L3322" s="2">
        <v>2024</v>
      </c>
      <c r="M3322" s="2" t="s">
        <v>64</v>
      </c>
      <c r="N3322" s="2" t="s">
        <v>23</v>
      </c>
      <c r="O3322">
        <f t="shared" si="102"/>
        <v>3.8719999999999999</v>
      </c>
      <c r="P3322">
        <f t="shared" si="103"/>
        <v>201.27799999999996</v>
      </c>
    </row>
    <row r="3323" spans="1:16" x14ac:dyDescent="0.35">
      <c r="A3323" s="9" t="s">
        <v>356</v>
      </c>
      <c r="B3323" s="2">
        <v>93.09</v>
      </c>
      <c r="C3323" s="2">
        <v>93.218000000000004</v>
      </c>
      <c r="D3323" s="2">
        <v>89.102000000000004</v>
      </c>
      <c r="E3323" s="2">
        <v>90.228999999999999</v>
      </c>
      <c r="F3323" s="2">
        <v>586205882</v>
      </c>
      <c r="G3323" s="2" t="s">
        <v>571</v>
      </c>
      <c r="H3323" s="2" t="s">
        <v>572</v>
      </c>
      <c r="I3323" s="2" t="s">
        <v>17</v>
      </c>
      <c r="J3323" s="4">
        <v>-2.4969999999999999</v>
      </c>
      <c r="K3323" s="2" t="s">
        <v>338</v>
      </c>
      <c r="L3323" s="2">
        <v>2024</v>
      </c>
      <c r="M3323" s="2" t="s">
        <v>64</v>
      </c>
      <c r="N3323" s="2" t="s">
        <v>23</v>
      </c>
      <c r="O3323">
        <f t="shared" si="102"/>
        <v>4.1159999999999997</v>
      </c>
      <c r="P3323">
        <f t="shared" si="103"/>
        <v>198.78099999999995</v>
      </c>
    </row>
    <row r="3324" spans="1:16" x14ac:dyDescent="0.35">
      <c r="A3324" s="9" t="s">
        <v>357</v>
      </c>
      <c r="B3324" s="2">
        <v>89.978999999999999</v>
      </c>
      <c r="C3324" s="2">
        <v>91.278000000000006</v>
      </c>
      <c r="D3324" s="2">
        <v>89.171999999999997</v>
      </c>
      <c r="E3324" s="2">
        <v>90.334999999999994</v>
      </c>
      <c r="F3324" s="2">
        <v>435315232</v>
      </c>
      <c r="G3324" s="2" t="s">
        <v>571</v>
      </c>
      <c r="H3324" s="2" t="s">
        <v>572</v>
      </c>
      <c r="I3324" s="2" t="s">
        <v>17</v>
      </c>
      <c r="J3324" s="3">
        <v>0.11700000000000001</v>
      </c>
      <c r="K3324" s="2" t="s">
        <v>338</v>
      </c>
      <c r="L3324" s="2">
        <v>2024</v>
      </c>
      <c r="M3324" s="2" t="s">
        <v>64</v>
      </c>
      <c r="N3324" s="2" t="s">
        <v>21</v>
      </c>
      <c r="O3324">
        <f t="shared" si="102"/>
        <v>2.1060000000000088</v>
      </c>
      <c r="P3324">
        <f t="shared" si="103"/>
        <v>198.89799999999994</v>
      </c>
    </row>
    <row r="3325" spans="1:16" x14ac:dyDescent="0.35">
      <c r="A3325" s="9" t="s">
        <v>358</v>
      </c>
      <c r="B3325" s="2">
        <v>90.278000000000006</v>
      </c>
      <c r="C3325" s="2">
        <v>92.203000000000003</v>
      </c>
      <c r="D3325" s="2">
        <v>89.183000000000007</v>
      </c>
      <c r="E3325" s="2">
        <v>90.341999999999999</v>
      </c>
      <c r="F3325" s="2">
        <v>452548528</v>
      </c>
      <c r="G3325" s="2" t="s">
        <v>571</v>
      </c>
      <c r="H3325" s="2" t="s">
        <v>572</v>
      </c>
      <c r="I3325" s="2" t="s">
        <v>17</v>
      </c>
      <c r="J3325" s="3">
        <v>8.0000000000000002E-3</v>
      </c>
      <c r="K3325" s="2" t="s">
        <v>359</v>
      </c>
      <c r="L3325" s="2">
        <v>2024</v>
      </c>
      <c r="M3325" s="2" t="s">
        <v>89</v>
      </c>
      <c r="N3325" s="2" t="s">
        <v>21</v>
      </c>
      <c r="O3325">
        <f t="shared" si="102"/>
        <v>3.019999999999996</v>
      </c>
      <c r="P3325">
        <f t="shared" si="103"/>
        <v>198.90599999999995</v>
      </c>
    </row>
    <row r="3326" spans="1:16" x14ac:dyDescent="0.35">
      <c r="A3326" s="9" t="s">
        <v>360</v>
      </c>
      <c r="B3326" s="2">
        <v>88.427000000000007</v>
      </c>
      <c r="C3326" s="2">
        <v>90.072999999999993</v>
      </c>
      <c r="D3326" s="2">
        <v>87.599000000000004</v>
      </c>
      <c r="E3326" s="2">
        <v>89.430999999999997</v>
      </c>
      <c r="F3326" s="2">
        <v>433166004</v>
      </c>
      <c r="G3326" s="2" t="s">
        <v>571</v>
      </c>
      <c r="H3326" s="2" t="s">
        <v>572</v>
      </c>
      <c r="I3326" s="2" t="s">
        <v>17</v>
      </c>
      <c r="J3326" s="4">
        <v>-1.008</v>
      </c>
      <c r="K3326" s="2" t="s">
        <v>359</v>
      </c>
      <c r="L3326" s="2">
        <v>2024</v>
      </c>
      <c r="M3326" s="2" t="s">
        <v>89</v>
      </c>
      <c r="N3326" s="2" t="s">
        <v>23</v>
      </c>
      <c r="O3326">
        <f t="shared" si="102"/>
        <v>2.4739999999999895</v>
      </c>
      <c r="P3326">
        <f t="shared" si="103"/>
        <v>197.89799999999994</v>
      </c>
    </row>
    <row r="3327" spans="1:16" x14ac:dyDescent="0.35">
      <c r="A3327" s="9" t="s">
        <v>361</v>
      </c>
      <c r="B3327" s="2">
        <v>88.462999999999994</v>
      </c>
      <c r="C3327" s="2">
        <v>90.352999999999994</v>
      </c>
      <c r="D3327" s="2">
        <v>88.379000000000005</v>
      </c>
      <c r="E3327" s="2">
        <v>88.942999999999998</v>
      </c>
      <c r="F3327" s="2">
        <v>370154100</v>
      </c>
      <c r="G3327" s="2" t="s">
        <v>571</v>
      </c>
      <c r="H3327" s="2" t="s">
        <v>572</v>
      </c>
      <c r="I3327" s="2" t="s">
        <v>17</v>
      </c>
      <c r="J3327" s="4">
        <v>-0.54500000000000004</v>
      </c>
      <c r="K3327" s="2" t="s">
        <v>359</v>
      </c>
      <c r="L3327" s="2">
        <v>2024</v>
      </c>
      <c r="M3327" s="2" t="s">
        <v>89</v>
      </c>
      <c r="N3327" s="2" t="s">
        <v>23</v>
      </c>
      <c r="O3327">
        <f t="shared" si="102"/>
        <v>1.9739999999999895</v>
      </c>
      <c r="P3327">
        <f t="shared" si="103"/>
        <v>197.35299999999995</v>
      </c>
    </row>
    <row r="3328" spans="1:16" x14ac:dyDescent="0.35">
      <c r="A3328" s="9" t="s">
        <v>362</v>
      </c>
      <c r="B3328" s="2">
        <v>90.385000000000005</v>
      </c>
      <c r="C3328" s="2">
        <v>90.613</v>
      </c>
      <c r="D3328" s="2">
        <v>85.86</v>
      </c>
      <c r="E3328" s="2">
        <v>85.885000000000005</v>
      </c>
      <c r="F3328" s="2">
        <v>435067824</v>
      </c>
      <c r="G3328" s="2" t="s">
        <v>571</v>
      </c>
      <c r="H3328" s="2" t="s">
        <v>572</v>
      </c>
      <c r="I3328" s="2" t="s">
        <v>17</v>
      </c>
      <c r="J3328" s="4">
        <v>-3.4380000000000002</v>
      </c>
      <c r="K3328" s="2" t="s">
        <v>359</v>
      </c>
      <c r="L3328" s="2">
        <v>2024</v>
      </c>
      <c r="M3328" s="2" t="s">
        <v>89</v>
      </c>
      <c r="N3328" s="2" t="s">
        <v>23</v>
      </c>
      <c r="O3328">
        <f t="shared" si="102"/>
        <v>4.7530000000000001</v>
      </c>
      <c r="P3328">
        <f t="shared" si="103"/>
        <v>193.91499999999996</v>
      </c>
    </row>
    <row r="3329" spans="1:16" x14ac:dyDescent="0.35">
      <c r="A3329" s="9" t="s">
        <v>363</v>
      </c>
      <c r="B3329" s="2">
        <v>86.846000000000004</v>
      </c>
      <c r="C3329" s="2">
        <v>88.46</v>
      </c>
      <c r="D3329" s="2">
        <v>85.906000000000006</v>
      </c>
      <c r="E3329" s="2">
        <v>87.986999999999995</v>
      </c>
      <c r="F3329" s="2">
        <v>399773016</v>
      </c>
      <c r="G3329" s="2" t="s">
        <v>571</v>
      </c>
      <c r="H3329" s="2" t="s">
        <v>572</v>
      </c>
      <c r="I3329" s="2" t="s">
        <v>17</v>
      </c>
      <c r="J3329" s="3">
        <v>2.448</v>
      </c>
      <c r="K3329" s="2" t="s">
        <v>359</v>
      </c>
      <c r="L3329" s="2">
        <v>2024</v>
      </c>
      <c r="M3329" s="2" t="s">
        <v>89</v>
      </c>
      <c r="N3329" s="2" t="s">
        <v>21</v>
      </c>
      <c r="O3329">
        <f t="shared" si="102"/>
        <v>2.5539999999999878</v>
      </c>
      <c r="P3329">
        <f t="shared" si="103"/>
        <v>196.36299999999997</v>
      </c>
    </row>
    <row r="3330" spans="1:16" x14ac:dyDescent="0.35">
      <c r="A3330" s="9" t="s">
        <v>364</v>
      </c>
      <c r="B3330" s="2">
        <v>88.679000000000002</v>
      </c>
      <c r="C3330" s="2">
        <v>88.808999999999997</v>
      </c>
      <c r="D3330" s="2">
        <v>86.712000000000003</v>
      </c>
      <c r="E3330" s="2">
        <v>87.111999999999995</v>
      </c>
      <c r="F3330" s="2">
        <v>283287004</v>
      </c>
      <c r="G3330" s="2" t="s">
        <v>571</v>
      </c>
      <c r="H3330" s="2" t="s">
        <v>572</v>
      </c>
      <c r="I3330" s="2" t="s">
        <v>17</v>
      </c>
      <c r="J3330" s="4">
        <v>-0.99399999999999999</v>
      </c>
      <c r="K3330" s="2" t="s">
        <v>359</v>
      </c>
      <c r="L3330" s="2">
        <v>2024</v>
      </c>
      <c r="M3330" s="2" t="s">
        <v>89</v>
      </c>
      <c r="N3330" s="2" t="s">
        <v>23</v>
      </c>
      <c r="O3330">
        <f t="shared" si="102"/>
        <v>2.0969999999999942</v>
      </c>
      <c r="P3330">
        <f t="shared" si="103"/>
        <v>195.36899999999997</v>
      </c>
    </row>
    <row r="3331" spans="1:16" x14ac:dyDescent="0.35">
      <c r="A3331" s="9" t="s">
        <v>365</v>
      </c>
      <c r="B3331" s="2">
        <v>87.421000000000006</v>
      </c>
      <c r="C3331" s="2">
        <v>87.614000000000004</v>
      </c>
      <c r="D3331" s="2">
        <v>83.001999999999995</v>
      </c>
      <c r="E3331" s="2">
        <v>85.334000000000003</v>
      </c>
      <c r="F3331" s="2">
        <v>503666479</v>
      </c>
      <c r="G3331" s="2" t="s">
        <v>571</v>
      </c>
      <c r="H3331" s="2" t="s">
        <v>572</v>
      </c>
      <c r="I3331" s="2" t="s">
        <v>17</v>
      </c>
      <c r="J3331" s="4">
        <v>-2.0419999999999998</v>
      </c>
      <c r="K3331" s="2" t="s">
        <v>359</v>
      </c>
      <c r="L3331" s="2">
        <v>2024</v>
      </c>
      <c r="M3331" s="2" t="s">
        <v>89</v>
      </c>
      <c r="N3331" s="2" t="s">
        <v>23</v>
      </c>
      <c r="O3331">
        <f t="shared" ref="O3331:O3394" si="104">C3331-D3331</f>
        <v>4.612000000000009</v>
      </c>
      <c r="P3331">
        <f t="shared" si="103"/>
        <v>193.32699999999997</v>
      </c>
    </row>
    <row r="3332" spans="1:16" x14ac:dyDescent="0.35">
      <c r="A3332" s="9" t="s">
        <v>366</v>
      </c>
      <c r="B3332" s="2">
        <v>83.906000000000006</v>
      </c>
      <c r="C3332" s="2">
        <v>87.379000000000005</v>
      </c>
      <c r="D3332" s="2">
        <v>83.688999999999993</v>
      </c>
      <c r="E3332" s="2">
        <v>87.019000000000005</v>
      </c>
      <c r="F3332" s="2">
        <v>432030715</v>
      </c>
      <c r="G3332" s="2" t="s">
        <v>571</v>
      </c>
      <c r="H3332" s="2" t="s">
        <v>572</v>
      </c>
      <c r="I3332" s="2" t="s">
        <v>17</v>
      </c>
      <c r="J3332" s="3">
        <v>1.974</v>
      </c>
      <c r="K3332" s="2" t="s">
        <v>359</v>
      </c>
      <c r="L3332" s="2">
        <v>2024</v>
      </c>
      <c r="M3332" s="2" t="s">
        <v>89</v>
      </c>
      <c r="N3332" s="2" t="s">
        <v>21</v>
      </c>
      <c r="O3332">
        <f t="shared" si="104"/>
        <v>3.6900000000000119</v>
      </c>
      <c r="P3332">
        <f t="shared" ref="P3332:P3395" si="105">IF(G3332=G3331, P3331+J3332, J3332)</f>
        <v>195.30099999999996</v>
      </c>
    </row>
    <row r="3333" spans="1:16" x14ac:dyDescent="0.35">
      <c r="A3333" s="9" t="s">
        <v>367</v>
      </c>
      <c r="B3333" s="2">
        <v>87.399000000000001</v>
      </c>
      <c r="C3333" s="2">
        <v>90.716999999999999</v>
      </c>
      <c r="D3333" s="2">
        <v>86.906000000000006</v>
      </c>
      <c r="E3333" s="2">
        <v>90.594999999999999</v>
      </c>
      <c r="F3333" s="2">
        <v>431739387</v>
      </c>
      <c r="G3333" s="2" t="s">
        <v>571</v>
      </c>
      <c r="H3333" s="2" t="s">
        <v>572</v>
      </c>
      <c r="I3333" s="2" t="s">
        <v>17</v>
      </c>
      <c r="J3333" s="3">
        <v>4.1100000000000003</v>
      </c>
      <c r="K3333" s="2" t="s">
        <v>359</v>
      </c>
      <c r="L3333" s="2">
        <v>2024</v>
      </c>
      <c r="M3333" s="2" t="s">
        <v>89</v>
      </c>
      <c r="N3333" s="2" t="s">
        <v>21</v>
      </c>
      <c r="O3333">
        <f t="shared" si="104"/>
        <v>3.8109999999999928</v>
      </c>
      <c r="P3333">
        <f t="shared" si="105"/>
        <v>199.41099999999997</v>
      </c>
    </row>
    <row r="3334" spans="1:16" x14ac:dyDescent="0.35">
      <c r="A3334" s="9" t="s">
        <v>368</v>
      </c>
      <c r="B3334" s="2">
        <v>89.677999999999997</v>
      </c>
      <c r="C3334" s="2">
        <v>90.153999999999996</v>
      </c>
      <c r="D3334" s="2">
        <v>87.509</v>
      </c>
      <c r="E3334" s="2">
        <v>88.165000000000006</v>
      </c>
      <c r="F3334" s="2">
        <v>426905763</v>
      </c>
      <c r="G3334" s="2" t="s">
        <v>571</v>
      </c>
      <c r="H3334" s="2" t="s">
        <v>572</v>
      </c>
      <c r="I3334" s="2" t="s">
        <v>17</v>
      </c>
      <c r="J3334" s="4">
        <v>-2.6819999999999999</v>
      </c>
      <c r="K3334" s="2" t="s">
        <v>359</v>
      </c>
      <c r="L3334" s="2">
        <v>2024</v>
      </c>
      <c r="M3334" s="2" t="s">
        <v>89</v>
      </c>
      <c r="N3334" s="2" t="s">
        <v>23</v>
      </c>
      <c r="O3334">
        <f t="shared" si="104"/>
        <v>2.644999999999996</v>
      </c>
      <c r="P3334">
        <f t="shared" si="105"/>
        <v>196.72899999999998</v>
      </c>
    </row>
    <row r="3335" spans="1:16" x14ac:dyDescent="0.35">
      <c r="A3335" s="9" t="s">
        <v>369</v>
      </c>
      <c r="B3335" s="2">
        <v>89.076999999999998</v>
      </c>
      <c r="C3335" s="2">
        <v>90.591999999999999</v>
      </c>
      <c r="D3335" s="2">
        <v>85.909000000000006</v>
      </c>
      <c r="E3335" s="2">
        <v>85.980999999999995</v>
      </c>
      <c r="F3335" s="2">
        <v>443181773</v>
      </c>
      <c r="G3335" s="2" t="s">
        <v>571</v>
      </c>
      <c r="H3335" s="2" t="s">
        <v>572</v>
      </c>
      <c r="I3335" s="2" t="s">
        <v>17</v>
      </c>
      <c r="J3335" s="4">
        <v>-2.4780000000000002</v>
      </c>
      <c r="K3335" s="2" t="s">
        <v>359</v>
      </c>
      <c r="L3335" s="2">
        <v>2024</v>
      </c>
      <c r="M3335" s="2" t="s">
        <v>89</v>
      </c>
      <c r="N3335" s="2" t="s">
        <v>23</v>
      </c>
      <c r="O3335">
        <f t="shared" si="104"/>
        <v>4.6829999999999927</v>
      </c>
      <c r="P3335">
        <f t="shared" si="105"/>
        <v>194.25099999999998</v>
      </c>
    </row>
    <row r="3336" spans="1:16" x14ac:dyDescent="0.35">
      <c r="A3336" s="9" t="s">
        <v>370</v>
      </c>
      <c r="B3336" s="2">
        <v>86.412000000000006</v>
      </c>
      <c r="C3336" s="2">
        <v>88.096999999999994</v>
      </c>
      <c r="D3336" s="2">
        <v>86.043000000000006</v>
      </c>
      <c r="E3336" s="2">
        <v>87.394000000000005</v>
      </c>
      <c r="F3336" s="2">
        <v>370540662</v>
      </c>
      <c r="G3336" s="2" t="s">
        <v>571</v>
      </c>
      <c r="H3336" s="2" t="s">
        <v>572</v>
      </c>
      <c r="I3336" s="2" t="s">
        <v>17</v>
      </c>
      <c r="J3336" s="3">
        <v>1.6439999999999999</v>
      </c>
      <c r="K3336" s="2" t="s">
        <v>359</v>
      </c>
      <c r="L3336" s="2">
        <v>2024</v>
      </c>
      <c r="M3336" s="2" t="s">
        <v>89</v>
      </c>
      <c r="N3336" s="2" t="s">
        <v>21</v>
      </c>
      <c r="O3336">
        <f t="shared" si="104"/>
        <v>2.0539999999999878</v>
      </c>
      <c r="P3336">
        <f t="shared" si="105"/>
        <v>195.89499999999998</v>
      </c>
    </row>
    <row r="3337" spans="1:16" x14ac:dyDescent="0.35">
      <c r="A3337" s="9" t="s">
        <v>371</v>
      </c>
      <c r="B3337" s="2">
        <v>88.319000000000003</v>
      </c>
      <c r="C3337" s="2">
        <v>88.754000000000005</v>
      </c>
      <c r="D3337" s="2">
        <v>83.93</v>
      </c>
      <c r="E3337" s="2">
        <v>84.015000000000001</v>
      </c>
      <c r="F3337" s="2">
        <v>495516712</v>
      </c>
      <c r="G3337" s="2" t="s">
        <v>571</v>
      </c>
      <c r="H3337" s="2" t="s">
        <v>572</v>
      </c>
      <c r="I3337" s="2" t="s">
        <v>17</v>
      </c>
      <c r="J3337" s="4">
        <v>-3.867</v>
      </c>
      <c r="K3337" s="2" t="s">
        <v>359</v>
      </c>
      <c r="L3337" s="2">
        <v>2024</v>
      </c>
      <c r="M3337" s="2" t="s">
        <v>89</v>
      </c>
      <c r="N3337" s="2" t="s">
        <v>23</v>
      </c>
      <c r="O3337">
        <f t="shared" si="104"/>
        <v>4.8239999999999981</v>
      </c>
      <c r="P3337">
        <f t="shared" si="105"/>
        <v>192.02799999999999</v>
      </c>
    </row>
    <row r="3338" spans="1:16" x14ac:dyDescent="0.35">
      <c r="A3338" s="9" t="s">
        <v>372</v>
      </c>
      <c r="B3338" s="2">
        <v>84.95</v>
      </c>
      <c r="C3338" s="2">
        <v>86.17</v>
      </c>
      <c r="D3338" s="2">
        <v>82.382000000000005</v>
      </c>
      <c r="E3338" s="2">
        <v>84.650999999999996</v>
      </c>
      <c r="F3338" s="2">
        <v>447366153</v>
      </c>
      <c r="G3338" s="2" t="s">
        <v>571</v>
      </c>
      <c r="H3338" s="2" t="s">
        <v>572</v>
      </c>
      <c r="I3338" s="2" t="s">
        <v>17</v>
      </c>
      <c r="J3338" s="3">
        <v>0.75700000000000001</v>
      </c>
      <c r="K3338" s="2" t="s">
        <v>359</v>
      </c>
      <c r="L3338" s="2">
        <v>2024</v>
      </c>
      <c r="M3338" s="2" t="s">
        <v>89</v>
      </c>
      <c r="N3338" s="2" t="s">
        <v>21</v>
      </c>
      <c r="O3338">
        <f t="shared" si="104"/>
        <v>3.7879999999999967</v>
      </c>
      <c r="P3338">
        <f t="shared" si="105"/>
        <v>192.785</v>
      </c>
    </row>
    <row r="3339" spans="1:16" x14ac:dyDescent="0.35">
      <c r="A3339" s="9" t="s">
        <v>373</v>
      </c>
      <c r="B3339" s="2">
        <v>83.13</v>
      </c>
      <c r="C3339" s="2">
        <v>84.304000000000002</v>
      </c>
      <c r="D3339" s="2">
        <v>75.587999999999994</v>
      </c>
      <c r="E3339" s="2">
        <v>76.182000000000002</v>
      </c>
      <c r="F3339" s="2">
        <v>871686845</v>
      </c>
      <c r="G3339" s="2" t="s">
        <v>571</v>
      </c>
      <c r="H3339" s="2" t="s">
        <v>572</v>
      </c>
      <c r="I3339" s="2" t="s">
        <v>17</v>
      </c>
      <c r="J3339" s="4">
        <v>-10.005000000000001</v>
      </c>
      <c r="K3339" s="2" t="s">
        <v>359</v>
      </c>
      <c r="L3339" s="2">
        <v>2024</v>
      </c>
      <c r="M3339" s="2" t="s">
        <v>89</v>
      </c>
      <c r="N3339" s="2" t="s">
        <v>23</v>
      </c>
      <c r="O3339">
        <f t="shared" si="104"/>
        <v>8.7160000000000082</v>
      </c>
      <c r="P3339">
        <f t="shared" si="105"/>
        <v>182.78</v>
      </c>
    </row>
    <row r="3340" spans="1:16" x14ac:dyDescent="0.35">
      <c r="A3340" s="9" t="s">
        <v>374</v>
      </c>
      <c r="B3340" s="2">
        <v>78.084999999999994</v>
      </c>
      <c r="C3340" s="2">
        <v>80.054000000000002</v>
      </c>
      <c r="D3340" s="2">
        <v>76.382000000000005</v>
      </c>
      <c r="E3340" s="2">
        <v>79.498999999999995</v>
      </c>
      <c r="F3340" s="2">
        <v>596481592</v>
      </c>
      <c r="G3340" s="2" t="s">
        <v>571</v>
      </c>
      <c r="H3340" s="2" t="s">
        <v>572</v>
      </c>
      <c r="I3340" s="2" t="s">
        <v>17</v>
      </c>
      <c r="J3340" s="3">
        <v>4.3540000000000001</v>
      </c>
      <c r="K3340" s="2" t="s">
        <v>359</v>
      </c>
      <c r="L3340" s="2">
        <v>2024</v>
      </c>
      <c r="M3340" s="2" t="s">
        <v>89</v>
      </c>
      <c r="N3340" s="2" t="s">
        <v>21</v>
      </c>
      <c r="O3340">
        <f t="shared" si="104"/>
        <v>3.671999999999997</v>
      </c>
      <c r="P3340">
        <f t="shared" si="105"/>
        <v>187.13400000000001</v>
      </c>
    </row>
    <row r="3341" spans="1:16" x14ac:dyDescent="0.35">
      <c r="A3341" s="9" t="s">
        <v>375</v>
      </c>
      <c r="B3341" s="2">
        <v>80.75</v>
      </c>
      <c r="C3341" s="2">
        <v>82.748999999999995</v>
      </c>
      <c r="D3341" s="2">
        <v>80.245000000000005</v>
      </c>
      <c r="E3341" s="2">
        <v>82.403000000000006</v>
      </c>
      <c r="F3341" s="2">
        <v>438663124</v>
      </c>
      <c r="G3341" s="2" t="s">
        <v>571</v>
      </c>
      <c r="H3341" s="2" t="s">
        <v>572</v>
      </c>
      <c r="I3341" s="2" t="s">
        <v>17</v>
      </c>
      <c r="J3341" s="3">
        <v>3.653</v>
      </c>
      <c r="K3341" s="2" t="s">
        <v>359</v>
      </c>
      <c r="L3341" s="2">
        <v>2024</v>
      </c>
      <c r="M3341" s="2" t="s">
        <v>89</v>
      </c>
      <c r="N3341" s="2" t="s">
        <v>21</v>
      </c>
      <c r="O3341">
        <f t="shared" si="104"/>
        <v>2.5039999999999907</v>
      </c>
      <c r="P3341">
        <f t="shared" si="105"/>
        <v>190.78700000000001</v>
      </c>
    </row>
    <row r="3342" spans="1:16" x14ac:dyDescent="0.35">
      <c r="A3342" s="9" t="s">
        <v>376</v>
      </c>
      <c r="B3342" s="2">
        <v>83.93</v>
      </c>
      <c r="C3342" s="2">
        <v>84.061999999999998</v>
      </c>
      <c r="D3342" s="2">
        <v>79.164000000000001</v>
      </c>
      <c r="E3342" s="2">
        <v>79.658000000000001</v>
      </c>
      <c r="F3342" s="2">
        <v>512328708</v>
      </c>
      <c r="G3342" s="2" t="s">
        <v>571</v>
      </c>
      <c r="H3342" s="2" t="s">
        <v>572</v>
      </c>
      <c r="I3342" s="2" t="s">
        <v>17</v>
      </c>
      <c r="J3342" s="4">
        <v>-3.3319999999999999</v>
      </c>
      <c r="K3342" s="2" t="s">
        <v>359</v>
      </c>
      <c r="L3342" s="2">
        <v>2024</v>
      </c>
      <c r="M3342" s="2" t="s">
        <v>89</v>
      </c>
      <c r="N3342" s="2" t="s">
        <v>23</v>
      </c>
      <c r="O3342">
        <f t="shared" si="104"/>
        <v>4.8979999999999961</v>
      </c>
      <c r="P3342">
        <f t="shared" si="105"/>
        <v>187.45500000000001</v>
      </c>
    </row>
    <row r="3343" spans="1:16" x14ac:dyDescent="0.35">
      <c r="A3343" s="9" t="s">
        <v>377</v>
      </c>
      <c r="B3343" s="2">
        <v>78.849000000000004</v>
      </c>
      <c r="C3343" s="2">
        <v>83.302999999999997</v>
      </c>
      <c r="D3343" s="2">
        <v>78.203999999999994</v>
      </c>
      <c r="E3343" s="2">
        <v>82.611999999999995</v>
      </c>
      <c r="F3343" s="2">
        <v>424741191</v>
      </c>
      <c r="G3343" s="2" t="s">
        <v>571</v>
      </c>
      <c r="H3343" s="2" t="s">
        <v>572</v>
      </c>
      <c r="I3343" s="2" t="s">
        <v>17</v>
      </c>
      <c r="J3343" s="3">
        <v>3.7090000000000001</v>
      </c>
      <c r="K3343" s="2" t="s">
        <v>359</v>
      </c>
      <c r="L3343" s="2">
        <v>2024</v>
      </c>
      <c r="M3343" s="2" t="s">
        <v>89</v>
      </c>
      <c r="N3343" s="2" t="s">
        <v>21</v>
      </c>
      <c r="O3343">
        <f t="shared" si="104"/>
        <v>5.0990000000000038</v>
      </c>
      <c r="P3343">
        <f t="shared" si="105"/>
        <v>191.16400000000002</v>
      </c>
    </row>
    <row r="3344" spans="1:16" x14ac:dyDescent="0.35">
      <c r="A3344" s="9" t="s">
        <v>378</v>
      </c>
      <c r="B3344" s="2">
        <v>83.798000000000002</v>
      </c>
      <c r="C3344" s="2">
        <v>88.31</v>
      </c>
      <c r="D3344" s="2">
        <v>83.367000000000004</v>
      </c>
      <c r="E3344" s="2">
        <v>87.713999999999999</v>
      </c>
      <c r="F3344" s="2">
        <v>551141138</v>
      </c>
      <c r="G3344" s="2" t="s">
        <v>571</v>
      </c>
      <c r="H3344" s="2" t="s">
        <v>572</v>
      </c>
      <c r="I3344" s="2" t="s">
        <v>17</v>
      </c>
      <c r="J3344" s="3">
        <v>6.1760000000000002</v>
      </c>
      <c r="K3344" s="2" t="s">
        <v>359</v>
      </c>
      <c r="L3344" s="2">
        <v>2024</v>
      </c>
      <c r="M3344" s="2" t="s">
        <v>89</v>
      </c>
      <c r="N3344" s="2" t="s">
        <v>21</v>
      </c>
      <c r="O3344">
        <f t="shared" si="104"/>
        <v>4.9429999999999978</v>
      </c>
      <c r="P3344">
        <f t="shared" si="105"/>
        <v>197.34</v>
      </c>
    </row>
    <row r="3345" spans="1:16" x14ac:dyDescent="0.35">
      <c r="A3345" s="9" t="s">
        <v>379</v>
      </c>
      <c r="B3345" s="2">
        <v>87.573999999999998</v>
      </c>
      <c r="C3345" s="2">
        <v>87.971000000000004</v>
      </c>
      <c r="D3345" s="2">
        <v>85.245999999999995</v>
      </c>
      <c r="E3345" s="2">
        <v>87.736000000000004</v>
      </c>
      <c r="F3345" s="2">
        <v>389062783</v>
      </c>
      <c r="G3345" s="2" t="s">
        <v>571</v>
      </c>
      <c r="H3345" s="2" t="s">
        <v>572</v>
      </c>
      <c r="I3345" s="2" t="s">
        <v>17</v>
      </c>
      <c r="J3345" s="3">
        <v>2.5000000000000001E-2</v>
      </c>
      <c r="K3345" s="2" t="s">
        <v>359</v>
      </c>
      <c r="L3345" s="2">
        <v>2024</v>
      </c>
      <c r="M3345" s="2" t="s">
        <v>89</v>
      </c>
      <c r="N3345" s="2" t="s">
        <v>21</v>
      </c>
      <c r="O3345">
        <f t="shared" si="104"/>
        <v>2.7250000000000085</v>
      </c>
      <c r="P3345">
        <f t="shared" si="105"/>
        <v>197.36500000000001</v>
      </c>
    </row>
    <row r="3346" spans="1:16" x14ac:dyDescent="0.35">
      <c r="A3346" s="9" t="s">
        <v>380</v>
      </c>
      <c r="B3346" s="2">
        <v>87.218999999999994</v>
      </c>
      <c r="C3346" s="2">
        <v>88.798000000000002</v>
      </c>
      <c r="D3346" s="2">
        <v>86.28</v>
      </c>
      <c r="E3346" s="2">
        <v>86.382000000000005</v>
      </c>
      <c r="F3346" s="2">
        <v>363794746</v>
      </c>
      <c r="G3346" s="2" t="s">
        <v>571</v>
      </c>
      <c r="H3346" s="2" t="s">
        <v>572</v>
      </c>
      <c r="I3346" s="2" t="s">
        <v>17</v>
      </c>
      <c r="J3346" s="4">
        <v>-1.544</v>
      </c>
      <c r="K3346" s="2" t="s">
        <v>359</v>
      </c>
      <c r="L3346" s="2">
        <v>2024</v>
      </c>
      <c r="M3346" s="2" t="s">
        <v>89</v>
      </c>
      <c r="N3346" s="2" t="s">
        <v>23</v>
      </c>
      <c r="O3346">
        <f t="shared" si="104"/>
        <v>2.5180000000000007</v>
      </c>
      <c r="P3346">
        <f t="shared" si="105"/>
        <v>195.821</v>
      </c>
    </row>
    <row r="3347" spans="1:16" x14ac:dyDescent="0.35">
      <c r="A3347" s="9" t="s">
        <v>381</v>
      </c>
      <c r="B3347" s="2">
        <v>85.057000000000002</v>
      </c>
      <c r="C3347" s="2">
        <v>85.98</v>
      </c>
      <c r="D3347" s="2">
        <v>81.234999999999999</v>
      </c>
      <c r="E3347" s="2">
        <v>83.021000000000001</v>
      </c>
      <c r="F3347" s="2">
        <v>559995622</v>
      </c>
      <c r="G3347" s="2" t="s">
        <v>571</v>
      </c>
      <c r="H3347" s="2" t="s">
        <v>572</v>
      </c>
      <c r="I3347" s="2" t="s">
        <v>17</v>
      </c>
      <c r="J3347" s="4">
        <v>-3.89</v>
      </c>
      <c r="K3347" s="2" t="s">
        <v>382</v>
      </c>
      <c r="L3347" s="2">
        <v>2024</v>
      </c>
      <c r="M3347" s="2" t="s">
        <v>110</v>
      </c>
      <c r="N3347" s="2" t="s">
        <v>23</v>
      </c>
      <c r="O3347">
        <f t="shared" si="104"/>
        <v>4.7450000000000045</v>
      </c>
      <c r="P3347">
        <f t="shared" si="105"/>
        <v>191.93100000000001</v>
      </c>
    </row>
    <row r="3348" spans="1:16" x14ac:dyDescent="0.35">
      <c r="A3348" s="9" t="s">
        <v>383</v>
      </c>
      <c r="B3348" s="2">
        <v>84.429000000000002</v>
      </c>
      <c r="C3348" s="2">
        <v>86.216999999999999</v>
      </c>
      <c r="D3348" s="2">
        <v>83.18</v>
      </c>
      <c r="E3348" s="2">
        <v>85.796999999999997</v>
      </c>
      <c r="F3348" s="2">
        <v>377986943</v>
      </c>
      <c r="G3348" s="2" t="s">
        <v>571</v>
      </c>
      <c r="H3348" s="2" t="s">
        <v>572</v>
      </c>
      <c r="I3348" s="2" t="s">
        <v>17</v>
      </c>
      <c r="J3348" s="3">
        <v>3.343</v>
      </c>
      <c r="K3348" s="2" t="s">
        <v>382</v>
      </c>
      <c r="L3348" s="2">
        <v>2024</v>
      </c>
      <c r="M3348" s="2" t="s">
        <v>110</v>
      </c>
      <c r="N3348" s="2" t="s">
        <v>21</v>
      </c>
      <c r="O3348">
        <f t="shared" si="104"/>
        <v>3.0369999999999919</v>
      </c>
      <c r="P3348">
        <f t="shared" si="105"/>
        <v>195.274</v>
      </c>
    </row>
    <row r="3349" spans="1:16" x14ac:dyDescent="0.35">
      <c r="A3349" s="9" t="s">
        <v>384</v>
      </c>
      <c r="B3349" s="2">
        <v>87.768000000000001</v>
      </c>
      <c r="C3349" s="2">
        <v>89.26</v>
      </c>
      <c r="D3349" s="2">
        <v>87.019000000000005</v>
      </c>
      <c r="E3349" s="2">
        <v>88.768000000000001</v>
      </c>
      <c r="F3349" s="2">
        <v>398434959</v>
      </c>
      <c r="G3349" s="2" t="s">
        <v>571</v>
      </c>
      <c r="H3349" s="2" t="s">
        <v>572</v>
      </c>
      <c r="I3349" s="2" t="s">
        <v>17</v>
      </c>
      <c r="J3349" s="3">
        <v>3.4630000000000001</v>
      </c>
      <c r="K3349" s="2" t="s">
        <v>382</v>
      </c>
      <c r="L3349" s="2">
        <v>2024</v>
      </c>
      <c r="M3349" s="2" t="s">
        <v>110</v>
      </c>
      <c r="N3349" s="2" t="s">
        <v>21</v>
      </c>
      <c r="O3349">
        <f t="shared" si="104"/>
        <v>2.2409999999999997</v>
      </c>
      <c r="P3349">
        <f t="shared" si="105"/>
        <v>198.73699999999999</v>
      </c>
    </row>
    <row r="3350" spans="1:16" x14ac:dyDescent="0.35">
      <c r="A3350" s="9" t="s">
        <v>385</v>
      </c>
      <c r="B3350" s="2">
        <v>89.369</v>
      </c>
      <c r="C3350" s="2">
        <v>92.197999999999993</v>
      </c>
      <c r="D3350" s="2">
        <v>89.034000000000006</v>
      </c>
      <c r="E3350" s="2">
        <v>92.117999999999995</v>
      </c>
      <c r="F3350" s="2">
        <v>376291552</v>
      </c>
      <c r="G3350" s="2" t="s">
        <v>571</v>
      </c>
      <c r="H3350" s="2" t="s">
        <v>572</v>
      </c>
      <c r="I3350" s="2" t="s">
        <v>17</v>
      </c>
      <c r="J3350" s="3">
        <v>3.774</v>
      </c>
      <c r="K3350" s="2" t="s">
        <v>382</v>
      </c>
      <c r="L3350" s="2">
        <v>2024</v>
      </c>
      <c r="M3350" s="2" t="s">
        <v>110</v>
      </c>
      <c r="N3350" s="2" t="s">
        <v>21</v>
      </c>
      <c r="O3350">
        <f t="shared" si="104"/>
        <v>3.1639999999999873</v>
      </c>
      <c r="P3350">
        <f t="shared" si="105"/>
        <v>202.511</v>
      </c>
    </row>
    <row r="3351" spans="1:16" x14ac:dyDescent="0.35">
      <c r="A3351" s="9" t="s">
        <v>386</v>
      </c>
      <c r="B3351" s="2">
        <v>91.075999999999993</v>
      </c>
      <c r="C3351" s="2">
        <v>91.759</v>
      </c>
      <c r="D3351" s="2">
        <v>88.99</v>
      </c>
      <c r="E3351" s="2">
        <v>90.533000000000001</v>
      </c>
      <c r="F3351" s="2">
        <v>437445076</v>
      </c>
      <c r="G3351" s="2" t="s">
        <v>571</v>
      </c>
      <c r="H3351" s="2" t="s">
        <v>572</v>
      </c>
      <c r="I3351" s="2" t="s">
        <v>17</v>
      </c>
      <c r="J3351" s="4">
        <v>-1.7210000000000001</v>
      </c>
      <c r="K3351" s="2" t="s">
        <v>382</v>
      </c>
      <c r="L3351" s="2">
        <v>2024</v>
      </c>
      <c r="M3351" s="2" t="s">
        <v>110</v>
      </c>
      <c r="N3351" s="2" t="s">
        <v>23</v>
      </c>
      <c r="O3351">
        <f t="shared" si="104"/>
        <v>2.7690000000000055</v>
      </c>
      <c r="P3351">
        <f t="shared" si="105"/>
        <v>200.79</v>
      </c>
    </row>
    <row r="3352" spans="1:16" x14ac:dyDescent="0.35">
      <c r="A3352" s="9" t="s">
        <v>387</v>
      </c>
      <c r="B3352" s="2">
        <v>89.460999999999999</v>
      </c>
      <c r="C3352" s="2">
        <v>91.171999999999997</v>
      </c>
      <c r="D3352" s="2">
        <v>89.399000000000001</v>
      </c>
      <c r="E3352" s="2">
        <v>90.391000000000005</v>
      </c>
      <c r="F3352" s="2">
        <v>325798079</v>
      </c>
      <c r="G3352" s="2" t="s">
        <v>571</v>
      </c>
      <c r="H3352" s="2" t="s">
        <v>572</v>
      </c>
      <c r="I3352" s="2" t="s">
        <v>17</v>
      </c>
      <c r="J3352" s="4">
        <v>-0.157</v>
      </c>
      <c r="K3352" s="2" t="s">
        <v>382</v>
      </c>
      <c r="L3352" s="2">
        <v>2024</v>
      </c>
      <c r="M3352" s="2" t="s">
        <v>110</v>
      </c>
      <c r="N3352" s="2" t="s">
        <v>23</v>
      </c>
      <c r="O3352">
        <f t="shared" si="104"/>
        <v>1.7729999999999961</v>
      </c>
      <c r="P3352">
        <f t="shared" si="105"/>
        <v>200.63299999999998</v>
      </c>
    </row>
    <row r="3353" spans="1:16" x14ac:dyDescent="0.35">
      <c r="A3353" s="9" t="s">
        <v>388</v>
      </c>
      <c r="B3353" s="2">
        <v>90.507999999999996</v>
      </c>
      <c r="C3353" s="2">
        <v>91.05</v>
      </c>
      <c r="D3353" s="2">
        <v>88.21</v>
      </c>
      <c r="E3353" s="2">
        <v>88.725999999999999</v>
      </c>
      <c r="F3353" s="2">
        <v>378102110</v>
      </c>
      <c r="G3353" s="2" t="s">
        <v>571</v>
      </c>
      <c r="H3353" s="2" t="s">
        <v>572</v>
      </c>
      <c r="I3353" s="2" t="s">
        <v>17</v>
      </c>
      <c r="J3353" s="4">
        <v>-1.8420000000000001</v>
      </c>
      <c r="K3353" s="2" t="s">
        <v>382</v>
      </c>
      <c r="L3353" s="2">
        <v>2024</v>
      </c>
      <c r="M3353" s="2" t="s">
        <v>110</v>
      </c>
      <c r="N3353" s="2" t="s">
        <v>23</v>
      </c>
      <c r="O3353">
        <f t="shared" si="104"/>
        <v>2.8400000000000034</v>
      </c>
      <c r="P3353">
        <f t="shared" si="105"/>
        <v>198.79099999999997</v>
      </c>
    </row>
    <row r="3354" spans="1:16" x14ac:dyDescent="0.35">
      <c r="A3354" s="9" t="s">
        <v>389</v>
      </c>
      <c r="B3354" s="2">
        <v>90.283000000000001</v>
      </c>
      <c r="C3354" s="2">
        <v>91.379000000000005</v>
      </c>
      <c r="D3354" s="2">
        <v>89.206000000000003</v>
      </c>
      <c r="E3354" s="2">
        <v>89.856999999999999</v>
      </c>
      <c r="F3354" s="2">
        <v>335404741</v>
      </c>
      <c r="G3354" s="2" t="s">
        <v>571</v>
      </c>
      <c r="H3354" s="2" t="s">
        <v>572</v>
      </c>
      <c r="I3354" s="2" t="s">
        <v>17</v>
      </c>
      <c r="J3354" s="3">
        <v>1.274</v>
      </c>
      <c r="K3354" s="2" t="s">
        <v>382</v>
      </c>
      <c r="L3354" s="2">
        <v>2024</v>
      </c>
      <c r="M3354" s="2" t="s">
        <v>110</v>
      </c>
      <c r="N3354" s="2" t="s">
        <v>21</v>
      </c>
      <c r="O3354">
        <f t="shared" si="104"/>
        <v>2.1730000000000018</v>
      </c>
      <c r="P3354">
        <f t="shared" si="105"/>
        <v>200.06499999999997</v>
      </c>
    </row>
    <row r="3355" spans="1:16" x14ac:dyDescent="0.35">
      <c r="A3355" s="9" t="s">
        <v>390</v>
      </c>
      <c r="B3355" s="2">
        <v>90.456999999999994</v>
      </c>
      <c r="C3355" s="2">
        <v>90.975999999999999</v>
      </c>
      <c r="D3355" s="2">
        <v>88.507999999999996</v>
      </c>
      <c r="E3355" s="2">
        <v>90.378</v>
      </c>
      <c r="F3355" s="2">
        <v>289748702</v>
      </c>
      <c r="G3355" s="2" t="s">
        <v>571</v>
      </c>
      <c r="H3355" s="2" t="s">
        <v>572</v>
      </c>
      <c r="I3355" s="2" t="s">
        <v>17</v>
      </c>
      <c r="J3355" s="3">
        <v>0.57999999999999996</v>
      </c>
      <c r="K3355" s="2" t="s">
        <v>382</v>
      </c>
      <c r="L3355" s="2">
        <v>2024</v>
      </c>
      <c r="M3355" s="2" t="s">
        <v>110</v>
      </c>
      <c r="N3355" s="2" t="s">
        <v>21</v>
      </c>
      <c r="O3355">
        <f t="shared" si="104"/>
        <v>2.4680000000000035</v>
      </c>
      <c r="P3355">
        <f t="shared" si="105"/>
        <v>200.64499999999998</v>
      </c>
    </row>
    <row r="3356" spans="1:16" x14ac:dyDescent="0.35">
      <c r="A3356" s="9" t="s">
        <v>391</v>
      </c>
      <c r="B3356" s="2">
        <v>89.578000000000003</v>
      </c>
      <c r="C3356" s="2">
        <v>91.629000000000005</v>
      </c>
      <c r="D3356" s="2">
        <v>88.912999999999997</v>
      </c>
      <c r="E3356" s="2">
        <v>91.334000000000003</v>
      </c>
      <c r="F3356" s="2">
        <v>296577227</v>
      </c>
      <c r="G3356" s="2" t="s">
        <v>571</v>
      </c>
      <c r="H3356" s="2" t="s">
        <v>572</v>
      </c>
      <c r="I3356" s="2" t="s">
        <v>17</v>
      </c>
      <c r="J3356" s="3">
        <v>1.0589999999999999</v>
      </c>
      <c r="K3356" s="2" t="s">
        <v>382</v>
      </c>
      <c r="L3356" s="2">
        <v>2024</v>
      </c>
      <c r="M3356" s="2" t="s">
        <v>110</v>
      </c>
      <c r="N3356" s="2" t="s">
        <v>21</v>
      </c>
      <c r="O3356">
        <f t="shared" si="104"/>
        <v>2.7160000000000082</v>
      </c>
      <c r="P3356">
        <f t="shared" si="105"/>
        <v>201.70399999999998</v>
      </c>
    </row>
    <row r="3357" spans="1:16" x14ac:dyDescent="0.35">
      <c r="A3357" s="9" t="s">
        <v>392</v>
      </c>
      <c r="B3357" s="2">
        <v>92.45</v>
      </c>
      <c r="C3357" s="2">
        <v>94.84</v>
      </c>
      <c r="D3357" s="2">
        <v>91.576999999999998</v>
      </c>
      <c r="E3357" s="2">
        <v>94.608000000000004</v>
      </c>
      <c r="F3357" s="2">
        <v>417834278</v>
      </c>
      <c r="G3357" s="2" t="s">
        <v>571</v>
      </c>
      <c r="H3357" s="2" t="s">
        <v>572</v>
      </c>
      <c r="I3357" s="2" t="s">
        <v>17</v>
      </c>
      <c r="J3357" s="3">
        <v>3.5840000000000001</v>
      </c>
      <c r="K3357" s="2" t="s">
        <v>382</v>
      </c>
      <c r="L3357" s="2">
        <v>2024</v>
      </c>
      <c r="M3357" s="2" t="s">
        <v>110</v>
      </c>
      <c r="N3357" s="2" t="s">
        <v>21</v>
      </c>
      <c r="O3357">
        <f t="shared" si="104"/>
        <v>3.2630000000000052</v>
      </c>
      <c r="P3357">
        <f t="shared" si="105"/>
        <v>205.28799999999998</v>
      </c>
    </row>
    <row r="3358" spans="1:16" x14ac:dyDescent="0.35">
      <c r="A3358" s="9" t="s">
        <v>393</v>
      </c>
      <c r="B3358" s="2">
        <v>94.888000000000005</v>
      </c>
      <c r="C3358" s="2">
        <v>95.796000000000006</v>
      </c>
      <c r="D3358" s="2">
        <v>94.081000000000003</v>
      </c>
      <c r="E3358" s="2">
        <v>94.337000000000003</v>
      </c>
      <c r="F3358" s="2">
        <v>324028460</v>
      </c>
      <c r="G3358" s="2" t="s">
        <v>571</v>
      </c>
      <c r="H3358" s="2" t="s">
        <v>572</v>
      </c>
      <c r="I3358" s="2" t="s">
        <v>17</v>
      </c>
      <c r="J3358" s="4">
        <v>-0.28599999999999998</v>
      </c>
      <c r="K3358" s="2" t="s">
        <v>382</v>
      </c>
      <c r="L3358" s="2">
        <v>2024</v>
      </c>
      <c r="M3358" s="2" t="s">
        <v>110</v>
      </c>
      <c r="N3358" s="2" t="s">
        <v>23</v>
      </c>
      <c r="O3358">
        <f t="shared" si="104"/>
        <v>1.7150000000000034</v>
      </c>
      <c r="P3358">
        <f t="shared" si="105"/>
        <v>205.00199999999998</v>
      </c>
    </row>
    <row r="3359" spans="1:16" x14ac:dyDescent="0.35">
      <c r="A3359" s="9" t="s">
        <v>394</v>
      </c>
      <c r="B3359" s="2">
        <v>94.346999999999994</v>
      </c>
      <c r="C3359" s="2">
        <v>94.718000000000004</v>
      </c>
      <c r="D3359" s="2">
        <v>91.784000000000006</v>
      </c>
      <c r="E3359" s="2">
        <v>92.456999999999994</v>
      </c>
      <c r="F3359" s="2">
        <v>359776125</v>
      </c>
      <c r="G3359" s="2" t="s">
        <v>571</v>
      </c>
      <c r="H3359" s="2" t="s">
        <v>572</v>
      </c>
      <c r="I3359" s="2" t="s">
        <v>17</v>
      </c>
      <c r="J3359" s="4">
        <v>-1.992</v>
      </c>
      <c r="K3359" s="2" t="s">
        <v>382</v>
      </c>
      <c r="L3359" s="2">
        <v>2024</v>
      </c>
      <c r="M3359" s="2" t="s">
        <v>110</v>
      </c>
      <c r="N3359" s="2" t="s">
        <v>23</v>
      </c>
      <c r="O3359">
        <f t="shared" si="104"/>
        <v>2.9339999999999975</v>
      </c>
      <c r="P3359">
        <f t="shared" si="105"/>
        <v>203.01</v>
      </c>
    </row>
    <row r="3360" spans="1:16" x14ac:dyDescent="0.35">
      <c r="A3360" s="9" t="s">
        <v>395</v>
      </c>
      <c r="B3360" s="2">
        <v>93.727999999999994</v>
      </c>
      <c r="C3360" s="2">
        <v>95.177000000000007</v>
      </c>
      <c r="D3360" s="2">
        <v>93.418000000000006</v>
      </c>
      <c r="E3360" s="2">
        <v>94.757999999999996</v>
      </c>
      <c r="F3360" s="2">
        <v>318839873</v>
      </c>
      <c r="G3360" s="2" t="s">
        <v>571</v>
      </c>
      <c r="H3360" s="2" t="s">
        <v>572</v>
      </c>
      <c r="I3360" s="2" t="s">
        <v>17</v>
      </c>
      <c r="J3360" s="3">
        <v>2.488</v>
      </c>
      <c r="K3360" s="2" t="s">
        <v>382</v>
      </c>
      <c r="L3360" s="2">
        <v>2024</v>
      </c>
      <c r="M3360" s="2" t="s">
        <v>110</v>
      </c>
      <c r="N3360" s="2" t="s">
        <v>21</v>
      </c>
      <c r="O3360">
        <f t="shared" si="104"/>
        <v>1.7590000000000003</v>
      </c>
      <c r="P3360">
        <f t="shared" si="105"/>
        <v>205.49799999999999</v>
      </c>
    </row>
    <row r="3361" spans="1:16" x14ac:dyDescent="0.35">
      <c r="A3361" s="9" t="s">
        <v>396</v>
      </c>
      <c r="B3361" s="2">
        <v>93.576999999999998</v>
      </c>
      <c r="C3361" s="2">
        <v>95.376999999999995</v>
      </c>
      <c r="D3361" s="2">
        <v>93.158000000000001</v>
      </c>
      <c r="E3361" s="2">
        <v>95.363</v>
      </c>
      <c r="F3361" s="2">
        <v>329024282</v>
      </c>
      <c r="G3361" s="2" t="s">
        <v>571</v>
      </c>
      <c r="H3361" s="2" t="s">
        <v>572</v>
      </c>
      <c r="I3361" s="2" t="s">
        <v>17</v>
      </c>
      <c r="J3361" s="3">
        <v>0.63900000000000001</v>
      </c>
      <c r="K3361" s="2" t="s">
        <v>382</v>
      </c>
      <c r="L3361" s="2">
        <v>2024</v>
      </c>
      <c r="M3361" s="2" t="s">
        <v>110</v>
      </c>
      <c r="N3361" s="2" t="s">
        <v>21</v>
      </c>
      <c r="O3361">
        <f t="shared" si="104"/>
        <v>2.2189999999999941</v>
      </c>
      <c r="P3361">
        <f t="shared" si="105"/>
        <v>206.137</v>
      </c>
    </row>
    <row r="3362" spans="1:16" x14ac:dyDescent="0.35">
      <c r="A3362" s="9" t="s">
        <v>397</v>
      </c>
      <c r="B3362" s="2">
        <v>95.436000000000007</v>
      </c>
      <c r="C3362" s="2">
        <v>95.997</v>
      </c>
      <c r="D3362" s="2">
        <v>93.227000000000004</v>
      </c>
      <c r="E3362" s="2">
        <v>94.927999999999997</v>
      </c>
      <c r="F3362" s="2">
        <v>548777789</v>
      </c>
      <c r="G3362" s="2" t="s">
        <v>571</v>
      </c>
      <c r="H3362" s="2" t="s">
        <v>572</v>
      </c>
      <c r="I3362" s="2" t="s">
        <v>17</v>
      </c>
      <c r="J3362" s="4">
        <v>-0.45700000000000002</v>
      </c>
      <c r="K3362" s="2" t="s">
        <v>382</v>
      </c>
      <c r="L3362" s="2">
        <v>2024</v>
      </c>
      <c r="M3362" s="2" t="s">
        <v>110</v>
      </c>
      <c r="N3362" s="2" t="s">
        <v>23</v>
      </c>
      <c r="O3362">
        <f t="shared" si="104"/>
        <v>2.769999999999996</v>
      </c>
      <c r="P3362">
        <f t="shared" si="105"/>
        <v>205.68</v>
      </c>
    </row>
    <row r="3363" spans="1:16" x14ac:dyDescent="0.35">
      <c r="A3363" s="9" t="s">
        <v>398</v>
      </c>
      <c r="B3363" s="2">
        <v>102.004</v>
      </c>
      <c r="C3363" s="2">
        <v>106.295</v>
      </c>
      <c r="D3363" s="2">
        <v>101.496</v>
      </c>
      <c r="E3363" s="2">
        <v>103.774</v>
      </c>
      <c r="F3363" s="2">
        <v>835262840</v>
      </c>
      <c r="G3363" s="2" t="s">
        <v>571</v>
      </c>
      <c r="H3363" s="2" t="s">
        <v>572</v>
      </c>
      <c r="I3363" s="2" t="s">
        <v>17</v>
      </c>
      <c r="J3363" s="3">
        <v>9.3190000000000008</v>
      </c>
      <c r="K3363" s="2" t="s">
        <v>382</v>
      </c>
      <c r="L3363" s="2">
        <v>2024</v>
      </c>
      <c r="M3363" s="2" t="s">
        <v>110</v>
      </c>
      <c r="N3363" s="2" t="s">
        <v>21</v>
      </c>
      <c r="O3363">
        <f t="shared" si="104"/>
        <v>4.7990000000000066</v>
      </c>
      <c r="P3363">
        <f t="shared" si="105"/>
        <v>214.999</v>
      </c>
    </row>
    <row r="3364" spans="1:16" x14ac:dyDescent="0.35">
      <c r="A3364" s="9" t="s">
        <v>399</v>
      </c>
      <c r="B3364" s="2">
        <v>104.42400000000001</v>
      </c>
      <c r="C3364" s="2">
        <v>106.45</v>
      </c>
      <c r="D3364" s="2">
        <v>102.976</v>
      </c>
      <c r="E3364" s="2">
        <v>106.444</v>
      </c>
      <c r="F3364" s="2">
        <v>429595279</v>
      </c>
      <c r="G3364" s="2" t="s">
        <v>571</v>
      </c>
      <c r="H3364" s="2" t="s">
        <v>572</v>
      </c>
      <c r="I3364" s="2" t="s">
        <v>17</v>
      </c>
      <c r="J3364" s="3">
        <v>2.573</v>
      </c>
      <c r="K3364" s="2" t="s">
        <v>382</v>
      </c>
      <c r="L3364" s="2">
        <v>2024</v>
      </c>
      <c r="M3364" s="2" t="s">
        <v>110</v>
      </c>
      <c r="N3364" s="2" t="s">
        <v>21</v>
      </c>
      <c r="O3364">
        <f t="shared" si="104"/>
        <v>3.4740000000000038</v>
      </c>
      <c r="P3364">
        <f t="shared" si="105"/>
        <v>217.572</v>
      </c>
    </row>
    <row r="3365" spans="1:16" x14ac:dyDescent="0.35">
      <c r="A3365" s="9" t="s">
        <v>400</v>
      </c>
      <c r="B3365" s="2">
        <v>110.218</v>
      </c>
      <c r="C3365" s="2">
        <v>114.91200000000001</v>
      </c>
      <c r="D3365" s="2">
        <v>109.857</v>
      </c>
      <c r="E3365" s="2">
        <v>113.874</v>
      </c>
      <c r="F3365" s="2">
        <v>652882312</v>
      </c>
      <c r="G3365" s="2" t="s">
        <v>571</v>
      </c>
      <c r="H3365" s="2" t="s">
        <v>572</v>
      </c>
      <c r="I3365" s="2" t="s">
        <v>17</v>
      </c>
      <c r="J3365" s="3">
        <v>6.98</v>
      </c>
      <c r="K3365" s="2" t="s">
        <v>382</v>
      </c>
      <c r="L3365" s="2">
        <v>2024</v>
      </c>
      <c r="M3365" s="2" t="s">
        <v>110</v>
      </c>
      <c r="N3365" s="2" t="s">
        <v>21</v>
      </c>
      <c r="O3365">
        <f t="shared" si="104"/>
        <v>5.0550000000000068</v>
      </c>
      <c r="P3365">
        <f t="shared" si="105"/>
        <v>224.55199999999999</v>
      </c>
    </row>
    <row r="3366" spans="1:16" x14ac:dyDescent="0.35">
      <c r="A3366" s="9" t="s">
        <v>401</v>
      </c>
      <c r="B3366" s="2">
        <v>113.023</v>
      </c>
      <c r="C3366" s="2">
        <v>115.465</v>
      </c>
      <c r="D3366" s="2">
        <v>110.875</v>
      </c>
      <c r="E3366" s="2">
        <v>114.798</v>
      </c>
      <c r="F3366" s="2">
        <v>557573810</v>
      </c>
      <c r="G3366" s="2" t="s">
        <v>571</v>
      </c>
      <c r="H3366" s="2" t="s">
        <v>572</v>
      </c>
      <c r="I3366" s="2" t="s">
        <v>17</v>
      </c>
      <c r="J3366" s="3">
        <v>0.81100000000000005</v>
      </c>
      <c r="K3366" s="2" t="s">
        <v>382</v>
      </c>
      <c r="L3366" s="2">
        <v>2024</v>
      </c>
      <c r="M3366" s="2" t="s">
        <v>110</v>
      </c>
      <c r="N3366" s="2" t="s">
        <v>21</v>
      </c>
      <c r="O3366">
        <f t="shared" si="104"/>
        <v>4.5900000000000034</v>
      </c>
      <c r="P3366">
        <f t="shared" si="105"/>
        <v>225.363</v>
      </c>
    </row>
    <row r="3367" spans="1:16" x14ac:dyDescent="0.35">
      <c r="A3367" s="9" t="s">
        <v>402</v>
      </c>
      <c r="B3367" s="2">
        <v>114.623</v>
      </c>
      <c r="C3367" s="2">
        <v>115.791</v>
      </c>
      <c r="D3367" s="2">
        <v>109.637</v>
      </c>
      <c r="E3367" s="2">
        <v>110.474</v>
      </c>
      <c r="F3367" s="2">
        <v>487465627</v>
      </c>
      <c r="G3367" s="2" t="s">
        <v>571</v>
      </c>
      <c r="H3367" s="2" t="s">
        <v>572</v>
      </c>
      <c r="I3367" s="2" t="s">
        <v>17</v>
      </c>
      <c r="J3367" s="4">
        <v>-3.7669999999999999</v>
      </c>
      <c r="K3367" s="2" t="s">
        <v>382</v>
      </c>
      <c r="L3367" s="2">
        <v>2024</v>
      </c>
      <c r="M3367" s="2" t="s">
        <v>110</v>
      </c>
      <c r="N3367" s="2" t="s">
        <v>23</v>
      </c>
      <c r="O3367">
        <f t="shared" si="104"/>
        <v>6.1539999999999964</v>
      </c>
      <c r="P3367">
        <f t="shared" si="105"/>
        <v>221.596</v>
      </c>
    </row>
    <row r="3368" spans="1:16" x14ac:dyDescent="0.35">
      <c r="A3368" s="9" t="s">
        <v>403</v>
      </c>
      <c r="B3368" s="2">
        <v>112.49299999999999</v>
      </c>
      <c r="C3368" s="2">
        <v>112.69</v>
      </c>
      <c r="D3368" s="2">
        <v>106.91500000000001</v>
      </c>
      <c r="E3368" s="2">
        <v>109.607</v>
      </c>
      <c r="F3368" s="2">
        <v>613407586</v>
      </c>
      <c r="G3368" s="2" t="s">
        <v>571</v>
      </c>
      <c r="H3368" s="2" t="s">
        <v>572</v>
      </c>
      <c r="I3368" s="2" t="s">
        <v>17</v>
      </c>
      <c r="J3368" s="4">
        <v>-0.78500000000000003</v>
      </c>
      <c r="K3368" s="2" t="s">
        <v>382</v>
      </c>
      <c r="L3368" s="2">
        <v>2024</v>
      </c>
      <c r="M3368" s="2" t="s">
        <v>110</v>
      </c>
      <c r="N3368" s="2" t="s">
        <v>23</v>
      </c>
      <c r="O3368">
        <f t="shared" si="104"/>
        <v>5.7749999999999915</v>
      </c>
      <c r="P3368">
        <f t="shared" si="105"/>
        <v>220.81100000000001</v>
      </c>
    </row>
    <row r="3369" spans="1:16" x14ac:dyDescent="0.35">
      <c r="A3369" s="9" t="s">
        <v>404</v>
      </c>
      <c r="B3369" s="2">
        <v>113.59399999999999</v>
      </c>
      <c r="C3369" s="2">
        <v>114.973</v>
      </c>
      <c r="D3369" s="2">
        <v>111.976</v>
      </c>
      <c r="E3369" s="2">
        <v>114.973</v>
      </c>
      <c r="F3369" s="2">
        <v>438495475</v>
      </c>
      <c r="G3369" s="2" t="s">
        <v>571</v>
      </c>
      <c r="H3369" s="2" t="s">
        <v>572</v>
      </c>
      <c r="I3369" s="2" t="s">
        <v>17</v>
      </c>
      <c r="J3369" s="3">
        <v>4.8959999999999999</v>
      </c>
      <c r="K3369" s="2" t="s">
        <v>405</v>
      </c>
      <c r="L3369" s="2">
        <v>2024</v>
      </c>
      <c r="M3369" s="2" t="s">
        <v>135</v>
      </c>
      <c r="N3369" s="2" t="s">
        <v>21</v>
      </c>
      <c r="O3369">
        <f t="shared" si="104"/>
        <v>2.9969999999999999</v>
      </c>
      <c r="P3369">
        <f t="shared" si="105"/>
        <v>225.70699999999999</v>
      </c>
    </row>
    <row r="3370" spans="1:16" x14ac:dyDescent="0.35">
      <c r="A3370" s="9" t="s">
        <v>406</v>
      </c>
      <c r="B3370" s="2">
        <v>115.688</v>
      </c>
      <c r="C3370" s="2">
        <v>116.572</v>
      </c>
      <c r="D3370" s="2">
        <v>114.018</v>
      </c>
      <c r="E3370" s="2">
        <v>116.40900000000001</v>
      </c>
      <c r="F3370" s="2">
        <v>403419428</v>
      </c>
      <c r="G3370" s="2" t="s">
        <v>571</v>
      </c>
      <c r="H3370" s="2" t="s">
        <v>572</v>
      </c>
      <c r="I3370" s="2" t="s">
        <v>17</v>
      </c>
      <c r="J3370" s="3">
        <v>1.2490000000000001</v>
      </c>
      <c r="K3370" s="2" t="s">
        <v>405</v>
      </c>
      <c r="L3370" s="2">
        <v>2024</v>
      </c>
      <c r="M3370" s="2" t="s">
        <v>135</v>
      </c>
      <c r="N3370" s="2" t="s">
        <v>21</v>
      </c>
      <c r="O3370">
        <f t="shared" si="104"/>
        <v>2.554000000000002</v>
      </c>
      <c r="P3370">
        <f t="shared" si="105"/>
        <v>226.95599999999999</v>
      </c>
    </row>
    <row r="3371" spans="1:16" x14ac:dyDescent="0.35">
      <c r="A3371" s="9" t="s">
        <v>407</v>
      </c>
      <c r="B3371" s="2">
        <v>118.343</v>
      </c>
      <c r="C3371" s="2">
        <v>122.42100000000001</v>
      </c>
      <c r="D3371" s="2">
        <v>117.44</v>
      </c>
      <c r="E3371" s="2">
        <v>122.41200000000001</v>
      </c>
      <c r="F3371" s="2">
        <v>528526789</v>
      </c>
      <c r="G3371" s="2" t="s">
        <v>571</v>
      </c>
      <c r="H3371" s="2" t="s">
        <v>572</v>
      </c>
      <c r="I3371" s="2" t="s">
        <v>17</v>
      </c>
      <c r="J3371" s="3">
        <v>5.157</v>
      </c>
      <c r="K3371" s="2" t="s">
        <v>405</v>
      </c>
      <c r="L3371" s="2">
        <v>2024</v>
      </c>
      <c r="M3371" s="2" t="s">
        <v>135</v>
      </c>
      <c r="N3371" s="2" t="s">
        <v>21</v>
      </c>
      <c r="O3371">
        <f t="shared" si="104"/>
        <v>4.9810000000000088</v>
      </c>
      <c r="P3371">
        <f t="shared" si="105"/>
        <v>232.113</v>
      </c>
    </row>
    <row r="3372" spans="1:16" x14ac:dyDescent="0.35">
      <c r="A3372" s="9" t="s">
        <v>408</v>
      </c>
      <c r="B3372" s="2">
        <v>124.018</v>
      </c>
      <c r="C3372" s="2">
        <v>125.557</v>
      </c>
      <c r="D3372" s="2">
        <v>118.292</v>
      </c>
      <c r="E3372" s="2">
        <v>120.97</v>
      </c>
      <c r="F3372" s="2">
        <v>664853444</v>
      </c>
      <c r="G3372" s="2" t="s">
        <v>571</v>
      </c>
      <c r="H3372" s="2" t="s">
        <v>572</v>
      </c>
      <c r="I3372" s="2" t="s">
        <v>17</v>
      </c>
      <c r="J3372" s="4">
        <v>-1.1779999999999999</v>
      </c>
      <c r="K3372" s="2" t="s">
        <v>405</v>
      </c>
      <c r="L3372" s="2">
        <v>2024</v>
      </c>
      <c r="M3372" s="2" t="s">
        <v>135</v>
      </c>
      <c r="N3372" s="2" t="s">
        <v>23</v>
      </c>
      <c r="O3372">
        <f t="shared" si="104"/>
        <v>7.2650000000000006</v>
      </c>
      <c r="P3372">
        <f t="shared" si="105"/>
        <v>230.935</v>
      </c>
    </row>
    <row r="3373" spans="1:16" x14ac:dyDescent="0.35">
      <c r="A3373" s="9" t="s">
        <v>409</v>
      </c>
      <c r="B3373" s="2">
        <v>119.742</v>
      </c>
      <c r="C3373" s="2">
        <v>121.664</v>
      </c>
      <c r="D3373" s="2">
        <v>117.994</v>
      </c>
      <c r="E3373" s="2">
        <v>120.86</v>
      </c>
      <c r="F3373" s="2">
        <v>412483362</v>
      </c>
      <c r="G3373" s="2" t="s">
        <v>571</v>
      </c>
      <c r="H3373" s="2" t="s">
        <v>572</v>
      </c>
      <c r="I3373" s="2" t="s">
        <v>17</v>
      </c>
      <c r="J3373" s="4">
        <v>-9.0999999999999998E-2</v>
      </c>
      <c r="K3373" s="2" t="s">
        <v>405</v>
      </c>
      <c r="L3373" s="2">
        <v>2024</v>
      </c>
      <c r="M3373" s="2" t="s">
        <v>135</v>
      </c>
      <c r="N3373" s="2" t="s">
        <v>23</v>
      </c>
      <c r="O3373">
        <f t="shared" si="104"/>
        <v>3.6700000000000017</v>
      </c>
      <c r="P3373">
        <f t="shared" si="105"/>
        <v>230.84399999999999</v>
      </c>
    </row>
    <row r="3374" spans="1:16" x14ac:dyDescent="0.35">
      <c r="A3374" s="9" t="s">
        <v>410</v>
      </c>
      <c r="B3374" s="2">
        <v>120.342</v>
      </c>
      <c r="C3374" s="2">
        <v>123.071</v>
      </c>
      <c r="D3374" s="2">
        <v>116.982</v>
      </c>
      <c r="E3374" s="2">
        <v>121.762</v>
      </c>
      <c r="F3374" s="2">
        <v>314236974</v>
      </c>
      <c r="G3374" s="2" t="s">
        <v>571</v>
      </c>
      <c r="H3374" s="2" t="s">
        <v>572</v>
      </c>
      <c r="I3374" s="2" t="s">
        <v>17</v>
      </c>
      <c r="J3374" s="3">
        <v>0.746</v>
      </c>
      <c r="K3374" s="2" t="s">
        <v>405</v>
      </c>
      <c r="L3374" s="2">
        <v>2024</v>
      </c>
      <c r="M3374" s="2" t="s">
        <v>135</v>
      </c>
      <c r="N3374" s="2" t="s">
        <v>21</v>
      </c>
      <c r="O3374">
        <f t="shared" si="104"/>
        <v>6.0889999999999986</v>
      </c>
      <c r="P3374">
        <f t="shared" si="105"/>
        <v>231.59</v>
      </c>
    </row>
    <row r="3375" spans="1:16" x14ac:dyDescent="0.35">
      <c r="A3375" s="9" t="s">
        <v>411</v>
      </c>
      <c r="B3375" s="2">
        <v>121.752</v>
      </c>
      <c r="C3375" s="2">
        <v>122.851</v>
      </c>
      <c r="D3375" s="2">
        <v>118.72199999999999</v>
      </c>
      <c r="E3375" s="2">
        <v>120.892</v>
      </c>
      <c r="F3375" s="2">
        <v>222585531</v>
      </c>
      <c r="G3375" s="2" t="s">
        <v>571</v>
      </c>
      <c r="H3375" s="2" t="s">
        <v>572</v>
      </c>
      <c r="I3375" s="2" t="s">
        <v>17</v>
      </c>
      <c r="J3375" s="4">
        <v>-0.71499999999999997</v>
      </c>
      <c r="K3375" s="2" t="s">
        <v>405</v>
      </c>
      <c r="L3375" s="2">
        <v>2024</v>
      </c>
      <c r="M3375" s="2" t="s">
        <v>135</v>
      </c>
      <c r="N3375" s="2" t="s">
        <v>23</v>
      </c>
      <c r="O3375">
        <f t="shared" si="104"/>
        <v>4.1290000000000049</v>
      </c>
      <c r="P3375">
        <f t="shared" si="105"/>
        <v>230.875</v>
      </c>
    </row>
    <row r="3376" spans="1:16" x14ac:dyDescent="0.35">
      <c r="A3376" s="9" t="s">
        <v>412</v>
      </c>
      <c r="B3376" s="2">
        <v>123.041</v>
      </c>
      <c r="C3376" s="2">
        <v>126.86</v>
      </c>
      <c r="D3376" s="2">
        <v>122.55200000000001</v>
      </c>
      <c r="E3376" s="2">
        <v>125.18</v>
      </c>
      <c r="F3376" s="2">
        <v>299641274</v>
      </c>
      <c r="G3376" s="2" t="s">
        <v>571</v>
      </c>
      <c r="H3376" s="2" t="s">
        <v>572</v>
      </c>
      <c r="I3376" s="2" t="s">
        <v>17</v>
      </c>
      <c r="J3376" s="3">
        <v>3.5470000000000002</v>
      </c>
      <c r="K3376" s="2" t="s">
        <v>405</v>
      </c>
      <c r="L3376" s="2">
        <v>2024</v>
      </c>
      <c r="M3376" s="2" t="s">
        <v>135</v>
      </c>
      <c r="N3376" s="2" t="s">
        <v>21</v>
      </c>
      <c r="O3376">
        <f t="shared" si="104"/>
        <v>4.3079999999999927</v>
      </c>
      <c r="P3376">
        <f t="shared" si="105"/>
        <v>234.422</v>
      </c>
    </row>
    <row r="3377" spans="1:16" x14ac:dyDescent="0.35">
      <c r="A3377" s="9" t="s">
        <v>413</v>
      </c>
      <c r="B3377" s="2">
        <v>129.37</v>
      </c>
      <c r="C3377" s="2">
        <v>129.78</v>
      </c>
      <c r="D3377" s="2">
        <v>127.14</v>
      </c>
      <c r="E3377" s="2">
        <v>129.59</v>
      </c>
      <c r="F3377" s="2">
        <v>260744803</v>
      </c>
      <c r="G3377" s="2" t="s">
        <v>571</v>
      </c>
      <c r="H3377" s="2" t="s">
        <v>572</v>
      </c>
      <c r="I3377" s="2" t="s">
        <v>17</v>
      </c>
      <c r="J3377" s="3">
        <v>3.5230000000000001</v>
      </c>
      <c r="K3377" s="2" t="s">
        <v>405</v>
      </c>
      <c r="L3377" s="2">
        <v>2024</v>
      </c>
      <c r="M3377" s="2" t="s">
        <v>135</v>
      </c>
      <c r="N3377" s="2" t="s">
        <v>21</v>
      </c>
      <c r="O3377">
        <f t="shared" si="104"/>
        <v>2.6400000000000006</v>
      </c>
      <c r="P3377">
        <f t="shared" si="105"/>
        <v>237.94499999999999</v>
      </c>
    </row>
    <row r="3378" spans="1:16" x14ac:dyDescent="0.35">
      <c r="A3378" s="9" t="s">
        <v>414</v>
      </c>
      <c r="B3378" s="2">
        <v>129.94</v>
      </c>
      <c r="C3378" s="2">
        <v>132.82</v>
      </c>
      <c r="D3378" s="2">
        <v>128.30000000000001</v>
      </c>
      <c r="E3378" s="2">
        <v>131.86000000000001</v>
      </c>
      <c r="F3378" s="2">
        <v>309368151</v>
      </c>
      <c r="G3378" s="2" t="s">
        <v>571</v>
      </c>
      <c r="H3378" s="2" t="s">
        <v>572</v>
      </c>
      <c r="I3378" s="2" t="s">
        <v>17</v>
      </c>
      <c r="J3378" s="3">
        <v>1.752</v>
      </c>
      <c r="K3378" s="2" t="s">
        <v>405</v>
      </c>
      <c r="L3378" s="2">
        <v>2024</v>
      </c>
      <c r="M3378" s="2" t="s">
        <v>135</v>
      </c>
      <c r="N3378" s="2" t="s">
        <v>21</v>
      </c>
      <c r="O3378">
        <f t="shared" si="104"/>
        <v>4.5199999999999818</v>
      </c>
      <c r="P3378">
        <f t="shared" si="105"/>
        <v>239.697</v>
      </c>
    </row>
    <row r="3379" spans="1:16" x14ac:dyDescent="0.35">
      <c r="A3379" s="9" t="s">
        <v>415</v>
      </c>
      <c r="B3379" s="2">
        <v>132.97</v>
      </c>
      <c r="C3379" s="2">
        <v>133.71</v>
      </c>
      <c r="D3379" s="2">
        <v>129.56</v>
      </c>
      <c r="E3379" s="2">
        <v>130.96</v>
      </c>
      <c r="F3379" s="2">
        <v>288549004</v>
      </c>
      <c r="G3379" s="2" t="s">
        <v>571</v>
      </c>
      <c r="H3379" s="2" t="s">
        <v>572</v>
      </c>
      <c r="I3379" s="2" t="s">
        <v>17</v>
      </c>
      <c r="J3379" s="4">
        <v>-0.68300000000000005</v>
      </c>
      <c r="K3379" s="2" t="s">
        <v>405</v>
      </c>
      <c r="L3379" s="2">
        <v>2024</v>
      </c>
      <c r="M3379" s="2" t="s">
        <v>135</v>
      </c>
      <c r="N3379" s="2" t="s">
        <v>23</v>
      </c>
      <c r="O3379">
        <f t="shared" si="104"/>
        <v>4.1500000000000057</v>
      </c>
      <c r="P3379">
        <f t="shared" si="105"/>
        <v>239.01400000000001</v>
      </c>
    </row>
    <row r="3380" spans="1:16" x14ac:dyDescent="0.35">
      <c r="A3380" s="9" t="s">
        <v>416</v>
      </c>
      <c r="B3380" s="2">
        <v>131.12</v>
      </c>
      <c r="C3380" s="2">
        <v>136.309</v>
      </c>
      <c r="D3380" s="2">
        <v>130.66999999999999</v>
      </c>
      <c r="E3380" s="2">
        <v>135.559</v>
      </c>
      <c r="F3380" s="2">
        <v>294380514</v>
      </c>
      <c r="G3380" s="2" t="s">
        <v>571</v>
      </c>
      <c r="H3380" s="2" t="s">
        <v>572</v>
      </c>
      <c r="I3380" s="2" t="s">
        <v>17</v>
      </c>
      <c r="J3380" s="3">
        <v>3.512</v>
      </c>
      <c r="K3380" s="2" t="s">
        <v>405</v>
      </c>
      <c r="L3380" s="2">
        <v>2024</v>
      </c>
      <c r="M3380" s="2" t="s">
        <v>135</v>
      </c>
      <c r="N3380" s="2" t="s">
        <v>21</v>
      </c>
      <c r="O3380">
        <f t="shared" si="104"/>
        <v>5.63900000000001</v>
      </c>
      <c r="P3380">
        <f t="shared" si="105"/>
        <v>242.52600000000001</v>
      </c>
    </row>
    <row r="3381" spans="1:16" x14ac:dyDescent="0.35">
      <c r="A3381" s="9" t="s">
        <v>417</v>
      </c>
      <c r="B3381" s="2">
        <v>139.77799999999999</v>
      </c>
      <c r="C3381" s="2">
        <v>140.738</v>
      </c>
      <c r="D3381" s="2">
        <v>129.5</v>
      </c>
      <c r="E3381" s="2">
        <v>130.76</v>
      </c>
      <c r="F3381" s="2">
        <v>517848395</v>
      </c>
      <c r="G3381" s="2" t="s">
        <v>571</v>
      </c>
      <c r="H3381" s="2" t="s">
        <v>572</v>
      </c>
      <c r="I3381" s="2" t="s">
        <v>17</v>
      </c>
      <c r="J3381" s="4">
        <v>-3.54</v>
      </c>
      <c r="K3381" s="2" t="s">
        <v>405</v>
      </c>
      <c r="L3381" s="2">
        <v>2024</v>
      </c>
      <c r="M3381" s="2" t="s">
        <v>135</v>
      </c>
      <c r="N3381" s="2" t="s">
        <v>23</v>
      </c>
      <c r="O3381">
        <f t="shared" si="104"/>
        <v>11.238</v>
      </c>
      <c r="P3381">
        <f t="shared" si="105"/>
        <v>238.98600000000002</v>
      </c>
    </row>
    <row r="3382" spans="1:16" x14ac:dyDescent="0.35">
      <c r="A3382" s="9" t="s">
        <v>418</v>
      </c>
      <c r="B3382" s="2">
        <v>127.1</v>
      </c>
      <c r="C3382" s="2">
        <v>130.61000000000001</v>
      </c>
      <c r="D3382" s="2">
        <v>124.28</v>
      </c>
      <c r="E3382" s="2">
        <v>126.55</v>
      </c>
      <c r="F3382" s="2">
        <v>655585905</v>
      </c>
      <c r="G3382" s="2" t="s">
        <v>571</v>
      </c>
      <c r="H3382" s="2" t="s">
        <v>572</v>
      </c>
      <c r="I3382" s="2" t="s">
        <v>17</v>
      </c>
      <c r="J3382" s="4">
        <v>-3.22</v>
      </c>
      <c r="K3382" s="2" t="s">
        <v>405</v>
      </c>
      <c r="L3382" s="2">
        <v>2024</v>
      </c>
      <c r="M3382" s="2" t="s">
        <v>135</v>
      </c>
      <c r="N3382" s="2" t="s">
        <v>23</v>
      </c>
      <c r="O3382">
        <f t="shared" si="104"/>
        <v>6.3300000000000125</v>
      </c>
      <c r="P3382">
        <f t="shared" si="105"/>
        <v>235.76600000000002</v>
      </c>
    </row>
    <row r="3383" spans="1:16" x14ac:dyDescent="0.35">
      <c r="A3383" s="9" t="s">
        <v>419</v>
      </c>
      <c r="B3383" s="2">
        <v>123.221</v>
      </c>
      <c r="C3383" s="2">
        <v>124.44</v>
      </c>
      <c r="D3383" s="2">
        <v>118.02200000000001</v>
      </c>
      <c r="E3383" s="2">
        <v>118.092</v>
      </c>
      <c r="F3383" s="2">
        <v>476134394</v>
      </c>
      <c r="G3383" s="2" t="s">
        <v>571</v>
      </c>
      <c r="H3383" s="2" t="s">
        <v>572</v>
      </c>
      <c r="I3383" s="2" t="s">
        <v>17</v>
      </c>
      <c r="J3383" s="4">
        <v>-6.6840000000000002</v>
      </c>
      <c r="K3383" s="2" t="s">
        <v>405</v>
      </c>
      <c r="L3383" s="2">
        <v>2024</v>
      </c>
      <c r="M3383" s="2" t="s">
        <v>135</v>
      </c>
      <c r="N3383" s="2" t="s">
        <v>23</v>
      </c>
      <c r="O3383">
        <f t="shared" si="104"/>
        <v>6.4179999999999922</v>
      </c>
      <c r="P3383">
        <f t="shared" si="105"/>
        <v>229.08200000000002</v>
      </c>
    </row>
    <row r="3384" spans="1:16" x14ac:dyDescent="0.35">
      <c r="A3384" s="9" t="s">
        <v>420</v>
      </c>
      <c r="B3384" s="2">
        <v>121.182</v>
      </c>
      <c r="C3384" s="2">
        <v>126.48</v>
      </c>
      <c r="D3384" s="2">
        <v>119.30200000000001</v>
      </c>
      <c r="E3384" s="2">
        <v>126.07</v>
      </c>
      <c r="F3384" s="2">
        <v>425853220</v>
      </c>
      <c r="G3384" s="2" t="s">
        <v>571</v>
      </c>
      <c r="H3384" s="2" t="s">
        <v>572</v>
      </c>
      <c r="I3384" s="2" t="s">
        <v>17</v>
      </c>
      <c r="J3384" s="3">
        <v>6.7560000000000002</v>
      </c>
      <c r="K3384" s="2" t="s">
        <v>405</v>
      </c>
      <c r="L3384" s="2">
        <v>2024</v>
      </c>
      <c r="M3384" s="2" t="s">
        <v>135</v>
      </c>
      <c r="N3384" s="2" t="s">
        <v>21</v>
      </c>
      <c r="O3384">
        <f t="shared" si="104"/>
        <v>7.1779999999999973</v>
      </c>
      <c r="P3384">
        <f t="shared" si="105"/>
        <v>235.83800000000002</v>
      </c>
    </row>
    <row r="3385" spans="1:16" x14ac:dyDescent="0.35">
      <c r="A3385" s="9" t="s">
        <v>421</v>
      </c>
      <c r="B3385" s="2">
        <v>126.11</v>
      </c>
      <c r="C3385" s="2">
        <v>128.1</v>
      </c>
      <c r="D3385" s="2">
        <v>122.58199999999999</v>
      </c>
      <c r="E3385" s="2">
        <v>126.38</v>
      </c>
      <c r="F3385" s="2">
        <v>363031980</v>
      </c>
      <c r="G3385" s="2" t="s">
        <v>571</v>
      </c>
      <c r="H3385" s="2" t="s">
        <v>572</v>
      </c>
      <c r="I3385" s="2" t="s">
        <v>17</v>
      </c>
      <c r="J3385" s="3">
        <v>0.246</v>
      </c>
      <c r="K3385" s="2" t="s">
        <v>405</v>
      </c>
      <c r="L3385" s="2">
        <v>2024</v>
      </c>
      <c r="M3385" s="2" t="s">
        <v>135</v>
      </c>
      <c r="N3385" s="2" t="s">
        <v>21</v>
      </c>
      <c r="O3385">
        <f t="shared" si="104"/>
        <v>5.5180000000000007</v>
      </c>
      <c r="P3385">
        <f t="shared" si="105"/>
        <v>236.08400000000003</v>
      </c>
    </row>
    <row r="3386" spans="1:16" x14ac:dyDescent="0.35">
      <c r="A3386" s="9" t="s">
        <v>422</v>
      </c>
      <c r="B3386" s="2">
        <v>124.08</v>
      </c>
      <c r="C3386" s="2">
        <v>126.39</v>
      </c>
      <c r="D3386" s="2">
        <v>122.901</v>
      </c>
      <c r="E3386" s="2">
        <v>123.97</v>
      </c>
      <c r="F3386" s="2">
        <v>252610703</v>
      </c>
      <c r="G3386" s="2" t="s">
        <v>571</v>
      </c>
      <c r="H3386" s="2" t="s">
        <v>572</v>
      </c>
      <c r="I3386" s="2" t="s">
        <v>17</v>
      </c>
      <c r="J3386" s="4">
        <v>-1.907</v>
      </c>
      <c r="K3386" s="2" t="s">
        <v>405</v>
      </c>
      <c r="L3386" s="2">
        <v>2024</v>
      </c>
      <c r="M3386" s="2" t="s">
        <v>135</v>
      </c>
      <c r="N3386" s="2" t="s">
        <v>23</v>
      </c>
      <c r="O3386">
        <f t="shared" si="104"/>
        <v>3.4890000000000043</v>
      </c>
      <c r="P3386">
        <f t="shared" si="105"/>
        <v>234.17700000000002</v>
      </c>
    </row>
    <row r="3387" spans="1:16" x14ac:dyDescent="0.35">
      <c r="A3387" s="9" t="s">
        <v>423</v>
      </c>
      <c r="B3387" s="2">
        <v>124.56</v>
      </c>
      <c r="C3387" s="2">
        <v>127.69</v>
      </c>
      <c r="D3387" s="2">
        <v>122.732</v>
      </c>
      <c r="E3387" s="2">
        <v>123.52</v>
      </c>
      <c r="F3387" s="2">
        <v>315565472</v>
      </c>
      <c r="G3387" s="2" t="s">
        <v>571</v>
      </c>
      <c r="H3387" s="2" t="s">
        <v>572</v>
      </c>
      <c r="I3387" s="2" t="s">
        <v>17</v>
      </c>
      <c r="J3387" s="4">
        <v>-0.36299999999999999</v>
      </c>
      <c r="K3387" s="2" t="s">
        <v>405</v>
      </c>
      <c r="L3387" s="2">
        <v>2024</v>
      </c>
      <c r="M3387" s="2" t="s">
        <v>135</v>
      </c>
      <c r="N3387" s="2" t="s">
        <v>23</v>
      </c>
      <c r="O3387">
        <f t="shared" si="104"/>
        <v>4.9579999999999984</v>
      </c>
      <c r="P3387">
        <f t="shared" si="105"/>
        <v>233.81400000000002</v>
      </c>
    </row>
    <row r="3388" spans="1:16" x14ac:dyDescent="0.35">
      <c r="A3388" s="9" t="s">
        <v>424</v>
      </c>
      <c r="B3388" s="2">
        <v>123.45</v>
      </c>
      <c r="C3388" s="2">
        <v>124.82</v>
      </c>
      <c r="D3388" s="2">
        <v>118.812</v>
      </c>
      <c r="E3388" s="2">
        <v>124.28</v>
      </c>
      <c r="F3388" s="2">
        <v>284929535</v>
      </c>
      <c r="G3388" s="2" t="s">
        <v>571</v>
      </c>
      <c r="H3388" s="2" t="s">
        <v>572</v>
      </c>
      <c r="I3388" s="2" t="s">
        <v>17</v>
      </c>
      <c r="J3388" s="3">
        <v>0.61499999999999999</v>
      </c>
      <c r="K3388" s="2" t="s">
        <v>425</v>
      </c>
      <c r="L3388" s="2">
        <v>2024</v>
      </c>
      <c r="M3388" s="2" t="s">
        <v>158</v>
      </c>
      <c r="N3388" s="2" t="s">
        <v>21</v>
      </c>
      <c r="O3388">
        <f t="shared" si="104"/>
        <v>6.0079999999999956</v>
      </c>
      <c r="P3388">
        <f t="shared" si="105"/>
        <v>234.42900000000003</v>
      </c>
    </row>
    <row r="3389" spans="1:16" x14ac:dyDescent="0.35">
      <c r="A3389" s="9" t="s">
        <v>426</v>
      </c>
      <c r="B3389" s="2">
        <v>121.11199999999999</v>
      </c>
      <c r="C3389" s="2">
        <v>123.39</v>
      </c>
      <c r="D3389" s="2">
        <v>121.012</v>
      </c>
      <c r="E3389" s="2">
        <v>122.652</v>
      </c>
      <c r="F3389" s="2">
        <v>218407697</v>
      </c>
      <c r="G3389" s="2" t="s">
        <v>571</v>
      </c>
      <c r="H3389" s="2" t="s">
        <v>572</v>
      </c>
      <c r="I3389" s="2" t="s">
        <v>17</v>
      </c>
      <c r="J3389" s="4">
        <v>-1.31</v>
      </c>
      <c r="K3389" s="2" t="s">
        <v>425</v>
      </c>
      <c r="L3389" s="2">
        <v>2024</v>
      </c>
      <c r="M3389" s="2" t="s">
        <v>158</v>
      </c>
      <c r="N3389" s="2" t="s">
        <v>23</v>
      </c>
      <c r="O3389">
        <f t="shared" si="104"/>
        <v>2.3780000000000001</v>
      </c>
      <c r="P3389">
        <f t="shared" si="105"/>
        <v>233.11900000000003</v>
      </c>
    </row>
    <row r="3390" spans="1:16" x14ac:dyDescent="0.35">
      <c r="A3390" s="9" t="s">
        <v>427</v>
      </c>
      <c r="B3390" s="2">
        <v>121.642</v>
      </c>
      <c r="C3390" s="2">
        <v>128.26</v>
      </c>
      <c r="D3390" s="2">
        <v>121.342</v>
      </c>
      <c r="E3390" s="2">
        <v>128.26</v>
      </c>
      <c r="F3390" s="2">
        <v>215782278</v>
      </c>
      <c r="G3390" s="2" t="s">
        <v>571</v>
      </c>
      <c r="H3390" s="2" t="s">
        <v>572</v>
      </c>
      <c r="I3390" s="2" t="s">
        <v>17</v>
      </c>
      <c r="J3390" s="3">
        <v>4.5720000000000001</v>
      </c>
      <c r="K3390" s="2" t="s">
        <v>425</v>
      </c>
      <c r="L3390" s="2">
        <v>2024</v>
      </c>
      <c r="M3390" s="2" t="s">
        <v>158</v>
      </c>
      <c r="N3390" s="2" t="s">
        <v>21</v>
      </c>
      <c r="O3390">
        <f t="shared" si="104"/>
        <v>6.9179999999999922</v>
      </c>
      <c r="P3390">
        <f t="shared" si="105"/>
        <v>237.69100000000003</v>
      </c>
    </row>
    <row r="3391" spans="1:16" x14ac:dyDescent="0.35">
      <c r="A3391" s="9" t="s">
        <v>428</v>
      </c>
      <c r="B3391" s="2">
        <v>127.36</v>
      </c>
      <c r="C3391" s="2">
        <v>128.83000000000001</v>
      </c>
      <c r="D3391" s="2">
        <v>125.66</v>
      </c>
      <c r="E3391" s="2">
        <v>125.81</v>
      </c>
      <c r="F3391" s="2">
        <v>214209769</v>
      </c>
      <c r="G3391" s="2" t="s">
        <v>571</v>
      </c>
      <c r="H3391" s="2" t="s">
        <v>572</v>
      </c>
      <c r="I3391" s="2" t="s">
        <v>17</v>
      </c>
      <c r="J3391" s="4">
        <v>-1.91</v>
      </c>
      <c r="K3391" s="2" t="s">
        <v>425</v>
      </c>
      <c r="L3391" s="2">
        <v>2024</v>
      </c>
      <c r="M3391" s="2" t="s">
        <v>158</v>
      </c>
      <c r="N3391" s="2" t="s">
        <v>23</v>
      </c>
      <c r="O3391">
        <f t="shared" si="104"/>
        <v>3.1700000000000159</v>
      </c>
      <c r="P3391">
        <f t="shared" si="105"/>
        <v>235.78100000000003</v>
      </c>
    </row>
    <row r="3392" spans="1:16" x14ac:dyDescent="0.35">
      <c r="A3392" s="9" t="s">
        <v>429</v>
      </c>
      <c r="B3392" s="2">
        <v>127.47</v>
      </c>
      <c r="C3392" s="2">
        <v>130.75</v>
      </c>
      <c r="D3392" s="2">
        <v>127.02</v>
      </c>
      <c r="E3392" s="2">
        <v>128.18</v>
      </c>
      <c r="F3392" s="2">
        <v>237714031</v>
      </c>
      <c r="G3392" s="2" t="s">
        <v>571</v>
      </c>
      <c r="H3392" s="2" t="s">
        <v>572</v>
      </c>
      <c r="I3392" s="2" t="s">
        <v>17</v>
      </c>
      <c r="J3392" s="3">
        <v>1.8839999999999999</v>
      </c>
      <c r="K3392" s="2" t="s">
        <v>425</v>
      </c>
      <c r="L3392" s="2">
        <v>2024</v>
      </c>
      <c r="M3392" s="2" t="s">
        <v>158</v>
      </c>
      <c r="N3392" s="2" t="s">
        <v>21</v>
      </c>
      <c r="O3392">
        <f t="shared" si="104"/>
        <v>3.730000000000004</v>
      </c>
      <c r="P3392">
        <f t="shared" si="105"/>
        <v>237.66500000000002</v>
      </c>
    </row>
    <row r="3393" spans="1:16" x14ac:dyDescent="0.35">
      <c r="A3393" s="9" t="s">
        <v>430</v>
      </c>
      <c r="B3393" s="2">
        <v>130.33000000000001</v>
      </c>
      <c r="C3393" s="2">
        <v>133.80000000000001</v>
      </c>
      <c r="D3393" s="2">
        <v>128.63</v>
      </c>
      <c r="E3393" s="2">
        <v>131.36000000000001</v>
      </c>
      <c r="F3393" s="2">
        <v>287065151</v>
      </c>
      <c r="G3393" s="2" t="s">
        <v>571</v>
      </c>
      <c r="H3393" s="2" t="s">
        <v>572</v>
      </c>
      <c r="I3393" s="2" t="s">
        <v>17</v>
      </c>
      <c r="J3393" s="3">
        <v>2.4809999999999999</v>
      </c>
      <c r="K3393" s="2" t="s">
        <v>425</v>
      </c>
      <c r="L3393" s="2">
        <v>2024</v>
      </c>
      <c r="M3393" s="2" t="s">
        <v>158</v>
      </c>
      <c r="N3393" s="2" t="s">
        <v>21</v>
      </c>
      <c r="O3393">
        <f t="shared" si="104"/>
        <v>5.1700000000000159</v>
      </c>
      <c r="P3393">
        <f t="shared" si="105"/>
        <v>240.14600000000002</v>
      </c>
    </row>
    <row r="3394" spans="1:16" x14ac:dyDescent="0.35">
      <c r="A3394" s="9" t="s">
        <v>431</v>
      </c>
      <c r="B3394" s="2">
        <v>134.01</v>
      </c>
      <c r="C3394" s="2">
        <v>135.07900000000001</v>
      </c>
      <c r="D3394" s="2">
        <v>132.4</v>
      </c>
      <c r="E3394" s="2">
        <v>134.88900000000001</v>
      </c>
      <c r="F3394" s="2">
        <v>249017024</v>
      </c>
      <c r="G3394" s="2" t="s">
        <v>571</v>
      </c>
      <c r="H3394" s="2" t="s">
        <v>572</v>
      </c>
      <c r="I3394" s="2" t="s">
        <v>17</v>
      </c>
      <c r="J3394" s="3">
        <v>2.6869999999999998</v>
      </c>
      <c r="K3394" s="2" t="s">
        <v>425</v>
      </c>
      <c r="L3394" s="2">
        <v>2024</v>
      </c>
      <c r="M3394" s="2" t="s">
        <v>158</v>
      </c>
      <c r="N3394" s="2" t="s">
        <v>21</v>
      </c>
      <c r="O3394">
        <f t="shared" si="104"/>
        <v>2.679000000000002</v>
      </c>
      <c r="P3394">
        <f t="shared" si="105"/>
        <v>242.83300000000003</v>
      </c>
    </row>
    <row r="3395" spans="1:16" x14ac:dyDescent="0.35">
      <c r="A3395" s="9" t="s">
        <v>432</v>
      </c>
      <c r="B3395" s="2">
        <v>135.72900000000001</v>
      </c>
      <c r="C3395" s="2">
        <v>136.12899999999999</v>
      </c>
      <c r="D3395" s="2">
        <v>127.03</v>
      </c>
      <c r="E3395" s="2">
        <v>127.38</v>
      </c>
      <c r="F3395" s="2">
        <v>374840624</v>
      </c>
      <c r="G3395" s="2" t="s">
        <v>571</v>
      </c>
      <c r="H3395" s="2" t="s">
        <v>572</v>
      </c>
      <c r="I3395" s="2" t="s">
        <v>17</v>
      </c>
      <c r="J3395" s="4">
        <v>-5.5670000000000002</v>
      </c>
      <c r="K3395" s="2" t="s">
        <v>425</v>
      </c>
      <c r="L3395" s="2">
        <v>2024</v>
      </c>
      <c r="M3395" s="2" t="s">
        <v>158</v>
      </c>
      <c r="N3395" s="2" t="s">
        <v>23</v>
      </c>
      <c r="O3395">
        <f t="shared" ref="O3395:O3458" si="106">C3395-D3395</f>
        <v>9.0989999999999895</v>
      </c>
      <c r="P3395">
        <f t="shared" si="105"/>
        <v>237.26600000000002</v>
      </c>
    </row>
    <row r="3396" spans="1:16" x14ac:dyDescent="0.35">
      <c r="A3396" s="9" t="s">
        <v>433</v>
      </c>
      <c r="B3396" s="2">
        <v>128.24</v>
      </c>
      <c r="C3396" s="2">
        <v>131.9</v>
      </c>
      <c r="D3396" s="2">
        <v>127.2</v>
      </c>
      <c r="E3396" s="2">
        <v>129.22</v>
      </c>
      <c r="F3396" s="2">
        <v>252719562</v>
      </c>
      <c r="G3396" s="2" t="s">
        <v>571</v>
      </c>
      <c r="H3396" s="2" t="s">
        <v>572</v>
      </c>
      <c r="I3396" s="2" t="s">
        <v>17</v>
      </c>
      <c r="J3396" s="3">
        <v>1.444</v>
      </c>
      <c r="K3396" s="2" t="s">
        <v>425</v>
      </c>
      <c r="L3396" s="2">
        <v>2024</v>
      </c>
      <c r="M3396" s="2" t="s">
        <v>158</v>
      </c>
      <c r="N3396" s="2" t="s">
        <v>21</v>
      </c>
      <c r="O3396">
        <f t="shared" si="106"/>
        <v>4.7000000000000028</v>
      </c>
      <c r="P3396">
        <f t="shared" ref="P3396:P3459" si="107">IF(G3396=G3395, P3395+J3396, J3396)</f>
        <v>238.71</v>
      </c>
    </row>
    <row r="3397" spans="1:16" x14ac:dyDescent="0.35">
      <c r="A3397" s="9" t="s">
        <v>434</v>
      </c>
      <c r="B3397" s="2">
        <v>130.54</v>
      </c>
      <c r="C3397" s="2">
        <v>131.37</v>
      </c>
      <c r="D3397" s="2">
        <v>127.16</v>
      </c>
      <c r="E3397" s="2">
        <v>128.41999999999999</v>
      </c>
      <c r="F3397" s="2">
        <v>208358340</v>
      </c>
      <c r="G3397" s="2" t="s">
        <v>571</v>
      </c>
      <c r="H3397" s="2" t="s">
        <v>572</v>
      </c>
      <c r="I3397" s="2" t="s">
        <v>17</v>
      </c>
      <c r="J3397" s="4">
        <v>-0.61899999999999999</v>
      </c>
      <c r="K3397" s="2" t="s">
        <v>425</v>
      </c>
      <c r="L3397" s="2">
        <v>2024</v>
      </c>
      <c r="M3397" s="2" t="s">
        <v>158</v>
      </c>
      <c r="N3397" s="2" t="s">
        <v>23</v>
      </c>
      <c r="O3397">
        <f t="shared" si="106"/>
        <v>4.210000000000008</v>
      </c>
      <c r="P3397">
        <f t="shared" si="107"/>
        <v>238.09100000000001</v>
      </c>
    </row>
    <row r="3398" spans="1:16" x14ac:dyDescent="0.35">
      <c r="A3398" s="9" t="s">
        <v>435</v>
      </c>
      <c r="B3398" s="2">
        <v>128.41999999999999</v>
      </c>
      <c r="C3398" s="2">
        <v>129.02000000000001</v>
      </c>
      <c r="D3398" s="2">
        <v>124.56</v>
      </c>
      <c r="E3398" s="2">
        <v>126.34</v>
      </c>
      <c r="F3398" s="2">
        <v>214802686</v>
      </c>
      <c r="G3398" s="2" t="s">
        <v>571</v>
      </c>
      <c r="H3398" s="2" t="s">
        <v>572</v>
      </c>
      <c r="I3398" s="2" t="s">
        <v>17</v>
      </c>
      <c r="J3398" s="4">
        <v>-1.62</v>
      </c>
      <c r="K3398" s="2" t="s">
        <v>425</v>
      </c>
      <c r="L3398" s="2">
        <v>2024</v>
      </c>
      <c r="M3398" s="2" t="s">
        <v>158</v>
      </c>
      <c r="N3398" s="2" t="s">
        <v>23</v>
      </c>
      <c r="O3398">
        <f t="shared" si="106"/>
        <v>4.460000000000008</v>
      </c>
      <c r="P3398">
        <f t="shared" si="107"/>
        <v>236.471</v>
      </c>
    </row>
    <row r="3399" spans="1:16" x14ac:dyDescent="0.35">
      <c r="A3399" s="9" t="s">
        <v>436</v>
      </c>
      <c r="B3399" s="2">
        <v>121.33199999999999</v>
      </c>
      <c r="C3399" s="2">
        <v>121.83199999999999</v>
      </c>
      <c r="D3399" s="2">
        <v>116.702</v>
      </c>
      <c r="E3399" s="2">
        <v>117.97199999999999</v>
      </c>
      <c r="F3399" s="2">
        <v>390146438</v>
      </c>
      <c r="G3399" s="2" t="s">
        <v>571</v>
      </c>
      <c r="H3399" s="2" t="s">
        <v>572</v>
      </c>
      <c r="I3399" s="2" t="s">
        <v>17</v>
      </c>
      <c r="J3399" s="4">
        <v>-6.6230000000000002</v>
      </c>
      <c r="K3399" s="2" t="s">
        <v>425</v>
      </c>
      <c r="L3399" s="2">
        <v>2024</v>
      </c>
      <c r="M3399" s="2" t="s">
        <v>158</v>
      </c>
      <c r="N3399" s="2" t="s">
        <v>23</v>
      </c>
      <c r="O3399">
        <f t="shared" si="106"/>
        <v>5.1299999999999955</v>
      </c>
      <c r="P3399">
        <f t="shared" si="107"/>
        <v>229.84800000000001</v>
      </c>
    </row>
    <row r="3400" spans="1:16" x14ac:dyDescent="0.35">
      <c r="A3400" s="9" t="s">
        <v>437</v>
      </c>
      <c r="B3400" s="2">
        <v>121.83199999999999</v>
      </c>
      <c r="C3400" s="2">
        <v>122.38200000000001</v>
      </c>
      <c r="D3400" s="2">
        <v>116.542</v>
      </c>
      <c r="E3400" s="2">
        <v>121.072</v>
      </c>
      <c r="F3400" s="2">
        <v>321029106</v>
      </c>
      <c r="G3400" s="2" t="s">
        <v>571</v>
      </c>
      <c r="H3400" s="2" t="s">
        <v>572</v>
      </c>
      <c r="I3400" s="2" t="s">
        <v>17</v>
      </c>
      <c r="J3400" s="3">
        <v>2.6280000000000001</v>
      </c>
      <c r="K3400" s="2" t="s">
        <v>425</v>
      </c>
      <c r="L3400" s="2">
        <v>2024</v>
      </c>
      <c r="M3400" s="2" t="s">
        <v>158</v>
      </c>
      <c r="N3400" s="2" t="s">
        <v>21</v>
      </c>
      <c r="O3400">
        <f t="shared" si="106"/>
        <v>5.8400000000000034</v>
      </c>
      <c r="P3400">
        <f t="shared" si="107"/>
        <v>232.476</v>
      </c>
    </row>
    <row r="3401" spans="1:16" x14ac:dyDescent="0.35">
      <c r="A3401" s="9" t="s">
        <v>438</v>
      </c>
      <c r="B3401" s="2">
        <v>120.33199999999999</v>
      </c>
      <c r="C3401" s="2">
        <v>121.58199999999999</v>
      </c>
      <c r="D3401" s="2">
        <v>117.352</v>
      </c>
      <c r="E3401" s="2">
        <v>117.91200000000001</v>
      </c>
      <c r="F3401" s="2">
        <v>217257350</v>
      </c>
      <c r="G3401" s="2" t="s">
        <v>571</v>
      </c>
      <c r="H3401" s="2" t="s">
        <v>572</v>
      </c>
      <c r="I3401" s="2" t="s">
        <v>17</v>
      </c>
      <c r="J3401" s="4">
        <v>-2.61</v>
      </c>
      <c r="K3401" s="2" t="s">
        <v>425</v>
      </c>
      <c r="L3401" s="2">
        <v>2024</v>
      </c>
      <c r="M3401" s="2" t="s">
        <v>158</v>
      </c>
      <c r="N3401" s="2" t="s">
        <v>23</v>
      </c>
      <c r="O3401">
        <f t="shared" si="106"/>
        <v>4.2299999999999898</v>
      </c>
      <c r="P3401">
        <f t="shared" si="107"/>
        <v>229.86599999999999</v>
      </c>
    </row>
    <row r="3402" spans="1:16" x14ac:dyDescent="0.35">
      <c r="A3402" s="9" t="s">
        <v>439</v>
      </c>
      <c r="B3402" s="2">
        <v>120.33199999999999</v>
      </c>
      <c r="C3402" s="2">
        <v>124.05</v>
      </c>
      <c r="D3402" s="2">
        <v>119.842</v>
      </c>
      <c r="E3402" s="2">
        <v>123.52</v>
      </c>
      <c r="F3402" s="2">
        <v>258108802</v>
      </c>
      <c r="G3402" s="2" t="s">
        <v>571</v>
      </c>
      <c r="H3402" s="2" t="s">
        <v>572</v>
      </c>
      <c r="I3402" s="2" t="s">
        <v>17</v>
      </c>
      <c r="J3402" s="3">
        <v>4.7560000000000002</v>
      </c>
      <c r="K3402" s="2" t="s">
        <v>425</v>
      </c>
      <c r="L3402" s="2">
        <v>2024</v>
      </c>
      <c r="M3402" s="2" t="s">
        <v>158</v>
      </c>
      <c r="N3402" s="2" t="s">
        <v>21</v>
      </c>
      <c r="O3402">
        <f t="shared" si="106"/>
        <v>4.2079999999999984</v>
      </c>
      <c r="P3402">
        <f t="shared" si="107"/>
        <v>234.62199999999999</v>
      </c>
    </row>
    <row r="3403" spans="1:16" x14ac:dyDescent="0.35">
      <c r="A3403" s="9" t="s">
        <v>440</v>
      </c>
      <c r="B3403" s="2">
        <v>122.761</v>
      </c>
      <c r="C3403" s="2">
        <v>124.67</v>
      </c>
      <c r="D3403" s="2">
        <v>122.08199999999999</v>
      </c>
      <c r="E3403" s="2">
        <v>122.572</v>
      </c>
      <c r="F3403" s="2">
        <v>173937844</v>
      </c>
      <c r="G3403" s="2" t="s">
        <v>571</v>
      </c>
      <c r="H3403" s="2" t="s">
        <v>572</v>
      </c>
      <c r="I3403" s="2" t="s">
        <v>17</v>
      </c>
      <c r="J3403" s="4">
        <v>-0.76700000000000002</v>
      </c>
      <c r="K3403" s="2" t="s">
        <v>425</v>
      </c>
      <c r="L3403" s="2">
        <v>2024</v>
      </c>
      <c r="M3403" s="2" t="s">
        <v>158</v>
      </c>
      <c r="N3403" s="2" t="s">
        <v>23</v>
      </c>
      <c r="O3403">
        <f t="shared" si="106"/>
        <v>2.5880000000000081</v>
      </c>
      <c r="P3403">
        <f t="shared" si="107"/>
        <v>233.85499999999999</v>
      </c>
    </row>
    <row r="3404" spans="1:16" x14ac:dyDescent="0.35">
      <c r="A3404" s="9" t="s">
        <v>441</v>
      </c>
      <c r="B3404" s="2">
        <v>119.152</v>
      </c>
      <c r="C3404" s="2">
        <v>119.932</v>
      </c>
      <c r="D3404" s="2">
        <v>113.422</v>
      </c>
      <c r="E3404" s="2">
        <v>114.232</v>
      </c>
      <c r="F3404" s="2">
        <v>327827510</v>
      </c>
      <c r="G3404" s="2" t="s">
        <v>571</v>
      </c>
      <c r="H3404" s="2" t="s">
        <v>572</v>
      </c>
      <c r="I3404" s="2" t="s">
        <v>17</v>
      </c>
      <c r="J3404" s="4">
        <v>-6.8040000000000003</v>
      </c>
      <c r="K3404" s="2" t="s">
        <v>425</v>
      </c>
      <c r="L3404" s="2">
        <v>2024</v>
      </c>
      <c r="M3404" s="2" t="s">
        <v>158</v>
      </c>
      <c r="N3404" s="2" t="s">
        <v>23</v>
      </c>
      <c r="O3404">
        <f t="shared" si="106"/>
        <v>6.5100000000000051</v>
      </c>
      <c r="P3404">
        <f t="shared" si="107"/>
        <v>227.05099999999999</v>
      </c>
    </row>
    <row r="3405" spans="1:16" x14ac:dyDescent="0.35">
      <c r="A3405" s="9" t="s">
        <v>442</v>
      </c>
      <c r="B3405" s="2">
        <v>113.02200000000001</v>
      </c>
      <c r="C3405" s="2">
        <v>116.61199999999999</v>
      </c>
      <c r="D3405" s="2">
        <v>106.28400000000001</v>
      </c>
      <c r="E3405" s="2">
        <v>112.262</v>
      </c>
      <c r="F3405" s="2">
        <v>460138077</v>
      </c>
      <c r="G3405" s="2" t="s">
        <v>571</v>
      </c>
      <c r="H3405" s="2" t="s">
        <v>572</v>
      </c>
      <c r="I3405" s="2" t="s">
        <v>17</v>
      </c>
      <c r="J3405" s="4">
        <v>-1.7250000000000001</v>
      </c>
      <c r="K3405" s="2" t="s">
        <v>425</v>
      </c>
      <c r="L3405" s="2">
        <v>2024</v>
      </c>
      <c r="M3405" s="2" t="s">
        <v>158</v>
      </c>
      <c r="N3405" s="2" t="s">
        <v>23</v>
      </c>
      <c r="O3405">
        <f t="shared" si="106"/>
        <v>10.327999999999989</v>
      </c>
      <c r="P3405">
        <f t="shared" si="107"/>
        <v>225.32599999999999</v>
      </c>
    </row>
    <row r="3406" spans="1:16" x14ac:dyDescent="0.35">
      <c r="A3406" s="9" t="s">
        <v>443</v>
      </c>
      <c r="B3406" s="2">
        <v>116.172</v>
      </c>
      <c r="C3406" s="2">
        <v>116.182</v>
      </c>
      <c r="D3406" s="2">
        <v>111.562</v>
      </c>
      <c r="E3406" s="2">
        <v>113.042</v>
      </c>
      <c r="F3406" s="2">
        <v>293444389</v>
      </c>
      <c r="G3406" s="2" t="s">
        <v>571</v>
      </c>
      <c r="H3406" s="2" t="s">
        <v>572</v>
      </c>
      <c r="I3406" s="2" t="s">
        <v>17</v>
      </c>
      <c r="J3406" s="3">
        <v>0.69499999999999995</v>
      </c>
      <c r="K3406" s="2" t="s">
        <v>425</v>
      </c>
      <c r="L3406" s="2">
        <v>2024</v>
      </c>
      <c r="M3406" s="2" t="s">
        <v>158</v>
      </c>
      <c r="N3406" s="2" t="s">
        <v>21</v>
      </c>
      <c r="O3406">
        <f t="shared" si="106"/>
        <v>4.6200000000000045</v>
      </c>
      <c r="P3406">
        <f t="shared" si="107"/>
        <v>226.02099999999999</v>
      </c>
    </row>
    <row r="3407" spans="1:16" x14ac:dyDescent="0.35">
      <c r="A3407" s="9" t="s">
        <v>444</v>
      </c>
      <c r="B3407" s="2">
        <v>113.672</v>
      </c>
      <c r="C3407" s="2">
        <v>116.262</v>
      </c>
      <c r="D3407" s="2">
        <v>111.282</v>
      </c>
      <c r="E3407" s="2">
        <v>111.572</v>
      </c>
      <c r="F3407" s="2">
        <v>248190395</v>
      </c>
      <c r="G3407" s="2" t="s">
        <v>571</v>
      </c>
      <c r="H3407" s="2" t="s">
        <v>572</v>
      </c>
      <c r="I3407" s="2" t="s">
        <v>17</v>
      </c>
      <c r="J3407" s="4">
        <v>-1.3</v>
      </c>
      <c r="K3407" s="2" t="s">
        <v>425</v>
      </c>
      <c r="L3407" s="2">
        <v>2024</v>
      </c>
      <c r="M3407" s="2" t="s">
        <v>158</v>
      </c>
      <c r="N3407" s="2" t="s">
        <v>23</v>
      </c>
      <c r="O3407">
        <f t="shared" si="106"/>
        <v>4.980000000000004</v>
      </c>
      <c r="P3407">
        <f t="shared" si="107"/>
        <v>224.72099999999998</v>
      </c>
    </row>
    <row r="3408" spans="1:16" x14ac:dyDescent="0.35">
      <c r="A3408" s="9" t="s">
        <v>445</v>
      </c>
      <c r="B3408" s="2">
        <v>111.502</v>
      </c>
      <c r="C3408" s="2">
        <v>111.97199999999999</v>
      </c>
      <c r="D3408" s="2">
        <v>102.524</v>
      </c>
      <c r="E3408" s="2">
        <v>103.714</v>
      </c>
      <c r="F3408" s="2">
        <v>486908466</v>
      </c>
      <c r="G3408" s="2" t="s">
        <v>571</v>
      </c>
      <c r="H3408" s="2" t="s">
        <v>572</v>
      </c>
      <c r="I3408" s="2" t="s">
        <v>17</v>
      </c>
      <c r="J3408" s="4">
        <v>-7.0430000000000001</v>
      </c>
      <c r="K3408" s="2" t="s">
        <v>425</v>
      </c>
      <c r="L3408" s="2">
        <v>2024</v>
      </c>
      <c r="M3408" s="2" t="s">
        <v>158</v>
      </c>
      <c r="N3408" s="2" t="s">
        <v>23</v>
      </c>
      <c r="O3408">
        <f t="shared" si="106"/>
        <v>9.4479999999999933</v>
      </c>
      <c r="P3408">
        <f t="shared" si="107"/>
        <v>217.67799999999997</v>
      </c>
    </row>
    <row r="3409" spans="1:16" x14ac:dyDescent="0.35">
      <c r="A3409" s="9" t="s">
        <v>446</v>
      </c>
      <c r="B3409" s="2">
        <v>112.88200000000001</v>
      </c>
      <c r="C3409" s="2">
        <v>118.322</v>
      </c>
      <c r="D3409" s="2">
        <v>110.863</v>
      </c>
      <c r="E3409" s="2">
        <v>117.002</v>
      </c>
      <c r="F3409" s="2">
        <v>473247265</v>
      </c>
      <c r="G3409" s="2" t="s">
        <v>571</v>
      </c>
      <c r="H3409" s="2" t="s">
        <v>572</v>
      </c>
      <c r="I3409" s="2" t="s">
        <v>17</v>
      </c>
      <c r="J3409" s="3">
        <v>12.811999999999999</v>
      </c>
      <c r="K3409" s="2" t="s">
        <v>425</v>
      </c>
      <c r="L3409" s="2">
        <v>2024</v>
      </c>
      <c r="M3409" s="2" t="s">
        <v>158</v>
      </c>
      <c r="N3409" s="2" t="s">
        <v>21</v>
      </c>
      <c r="O3409">
        <f t="shared" si="106"/>
        <v>7.4590000000000032</v>
      </c>
      <c r="P3409">
        <f t="shared" si="107"/>
        <v>230.48999999999998</v>
      </c>
    </row>
    <row r="3410" spans="1:16" x14ac:dyDescent="0.35">
      <c r="A3410" s="9" t="s">
        <v>447</v>
      </c>
      <c r="B3410" s="2">
        <v>117.512</v>
      </c>
      <c r="C3410" s="2">
        <v>120.142</v>
      </c>
      <c r="D3410" s="2">
        <v>106.794</v>
      </c>
      <c r="E3410" s="2">
        <v>109.193</v>
      </c>
      <c r="F3410" s="2">
        <v>523543176</v>
      </c>
      <c r="G3410" s="2" t="s">
        <v>571</v>
      </c>
      <c r="H3410" s="2" t="s">
        <v>572</v>
      </c>
      <c r="I3410" s="2" t="s">
        <v>17</v>
      </c>
      <c r="J3410" s="4">
        <v>-6.6740000000000004</v>
      </c>
      <c r="K3410" s="2" t="s">
        <v>448</v>
      </c>
      <c r="L3410" s="2">
        <v>2024</v>
      </c>
      <c r="M3410" s="2" t="s">
        <v>180</v>
      </c>
      <c r="N3410" s="2" t="s">
        <v>23</v>
      </c>
      <c r="O3410">
        <f t="shared" si="106"/>
        <v>13.347999999999999</v>
      </c>
      <c r="P3410">
        <f t="shared" si="107"/>
        <v>223.81599999999997</v>
      </c>
    </row>
    <row r="3411" spans="1:16" x14ac:dyDescent="0.35">
      <c r="A3411" s="9" t="s">
        <v>449</v>
      </c>
      <c r="B3411" s="2">
        <v>103.744</v>
      </c>
      <c r="C3411" s="2">
        <v>108.70399999999999</v>
      </c>
      <c r="D3411" s="2">
        <v>101.354</v>
      </c>
      <c r="E3411" s="2">
        <v>107.254</v>
      </c>
      <c r="F3411" s="2">
        <v>482101914</v>
      </c>
      <c r="G3411" s="2" t="s">
        <v>571</v>
      </c>
      <c r="H3411" s="2" t="s">
        <v>572</v>
      </c>
      <c r="I3411" s="2" t="s">
        <v>17</v>
      </c>
      <c r="J3411" s="4">
        <v>-1.776</v>
      </c>
      <c r="K3411" s="2" t="s">
        <v>448</v>
      </c>
      <c r="L3411" s="2">
        <v>2024</v>
      </c>
      <c r="M3411" s="2" t="s">
        <v>180</v>
      </c>
      <c r="N3411" s="2" t="s">
        <v>23</v>
      </c>
      <c r="O3411">
        <f t="shared" si="106"/>
        <v>7.3499999999999943</v>
      </c>
      <c r="P3411">
        <f t="shared" si="107"/>
        <v>222.03999999999996</v>
      </c>
    </row>
    <row r="3412" spans="1:16" x14ac:dyDescent="0.35">
      <c r="A3412" s="9" t="s">
        <v>450</v>
      </c>
      <c r="B3412" s="2">
        <v>92.046000000000006</v>
      </c>
      <c r="C3412" s="2">
        <v>103.39400000000001</v>
      </c>
      <c r="D3412" s="2">
        <v>90.676000000000002</v>
      </c>
      <c r="E3412" s="2">
        <v>100.434</v>
      </c>
      <c r="F3412" s="2">
        <v>552927763</v>
      </c>
      <c r="G3412" s="2" t="s">
        <v>571</v>
      </c>
      <c r="H3412" s="2" t="s">
        <v>572</v>
      </c>
      <c r="I3412" s="2" t="s">
        <v>17</v>
      </c>
      <c r="J3412" s="4">
        <v>-6.359</v>
      </c>
      <c r="K3412" s="2" t="s">
        <v>448</v>
      </c>
      <c r="L3412" s="2">
        <v>2024</v>
      </c>
      <c r="M3412" s="2" t="s">
        <v>180</v>
      </c>
      <c r="N3412" s="2" t="s">
        <v>23</v>
      </c>
      <c r="O3412">
        <f t="shared" si="106"/>
        <v>12.718000000000004</v>
      </c>
      <c r="P3412">
        <f t="shared" si="107"/>
        <v>215.68099999999995</v>
      </c>
    </row>
    <row r="3413" spans="1:16" x14ac:dyDescent="0.35">
      <c r="A3413" s="9" t="s">
        <v>451</v>
      </c>
      <c r="B3413" s="2">
        <v>103.824</v>
      </c>
      <c r="C3413" s="2">
        <v>107.694</v>
      </c>
      <c r="D3413" s="2">
        <v>100.53400000000001</v>
      </c>
      <c r="E3413" s="2">
        <v>104.23399999999999</v>
      </c>
      <c r="F3413" s="2">
        <v>409075262</v>
      </c>
      <c r="G3413" s="2" t="s">
        <v>571</v>
      </c>
      <c r="H3413" s="2" t="s">
        <v>572</v>
      </c>
      <c r="I3413" s="2" t="s">
        <v>17</v>
      </c>
      <c r="J3413" s="3">
        <v>3.7839999999999998</v>
      </c>
      <c r="K3413" s="2" t="s">
        <v>448</v>
      </c>
      <c r="L3413" s="2">
        <v>2024</v>
      </c>
      <c r="M3413" s="2" t="s">
        <v>180</v>
      </c>
      <c r="N3413" s="2" t="s">
        <v>21</v>
      </c>
      <c r="O3413">
        <f t="shared" si="106"/>
        <v>7.1599999999999966</v>
      </c>
      <c r="P3413">
        <f t="shared" si="107"/>
        <v>219.46499999999995</v>
      </c>
    </row>
    <row r="3414" spans="1:16" x14ac:dyDescent="0.35">
      <c r="A3414" s="9" t="s">
        <v>452</v>
      </c>
      <c r="B3414" s="2">
        <v>107.794</v>
      </c>
      <c r="C3414" s="2">
        <v>108.78400000000001</v>
      </c>
      <c r="D3414" s="2">
        <v>98.674999999999997</v>
      </c>
      <c r="E3414" s="2">
        <v>98.894999999999996</v>
      </c>
      <c r="F3414" s="2">
        <v>411503971</v>
      </c>
      <c r="G3414" s="2" t="s">
        <v>571</v>
      </c>
      <c r="H3414" s="2" t="s">
        <v>572</v>
      </c>
      <c r="I3414" s="2" t="s">
        <v>17</v>
      </c>
      <c r="J3414" s="4">
        <v>-5.1219999999999999</v>
      </c>
      <c r="K3414" s="2" t="s">
        <v>448</v>
      </c>
      <c r="L3414" s="2">
        <v>2024</v>
      </c>
      <c r="M3414" s="2" t="s">
        <v>180</v>
      </c>
      <c r="N3414" s="2" t="s">
        <v>23</v>
      </c>
      <c r="O3414">
        <f t="shared" si="106"/>
        <v>10.109000000000009</v>
      </c>
      <c r="P3414">
        <f t="shared" si="107"/>
        <v>214.34299999999996</v>
      </c>
    </row>
    <row r="3415" spans="1:16" x14ac:dyDescent="0.35">
      <c r="A3415" s="9" t="s">
        <v>453</v>
      </c>
      <c r="B3415" s="2">
        <v>101.98399999999999</v>
      </c>
      <c r="C3415" s="2">
        <v>105.48399999999999</v>
      </c>
      <c r="D3415" s="2">
        <v>97.504999999999995</v>
      </c>
      <c r="E3415" s="2">
        <v>104.95399999999999</v>
      </c>
      <c r="F3415" s="2">
        <v>391970554</v>
      </c>
      <c r="G3415" s="2" t="s">
        <v>571</v>
      </c>
      <c r="H3415" s="2" t="s">
        <v>572</v>
      </c>
      <c r="I3415" s="2" t="s">
        <v>17</v>
      </c>
      <c r="J3415" s="3">
        <v>6.1269999999999998</v>
      </c>
      <c r="K3415" s="2" t="s">
        <v>448</v>
      </c>
      <c r="L3415" s="2">
        <v>2024</v>
      </c>
      <c r="M3415" s="2" t="s">
        <v>180</v>
      </c>
      <c r="N3415" s="2" t="s">
        <v>21</v>
      </c>
      <c r="O3415">
        <f t="shared" si="106"/>
        <v>7.9789999999999992</v>
      </c>
      <c r="P3415">
        <f t="shared" si="107"/>
        <v>220.46999999999997</v>
      </c>
    </row>
    <row r="3416" spans="1:16" x14ac:dyDescent="0.35">
      <c r="A3416" s="9" t="s">
        <v>454</v>
      </c>
      <c r="B3416" s="2">
        <v>105.624</v>
      </c>
      <c r="C3416" s="2">
        <v>106.584</v>
      </c>
      <c r="D3416" s="2">
        <v>103.414</v>
      </c>
      <c r="E3416" s="2">
        <v>104.73399999999999</v>
      </c>
      <c r="F3416" s="2">
        <v>290889078</v>
      </c>
      <c r="G3416" s="2" t="s">
        <v>571</v>
      </c>
      <c r="H3416" s="2" t="s">
        <v>572</v>
      </c>
      <c r="I3416" s="2" t="s">
        <v>17</v>
      </c>
      <c r="J3416" s="4">
        <v>-0.21</v>
      </c>
      <c r="K3416" s="2" t="s">
        <v>448</v>
      </c>
      <c r="L3416" s="2">
        <v>2024</v>
      </c>
      <c r="M3416" s="2" t="s">
        <v>180</v>
      </c>
      <c r="N3416" s="2" t="s">
        <v>23</v>
      </c>
      <c r="O3416">
        <f t="shared" si="106"/>
        <v>3.1700000000000017</v>
      </c>
      <c r="P3416">
        <f t="shared" si="107"/>
        <v>220.25999999999996</v>
      </c>
    </row>
    <row r="3417" spans="1:16" x14ac:dyDescent="0.35">
      <c r="A3417" s="9" t="s">
        <v>455</v>
      </c>
      <c r="B3417" s="2">
        <v>106.304</v>
      </c>
      <c r="C3417" s="2">
        <v>111.05200000000001</v>
      </c>
      <c r="D3417" s="2">
        <v>106.244</v>
      </c>
      <c r="E3417" s="2">
        <v>109.003</v>
      </c>
      <c r="F3417" s="2">
        <v>325610153</v>
      </c>
      <c r="G3417" s="2" t="s">
        <v>571</v>
      </c>
      <c r="H3417" s="2" t="s">
        <v>572</v>
      </c>
      <c r="I3417" s="2" t="s">
        <v>17</v>
      </c>
      <c r="J3417" s="3">
        <v>4.0759999999999996</v>
      </c>
      <c r="K3417" s="2" t="s">
        <v>448</v>
      </c>
      <c r="L3417" s="2">
        <v>2024</v>
      </c>
      <c r="M3417" s="2" t="s">
        <v>180</v>
      </c>
      <c r="N3417" s="2" t="s">
        <v>21</v>
      </c>
      <c r="O3417">
        <f t="shared" si="106"/>
        <v>4.8080000000000069</v>
      </c>
      <c r="P3417">
        <f t="shared" si="107"/>
        <v>224.33599999999996</v>
      </c>
    </row>
    <row r="3418" spans="1:16" x14ac:dyDescent="0.35">
      <c r="A3418" s="9" t="s">
        <v>456</v>
      </c>
      <c r="B3418" s="2">
        <v>112.422</v>
      </c>
      <c r="C3418" s="2">
        <v>116.212</v>
      </c>
      <c r="D3418" s="2">
        <v>111.562</v>
      </c>
      <c r="E3418" s="2">
        <v>116.122</v>
      </c>
      <c r="F3418" s="2">
        <v>312694949</v>
      </c>
      <c r="G3418" s="2" t="s">
        <v>571</v>
      </c>
      <c r="H3418" s="2" t="s">
        <v>572</v>
      </c>
      <c r="I3418" s="2" t="s">
        <v>17</v>
      </c>
      <c r="J3418" s="3">
        <v>6.5309999999999997</v>
      </c>
      <c r="K3418" s="2" t="s">
        <v>448</v>
      </c>
      <c r="L3418" s="2">
        <v>2024</v>
      </c>
      <c r="M3418" s="2" t="s">
        <v>180</v>
      </c>
      <c r="N3418" s="2" t="s">
        <v>21</v>
      </c>
      <c r="O3418">
        <f t="shared" si="106"/>
        <v>4.6500000000000057</v>
      </c>
      <c r="P3418">
        <f t="shared" si="107"/>
        <v>230.86699999999996</v>
      </c>
    </row>
    <row r="3419" spans="1:16" x14ac:dyDescent="0.35">
      <c r="A3419" s="9" t="s">
        <v>457</v>
      </c>
      <c r="B3419" s="2">
        <v>118.512</v>
      </c>
      <c r="C3419" s="2">
        <v>118.58199999999999</v>
      </c>
      <c r="D3419" s="2">
        <v>114.05200000000001</v>
      </c>
      <c r="E3419" s="2">
        <v>118.062</v>
      </c>
      <c r="F3419" s="2">
        <v>339298804</v>
      </c>
      <c r="G3419" s="2" t="s">
        <v>571</v>
      </c>
      <c r="H3419" s="2" t="s">
        <v>572</v>
      </c>
      <c r="I3419" s="2" t="s">
        <v>17</v>
      </c>
      <c r="J3419" s="3">
        <v>1.671</v>
      </c>
      <c r="K3419" s="2" t="s">
        <v>448</v>
      </c>
      <c r="L3419" s="2">
        <v>2024</v>
      </c>
      <c r="M3419" s="2" t="s">
        <v>180</v>
      </c>
      <c r="N3419" s="2" t="s">
        <v>21</v>
      </c>
      <c r="O3419">
        <f t="shared" si="106"/>
        <v>4.5299999999999869</v>
      </c>
      <c r="P3419">
        <f t="shared" si="107"/>
        <v>232.53799999999995</v>
      </c>
    </row>
    <row r="3420" spans="1:16" x14ac:dyDescent="0.35">
      <c r="A3420" s="9" t="s">
        <v>458</v>
      </c>
      <c r="B3420" s="2">
        <v>118.742</v>
      </c>
      <c r="C3420" s="2">
        <v>123.221</v>
      </c>
      <c r="D3420" s="2">
        <v>117.452</v>
      </c>
      <c r="E3420" s="2">
        <v>122.84099999999999</v>
      </c>
      <c r="F3420" s="2">
        <v>318135802</v>
      </c>
      <c r="G3420" s="2" t="s">
        <v>571</v>
      </c>
      <c r="H3420" s="2" t="s">
        <v>572</v>
      </c>
      <c r="I3420" s="2" t="s">
        <v>17</v>
      </c>
      <c r="J3420" s="3">
        <v>4.048</v>
      </c>
      <c r="K3420" s="2" t="s">
        <v>448</v>
      </c>
      <c r="L3420" s="2">
        <v>2024</v>
      </c>
      <c r="M3420" s="2" t="s">
        <v>180</v>
      </c>
      <c r="N3420" s="2" t="s">
        <v>21</v>
      </c>
      <c r="O3420">
        <f t="shared" si="106"/>
        <v>5.7690000000000055</v>
      </c>
      <c r="P3420">
        <f t="shared" si="107"/>
        <v>236.58599999999996</v>
      </c>
    </row>
    <row r="3421" spans="1:16" x14ac:dyDescent="0.35">
      <c r="A3421" s="9" t="s">
        <v>459</v>
      </c>
      <c r="B3421" s="2">
        <v>121.922</v>
      </c>
      <c r="C3421" s="2">
        <v>124.98</v>
      </c>
      <c r="D3421" s="2">
        <v>121.16200000000001</v>
      </c>
      <c r="E3421" s="2">
        <v>124.56</v>
      </c>
      <c r="F3421" s="2">
        <v>302636607</v>
      </c>
      <c r="G3421" s="2" t="s">
        <v>571</v>
      </c>
      <c r="H3421" s="2" t="s">
        <v>572</v>
      </c>
      <c r="I3421" s="2" t="s">
        <v>17</v>
      </c>
      <c r="J3421" s="3">
        <v>1.399</v>
      </c>
      <c r="K3421" s="2" t="s">
        <v>448</v>
      </c>
      <c r="L3421" s="2">
        <v>2024</v>
      </c>
      <c r="M3421" s="2" t="s">
        <v>180</v>
      </c>
      <c r="N3421" s="2" t="s">
        <v>21</v>
      </c>
      <c r="O3421">
        <f t="shared" si="106"/>
        <v>3.8179999999999978</v>
      </c>
      <c r="P3421">
        <f t="shared" si="107"/>
        <v>237.98499999999996</v>
      </c>
    </row>
    <row r="3422" spans="1:16" x14ac:dyDescent="0.35">
      <c r="A3422" s="9" t="s">
        <v>460</v>
      </c>
      <c r="B3422" s="2">
        <v>124.26</v>
      </c>
      <c r="C3422" s="2">
        <v>129.97999999999999</v>
      </c>
      <c r="D3422" s="2">
        <v>123.4</v>
      </c>
      <c r="E3422" s="2">
        <v>129.97999999999999</v>
      </c>
      <c r="F3422" s="2">
        <v>318382744</v>
      </c>
      <c r="G3422" s="2" t="s">
        <v>571</v>
      </c>
      <c r="H3422" s="2" t="s">
        <v>572</v>
      </c>
      <c r="I3422" s="2" t="s">
        <v>17</v>
      </c>
      <c r="J3422" s="3">
        <v>4.351</v>
      </c>
      <c r="K3422" s="2" t="s">
        <v>448</v>
      </c>
      <c r="L3422" s="2">
        <v>2024</v>
      </c>
      <c r="M3422" s="2" t="s">
        <v>180</v>
      </c>
      <c r="N3422" s="2" t="s">
        <v>21</v>
      </c>
      <c r="O3422">
        <f t="shared" si="106"/>
        <v>6.5799999999999841</v>
      </c>
      <c r="P3422">
        <f t="shared" si="107"/>
        <v>242.33599999999996</v>
      </c>
    </row>
    <row r="3423" spans="1:16" x14ac:dyDescent="0.35">
      <c r="A3423" s="9" t="s">
        <v>461</v>
      </c>
      <c r="B3423" s="2">
        <v>128.38</v>
      </c>
      <c r="C3423" s="2">
        <v>129.86000000000001</v>
      </c>
      <c r="D3423" s="2">
        <v>125.87</v>
      </c>
      <c r="E3423" s="2">
        <v>127.23</v>
      </c>
      <c r="F3423" s="2">
        <v>300133764</v>
      </c>
      <c r="G3423" s="2" t="s">
        <v>571</v>
      </c>
      <c r="H3423" s="2" t="s">
        <v>572</v>
      </c>
      <c r="I3423" s="2" t="s">
        <v>17</v>
      </c>
      <c r="J3423" s="4">
        <v>-2.1160000000000001</v>
      </c>
      <c r="K3423" s="2" t="s">
        <v>448</v>
      </c>
      <c r="L3423" s="2">
        <v>2024</v>
      </c>
      <c r="M3423" s="2" t="s">
        <v>180</v>
      </c>
      <c r="N3423" s="2" t="s">
        <v>23</v>
      </c>
      <c r="O3423">
        <f t="shared" si="106"/>
        <v>3.9900000000000091</v>
      </c>
      <c r="P3423">
        <f t="shared" si="107"/>
        <v>240.21999999999994</v>
      </c>
    </row>
    <row r="3424" spans="1:16" x14ac:dyDescent="0.35">
      <c r="A3424" s="9" t="s">
        <v>462</v>
      </c>
      <c r="B3424" s="2">
        <v>127.295</v>
      </c>
      <c r="C3424" s="2">
        <v>129.33000000000001</v>
      </c>
      <c r="D3424" s="2">
        <v>126.64</v>
      </c>
      <c r="E3424" s="2">
        <v>128.47999999999999</v>
      </c>
      <c r="F3424" s="2">
        <v>257923402</v>
      </c>
      <c r="G3424" s="2" t="s">
        <v>571</v>
      </c>
      <c r="H3424" s="2" t="s">
        <v>572</v>
      </c>
      <c r="I3424" s="2" t="s">
        <v>17</v>
      </c>
      <c r="J3424" s="3">
        <v>0.98199999999999998</v>
      </c>
      <c r="K3424" s="2" t="s">
        <v>448</v>
      </c>
      <c r="L3424" s="2">
        <v>2024</v>
      </c>
      <c r="M3424" s="2" t="s">
        <v>180</v>
      </c>
      <c r="N3424" s="2" t="s">
        <v>21</v>
      </c>
      <c r="O3424">
        <f t="shared" si="106"/>
        <v>2.6900000000000119</v>
      </c>
      <c r="P3424">
        <f t="shared" si="107"/>
        <v>241.20199999999994</v>
      </c>
    </row>
    <row r="3425" spans="1:16" x14ac:dyDescent="0.35">
      <c r="A3425" s="9" t="s">
        <v>463</v>
      </c>
      <c r="B3425" s="2">
        <v>130</v>
      </c>
      <c r="C3425" s="2">
        <v>130.72999999999999</v>
      </c>
      <c r="D3425" s="2">
        <v>123.081</v>
      </c>
      <c r="E3425" s="2">
        <v>123.72</v>
      </c>
      <c r="F3425" s="2">
        <v>376247179</v>
      </c>
      <c r="G3425" s="2" t="s">
        <v>571</v>
      </c>
      <c r="H3425" s="2" t="s">
        <v>572</v>
      </c>
      <c r="I3425" s="2" t="s">
        <v>17</v>
      </c>
      <c r="J3425" s="4">
        <v>-3.7050000000000001</v>
      </c>
      <c r="K3425" s="2" t="s">
        <v>448</v>
      </c>
      <c r="L3425" s="2">
        <v>2024</v>
      </c>
      <c r="M3425" s="2" t="s">
        <v>180</v>
      </c>
      <c r="N3425" s="2" t="s">
        <v>23</v>
      </c>
      <c r="O3425">
        <f t="shared" si="106"/>
        <v>7.6489999999999867</v>
      </c>
      <c r="P3425">
        <f t="shared" si="107"/>
        <v>237.49699999999993</v>
      </c>
    </row>
    <row r="3426" spans="1:16" x14ac:dyDescent="0.35">
      <c r="A3426" s="9" t="s">
        <v>464</v>
      </c>
      <c r="B3426" s="2">
        <v>125.84</v>
      </c>
      <c r="C3426" s="2">
        <v>129.58000000000001</v>
      </c>
      <c r="D3426" s="2">
        <v>125.2</v>
      </c>
      <c r="E3426" s="2">
        <v>129.35</v>
      </c>
      <c r="F3426" s="2">
        <v>323280255</v>
      </c>
      <c r="G3426" s="2" t="s">
        <v>571</v>
      </c>
      <c r="H3426" s="2" t="s">
        <v>572</v>
      </c>
      <c r="I3426" s="2" t="s">
        <v>17</v>
      </c>
      <c r="J3426" s="3">
        <v>4.5510000000000002</v>
      </c>
      <c r="K3426" s="2" t="s">
        <v>448</v>
      </c>
      <c r="L3426" s="2">
        <v>2024</v>
      </c>
      <c r="M3426" s="2" t="s">
        <v>180</v>
      </c>
      <c r="N3426" s="2" t="s">
        <v>21</v>
      </c>
      <c r="O3426">
        <f t="shared" si="106"/>
        <v>4.3800000000000097</v>
      </c>
      <c r="P3426">
        <f t="shared" si="107"/>
        <v>242.04799999999992</v>
      </c>
    </row>
    <row r="3427" spans="1:16" x14ac:dyDescent="0.35">
      <c r="A3427" s="9" t="s">
        <v>465</v>
      </c>
      <c r="B3427" s="2">
        <v>129.55000000000001</v>
      </c>
      <c r="C3427" s="2">
        <v>131.24</v>
      </c>
      <c r="D3427" s="2">
        <v>124.35</v>
      </c>
      <c r="E3427" s="2">
        <v>126.44</v>
      </c>
      <c r="F3427" s="2">
        <v>332015944</v>
      </c>
      <c r="G3427" s="2" t="s">
        <v>571</v>
      </c>
      <c r="H3427" s="2" t="s">
        <v>572</v>
      </c>
      <c r="I3427" s="2" t="s">
        <v>17</v>
      </c>
      <c r="J3427" s="4">
        <v>-2.25</v>
      </c>
      <c r="K3427" s="2" t="s">
        <v>448</v>
      </c>
      <c r="L3427" s="2">
        <v>2024</v>
      </c>
      <c r="M3427" s="2" t="s">
        <v>180</v>
      </c>
      <c r="N3427" s="2" t="s">
        <v>23</v>
      </c>
      <c r="O3427">
        <f t="shared" si="106"/>
        <v>6.8900000000000148</v>
      </c>
      <c r="P3427">
        <f t="shared" si="107"/>
        <v>239.79799999999992</v>
      </c>
    </row>
    <row r="3428" spans="1:16" x14ac:dyDescent="0.35">
      <c r="A3428" s="9" t="s">
        <v>466</v>
      </c>
      <c r="B3428" s="2">
        <v>125.03</v>
      </c>
      <c r="C3428" s="2">
        <v>129.18</v>
      </c>
      <c r="D3428" s="2">
        <v>123.86</v>
      </c>
      <c r="E3428" s="2">
        <v>128.28</v>
      </c>
      <c r="F3428" s="2">
        <v>303181392</v>
      </c>
      <c r="G3428" s="2" t="s">
        <v>571</v>
      </c>
      <c r="H3428" s="2" t="s">
        <v>572</v>
      </c>
      <c r="I3428" s="2" t="s">
        <v>17</v>
      </c>
      <c r="J3428" s="3">
        <v>1.4550000000000001</v>
      </c>
      <c r="K3428" s="2" t="s">
        <v>448</v>
      </c>
      <c r="L3428" s="2">
        <v>2024</v>
      </c>
      <c r="M3428" s="2" t="s">
        <v>180</v>
      </c>
      <c r="N3428" s="2" t="s">
        <v>21</v>
      </c>
      <c r="O3428">
        <f t="shared" si="106"/>
        <v>5.3200000000000074</v>
      </c>
      <c r="P3428">
        <f t="shared" si="107"/>
        <v>241.25299999999993</v>
      </c>
    </row>
    <row r="3429" spans="1:16" x14ac:dyDescent="0.35">
      <c r="A3429" s="9" t="s">
        <v>467</v>
      </c>
      <c r="B3429" s="2">
        <v>128.1</v>
      </c>
      <c r="C3429" s="2">
        <v>128.31</v>
      </c>
      <c r="D3429" s="2">
        <v>122.622</v>
      </c>
      <c r="E3429" s="2">
        <v>125.59</v>
      </c>
      <c r="F3429" s="2">
        <v>448170325</v>
      </c>
      <c r="G3429" s="2" t="s">
        <v>571</v>
      </c>
      <c r="H3429" s="2" t="s">
        <v>572</v>
      </c>
      <c r="I3429" s="2" t="s">
        <v>17</v>
      </c>
      <c r="J3429" s="4">
        <v>-2.097</v>
      </c>
      <c r="K3429" s="2" t="s">
        <v>448</v>
      </c>
      <c r="L3429" s="2">
        <v>2024</v>
      </c>
      <c r="M3429" s="2" t="s">
        <v>180</v>
      </c>
      <c r="N3429" s="2" t="s">
        <v>23</v>
      </c>
      <c r="O3429">
        <f t="shared" si="106"/>
        <v>5.6880000000000024</v>
      </c>
      <c r="P3429">
        <f t="shared" si="107"/>
        <v>239.15599999999992</v>
      </c>
    </row>
    <row r="3430" spans="1:16" x14ac:dyDescent="0.35">
      <c r="A3430" s="9" t="s">
        <v>468</v>
      </c>
      <c r="B3430" s="2">
        <v>121.337</v>
      </c>
      <c r="C3430" s="2">
        <v>124.41</v>
      </c>
      <c r="D3430" s="2">
        <v>116.69199999999999</v>
      </c>
      <c r="E3430" s="2">
        <v>117.572</v>
      </c>
      <c r="F3430" s="2">
        <v>453093275</v>
      </c>
      <c r="G3430" s="2" t="s">
        <v>571</v>
      </c>
      <c r="H3430" s="2" t="s">
        <v>572</v>
      </c>
      <c r="I3430" s="2" t="s">
        <v>17</v>
      </c>
      <c r="J3430" s="4">
        <v>-6.3840000000000003</v>
      </c>
      <c r="K3430" s="2" t="s">
        <v>448</v>
      </c>
      <c r="L3430" s="2">
        <v>2024</v>
      </c>
      <c r="M3430" s="2" t="s">
        <v>180</v>
      </c>
      <c r="N3430" s="2" t="s">
        <v>23</v>
      </c>
      <c r="O3430">
        <f t="shared" si="106"/>
        <v>7.7180000000000035</v>
      </c>
      <c r="P3430">
        <f t="shared" si="107"/>
        <v>232.77199999999993</v>
      </c>
    </row>
    <row r="3431" spans="1:16" x14ac:dyDescent="0.35">
      <c r="A3431" s="9" t="s">
        <v>469</v>
      </c>
      <c r="B3431" s="2">
        <v>119.512</v>
      </c>
      <c r="C3431" s="2">
        <v>121.732</v>
      </c>
      <c r="D3431" s="2">
        <v>117.202</v>
      </c>
      <c r="E3431" s="2">
        <v>119.352</v>
      </c>
      <c r="F3431" s="2">
        <v>333803131</v>
      </c>
      <c r="G3431" s="2" t="s">
        <v>571</v>
      </c>
      <c r="H3431" s="2" t="s">
        <v>572</v>
      </c>
      <c r="I3431" s="2" t="s">
        <v>17</v>
      </c>
      <c r="J3431" s="3">
        <v>1.514</v>
      </c>
      <c r="K3431" s="2" t="s">
        <v>448</v>
      </c>
      <c r="L3431" s="2">
        <v>2024</v>
      </c>
      <c r="M3431" s="2" t="s">
        <v>180</v>
      </c>
      <c r="N3431" s="2" t="s">
        <v>21</v>
      </c>
      <c r="O3431">
        <f t="shared" si="106"/>
        <v>4.5300000000000011</v>
      </c>
      <c r="P3431">
        <f t="shared" si="107"/>
        <v>234.28599999999994</v>
      </c>
    </row>
    <row r="3432" spans="1:16" x14ac:dyDescent="0.35">
      <c r="A3432" s="9" t="s">
        <v>470</v>
      </c>
      <c r="B3432" s="2">
        <v>115.992</v>
      </c>
      <c r="C3432" s="2">
        <v>116.19199999999999</v>
      </c>
      <c r="D3432" s="2">
        <v>107.274</v>
      </c>
      <c r="E3432" s="2">
        <v>107.98399999999999</v>
      </c>
      <c r="F3432" s="2">
        <v>477228797</v>
      </c>
      <c r="G3432" s="2" t="s">
        <v>571</v>
      </c>
      <c r="H3432" s="2" t="s">
        <v>572</v>
      </c>
      <c r="I3432" s="2" t="s">
        <v>17</v>
      </c>
      <c r="J3432" s="4">
        <v>-9.5250000000000004</v>
      </c>
      <c r="K3432" s="2" t="s">
        <v>471</v>
      </c>
      <c r="L3432" s="2">
        <v>2024</v>
      </c>
      <c r="M3432" s="2" t="s">
        <v>205</v>
      </c>
      <c r="N3432" s="2" t="s">
        <v>23</v>
      </c>
      <c r="O3432">
        <f t="shared" si="106"/>
        <v>8.9179999999999922</v>
      </c>
      <c r="P3432">
        <f t="shared" si="107"/>
        <v>224.76099999999994</v>
      </c>
    </row>
    <row r="3433" spans="1:16" x14ac:dyDescent="0.35">
      <c r="A3433" s="9" t="s">
        <v>472</v>
      </c>
      <c r="B3433" s="2">
        <v>105.39400000000001</v>
      </c>
      <c r="C3433" s="2">
        <v>113.252</v>
      </c>
      <c r="D3433" s="2">
        <v>104.104</v>
      </c>
      <c r="E3433" s="2">
        <v>106.194</v>
      </c>
      <c r="F3433" s="2">
        <v>372527820</v>
      </c>
      <c r="G3433" s="2" t="s">
        <v>571</v>
      </c>
      <c r="H3433" s="2" t="s">
        <v>572</v>
      </c>
      <c r="I3433" s="2" t="s">
        <v>17</v>
      </c>
      <c r="J3433" s="4">
        <v>-1.6579999999999999</v>
      </c>
      <c r="K3433" s="2" t="s">
        <v>471</v>
      </c>
      <c r="L3433" s="2">
        <v>2024</v>
      </c>
      <c r="M3433" s="2" t="s">
        <v>205</v>
      </c>
      <c r="N3433" s="2" t="s">
        <v>23</v>
      </c>
      <c r="O3433">
        <f t="shared" si="106"/>
        <v>9.1479999999999961</v>
      </c>
      <c r="P3433">
        <f t="shared" si="107"/>
        <v>223.10299999999995</v>
      </c>
    </row>
    <row r="3434" spans="1:16" x14ac:dyDescent="0.35">
      <c r="A3434" s="9" t="s">
        <v>473</v>
      </c>
      <c r="B3434" s="2">
        <v>104.96899999999999</v>
      </c>
      <c r="C3434" s="2">
        <v>109.633</v>
      </c>
      <c r="D3434" s="2">
        <v>104.744</v>
      </c>
      <c r="E3434" s="2">
        <v>107.194</v>
      </c>
      <c r="F3434" s="2">
        <v>306898089</v>
      </c>
      <c r="G3434" s="2" t="s">
        <v>571</v>
      </c>
      <c r="H3434" s="2" t="s">
        <v>572</v>
      </c>
      <c r="I3434" s="2" t="s">
        <v>17</v>
      </c>
      <c r="J3434" s="3">
        <v>0.94199999999999995</v>
      </c>
      <c r="K3434" s="2" t="s">
        <v>471</v>
      </c>
      <c r="L3434" s="2">
        <v>2024</v>
      </c>
      <c r="M3434" s="2" t="s">
        <v>205</v>
      </c>
      <c r="N3434" s="2" t="s">
        <v>21</v>
      </c>
      <c r="O3434">
        <f t="shared" si="106"/>
        <v>4.8889999999999958</v>
      </c>
      <c r="P3434">
        <f t="shared" si="107"/>
        <v>224.04499999999996</v>
      </c>
    </row>
    <row r="3435" spans="1:16" x14ac:dyDescent="0.35">
      <c r="A3435" s="9" t="s">
        <v>474</v>
      </c>
      <c r="B3435" s="2">
        <v>108.024</v>
      </c>
      <c r="C3435" s="2">
        <v>108.134</v>
      </c>
      <c r="D3435" s="2">
        <v>100.934</v>
      </c>
      <c r="E3435" s="2">
        <v>102.81399999999999</v>
      </c>
      <c r="F3435" s="2">
        <v>413701985</v>
      </c>
      <c r="G3435" s="2" t="s">
        <v>571</v>
      </c>
      <c r="H3435" s="2" t="s">
        <v>572</v>
      </c>
      <c r="I3435" s="2" t="s">
        <v>17</v>
      </c>
      <c r="J3435" s="4">
        <v>-4.0860000000000003</v>
      </c>
      <c r="K3435" s="2" t="s">
        <v>471</v>
      </c>
      <c r="L3435" s="2">
        <v>2024</v>
      </c>
      <c r="M3435" s="2" t="s">
        <v>205</v>
      </c>
      <c r="N3435" s="2" t="s">
        <v>23</v>
      </c>
      <c r="O3435">
        <f t="shared" si="106"/>
        <v>7.2000000000000028</v>
      </c>
      <c r="P3435">
        <f t="shared" si="107"/>
        <v>219.95899999999995</v>
      </c>
    </row>
    <row r="3436" spans="1:16" x14ac:dyDescent="0.35">
      <c r="A3436" s="9" t="s">
        <v>475</v>
      </c>
      <c r="B3436" s="2">
        <v>104.864</v>
      </c>
      <c r="C3436" s="2">
        <v>106.53400000000001</v>
      </c>
      <c r="D3436" s="2">
        <v>103.67400000000001</v>
      </c>
      <c r="E3436" s="2">
        <v>106.45399999999999</v>
      </c>
      <c r="F3436" s="2">
        <v>273954321</v>
      </c>
      <c r="G3436" s="2" t="s">
        <v>571</v>
      </c>
      <c r="H3436" s="2" t="s">
        <v>572</v>
      </c>
      <c r="I3436" s="2" t="s">
        <v>17</v>
      </c>
      <c r="J3436" s="3">
        <v>3.54</v>
      </c>
      <c r="K3436" s="2" t="s">
        <v>471</v>
      </c>
      <c r="L3436" s="2">
        <v>2024</v>
      </c>
      <c r="M3436" s="2" t="s">
        <v>205</v>
      </c>
      <c r="N3436" s="2" t="s">
        <v>21</v>
      </c>
      <c r="O3436">
        <f t="shared" si="106"/>
        <v>2.8599999999999994</v>
      </c>
      <c r="P3436">
        <f t="shared" si="107"/>
        <v>223.49899999999994</v>
      </c>
    </row>
    <row r="3437" spans="1:16" x14ac:dyDescent="0.35">
      <c r="A3437" s="9" t="s">
        <v>476</v>
      </c>
      <c r="B3437" s="2">
        <v>107.794</v>
      </c>
      <c r="C3437" s="2">
        <v>109.383</v>
      </c>
      <c r="D3437" s="2">
        <v>104.934</v>
      </c>
      <c r="E3437" s="2">
        <v>108.084</v>
      </c>
      <c r="F3437" s="2">
        <v>268325173</v>
      </c>
      <c r="G3437" s="2" t="s">
        <v>571</v>
      </c>
      <c r="H3437" s="2" t="s">
        <v>572</v>
      </c>
      <c r="I3437" s="2" t="s">
        <v>17</v>
      </c>
      <c r="J3437" s="3">
        <v>1.5309999999999999</v>
      </c>
      <c r="K3437" s="2" t="s">
        <v>471</v>
      </c>
      <c r="L3437" s="2">
        <v>2024</v>
      </c>
      <c r="M3437" s="2" t="s">
        <v>205</v>
      </c>
      <c r="N3437" s="2" t="s">
        <v>21</v>
      </c>
      <c r="O3437">
        <f t="shared" si="106"/>
        <v>4.4489999999999981</v>
      </c>
      <c r="P3437">
        <f t="shared" si="107"/>
        <v>225.02999999999994</v>
      </c>
    </row>
    <row r="3438" spans="1:16" x14ac:dyDescent="0.35">
      <c r="A3438" s="9" t="s">
        <v>477</v>
      </c>
      <c r="B3438" s="2">
        <v>109.373</v>
      </c>
      <c r="C3438" s="2">
        <v>117.172</v>
      </c>
      <c r="D3438" s="2">
        <v>107.404</v>
      </c>
      <c r="E3438" s="2">
        <v>116.892</v>
      </c>
      <c r="F3438" s="2">
        <v>441490548</v>
      </c>
      <c r="G3438" s="2" t="s">
        <v>571</v>
      </c>
      <c r="H3438" s="2" t="s">
        <v>572</v>
      </c>
      <c r="I3438" s="2" t="s">
        <v>17</v>
      </c>
      <c r="J3438" s="3">
        <v>8.1489999999999991</v>
      </c>
      <c r="K3438" s="2" t="s">
        <v>471</v>
      </c>
      <c r="L3438" s="2">
        <v>2024</v>
      </c>
      <c r="M3438" s="2" t="s">
        <v>205</v>
      </c>
      <c r="N3438" s="2" t="s">
        <v>21</v>
      </c>
      <c r="O3438">
        <f t="shared" si="106"/>
        <v>9.7680000000000007</v>
      </c>
      <c r="P3438">
        <f t="shared" si="107"/>
        <v>233.17899999999995</v>
      </c>
    </row>
    <row r="3439" spans="1:16" x14ac:dyDescent="0.35">
      <c r="A3439" s="9" t="s">
        <v>478</v>
      </c>
      <c r="B3439" s="2">
        <v>116.83199999999999</v>
      </c>
      <c r="C3439" s="2">
        <v>120.782</v>
      </c>
      <c r="D3439" s="2">
        <v>115.372</v>
      </c>
      <c r="E3439" s="2">
        <v>119.13200000000001</v>
      </c>
      <c r="F3439" s="2">
        <v>367125790</v>
      </c>
      <c r="G3439" s="2" t="s">
        <v>571</v>
      </c>
      <c r="H3439" s="2" t="s">
        <v>572</v>
      </c>
      <c r="I3439" s="2" t="s">
        <v>17</v>
      </c>
      <c r="J3439" s="3">
        <v>1.9159999999999999</v>
      </c>
      <c r="K3439" s="2" t="s">
        <v>471</v>
      </c>
      <c r="L3439" s="2">
        <v>2024</v>
      </c>
      <c r="M3439" s="2" t="s">
        <v>205</v>
      </c>
      <c r="N3439" s="2" t="s">
        <v>21</v>
      </c>
      <c r="O3439">
        <f t="shared" si="106"/>
        <v>5.4099999999999966</v>
      </c>
      <c r="P3439">
        <f t="shared" si="107"/>
        <v>235.09499999999994</v>
      </c>
    </row>
    <row r="3440" spans="1:16" x14ac:dyDescent="0.35">
      <c r="A3440" s="9" t="s">
        <v>479</v>
      </c>
      <c r="B3440" s="2">
        <v>119.072</v>
      </c>
      <c r="C3440" s="2">
        <v>119.947</v>
      </c>
      <c r="D3440" s="2">
        <v>117.592</v>
      </c>
      <c r="E3440" s="2">
        <v>119.092</v>
      </c>
      <c r="F3440" s="2">
        <v>238374751</v>
      </c>
      <c r="G3440" s="2" t="s">
        <v>571</v>
      </c>
      <c r="H3440" s="2" t="s">
        <v>572</v>
      </c>
      <c r="I3440" s="2" t="s">
        <v>17</v>
      </c>
      <c r="J3440" s="4">
        <v>-3.4000000000000002E-2</v>
      </c>
      <c r="K3440" s="2" t="s">
        <v>471</v>
      </c>
      <c r="L3440" s="2">
        <v>2024</v>
      </c>
      <c r="M3440" s="2" t="s">
        <v>205</v>
      </c>
      <c r="N3440" s="2" t="s">
        <v>23</v>
      </c>
      <c r="O3440">
        <f t="shared" si="106"/>
        <v>2.355000000000004</v>
      </c>
      <c r="P3440">
        <f t="shared" si="107"/>
        <v>235.06099999999995</v>
      </c>
    </row>
    <row r="3441" spans="1:16" x14ac:dyDescent="0.35">
      <c r="A3441" s="9" t="s">
        <v>480</v>
      </c>
      <c r="B3441" s="2">
        <v>116.782</v>
      </c>
      <c r="C3441" s="2">
        <v>118.172</v>
      </c>
      <c r="D3441" s="2">
        <v>114.352</v>
      </c>
      <c r="E3441" s="2">
        <v>116.77200000000001</v>
      </c>
      <c r="F3441" s="2">
        <v>248789449</v>
      </c>
      <c r="G3441" s="2" t="s">
        <v>571</v>
      </c>
      <c r="H3441" s="2" t="s">
        <v>572</v>
      </c>
      <c r="I3441" s="2" t="s">
        <v>17</v>
      </c>
      <c r="J3441" s="4">
        <v>-1.948</v>
      </c>
      <c r="K3441" s="2" t="s">
        <v>471</v>
      </c>
      <c r="L3441" s="2">
        <v>2024</v>
      </c>
      <c r="M3441" s="2" t="s">
        <v>205</v>
      </c>
      <c r="N3441" s="2" t="s">
        <v>23</v>
      </c>
      <c r="O3441">
        <f t="shared" si="106"/>
        <v>3.8199999999999932</v>
      </c>
      <c r="P3441">
        <f t="shared" si="107"/>
        <v>233.11299999999994</v>
      </c>
    </row>
    <row r="3442" spans="1:16" x14ac:dyDescent="0.35">
      <c r="A3442" s="9" t="s">
        <v>481</v>
      </c>
      <c r="B3442" s="2">
        <v>118.16200000000001</v>
      </c>
      <c r="C3442" s="2">
        <v>118.792</v>
      </c>
      <c r="D3442" s="2">
        <v>114.822</v>
      </c>
      <c r="E3442" s="2">
        <v>115.58199999999999</v>
      </c>
      <c r="F3442" s="2">
        <v>231941856</v>
      </c>
      <c r="G3442" s="2" t="s">
        <v>571</v>
      </c>
      <c r="H3442" s="2" t="s">
        <v>572</v>
      </c>
      <c r="I3442" s="2" t="s">
        <v>17</v>
      </c>
      <c r="J3442" s="4">
        <v>-1.0189999999999999</v>
      </c>
      <c r="K3442" s="2" t="s">
        <v>471</v>
      </c>
      <c r="L3442" s="2">
        <v>2024</v>
      </c>
      <c r="M3442" s="2" t="s">
        <v>205</v>
      </c>
      <c r="N3442" s="2" t="s">
        <v>23</v>
      </c>
      <c r="O3442">
        <f t="shared" si="106"/>
        <v>3.9699999999999989</v>
      </c>
      <c r="P3442">
        <f t="shared" si="107"/>
        <v>232.09399999999994</v>
      </c>
    </row>
    <row r="3443" spans="1:16" x14ac:dyDescent="0.35">
      <c r="A3443" s="9" t="s">
        <v>482</v>
      </c>
      <c r="B3443" s="2">
        <v>115.88200000000001</v>
      </c>
      <c r="C3443" s="2">
        <v>117.69199999999999</v>
      </c>
      <c r="D3443" s="2">
        <v>113.212</v>
      </c>
      <c r="E3443" s="2">
        <v>113.36199999999999</v>
      </c>
      <c r="F3443" s="2">
        <v>310340319</v>
      </c>
      <c r="G3443" s="2" t="s">
        <v>571</v>
      </c>
      <c r="H3443" s="2" t="s">
        <v>572</v>
      </c>
      <c r="I3443" s="2" t="s">
        <v>17</v>
      </c>
      <c r="J3443" s="4">
        <v>-1.921</v>
      </c>
      <c r="K3443" s="2" t="s">
        <v>471</v>
      </c>
      <c r="L3443" s="2">
        <v>2024</v>
      </c>
      <c r="M3443" s="2" t="s">
        <v>205</v>
      </c>
      <c r="N3443" s="2" t="s">
        <v>23</v>
      </c>
      <c r="O3443">
        <f t="shared" si="106"/>
        <v>4.4799999999999898</v>
      </c>
      <c r="P3443">
        <f t="shared" si="107"/>
        <v>230.17299999999994</v>
      </c>
    </row>
    <row r="3444" spans="1:16" x14ac:dyDescent="0.35">
      <c r="A3444" s="9" t="s">
        <v>483</v>
      </c>
      <c r="B3444" s="2">
        <v>117.342</v>
      </c>
      <c r="C3444" s="2">
        <v>119.652</v>
      </c>
      <c r="D3444" s="2">
        <v>117.242</v>
      </c>
      <c r="E3444" s="2">
        <v>117.86199999999999</v>
      </c>
      <c r="F3444" s="2">
        <v>293526661</v>
      </c>
      <c r="G3444" s="2" t="s">
        <v>571</v>
      </c>
      <c r="H3444" s="2" t="s">
        <v>572</v>
      </c>
      <c r="I3444" s="2" t="s">
        <v>17</v>
      </c>
      <c r="J3444" s="3">
        <v>3.97</v>
      </c>
      <c r="K3444" s="2" t="s">
        <v>471</v>
      </c>
      <c r="L3444" s="2">
        <v>2024</v>
      </c>
      <c r="M3444" s="2" t="s">
        <v>205</v>
      </c>
      <c r="N3444" s="2" t="s">
        <v>21</v>
      </c>
      <c r="O3444">
        <f t="shared" si="106"/>
        <v>2.4099999999999966</v>
      </c>
      <c r="P3444">
        <f t="shared" si="107"/>
        <v>234.14299999999994</v>
      </c>
    </row>
    <row r="3445" spans="1:16" x14ac:dyDescent="0.35">
      <c r="A3445" s="9" t="s">
        <v>484</v>
      </c>
      <c r="B3445" s="2">
        <v>117.05200000000001</v>
      </c>
      <c r="C3445" s="2">
        <v>118.61</v>
      </c>
      <c r="D3445" s="2">
        <v>115.38200000000001</v>
      </c>
      <c r="E3445" s="2">
        <v>115.992</v>
      </c>
      <c r="F3445" s="2">
        <v>382488781</v>
      </c>
      <c r="G3445" s="2" t="s">
        <v>571</v>
      </c>
      <c r="H3445" s="2" t="s">
        <v>572</v>
      </c>
      <c r="I3445" s="2" t="s">
        <v>17</v>
      </c>
      <c r="J3445" s="4">
        <v>-1.587</v>
      </c>
      <c r="K3445" s="2" t="s">
        <v>471</v>
      </c>
      <c r="L3445" s="2">
        <v>2024</v>
      </c>
      <c r="M3445" s="2" t="s">
        <v>205</v>
      </c>
      <c r="N3445" s="2" t="s">
        <v>23</v>
      </c>
      <c r="O3445">
        <f t="shared" si="106"/>
        <v>3.2279999999999944</v>
      </c>
      <c r="P3445">
        <f t="shared" si="107"/>
        <v>232.55599999999995</v>
      </c>
    </row>
    <row r="3446" spans="1:16" x14ac:dyDescent="0.35">
      <c r="A3446" s="9" t="s">
        <v>485</v>
      </c>
      <c r="B3446" s="2">
        <v>116.542</v>
      </c>
      <c r="C3446" s="2">
        <v>116.982</v>
      </c>
      <c r="D3446" s="2">
        <v>114.852</v>
      </c>
      <c r="E3446" s="2">
        <v>116.252</v>
      </c>
      <c r="F3446" s="2">
        <v>206242699</v>
      </c>
      <c r="G3446" s="2" t="s">
        <v>571</v>
      </c>
      <c r="H3446" s="2" t="s">
        <v>572</v>
      </c>
      <c r="I3446" s="2" t="s">
        <v>17</v>
      </c>
      <c r="J3446" s="3">
        <v>0.224</v>
      </c>
      <c r="K3446" s="2" t="s">
        <v>471</v>
      </c>
      <c r="L3446" s="2">
        <v>2024</v>
      </c>
      <c r="M3446" s="2" t="s">
        <v>205</v>
      </c>
      <c r="N3446" s="2" t="s">
        <v>21</v>
      </c>
      <c r="O3446">
        <f t="shared" si="106"/>
        <v>2.1299999999999955</v>
      </c>
      <c r="P3446">
        <f t="shared" si="107"/>
        <v>232.77999999999994</v>
      </c>
    </row>
    <row r="3447" spans="1:16" x14ac:dyDescent="0.35">
      <c r="A3447" s="9" t="s">
        <v>486</v>
      </c>
      <c r="B3447" s="2">
        <v>116.50700000000001</v>
      </c>
      <c r="C3447" s="2">
        <v>121.792</v>
      </c>
      <c r="D3447" s="2">
        <v>115.372</v>
      </c>
      <c r="E3447" s="2">
        <v>120.86199999999999</v>
      </c>
      <c r="F3447" s="2">
        <v>354991230</v>
      </c>
      <c r="G3447" s="2" t="s">
        <v>571</v>
      </c>
      <c r="H3447" s="2" t="s">
        <v>572</v>
      </c>
      <c r="I3447" s="2" t="s">
        <v>17</v>
      </c>
      <c r="J3447" s="3">
        <v>3.9660000000000002</v>
      </c>
      <c r="K3447" s="2" t="s">
        <v>471</v>
      </c>
      <c r="L3447" s="2">
        <v>2024</v>
      </c>
      <c r="M3447" s="2" t="s">
        <v>205</v>
      </c>
      <c r="N3447" s="2" t="s">
        <v>21</v>
      </c>
      <c r="O3447">
        <f t="shared" si="106"/>
        <v>6.4200000000000017</v>
      </c>
      <c r="P3447">
        <f t="shared" si="107"/>
        <v>236.74599999999995</v>
      </c>
    </row>
    <row r="3448" spans="1:16" x14ac:dyDescent="0.35">
      <c r="A3448" s="9" t="s">
        <v>487</v>
      </c>
      <c r="B3448" s="2">
        <v>122.012</v>
      </c>
      <c r="C3448" s="2">
        <v>124.931</v>
      </c>
      <c r="D3448" s="2">
        <v>121.602</v>
      </c>
      <c r="E3448" s="2">
        <v>123.501</v>
      </c>
      <c r="F3448" s="2">
        <v>284712564</v>
      </c>
      <c r="G3448" s="2" t="s">
        <v>571</v>
      </c>
      <c r="H3448" s="2" t="s">
        <v>572</v>
      </c>
      <c r="I3448" s="2" t="s">
        <v>17</v>
      </c>
      <c r="J3448" s="3">
        <v>2.1829999999999998</v>
      </c>
      <c r="K3448" s="2" t="s">
        <v>471</v>
      </c>
      <c r="L3448" s="2">
        <v>2024</v>
      </c>
      <c r="M3448" s="2" t="s">
        <v>205</v>
      </c>
      <c r="N3448" s="2" t="s">
        <v>21</v>
      </c>
      <c r="O3448">
        <f t="shared" si="106"/>
        <v>3.3289999999999935</v>
      </c>
      <c r="P3448">
        <f t="shared" si="107"/>
        <v>238.92899999999995</v>
      </c>
    </row>
    <row r="3449" spans="1:16" x14ac:dyDescent="0.35">
      <c r="A3449" s="9" t="s">
        <v>488</v>
      </c>
      <c r="B3449" s="2">
        <v>126.791</v>
      </c>
      <c r="C3449" s="2">
        <v>127.65600000000001</v>
      </c>
      <c r="D3449" s="2">
        <v>121.792</v>
      </c>
      <c r="E3449" s="2">
        <v>124.03100000000001</v>
      </c>
      <c r="F3449" s="2">
        <v>302603717</v>
      </c>
      <c r="G3449" s="2" t="s">
        <v>571</v>
      </c>
      <c r="H3449" s="2" t="s">
        <v>572</v>
      </c>
      <c r="I3449" s="2" t="s">
        <v>17</v>
      </c>
      <c r="J3449" s="3">
        <v>0.42899999999999999</v>
      </c>
      <c r="K3449" s="2" t="s">
        <v>471</v>
      </c>
      <c r="L3449" s="2">
        <v>2024</v>
      </c>
      <c r="M3449" s="2" t="s">
        <v>205</v>
      </c>
      <c r="N3449" s="2" t="s">
        <v>21</v>
      </c>
      <c r="O3449">
        <f t="shared" si="106"/>
        <v>5.8640000000000043</v>
      </c>
      <c r="P3449">
        <f t="shared" si="107"/>
        <v>239.35799999999995</v>
      </c>
    </row>
    <row r="3450" spans="1:16" x14ac:dyDescent="0.35">
      <c r="A3450" s="9" t="s">
        <v>489</v>
      </c>
      <c r="B3450" s="2">
        <v>123.961</v>
      </c>
      <c r="C3450" s="2">
        <v>124.021</v>
      </c>
      <c r="D3450" s="2">
        <v>119.252</v>
      </c>
      <c r="E3450" s="2">
        <v>121.392</v>
      </c>
      <c r="F3450" s="2">
        <v>271027848</v>
      </c>
      <c r="G3450" s="2" t="s">
        <v>571</v>
      </c>
      <c r="H3450" s="2" t="s">
        <v>572</v>
      </c>
      <c r="I3450" s="2" t="s">
        <v>17</v>
      </c>
      <c r="J3450" s="4">
        <v>-2.1280000000000001</v>
      </c>
      <c r="K3450" s="2" t="s">
        <v>471</v>
      </c>
      <c r="L3450" s="2">
        <v>2024</v>
      </c>
      <c r="M3450" s="2" t="s">
        <v>205</v>
      </c>
      <c r="N3450" s="2" t="s">
        <v>23</v>
      </c>
      <c r="O3450">
        <f t="shared" si="106"/>
        <v>4.7690000000000055</v>
      </c>
      <c r="P3450">
        <f t="shared" si="107"/>
        <v>237.22999999999996</v>
      </c>
    </row>
    <row r="3451" spans="1:16" x14ac:dyDescent="0.35">
      <c r="A3451" s="9" t="s">
        <v>490</v>
      </c>
      <c r="B3451" s="2">
        <v>118.30200000000001</v>
      </c>
      <c r="C3451" s="2">
        <v>121.492</v>
      </c>
      <c r="D3451" s="2">
        <v>118.142</v>
      </c>
      <c r="E3451" s="2">
        <v>121.432</v>
      </c>
      <c r="F3451" s="2">
        <v>227069295</v>
      </c>
      <c r="G3451" s="2" t="s">
        <v>571</v>
      </c>
      <c r="H3451" s="2" t="s">
        <v>572</v>
      </c>
      <c r="I3451" s="2" t="s">
        <v>17</v>
      </c>
      <c r="J3451" s="3">
        <v>3.3000000000000002E-2</v>
      </c>
      <c r="K3451" s="2" t="s">
        <v>471</v>
      </c>
      <c r="L3451" s="2">
        <v>2024</v>
      </c>
      <c r="M3451" s="2" t="s">
        <v>205</v>
      </c>
      <c r="N3451" s="2" t="s">
        <v>21</v>
      </c>
      <c r="O3451">
        <f t="shared" si="106"/>
        <v>3.3500000000000085</v>
      </c>
      <c r="P3451">
        <f t="shared" si="107"/>
        <v>237.26299999999995</v>
      </c>
    </row>
    <row r="3452" spans="1:16" x14ac:dyDescent="0.35">
      <c r="A3452" s="9" t="s">
        <v>491</v>
      </c>
      <c r="B3452" s="2">
        <v>121.75700000000001</v>
      </c>
      <c r="C3452" s="2">
        <v>122.42700000000001</v>
      </c>
      <c r="D3452" s="2">
        <v>115.782</v>
      </c>
      <c r="E3452" s="2">
        <v>116.992</v>
      </c>
      <c r="F3452" s="2">
        <v>302115300</v>
      </c>
      <c r="G3452" s="2" t="s">
        <v>571</v>
      </c>
      <c r="H3452" s="2" t="s">
        <v>572</v>
      </c>
      <c r="I3452" s="2" t="s">
        <v>17</v>
      </c>
      <c r="J3452" s="4">
        <v>-3.6560000000000001</v>
      </c>
      <c r="K3452" s="2" t="s">
        <v>492</v>
      </c>
      <c r="L3452" s="2">
        <v>2024</v>
      </c>
      <c r="M3452" s="2" t="s">
        <v>227</v>
      </c>
      <c r="N3452" s="2" t="s">
        <v>23</v>
      </c>
      <c r="O3452">
        <f t="shared" si="106"/>
        <v>6.6450000000000102</v>
      </c>
      <c r="P3452">
        <f t="shared" si="107"/>
        <v>233.60699999999994</v>
      </c>
    </row>
    <row r="3453" spans="1:16" x14ac:dyDescent="0.35">
      <c r="A3453" s="9" t="s">
        <v>493</v>
      </c>
      <c r="B3453" s="2">
        <v>116.432</v>
      </c>
      <c r="C3453" s="2">
        <v>119.372</v>
      </c>
      <c r="D3453" s="2">
        <v>115.13200000000001</v>
      </c>
      <c r="E3453" s="2">
        <v>118.842</v>
      </c>
      <c r="F3453" s="2">
        <v>221861173</v>
      </c>
      <c r="G3453" s="2" t="s">
        <v>571</v>
      </c>
      <c r="H3453" s="2" t="s">
        <v>572</v>
      </c>
      <c r="I3453" s="2" t="s">
        <v>17</v>
      </c>
      <c r="J3453" s="3">
        <v>1.581</v>
      </c>
      <c r="K3453" s="2" t="s">
        <v>492</v>
      </c>
      <c r="L3453" s="2">
        <v>2024</v>
      </c>
      <c r="M3453" s="2" t="s">
        <v>227</v>
      </c>
      <c r="N3453" s="2" t="s">
        <v>21</v>
      </c>
      <c r="O3453">
        <f t="shared" si="106"/>
        <v>4.2399999999999949</v>
      </c>
      <c r="P3453">
        <f t="shared" si="107"/>
        <v>235.18799999999993</v>
      </c>
    </row>
    <row r="3454" spans="1:16" x14ac:dyDescent="0.35">
      <c r="A3454" s="9" t="s">
        <v>494</v>
      </c>
      <c r="B3454" s="2">
        <v>120.91200000000001</v>
      </c>
      <c r="C3454" s="2">
        <v>124.351</v>
      </c>
      <c r="D3454" s="2">
        <v>120.33199999999999</v>
      </c>
      <c r="E3454" s="2">
        <v>122.842</v>
      </c>
      <c r="F3454" s="2">
        <v>277137067</v>
      </c>
      <c r="G3454" s="2" t="s">
        <v>571</v>
      </c>
      <c r="H3454" s="2" t="s">
        <v>572</v>
      </c>
      <c r="I3454" s="2" t="s">
        <v>17</v>
      </c>
      <c r="J3454" s="3">
        <v>3.3660000000000001</v>
      </c>
      <c r="K3454" s="2" t="s">
        <v>492</v>
      </c>
      <c r="L3454" s="2">
        <v>2024</v>
      </c>
      <c r="M3454" s="2" t="s">
        <v>227</v>
      </c>
      <c r="N3454" s="2" t="s">
        <v>21</v>
      </c>
      <c r="O3454">
        <f t="shared" si="106"/>
        <v>4.0190000000000055</v>
      </c>
      <c r="P3454">
        <f t="shared" si="107"/>
        <v>238.55399999999995</v>
      </c>
    </row>
    <row r="3455" spans="1:16" x14ac:dyDescent="0.35">
      <c r="A3455" s="9" t="s">
        <v>495</v>
      </c>
      <c r="B3455" s="2">
        <v>124.931</v>
      </c>
      <c r="C3455" s="2">
        <v>125.03100000000001</v>
      </c>
      <c r="D3455" s="2">
        <v>121.822</v>
      </c>
      <c r="E3455" s="2">
        <v>124.911</v>
      </c>
      <c r="F3455" s="2">
        <v>244482396</v>
      </c>
      <c r="G3455" s="2" t="s">
        <v>571</v>
      </c>
      <c r="H3455" s="2" t="s">
        <v>572</v>
      </c>
      <c r="I3455" s="2" t="s">
        <v>17</v>
      </c>
      <c r="J3455" s="3">
        <v>1.6839999999999999</v>
      </c>
      <c r="K3455" s="2" t="s">
        <v>492</v>
      </c>
      <c r="L3455" s="2">
        <v>2024</v>
      </c>
      <c r="M3455" s="2" t="s">
        <v>227</v>
      </c>
      <c r="N3455" s="2" t="s">
        <v>21</v>
      </c>
      <c r="O3455">
        <f t="shared" si="106"/>
        <v>3.2090000000000032</v>
      </c>
      <c r="P3455">
        <f t="shared" si="107"/>
        <v>240.23799999999994</v>
      </c>
    </row>
    <row r="3456" spans="1:16" x14ac:dyDescent="0.35">
      <c r="A3456" s="9" t="s">
        <v>496</v>
      </c>
      <c r="B3456" s="2">
        <v>124.98099999999999</v>
      </c>
      <c r="C3456" s="2">
        <v>130.631</v>
      </c>
      <c r="D3456" s="2">
        <v>124.941</v>
      </c>
      <c r="E3456" s="2">
        <v>127.711</v>
      </c>
      <c r="F3456" s="2">
        <v>346274090</v>
      </c>
      <c r="G3456" s="2" t="s">
        <v>571</v>
      </c>
      <c r="H3456" s="2" t="s">
        <v>572</v>
      </c>
      <c r="I3456" s="2" t="s">
        <v>17</v>
      </c>
      <c r="J3456" s="3">
        <v>2.242</v>
      </c>
      <c r="K3456" s="2" t="s">
        <v>492</v>
      </c>
      <c r="L3456" s="2">
        <v>2024</v>
      </c>
      <c r="M3456" s="2" t="s">
        <v>227</v>
      </c>
      <c r="N3456" s="2" t="s">
        <v>21</v>
      </c>
      <c r="O3456">
        <f t="shared" si="106"/>
        <v>5.6899999999999977</v>
      </c>
      <c r="P3456">
        <f t="shared" si="107"/>
        <v>242.47999999999993</v>
      </c>
    </row>
    <row r="3457" spans="1:16" x14ac:dyDescent="0.35">
      <c r="A3457" s="9" t="s">
        <v>497</v>
      </c>
      <c r="B3457" s="2">
        <v>130.251</v>
      </c>
      <c r="C3457" s="2">
        <v>133.471</v>
      </c>
      <c r="D3457" s="2">
        <v>129.411</v>
      </c>
      <c r="E3457" s="2">
        <v>132.881</v>
      </c>
      <c r="F3457" s="2">
        <v>285742172</v>
      </c>
      <c r="G3457" s="2" t="s">
        <v>571</v>
      </c>
      <c r="H3457" s="2" t="s">
        <v>572</v>
      </c>
      <c r="I3457" s="2" t="s">
        <v>17</v>
      </c>
      <c r="J3457" s="3">
        <v>4.048</v>
      </c>
      <c r="K3457" s="2" t="s">
        <v>492</v>
      </c>
      <c r="L3457" s="2">
        <v>2024</v>
      </c>
      <c r="M3457" s="2" t="s">
        <v>227</v>
      </c>
      <c r="N3457" s="2" t="s">
        <v>21</v>
      </c>
      <c r="O3457">
        <f t="shared" si="106"/>
        <v>4.0600000000000023</v>
      </c>
      <c r="P3457">
        <f t="shared" si="107"/>
        <v>246.52799999999993</v>
      </c>
    </row>
    <row r="3458" spans="1:16" x14ac:dyDescent="0.35">
      <c r="A3458" s="9" t="s">
        <v>498</v>
      </c>
      <c r="B3458" s="2">
        <v>134.101</v>
      </c>
      <c r="C3458" s="2">
        <v>134.511</v>
      </c>
      <c r="D3458" s="2">
        <v>131.37100000000001</v>
      </c>
      <c r="E3458" s="2">
        <v>132.64099999999999</v>
      </c>
      <c r="F3458" s="2">
        <v>246208575</v>
      </c>
      <c r="G3458" s="2" t="s">
        <v>571</v>
      </c>
      <c r="H3458" s="2" t="s">
        <v>572</v>
      </c>
      <c r="I3458" s="2" t="s">
        <v>17</v>
      </c>
      <c r="J3458" s="4">
        <v>-0.18099999999999999</v>
      </c>
      <c r="K3458" s="2" t="s">
        <v>492</v>
      </c>
      <c r="L3458" s="2">
        <v>2024</v>
      </c>
      <c r="M3458" s="2" t="s">
        <v>227</v>
      </c>
      <c r="N3458" s="2" t="s">
        <v>23</v>
      </c>
      <c r="O3458">
        <f t="shared" si="106"/>
        <v>3.1399999999999864</v>
      </c>
      <c r="P3458">
        <f t="shared" si="107"/>
        <v>246.34699999999992</v>
      </c>
    </row>
    <row r="3459" spans="1:16" x14ac:dyDescent="0.35">
      <c r="A3459" s="9" t="s">
        <v>499</v>
      </c>
      <c r="B3459" s="2">
        <v>131.90100000000001</v>
      </c>
      <c r="C3459" s="2">
        <v>134.99100000000001</v>
      </c>
      <c r="D3459" s="2">
        <v>130.99100000000001</v>
      </c>
      <c r="E3459" s="2">
        <v>134.80099999999999</v>
      </c>
      <c r="F3459" s="2">
        <v>242328033</v>
      </c>
      <c r="G3459" s="2" t="s">
        <v>571</v>
      </c>
      <c r="H3459" s="2" t="s">
        <v>572</v>
      </c>
      <c r="I3459" s="2" t="s">
        <v>17</v>
      </c>
      <c r="J3459" s="3">
        <v>1.6279999999999999</v>
      </c>
      <c r="K3459" s="2" t="s">
        <v>492</v>
      </c>
      <c r="L3459" s="2">
        <v>2024</v>
      </c>
      <c r="M3459" s="2" t="s">
        <v>227</v>
      </c>
      <c r="N3459" s="2" t="s">
        <v>21</v>
      </c>
      <c r="O3459">
        <f t="shared" ref="O3459:O3522" si="108">C3459-D3459</f>
        <v>4</v>
      </c>
      <c r="P3459">
        <f t="shared" si="107"/>
        <v>247.97499999999991</v>
      </c>
    </row>
    <row r="3460" spans="1:16" x14ac:dyDescent="0.35">
      <c r="A3460" s="9" t="s">
        <v>500</v>
      </c>
      <c r="B3460" s="2">
        <v>134.001</v>
      </c>
      <c r="C3460" s="2">
        <v>135.77099999999999</v>
      </c>
      <c r="D3460" s="2">
        <v>133.65100000000001</v>
      </c>
      <c r="E3460" s="2">
        <v>134.791</v>
      </c>
      <c r="F3460" s="2">
        <v>170221202</v>
      </c>
      <c r="G3460" s="2" t="s">
        <v>571</v>
      </c>
      <c r="H3460" s="2" t="s">
        <v>572</v>
      </c>
      <c r="I3460" s="2" t="s">
        <v>17</v>
      </c>
      <c r="J3460" s="4">
        <v>-7.0000000000000001E-3</v>
      </c>
      <c r="K3460" s="2" t="s">
        <v>492</v>
      </c>
      <c r="L3460" s="2">
        <v>2024</v>
      </c>
      <c r="M3460" s="2" t="s">
        <v>227</v>
      </c>
      <c r="N3460" s="2" t="s">
        <v>23</v>
      </c>
      <c r="O3460">
        <f t="shared" si="108"/>
        <v>2.1199999999999761</v>
      </c>
      <c r="P3460">
        <f t="shared" ref="P3460:P3523" si="109">IF(G3460=G3459, P3459+J3460, J3460)</f>
        <v>247.9679999999999</v>
      </c>
    </row>
    <row r="3461" spans="1:16" x14ac:dyDescent="0.35">
      <c r="A3461" s="9" t="s">
        <v>501</v>
      </c>
      <c r="B3461" s="2">
        <v>136.46100000000001</v>
      </c>
      <c r="C3461" s="2">
        <v>139.59</v>
      </c>
      <c r="D3461" s="2">
        <v>136.291</v>
      </c>
      <c r="E3461" s="2">
        <v>138.06</v>
      </c>
      <c r="F3461" s="2">
        <v>232363677</v>
      </c>
      <c r="G3461" s="2" t="s">
        <v>571</v>
      </c>
      <c r="H3461" s="2" t="s">
        <v>572</v>
      </c>
      <c r="I3461" s="2" t="s">
        <v>17</v>
      </c>
      <c r="J3461" s="3">
        <v>2.4249999999999998</v>
      </c>
      <c r="K3461" s="2" t="s">
        <v>492</v>
      </c>
      <c r="L3461" s="2">
        <v>2024</v>
      </c>
      <c r="M3461" s="2" t="s">
        <v>227</v>
      </c>
      <c r="N3461" s="2" t="s">
        <v>21</v>
      </c>
      <c r="O3461">
        <f t="shared" si="108"/>
        <v>3.2990000000000066</v>
      </c>
      <c r="P3461">
        <f t="shared" si="109"/>
        <v>250.39299999999992</v>
      </c>
    </row>
    <row r="3462" spans="1:16" x14ac:dyDescent="0.35">
      <c r="A3462" s="9" t="s">
        <v>502</v>
      </c>
      <c r="B3462" s="2">
        <v>137.86099999999999</v>
      </c>
      <c r="C3462" s="2">
        <v>138.56</v>
      </c>
      <c r="D3462" s="2">
        <v>128.73099999999999</v>
      </c>
      <c r="E3462" s="2">
        <v>131.59100000000001</v>
      </c>
      <c r="F3462" s="2">
        <v>377857054</v>
      </c>
      <c r="G3462" s="2" t="s">
        <v>571</v>
      </c>
      <c r="H3462" s="2" t="s">
        <v>572</v>
      </c>
      <c r="I3462" s="2" t="s">
        <v>17</v>
      </c>
      <c r="J3462" s="4">
        <v>-4.6859999999999999</v>
      </c>
      <c r="K3462" s="2" t="s">
        <v>492</v>
      </c>
      <c r="L3462" s="2">
        <v>2024</v>
      </c>
      <c r="M3462" s="2" t="s">
        <v>227</v>
      </c>
      <c r="N3462" s="2" t="s">
        <v>23</v>
      </c>
      <c r="O3462">
        <f t="shared" si="108"/>
        <v>9.8290000000000077</v>
      </c>
      <c r="P3462">
        <f t="shared" si="109"/>
        <v>245.70699999999991</v>
      </c>
    </row>
    <row r="3463" spans="1:16" x14ac:dyDescent="0.35">
      <c r="A3463" s="9" t="s">
        <v>503</v>
      </c>
      <c r="B3463" s="2">
        <v>133.971</v>
      </c>
      <c r="C3463" s="2">
        <v>136.61099999999999</v>
      </c>
      <c r="D3463" s="2">
        <v>131.571</v>
      </c>
      <c r="E3463" s="2">
        <v>135.71100000000001</v>
      </c>
      <c r="F3463" s="2">
        <v>264897971</v>
      </c>
      <c r="G3463" s="2" t="s">
        <v>571</v>
      </c>
      <c r="H3463" s="2" t="s">
        <v>572</v>
      </c>
      <c r="I3463" s="2" t="s">
        <v>17</v>
      </c>
      <c r="J3463" s="3">
        <v>3.1309999999999998</v>
      </c>
      <c r="K3463" s="2" t="s">
        <v>492</v>
      </c>
      <c r="L3463" s="2">
        <v>2024</v>
      </c>
      <c r="M3463" s="2" t="s">
        <v>227</v>
      </c>
      <c r="N3463" s="2" t="s">
        <v>21</v>
      </c>
      <c r="O3463">
        <f t="shared" si="108"/>
        <v>5.039999999999992</v>
      </c>
      <c r="P3463">
        <f t="shared" si="109"/>
        <v>248.83799999999991</v>
      </c>
    </row>
    <row r="3464" spans="1:16" x14ac:dyDescent="0.35">
      <c r="A3464" s="9" t="s">
        <v>504</v>
      </c>
      <c r="B3464" s="2">
        <v>139.33000000000001</v>
      </c>
      <c r="C3464" s="2">
        <v>140.88</v>
      </c>
      <c r="D3464" s="2">
        <v>136.86099999999999</v>
      </c>
      <c r="E3464" s="2">
        <v>136.92099999999999</v>
      </c>
      <c r="F3464" s="2">
        <v>306457035</v>
      </c>
      <c r="G3464" s="2" t="s">
        <v>571</v>
      </c>
      <c r="H3464" s="2" t="s">
        <v>572</v>
      </c>
      <c r="I3464" s="2" t="s">
        <v>17</v>
      </c>
      <c r="J3464" s="3">
        <v>0.89200000000000002</v>
      </c>
      <c r="K3464" s="2" t="s">
        <v>492</v>
      </c>
      <c r="L3464" s="2">
        <v>2024</v>
      </c>
      <c r="M3464" s="2" t="s">
        <v>227</v>
      </c>
      <c r="N3464" s="2" t="s">
        <v>21</v>
      </c>
      <c r="O3464">
        <f t="shared" si="108"/>
        <v>4.0190000000000055</v>
      </c>
      <c r="P3464">
        <f t="shared" si="109"/>
        <v>249.7299999999999</v>
      </c>
    </row>
    <row r="3465" spans="1:16" x14ac:dyDescent="0.35">
      <c r="A3465" s="9" t="s">
        <v>505</v>
      </c>
      <c r="B3465" s="2">
        <v>138.655</v>
      </c>
      <c r="C3465" s="2">
        <v>138.88999999999999</v>
      </c>
      <c r="D3465" s="2">
        <v>137.27099999999999</v>
      </c>
      <c r="E3465" s="2">
        <v>137.99</v>
      </c>
      <c r="F3465" s="2">
        <v>176102317</v>
      </c>
      <c r="G3465" s="2" t="s">
        <v>571</v>
      </c>
      <c r="H3465" s="2" t="s">
        <v>572</v>
      </c>
      <c r="I3465" s="2" t="s">
        <v>17</v>
      </c>
      <c r="J3465" s="3">
        <v>0.78100000000000003</v>
      </c>
      <c r="K3465" s="2" t="s">
        <v>492</v>
      </c>
      <c r="L3465" s="2">
        <v>2024</v>
      </c>
      <c r="M3465" s="2" t="s">
        <v>227</v>
      </c>
      <c r="N3465" s="2" t="s">
        <v>21</v>
      </c>
      <c r="O3465">
        <f t="shared" si="108"/>
        <v>1.6189999999999998</v>
      </c>
      <c r="P3465">
        <f t="shared" si="109"/>
        <v>250.51099999999991</v>
      </c>
    </row>
    <row r="3466" spans="1:16" x14ac:dyDescent="0.35">
      <c r="A3466" s="9" t="s">
        <v>506</v>
      </c>
      <c r="B3466" s="2">
        <v>138.12</v>
      </c>
      <c r="C3466" s="2">
        <v>143.69999999999999</v>
      </c>
      <c r="D3466" s="2">
        <v>137.99</v>
      </c>
      <c r="E3466" s="2">
        <v>143.69999999999999</v>
      </c>
      <c r="F3466" s="2">
        <v>264572742</v>
      </c>
      <c r="G3466" s="2" t="s">
        <v>571</v>
      </c>
      <c r="H3466" s="2" t="s">
        <v>572</v>
      </c>
      <c r="I3466" s="2" t="s">
        <v>17</v>
      </c>
      <c r="J3466" s="3">
        <v>4.1379999999999999</v>
      </c>
      <c r="K3466" s="2" t="s">
        <v>492</v>
      </c>
      <c r="L3466" s="2">
        <v>2024</v>
      </c>
      <c r="M3466" s="2" t="s">
        <v>227</v>
      </c>
      <c r="N3466" s="2" t="s">
        <v>21</v>
      </c>
      <c r="O3466">
        <f t="shared" si="108"/>
        <v>5.7099999999999795</v>
      </c>
      <c r="P3466">
        <f t="shared" si="109"/>
        <v>254.64899999999992</v>
      </c>
    </row>
    <row r="3467" spans="1:16" x14ac:dyDescent="0.35">
      <c r="A3467" s="9" t="s">
        <v>507</v>
      </c>
      <c r="B3467" s="2">
        <v>142.9</v>
      </c>
      <c r="C3467" s="2">
        <v>144.41</v>
      </c>
      <c r="D3467" s="2">
        <v>141.77000000000001</v>
      </c>
      <c r="E3467" s="2">
        <v>143.58000000000001</v>
      </c>
      <c r="F3467" s="2">
        <v>226327182</v>
      </c>
      <c r="G3467" s="2" t="s">
        <v>571</v>
      </c>
      <c r="H3467" s="2" t="s">
        <v>572</v>
      </c>
      <c r="I3467" s="2" t="s">
        <v>17</v>
      </c>
      <c r="J3467" s="4">
        <v>-8.4000000000000005E-2</v>
      </c>
      <c r="K3467" s="2" t="s">
        <v>492</v>
      </c>
      <c r="L3467" s="2">
        <v>2024</v>
      </c>
      <c r="M3467" s="2" t="s">
        <v>227</v>
      </c>
      <c r="N3467" s="2" t="s">
        <v>23</v>
      </c>
      <c r="O3467">
        <f t="shared" si="108"/>
        <v>2.6399999999999864</v>
      </c>
      <c r="P3467">
        <f t="shared" si="109"/>
        <v>254.56499999999991</v>
      </c>
    </row>
    <row r="3468" spans="1:16" x14ac:dyDescent="0.35">
      <c r="A3468" s="9" t="s">
        <v>508</v>
      </c>
      <c r="B3468" s="2">
        <v>142.02000000000001</v>
      </c>
      <c r="C3468" s="2">
        <v>142.41999999999999</v>
      </c>
      <c r="D3468" s="2">
        <v>137.45099999999999</v>
      </c>
      <c r="E3468" s="2">
        <v>139.55000000000001</v>
      </c>
      <c r="F3468" s="2">
        <v>285949739</v>
      </c>
      <c r="G3468" s="2" t="s">
        <v>571</v>
      </c>
      <c r="H3468" s="2" t="s">
        <v>572</v>
      </c>
      <c r="I3468" s="2" t="s">
        <v>17</v>
      </c>
      <c r="J3468" s="4">
        <v>-2.8069999999999999</v>
      </c>
      <c r="K3468" s="2" t="s">
        <v>492</v>
      </c>
      <c r="L3468" s="2">
        <v>2024</v>
      </c>
      <c r="M3468" s="2" t="s">
        <v>227</v>
      </c>
      <c r="N3468" s="2" t="s">
        <v>23</v>
      </c>
      <c r="O3468">
        <f t="shared" si="108"/>
        <v>4.9689999999999941</v>
      </c>
      <c r="P3468">
        <f t="shared" si="109"/>
        <v>251.75799999999992</v>
      </c>
    </row>
    <row r="3469" spans="1:16" x14ac:dyDescent="0.35">
      <c r="A3469" s="9" t="s">
        <v>509</v>
      </c>
      <c r="B3469" s="2">
        <v>140.81</v>
      </c>
      <c r="C3469" s="2">
        <v>141.34</v>
      </c>
      <c r="D3469" s="2">
        <v>138.44999999999999</v>
      </c>
      <c r="E3469" s="2">
        <v>140.4</v>
      </c>
      <c r="F3469" s="2">
        <v>172366763</v>
      </c>
      <c r="G3469" s="2" t="s">
        <v>571</v>
      </c>
      <c r="H3469" s="2" t="s">
        <v>572</v>
      </c>
      <c r="I3469" s="2" t="s">
        <v>17</v>
      </c>
      <c r="J3469" s="3">
        <v>0.60899999999999999</v>
      </c>
      <c r="K3469" s="2" t="s">
        <v>492</v>
      </c>
      <c r="L3469" s="2">
        <v>2024</v>
      </c>
      <c r="M3469" s="2" t="s">
        <v>227</v>
      </c>
      <c r="N3469" s="2" t="s">
        <v>21</v>
      </c>
      <c r="O3469">
        <f t="shared" si="108"/>
        <v>2.8900000000000148</v>
      </c>
      <c r="P3469">
        <f t="shared" si="109"/>
        <v>252.36699999999993</v>
      </c>
    </row>
    <row r="3470" spans="1:16" x14ac:dyDescent="0.35">
      <c r="A3470" s="9" t="s">
        <v>510</v>
      </c>
      <c r="B3470" s="2">
        <v>140.91999999999999</v>
      </c>
      <c r="C3470" s="2">
        <v>144.12</v>
      </c>
      <c r="D3470" s="2">
        <v>140.79</v>
      </c>
      <c r="E3470" s="2">
        <v>141.53</v>
      </c>
      <c r="F3470" s="2">
        <v>205136242</v>
      </c>
      <c r="G3470" s="2" t="s">
        <v>571</v>
      </c>
      <c r="H3470" s="2" t="s">
        <v>572</v>
      </c>
      <c r="I3470" s="2" t="s">
        <v>17</v>
      </c>
      <c r="J3470" s="3">
        <v>0.80500000000000005</v>
      </c>
      <c r="K3470" s="2" t="s">
        <v>492</v>
      </c>
      <c r="L3470" s="2">
        <v>2024</v>
      </c>
      <c r="M3470" s="2" t="s">
        <v>227</v>
      </c>
      <c r="N3470" s="2" t="s">
        <v>21</v>
      </c>
      <c r="O3470">
        <f t="shared" si="108"/>
        <v>3.3300000000000125</v>
      </c>
      <c r="P3470">
        <f t="shared" si="109"/>
        <v>253.17199999999994</v>
      </c>
    </row>
    <row r="3471" spans="1:16" x14ac:dyDescent="0.35">
      <c r="A3471" s="9" t="s">
        <v>511</v>
      </c>
      <c r="B3471" s="2">
        <v>142.99</v>
      </c>
      <c r="C3471" s="2">
        <v>143.13</v>
      </c>
      <c r="D3471" s="2">
        <v>140.04</v>
      </c>
      <c r="E3471" s="2">
        <v>140.51</v>
      </c>
      <c r="F3471" s="2">
        <v>173598705</v>
      </c>
      <c r="G3471" s="2" t="s">
        <v>571</v>
      </c>
      <c r="H3471" s="2" t="s">
        <v>572</v>
      </c>
      <c r="I3471" s="2" t="s">
        <v>17</v>
      </c>
      <c r="J3471" s="4">
        <v>-0.72099999999999997</v>
      </c>
      <c r="K3471" s="2" t="s">
        <v>492</v>
      </c>
      <c r="L3471" s="2">
        <v>2024</v>
      </c>
      <c r="M3471" s="2" t="s">
        <v>227</v>
      </c>
      <c r="N3471" s="2" t="s">
        <v>23</v>
      </c>
      <c r="O3471">
        <f t="shared" si="108"/>
        <v>3.0900000000000034</v>
      </c>
      <c r="P3471">
        <f t="shared" si="109"/>
        <v>252.45099999999994</v>
      </c>
    </row>
    <row r="3472" spans="1:16" x14ac:dyDescent="0.35">
      <c r="A3472" s="9" t="s">
        <v>512</v>
      </c>
      <c r="B3472" s="2">
        <v>140.27500000000001</v>
      </c>
      <c r="C3472" s="2">
        <v>142.25</v>
      </c>
      <c r="D3472" s="2">
        <v>138.88999999999999</v>
      </c>
      <c r="E3472" s="2">
        <v>141.24</v>
      </c>
      <c r="F3472" s="2">
        <v>157604492</v>
      </c>
      <c r="G3472" s="2" t="s">
        <v>571</v>
      </c>
      <c r="H3472" s="2" t="s">
        <v>572</v>
      </c>
      <c r="I3472" s="2" t="s">
        <v>17</v>
      </c>
      <c r="J3472" s="3">
        <v>0.52</v>
      </c>
      <c r="K3472" s="2" t="s">
        <v>492</v>
      </c>
      <c r="L3472" s="2">
        <v>2024</v>
      </c>
      <c r="M3472" s="2" t="s">
        <v>227</v>
      </c>
      <c r="N3472" s="2" t="s">
        <v>21</v>
      </c>
      <c r="O3472">
        <f t="shared" si="108"/>
        <v>3.3600000000000136</v>
      </c>
      <c r="P3472">
        <f t="shared" si="109"/>
        <v>252.97099999999995</v>
      </c>
    </row>
    <row r="3473" spans="1:16" x14ac:dyDescent="0.35">
      <c r="A3473" s="9" t="s">
        <v>513</v>
      </c>
      <c r="B3473" s="2">
        <v>139.53</v>
      </c>
      <c r="C3473" s="2">
        <v>140.32</v>
      </c>
      <c r="D3473" s="2">
        <v>136.80099999999999</v>
      </c>
      <c r="E3473" s="2">
        <v>139.32499999999999</v>
      </c>
      <c r="F3473" s="2">
        <v>179430444</v>
      </c>
      <c r="G3473" s="2" t="s">
        <v>571</v>
      </c>
      <c r="H3473" s="2" t="s">
        <v>572</v>
      </c>
      <c r="I3473" s="2" t="s">
        <v>17</v>
      </c>
      <c r="J3473" s="4">
        <v>-1.3560000000000001</v>
      </c>
      <c r="K3473" s="2" t="s">
        <v>492</v>
      </c>
      <c r="L3473" s="2">
        <v>2024</v>
      </c>
      <c r="M3473" s="2" t="s">
        <v>227</v>
      </c>
      <c r="N3473" s="2" t="s">
        <v>23</v>
      </c>
      <c r="O3473">
        <f t="shared" si="108"/>
        <v>3.5190000000000055</v>
      </c>
      <c r="P3473">
        <f t="shared" si="109"/>
        <v>251.61499999999995</v>
      </c>
    </row>
    <row r="3474" spans="1:16" x14ac:dyDescent="0.35">
      <c r="A3474" s="9" t="s">
        <v>514</v>
      </c>
      <c r="B3474" s="2">
        <v>137.59100000000001</v>
      </c>
      <c r="C3474" s="2">
        <v>137.601</v>
      </c>
      <c r="D3474" s="2">
        <v>132.101</v>
      </c>
      <c r="E3474" s="2">
        <v>132.751</v>
      </c>
      <c r="F3474" s="2">
        <v>270058247</v>
      </c>
      <c r="G3474" s="2" t="s">
        <v>571</v>
      </c>
      <c r="H3474" s="2" t="s">
        <v>572</v>
      </c>
      <c r="I3474" s="2" t="s">
        <v>17</v>
      </c>
      <c r="J3474" s="4">
        <v>-4.718</v>
      </c>
      <c r="K3474" s="2" t="s">
        <v>492</v>
      </c>
      <c r="L3474" s="2">
        <v>2024</v>
      </c>
      <c r="M3474" s="2" t="s">
        <v>227</v>
      </c>
      <c r="N3474" s="2" t="s">
        <v>23</v>
      </c>
      <c r="O3474">
        <f t="shared" si="108"/>
        <v>5.5</v>
      </c>
      <c r="P3474">
        <f t="shared" si="109"/>
        <v>246.89699999999996</v>
      </c>
    </row>
    <row r="3475" spans="1:16" x14ac:dyDescent="0.35">
      <c r="A3475" s="9" t="s">
        <v>515</v>
      </c>
      <c r="B3475" s="2">
        <v>134.691</v>
      </c>
      <c r="C3475" s="2">
        <v>137.30099999999999</v>
      </c>
      <c r="D3475" s="2">
        <v>134.56100000000001</v>
      </c>
      <c r="E3475" s="2">
        <v>135.36099999999999</v>
      </c>
      <c r="F3475" s="2">
        <v>207142109</v>
      </c>
      <c r="G3475" s="2" t="s">
        <v>571</v>
      </c>
      <c r="H3475" s="2" t="s">
        <v>572</v>
      </c>
      <c r="I3475" s="2" t="s">
        <v>17</v>
      </c>
      <c r="J3475" s="3">
        <v>1.966</v>
      </c>
      <c r="K3475" s="2" t="s">
        <v>516</v>
      </c>
      <c r="L3475" s="2">
        <v>2024</v>
      </c>
      <c r="M3475" s="2" t="s">
        <v>251</v>
      </c>
      <c r="N3475" s="2" t="s">
        <v>21</v>
      </c>
      <c r="O3475">
        <f t="shared" si="108"/>
        <v>2.7399999999999807</v>
      </c>
      <c r="P3475">
        <f t="shared" si="109"/>
        <v>248.86299999999997</v>
      </c>
    </row>
    <row r="3476" spans="1:16" x14ac:dyDescent="0.35">
      <c r="A3476" s="9" t="s">
        <v>517</v>
      </c>
      <c r="B3476" s="2">
        <v>137.20099999999999</v>
      </c>
      <c r="C3476" s="2">
        <v>138.94999999999999</v>
      </c>
      <c r="D3476" s="2">
        <v>135.56100000000001</v>
      </c>
      <c r="E3476" s="2">
        <v>136.041</v>
      </c>
      <c r="F3476" s="2">
        <v>187541094</v>
      </c>
      <c r="G3476" s="2" t="s">
        <v>571</v>
      </c>
      <c r="H3476" s="2" t="s">
        <v>572</v>
      </c>
      <c r="I3476" s="2" t="s">
        <v>17</v>
      </c>
      <c r="J3476" s="3">
        <v>0.502</v>
      </c>
      <c r="K3476" s="2" t="s">
        <v>516</v>
      </c>
      <c r="L3476" s="2">
        <v>2024</v>
      </c>
      <c r="M3476" s="2" t="s">
        <v>251</v>
      </c>
      <c r="N3476" s="2" t="s">
        <v>21</v>
      </c>
      <c r="O3476">
        <f t="shared" si="108"/>
        <v>3.3889999999999816</v>
      </c>
      <c r="P3476">
        <f t="shared" si="109"/>
        <v>249.36499999999998</v>
      </c>
    </row>
    <row r="3477" spans="1:16" x14ac:dyDescent="0.35">
      <c r="A3477" s="9" t="s">
        <v>518</v>
      </c>
      <c r="B3477" s="2">
        <v>137.441</v>
      </c>
      <c r="C3477" s="2">
        <v>140.36000000000001</v>
      </c>
      <c r="D3477" s="2">
        <v>137.321</v>
      </c>
      <c r="E3477" s="2">
        <v>139.9</v>
      </c>
      <c r="F3477" s="2">
        <v>160548434</v>
      </c>
      <c r="G3477" s="2" t="s">
        <v>571</v>
      </c>
      <c r="H3477" s="2" t="s">
        <v>572</v>
      </c>
      <c r="I3477" s="2" t="s">
        <v>17</v>
      </c>
      <c r="J3477" s="3">
        <v>2.8370000000000002</v>
      </c>
      <c r="K3477" s="2" t="s">
        <v>516</v>
      </c>
      <c r="L3477" s="2">
        <v>2024</v>
      </c>
      <c r="M3477" s="2" t="s">
        <v>251</v>
      </c>
      <c r="N3477" s="2" t="s">
        <v>21</v>
      </c>
      <c r="O3477">
        <f t="shared" si="108"/>
        <v>3.0390000000000157</v>
      </c>
      <c r="P3477">
        <f t="shared" si="109"/>
        <v>252.20199999999997</v>
      </c>
    </row>
    <row r="3478" spans="1:16" x14ac:dyDescent="0.35">
      <c r="A3478" s="9" t="s">
        <v>519</v>
      </c>
      <c r="B3478" s="2">
        <v>142.94999999999999</v>
      </c>
      <c r="C3478" s="2">
        <v>146.47999999999999</v>
      </c>
      <c r="D3478" s="2">
        <v>141.94999999999999</v>
      </c>
      <c r="E3478" s="2">
        <v>145.6</v>
      </c>
      <c r="F3478" s="2">
        <v>242060622</v>
      </c>
      <c r="G3478" s="2" t="s">
        <v>571</v>
      </c>
      <c r="H3478" s="2" t="s">
        <v>572</v>
      </c>
      <c r="I3478" s="2" t="s">
        <v>17</v>
      </c>
      <c r="J3478" s="3">
        <v>4.0739999999999998</v>
      </c>
      <c r="K3478" s="2" t="s">
        <v>516</v>
      </c>
      <c r="L3478" s="2">
        <v>2024</v>
      </c>
      <c r="M3478" s="2" t="s">
        <v>251</v>
      </c>
      <c r="N3478" s="2" t="s">
        <v>21</v>
      </c>
      <c r="O3478">
        <f t="shared" si="108"/>
        <v>4.5300000000000011</v>
      </c>
      <c r="P3478">
        <f t="shared" si="109"/>
        <v>256.27599999999995</v>
      </c>
    </row>
    <row r="3479" spans="1:16" x14ac:dyDescent="0.35">
      <c r="A3479" s="9" t="s">
        <v>520</v>
      </c>
      <c r="B3479" s="2">
        <v>146.38</v>
      </c>
      <c r="C3479" s="2">
        <v>148.91999999999999</v>
      </c>
      <c r="D3479" s="2">
        <v>146.16</v>
      </c>
      <c r="E3479" s="2">
        <v>148.87</v>
      </c>
      <c r="F3479" s="2">
        <v>207337588</v>
      </c>
      <c r="G3479" s="2" t="s">
        <v>571</v>
      </c>
      <c r="H3479" s="2" t="s">
        <v>572</v>
      </c>
      <c r="I3479" s="2" t="s">
        <v>17</v>
      </c>
      <c r="J3479" s="3">
        <v>2.246</v>
      </c>
      <c r="K3479" s="2" t="s">
        <v>516</v>
      </c>
      <c r="L3479" s="2">
        <v>2024</v>
      </c>
      <c r="M3479" s="2" t="s">
        <v>251</v>
      </c>
      <c r="N3479" s="2" t="s">
        <v>21</v>
      </c>
      <c r="O3479">
        <f t="shared" si="108"/>
        <v>2.7599999999999909</v>
      </c>
      <c r="P3479">
        <f t="shared" si="109"/>
        <v>258.52199999999993</v>
      </c>
    </row>
    <row r="3480" spans="1:16" x14ac:dyDescent="0.35">
      <c r="A3480" s="9" t="s">
        <v>521</v>
      </c>
      <c r="B3480" s="2">
        <v>148.76</v>
      </c>
      <c r="C3480" s="2">
        <v>149.76</v>
      </c>
      <c r="D3480" s="2">
        <v>146.25</v>
      </c>
      <c r="E3480" s="2">
        <v>147.62</v>
      </c>
      <c r="F3480" s="2">
        <v>175677934</v>
      </c>
      <c r="G3480" s="2" t="s">
        <v>571</v>
      </c>
      <c r="H3480" s="2" t="s">
        <v>572</v>
      </c>
      <c r="I3480" s="2" t="s">
        <v>17</v>
      </c>
      <c r="J3480" s="4">
        <v>-0.84</v>
      </c>
      <c r="K3480" s="2" t="s">
        <v>516</v>
      </c>
      <c r="L3480" s="2">
        <v>2024</v>
      </c>
      <c r="M3480" s="2" t="s">
        <v>251</v>
      </c>
      <c r="N3480" s="2" t="s">
        <v>23</v>
      </c>
      <c r="O3480">
        <f t="shared" si="108"/>
        <v>3.5099999999999909</v>
      </c>
      <c r="P3480">
        <f t="shared" si="109"/>
        <v>257.68199999999996</v>
      </c>
    </row>
    <row r="3481" spans="1:16" x14ac:dyDescent="0.35">
      <c r="A3481" s="9" t="s">
        <v>522</v>
      </c>
      <c r="B3481" s="2">
        <v>148.66999999999999</v>
      </c>
      <c r="C3481" s="2">
        <v>148.84</v>
      </c>
      <c r="D3481" s="2">
        <v>143.56</v>
      </c>
      <c r="E3481" s="2">
        <v>145.25</v>
      </c>
      <c r="F3481" s="2">
        <v>182338182</v>
      </c>
      <c r="G3481" s="2" t="s">
        <v>571</v>
      </c>
      <c r="H3481" s="2" t="s">
        <v>572</v>
      </c>
      <c r="I3481" s="2" t="s">
        <v>17</v>
      </c>
      <c r="J3481" s="4">
        <v>-1.605</v>
      </c>
      <c r="K3481" s="2" t="s">
        <v>516</v>
      </c>
      <c r="L3481" s="2">
        <v>2024</v>
      </c>
      <c r="M3481" s="2" t="s">
        <v>251</v>
      </c>
      <c r="N3481" s="2" t="s">
        <v>23</v>
      </c>
      <c r="O3481">
        <f t="shared" si="108"/>
        <v>5.2800000000000011</v>
      </c>
      <c r="P3481">
        <f t="shared" si="109"/>
        <v>256.07699999999994</v>
      </c>
    </row>
    <row r="3482" spans="1:16" x14ac:dyDescent="0.35">
      <c r="A3482" s="9" t="s">
        <v>523</v>
      </c>
      <c r="B3482" s="2">
        <v>146.77000000000001</v>
      </c>
      <c r="C3482" s="2">
        <v>149.63999999999999</v>
      </c>
      <c r="D3482" s="2">
        <v>146</v>
      </c>
      <c r="E3482" s="2">
        <v>148.28</v>
      </c>
      <c r="F3482" s="2">
        <v>198648424</v>
      </c>
      <c r="G3482" s="2" t="s">
        <v>571</v>
      </c>
      <c r="H3482" s="2" t="s">
        <v>572</v>
      </c>
      <c r="I3482" s="2" t="s">
        <v>17</v>
      </c>
      <c r="J3482" s="3">
        <v>2.0859999999999999</v>
      </c>
      <c r="K3482" s="2" t="s">
        <v>516</v>
      </c>
      <c r="L3482" s="2">
        <v>2024</v>
      </c>
      <c r="M3482" s="2" t="s">
        <v>251</v>
      </c>
      <c r="N3482" s="2" t="s">
        <v>21</v>
      </c>
      <c r="O3482">
        <f t="shared" si="108"/>
        <v>3.6399999999999864</v>
      </c>
      <c r="P3482">
        <f t="shared" si="109"/>
        <v>258.16299999999995</v>
      </c>
    </row>
    <row r="3483" spans="1:16" x14ac:dyDescent="0.35">
      <c r="A3483" s="9" t="s">
        <v>524</v>
      </c>
      <c r="B3483" s="2">
        <v>149.06</v>
      </c>
      <c r="C3483" s="2">
        <v>149.32</v>
      </c>
      <c r="D3483" s="2">
        <v>145.88999999999999</v>
      </c>
      <c r="E3483" s="2">
        <v>146.26</v>
      </c>
      <c r="F3483" s="2">
        <v>191916489</v>
      </c>
      <c r="G3483" s="2" t="s">
        <v>571</v>
      </c>
      <c r="H3483" s="2" t="s">
        <v>572</v>
      </c>
      <c r="I3483" s="2" t="s">
        <v>17</v>
      </c>
      <c r="J3483" s="4">
        <v>-1.3620000000000001</v>
      </c>
      <c r="K3483" s="2" t="s">
        <v>516</v>
      </c>
      <c r="L3483" s="2">
        <v>2024</v>
      </c>
      <c r="M3483" s="2" t="s">
        <v>251</v>
      </c>
      <c r="N3483" s="2" t="s">
        <v>23</v>
      </c>
      <c r="O3483">
        <f t="shared" si="108"/>
        <v>3.4300000000000068</v>
      </c>
      <c r="P3483">
        <f t="shared" si="109"/>
        <v>256.80099999999993</v>
      </c>
    </row>
    <row r="3484" spans="1:16" x14ac:dyDescent="0.35">
      <c r="A3484" s="9" t="s">
        <v>525</v>
      </c>
      <c r="B3484" s="2">
        <v>147.63</v>
      </c>
      <c r="C3484" s="2">
        <v>148.99</v>
      </c>
      <c r="D3484" s="2">
        <v>145.54</v>
      </c>
      <c r="E3484" s="2">
        <v>146.75</v>
      </c>
      <c r="F3484" s="2">
        <v>194476700</v>
      </c>
      <c r="G3484" s="2" t="s">
        <v>571</v>
      </c>
      <c r="H3484" s="2" t="s">
        <v>572</v>
      </c>
      <c r="I3484" s="2" t="s">
        <v>17</v>
      </c>
      <c r="J3484" s="3">
        <v>0.33500000000000002</v>
      </c>
      <c r="K3484" s="2" t="s">
        <v>516</v>
      </c>
      <c r="L3484" s="2">
        <v>2024</v>
      </c>
      <c r="M3484" s="2" t="s">
        <v>251</v>
      </c>
      <c r="N3484" s="2" t="s">
        <v>21</v>
      </c>
      <c r="O3484">
        <f t="shared" si="108"/>
        <v>3.4500000000000171</v>
      </c>
      <c r="P3484">
        <f t="shared" si="109"/>
        <v>257.13599999999991</v>
      </c>
    </row>
    <row r="3485" spans="1:16" x14ac:dyDescent="0.35">
      <c r="A3485" s="9" t="s">
        <v>526</v>
      </c>
      <c r="B3485" s="2">
        <v>144.86000000000001</v>
      </c>
      <c r="C3485" s="2">
        <v>145.22999999999999</v>
      </c>
      <c r="D3485" s="2">
        <v>140.07</v>
      </c>
      <c r="E3485" s="2">
        <v>141.97</v>
      </c>
      <c r="F3485" s="2">
        <v>250150104</v>
      </c>
      <c r="G3485" s="2" t="s">
        <v>571</v>
      </c>
      <c r="H3485" s="2" t="s">
        <v>572</v>
      </c>
      <c r="I3485" s="2" t="s">
        <v>17</v>
      </c>
      <c r="J3485" s="4">
        <v>-3.2570000000000001</v>
      </c>
      <c r="K3485" s="2" t="s">
        <v>516</v>
      </c>
      <c r="L3485" s="2">
        <v>2024</v>
      </c>
      <c r="M3485" s="2" t="s">
        <v>251</v>
      </c>
      <c r="N3485" s="2" t="s">
        <v>23</v>
      </c>
      <c r="O3485">
        <f t="shared" si="108"/>
        <v>5.1599999999999966</v>
      </c>
      <c r="P3485">
        <f t="shared" si="109"/>
        <v>253.87899999999991</v>
      </c>
    </row>
    <row r="3486" spans="1:16" x14ac:dyDescent="0.35">
      <c r="A3486" s="9" t="s">
        <v>527</v>
      </c>
      <c r="B3486" s="2">
        <v>139.49</v>
      </c>
      <c r="C3486" s="2">
        <v>141.54</v>
      </c>
      <c r="D3486" s="2">
        <v>137.14099999999999</v>
      </c>
      <c r="E3486" s="2">
        <v>140.13999999999999</v>
      </c>
      <c r="F3486" s="2">
        <v>221881280</v>
      </c>
      <c r="G3486" s="2" t="s">
        <v>571</v>
      </c>
      <c r="H3486" s="2" t="s">
        <v>572</v>
      </c>
      <c r="I3486" s="2" t="s">
        <v>17</v>
      </c>
      <c r="J3486" s="4">
        <v>-1.2889999999999999</v>
      </c>
      <c r="K3486" s="2" t="s">
        <v>516</v>
      </c>
      <c r="L3486" s="2">
        <v>2024</v>
      </c>
      <c r="M3486" s="2" t="s">
        <v>251</v>
      </c>
      <c r="N3486" s="2" t="s">
        <v>23</v>
      </c>
      <c r="O3486">
        <f t="shared" si="108"/>
        <v>4.3990000000000009</v>
      </c>
      <c r="P3486">
        <f t="shared" si="109"/>
        <v>252.58999999999992</v>
      </c>
    </row>
    <row r="3487" spans="1:16" x14ac:dyDescent="0.35">
      <c r="A3487" s="9" t="s">
        <v>528</v>
      </c>
      <c r="B3487" s="2">
        <v>141.31</v>
      </c>
      <c r="C3487" s="2">
        <v>147.12</v>
      </c>
      <c r="D3487" s="2">
        <v>140.97999999999999</v>
      </c>
      <c r="E3487" s="2">
        <v>147</v>
      </c>
      <c r="F3487" s="2">
        <v>227850610</v>
      </c>
      <c r="G3487" s="2" t="s">
        <v>571</v>
      </c>
      <c r="H3487" s="2" t="s">
        <v>572</v>
      </c>
      <c r="I3487" s="2" t="s">
        <v>17</v>
      </c>
      <c r="J3487" s="3">
        <v>4.8949999999999996</v>
      </c>
      <c r="K3487" s="2" t="s">
        <v>516</v>
      </c>
      <c r="L3487" s="2">
        <v>2024</v>
      </c>
      <c r="M3487" s="2" t="s">
        <v>251</v>
      </c>
      <c r="N3487" s="2" t="s">
        <v>21</v>
      </c>
      <c r="O3487">
        <f t="shared" si="108"/>
        <v>6.1400000000000148</v>
      </c>
      <c r="P3487">
        <f t="shared" si="109"/>
        <v>257.4849999999999</v>
      </c>
    </row>
    <row r="3488" spans="1:16" x14ac:dyDescent="0.35">
      <c r="A3488" s="9" t="s">
        <v>529</v>
      </c>
      <c r="B3488" s="2">
        <v>147.4</v>
      </c>
      <c r="C3488" s="2">
        <v>147.55000000000001</v>
      </c>
      <c r="D3488" s="2">
        <v>142.72</v>
      </c>
      <c r="E3488" s="2">
        <v>145.88</v>
      </c>
      <c r="F3488" s="2">
        <v>309893005</v>
      </c>
      <c r="G3488" s="2" t="s">
        <v>571</v>
      </c>
      <c r="H3488" s="2" t="s">
        <v>572</v>
      </c>
      <c r="I3488" s="2" t="s">
        <v>17</v>
      </c>
      <c r="J3488" s="4">
        <v>-0.76200000000000001</v>
      </c>
      <c r="K3488" s="2" t="s">
        <v>516</v>
      </c>
      <c r="L3488" s="2">
        <v>2024</v>
      </c>
      <c r="M3488" s="2" t="s">
        <v>251</v>
      </c>
      <c r="N3488" s="2" t="s">
        <v>23</v>
      </c>
      <c r="O3488">
        <f t="shared" si="108"/>
        <v>4.8300000000000125</v>
      </c>
      <c r="P3488">
        <f t="shared" si="109"/>
        <v>256.7229999999999</v>
      </c>
    </row>
    <row r="3489" spans="1:16" x14ac:dyDescent="0.35">
      <c r="A3489" s="9" t="s">
        <v>530</v>
      </c>
      <c r="B3489" s="2">
        <v>149.34</v>
      </c>
      <c r="C3489" s="2">
        <v>152.87899999999999</v>
      </c>
      <c r="D3489" s="2">
        <v>140.69</v>
      </c>
      <c r="E3489" s="2">
        <v>146.66</v>
      </c>
      <c r="F3489" s="2">
        <v>400974196</v>
      </c>
      <c r="G3489" s="2" t="s">
        <v>571</v>
      </c>
      <c r="H3489" s="2" t="s">
        <v>572</v>
      </c>
      <c r="I3489" s="2" t="s">
        <v>17</v>
      </c>
      <c r="J3489" s="3">
        <v>0.53500000000000003</v>
      </c>
      <c r="K3489" s="2" t="s">
        <v>516</v>
      </c>
      <c r="L3489" s="2">
        <v>2024</v>
      </c>
      <c r="M3489" s="2" t="s">
        <v>251</v>
      </c>
      <c r="N3489" s="2" t="s">
        <v>21</v>
      </c>
      <c r="O3489">
        <f t="shared" si="108"/>
        <v>12.188999999999993</v>
      </c>
      <c r="P3489">
        <f t="shared" si="109"/>
        <v>257.25799999999992</v>
      </c>
    </row>
    <row r="3490" spans="1:16" x14ac:dyDescent="0.35">
      <c r="A3490" s="9" t="s">
        <v>531</v>
      </c>
      <c r="B3490" s="2">
        <v>145.91999999999999</v>
      </c>
      <c r="C3490" s="2">
        <v>147.15</v>
      </c>
      <c r="D3490" s="2">
        <v>141.09</v>
      </c>
      <c r="E3490" s="2">
        <v>141.94</v>
      </c>
      <c r="F3490" s="2">
        <v>236422443</v>
      </c>
      <c r="G3490" s="2" t="s">
        <v>571</v>
      </c>
      <c r="H3490" s="2" t="s">
        <v>572</v>
      </c>
      <c r="I3490" s="2" t="s">
        <v>17</v>
      </c>
      <c r="J3490" s="4">
        <v>-3.218</v>
      </c>
      <c r="K3490" s="2" t="s">
        <v>516</v>
      </c>
      <c r="L3490" s="2">
        <v>2024</v>
      </c>
      <c r="M3490" s="2" t="s">
        <v>251</v>
      </c>
      <c r="N3490" s="2" t="s">
        <v>23</v>
      </c>
      <c r="O3490">
        <f t="shared" si="108"/>
        <v>6.0600000000000023</v>
      </c>
      <c r="P3490">
        <f t="shared" si="109"/>
        <v>254.03999999999994</v>
      </c>
    </row>
    <row r="3491" spans="1:16" x14ac:dyDescent="0.35">
      <c r="A3491" s="9" t="s">
        <v>532</v>
      </c>
      <c r="B3491" s="2">
        <v>141.97999999999999</v>
      </c>
      <c r="C3491" s="2">
        <v>142.04</v>
      </c>
      <c r="D3491" s="2">
        <v>135.81100000000001</v>
      </c>
      <c r="E3491" s="2">
        <v>136.011</v>
      </c>
      <c r="F3491" s="2">
        <v>344965642</v>
      </c>
      <c r="G3491" s="2" t="s">
        <v>571</v>
      </c>
      <c r="H3491" s="2" t="s">
        <v>572</v>
      </c>
      <c r="I3491" s="2" t="s">
        <v>17</v>
      </c>
      <c r="J3491" s="4">
        <v>-4.1769999999999996</v>
      </c>
      <c r="K3491" s="2" t="s">
        <v>516</v>
      </c>
      <c r="L3491" s="2">
        <v>2024</v>
      </c>
      <c r="M3491" s="2" t="s">
        <v>251</v>
      </c>
      <c r="N3491" s="2" t="s">
        <v>23</v>
      </c>
      <c r="O3491">
        <f t="shared" si="108"/>
        <v>6.228999999999985</v>
      </c>
      <c r="P3491">
        <f t="shared" si="109"/>
        <v>249.86299999999994</v>
      </c>
    </row>
    <row r="3492" spans="1:16" x14ac:dyDescent="0.35">
      <c r="A3492" s="9" t="s">
        <v>533</v>
      </c>
      <c r="B3492" s="2">
        <v>137.691</v>
      </c>
      <c r="C3492" s="2">
        <v>139.29</v>
      </c>
      <c r="D3492" s="2">
        <v>135.661</v>
      </c>
      <c r="E3492" s="2">
        <v>136.911</v>
      </c>
      <c r="F3492" s="2">
        <v>190300765</v>
      </c>
      <c r="G3492" s="2" t="s">
        <v>571</v>
      </c>
      <c r="H3492" s="2" t="s">
        <v>572</v>
      </c>
      <c r="I3492" s="2" t="s">
        <v>17</v>
      </c>
      <c r="J3492" s="3">
        <v>0.66200000000000003</v>
      </c>
      <c r="K3492" s="2" t="s">
        <v>516</v>
      </c>
      <c r="L3492" s="2">
        <v>2024</v>
      </c>
      <c r="M3492" s="2" t="s">
        <v>251</v>
      </c>
      <c r="N3492" s="2" t="s">
        <v>21</v>
      </c>
      <c r="O3492">
        <f t="shared" si="108"/>
        <v>3.6289999999999907</v>
      </c>
      <c r="P3492">
        <f t="shared" si="109"/>
        <v>250.52499999999995</v>
      </c>
    </row>
    <row r="3493" spans="1:16" x14ac:dyDescent="0.35">
      <c r="A3493" s="9" t="s">
        <v>534</v>
      </c>
      <c r="B3493" s="2">
        <v>135.001</v>
      </c>
      <c r="C3493" s="2">
        <v>137.21100000000001</v>
      </c>
      <c r="D3493" s="2">
        <v>131.791</v>
      </c>
      <c r="E3493" s="2">
        <v>135.33099999999999</v>
      </c>
      <c r="F3493" s="2">
        <v>226386509</v>
      </c>
      <c r="G3493" s="2" t="s">
        <v>571</v>
      </c>
      <c r="H3493" s="2" t="s">
        <v>572</v>
      </c>
      <c r="I3493" s="2" t="s">
        <v>17</v>
      </c>
      <c r="J3493" s="4">
        <v>-1.1539999999999999</v>
      </c>
      <c r="K3493" s="2" t="s">
        <v>516</v>
      </c>
      <c r="L3493" s="2">
        <v>2024</v>
      </c>
      <c r="M3493" s="2" t="s">
        <v>251</v>
      </c>
      <c r="N3493" s="2" t="s">
        <v>23</v>
      </c>
      <c r="O3493">
        <f t="shared" si="108"/>
        <v>5.4200000000000159</v>
      </c>
      <c r="P3493">
        <f t="shared" si="109"/>
        <v>249.37099999999995</v>
      </c>
    </row>
    <row r="3494" spans="1:16" x14ac:dyDescent="0.35">
      <c r="A3494" s="9" t="s">
        <v>535</v>
      </c>
      <c r="B3494" s="2">
        <v>136.77099999999999</v>
      </c>
      <c r="C3494" s="2">
        <v>139.34</v>
      </c>
      <c r="D3494" s="2">
        <v>136.041</v>
      </c>
      <c r="E3494" s="2">
        <v>138.24</v>
      </c>
      <c r="F3494" s="2">
        <v>141872930</v>
      </c>
      <c r="G3494" s="2" t="s">
        <v>571</v>
      </c>
      <c r="H3494" s="2" t="s">
        <v>572</v>
      </c>
      <c r="I3494" s="2" t="s">
        <v>17</v>
      </c>
      <c r="J3494" s="3">
        <v>2.15</v>
      </c>
      <c r="K3494" s="2" t="s">
        <v>516</v>
      </c>
      <c r="L3494" s="2">
        <v>2024</v>
      </c>
      <c r="M3494" s="2" t="s">
        <v>251</v>
      </c>
      <c r="N3494" s="2" t="s">
        <v>21</v>
      </c>
      <c r="O3494">
        <f t="shared" si="108"/>
        <v>3.2990000000000066</v>
      </c>
      <c r="P3494">
        <f t="shared" si="109"/>
        <v>251.52099999999996</v>
      </c>
    </row>
    <row r="3495" spans="1:16" x14ac:dyDescent="0.35">
      <c r="A3495" s="9" t="s">
        <v>536</v>
      </c>
      <c r="B3495" s="2">
        <v>138.82</v>
      </c>
      <c r="C3495" s="2">
        <v>140.44</v>
      </c>
      <c r="D3495" s="2">
        <v>137.816</v>
      </c>
      <c r="E3495" s="2">
        <v>138.62</v>
      </c>
      <c r="F3495" s="2">
        <v>171694606</v>
      </c>
      <c r="G3495" s="2" t="s">
        <v>571</v>
      </c>
      <c r="H3495" s="2" t="s">
        <v>572</v>
      </c>
      <c r="I3495" s="2" t="s">
        <v>17</v>
      </c>
      <c r="J3495" s="3">
        <v>0.27500000000000002</v>
      </c>
      <c r="K3495" s="2" t="s">
        <v>537</v>
      </c>
      <c r="L3495" s="2">
        <v>2024</v>
      </c>
      <c r="M3495" s="2" t="s">
        <v>274</v>
      </c>
      <c r="N3495" s="2" t="s">
        <v>21</v>
      </c>
      <c r="O3495">
        <f t="shared" si="108"/>
        <v>2.6239999999999952</v>
      </c>
      <c r="P3495">
        <f t="shared" si="109"/>
        <v>251.79599999999996</v>
      </c>
    </row>
    <row r="3496" spans="1:16" x14ac:dyDescent="0.35">
      <c r="A3496" s="9" t="s">
        <v>538</v>
      </c>
      <c r="B3496" s="2">
        <v>138.25</v>
      </c>
      <c r="C3496" s="2">
        <v>140.53</v>
      </c>
      <c r="D3496" s="2">
        <v>137.94</v>
      </c>
      <c r="E3496" s="2">
        <v>140.25</v>
      </c>
      <c r="F3496" s="2">
        <v>164425293</v>
      </c>
      <c r="G3496" s="2" t="s">
        <v>571</v>
      </c>
      <c r="H3496" s="2" t="s">
        <v>572</v>
      </c>
      <c r="I3496" s="2" t="s">
        <v>17</v>
      </c>
      <c r="J3496" s="3">
        <v>1.1759999999999999</v>
      </c>
      <c r="K3496" s="2" t="s">
        <v>537</v>
      </c>
      <c r="L3496" s="2">
        <v>2024</v>
      </c>
      <c r="M3496" s="2" t="s">
        <v>274</v>
      </c>
      <c r="N3496" s="2" t="s">
        <v>21</v>
      </c>
      <c r="O3496">
        <f t="shared" si="108"/>
        <v>2.5900000000000034</v>
      </c>
      <c r="P3496">
        <f t="shared" si="109"/>
        <v>252.97199999999995</v>
      </c>
    </row>
    <row r="3497" spans="1:16" x14ac:dyDescent="0.35">
      <c r="A3497" s="9" t="s">
        <v>539</v>
      </c>
      <c r="B3497" s="2">
        <v>141.98500000000001</v>
      </c>
      <c r="C3497" s="2">
        <v>145.78</v>
      </c>
      <c r="D3497" s="2">
        <v>140.28</v>
      </c>
      <c r="E3497" s="2">
        <v>145.13</v>
      </c>
      <c r="F3497" s="2">
        <v>231240227</v>
      </c>
      <c r="G3497" s="2" t="s">
        <v>571</v>
      </c>
      <c r="H3497" s="2" t="s">
        <v>572</v>
      </c>
      <c r="I3497" s="2" t="s">
        <v>17</v>
      </c>
      <c r="J3497" s="3">
        <v>3.48</v>
      </c>
      <c r="K3497" s="2" t="s">
        <v>537</v>
      </c>
      <c r="L3497" s="2">
        <v>2024</v>
      </c>
      <c r="M3497" s="2" t="s">
        <v>274</v>
      </c>
      <c r="N3497" s="2" t="s">
        <v>21</v>
      </c>
      <c r="O3497">
        <f t="shared" si="108"/>
        <v>5.5</v>
      </c>
      <c r="P3497">
        <f t="shared" si="109"/>
        <v>256.45199999999994</v>
      </c>
    </row>
    <row r="3498" spans="1:16" x14ac:dyDescent="0.35">
      <c r="A3498" s="9" t="s">
        <v>540</v>
      </c>
      <c r="B3498" s="2">
        <v>145.11000000000001</v>
      </c>
      <c r="C3498" s="2">
        <v>146.54</v>
      </c>
      <c r="D3498" s="2">
        <v>143.94999999999999</v>
      </c>
      <c r="E3498" s="2">
        <v>145.06</v>
      </c>
      <c r="F3498" s="2">
        <v>172621180</v>
      </c>
      <c r="G3498" s="2" t="s">
        <v>571</v>
      </c>
      <c r="H3498" s="2" t="s">
        <v>572</v>
      </c>
      <c r="I3498" s="2" t="s">
        <v>17</v>
      </c>
      <c r="J3498" s="4">
        <v>-4.8000000000000001E-2</v>
      </c>
      <c r="K3498" s="2" t="s">
        <v>537</v>
      </c>
      <c r="L3498" s="2">
        <v>2024</v>
      </c>
      <c r="M3498" s="2" t="s">
        <v>274</v>
      </c>
      <c r="N3498" s="2" t="s">
        <v>23</v>
      </c>
      <c r="O3498">
        <f t="shared" si="108"/>
        <v>2.5900000000000034</v>
      </c>
      <c r="P3498">
        <f t="shared" si="109"/>
        <v>256.40399999999994</v>
      </c>
    </row>
    <row r="3499" spans="1:16" x14ac:dyDescent="0.35">
      <c r="A3499" s="9" t="s">
        <v>541</v>
      </c>
      <c r="B3499" s="2">
        <v>144.6</v>
      </c>
      <c r="C3499" s="2">
        <v>145.69999999999999</v>
      </c>
      <c r="D3499" s="2">
        <v>141.31</v>
      </c>
      <c r="E3499" s="2">
        <v>142.44</v>
      </c>
      <c r="F3499" s="2">
        <v>188505573</v>
      </c>
      <c r="G3499" s="2" t="s">
        <v>571</v>
      </c>
      <c r="H3499" s="2" t="s">
        <v>572</v>
      </c>
      <c r="I3499" s="2" t="s">
        <v>17</v>
      </c>
      <c r="J3499" s="4">
        <v>-1.806</v>
      </c>
      <c r="K3499" s="2" t="s">
        <v>537</v>
      </c>
      <c r="L3499" s="2">
        <v>2024</v>
      </c>
      <c r="M3499" s="2" t="s">
        <v>274</v>
      </c>
      <c r="N3499" s="2" t="s">
        <v>23</v>
      </c>
      <c r="O3499">
        <f t="shared" si="108"/>
        <v>4.3899999999999864</v>
      </c>
      <c r="P3499">
        <f t="shared" si="109"/>
        <v>254.59799999999993</v>
      </c>
    </row>
    <row r="3500" spans="1:16" x14ac:dyDescent="0.35">
      <c r="A3500" s="9" t="s">
        <v>542</v>
      </c>
      <c r="B3500" s="2">
        <v>138.97</v>
      </c>
      <c r="C3500" s="2">
        <v>139.94999999999999</v>
      </c>
      <c r="D3500" s="2">
        <v>137.13</v>
      </c>
      <c r="E3500" s="2">
        <v>138.81</v>
      </c>
      <c r="F3500" s="2">
        <v>189308625</v>
      </c>
      <c r="G3500" s="2" t="s">
        <v>571</v>
      </c>
      <c r="H3500" s="2" t="s">
        <v>572</v>
      </c>
      <c r="I3500" s="2" t="s">
        <v>17</v>
      </c>
      <c r="J3500" s="4">
        <v>-2.548</v>
      </c>
      <c r="K3500" s="2" t="s">
        <v>537</v>
      </c>
      <c r="L3500" s="2">
        <v>2024</v>
      </c>
      <c r="M3500" s="2" t="s">
        <v>274</v>
      </c>
      <c r="N3500" s="2" t="s">
        <v>23</v>
      </c>
      <c r="O3500">
        <f t="shared" si="108"/>
        <v>2.8199999999999932</v>
      </c>
      <c r="P3500">
        <f t="shared" si="109"/>
        <v>252.04999999999993</v>
      </c>
    </row>
    <row r="3501" spans="1:16" x14ac:dyDescent="0.35">
      <c r="A3501" s="9" t="s">
        <v>543</v>
      </c>
      <c r="B3501" s="2">
        <v>139.01</v>
      </c>
      <c r="C3501" s="2">
        <v>141.82</v>
      </c>
      <c r="D3501" s="2">
        <v>133.79</v>
      </c>
      <c r="E3501" s="2">
        <v>135.07</v>
      </c>
      <c r="F3501" s="2">
        <v>210020888</v>
      </c>
      <c r="G3501" s="2" t="s">
        <v>571</v>
      </c>
      <c r="H3501" s="2" t="s">
        <v>572</v>
      </c>
      <c r="I3501" s="2" t="s">
        <v>17</v>
      </c>
      <c r="J3501" s="4">
        <v>-2.694</v>
      </c>
      <c r="K3501" s="2" t="s">
        <v>537</v>
      </c>
      <c r="L3501" s="2">
        <v>2024</v>
      </c>
      <c r="M3501" s="2" t="s">
        <v>274</v>
      </c>
      <c r="N3501" s="2" t="s">
        <v>23</v>
      </c>
      <c r="O3501">
        <f t="shared" si="108"/>
        <v>8.0300000000000011</v>
      </c>
      <c r="P3501">
        <f t="shared" si="109"/>
        <v>249.35599999999994</v>
      </c>
    </row>
    <row r="3502" spans="1:16" x14ac:dyDescent="0.35">
      <c r="A3502" s="9" t="s">
        <v>544</v>
      </c>
      <c r="B3502" s="2">
        <v>137.36000000000001</v>
      </c>
      <c r="C3502" s="2">
        <v>140.16999999999999</v>
      </c>
      <c r="D3502" s="2">
        <v>135.21</v>
      </c>
      <c r="E3502" s="2">
        <v>139.31</v>
      </c>
      <c r="F3502" s="2">
        <v>184905192</v>
      </c>
      <c r="G3502" s="2" t="s">
        <v>571</v>
      </c>
      <c r="H3502" s="2" t="s">
        <v>572</v>
      </c>
      <c r="I3502" s="2" t="s">
        <v>17</v>
      </c>
      <c r="J3502" s="3">
        <v>3.1389999999999998</v>
      </c>
      <c r="K3502" s="2" t="s">
        <v>537</v>
      </c>
      <c r="L3502" s="2">
        <v>2024</v>
      </c>
      <c r="M3502" s="2" t="s">
        <v>274</v>
      </c>
      <c r="N3502" s="2" t="s">
        <v>21</v>
      </c>
      <c r="O3502">
        <f t="shared" si="108"/>
        <v>4.9599999999999795</v>
      </c>
      <c r="P3502">
        <f t="shared" si="109"/>
        <v>252.49499999999995</v>
      </c>
    </row>
    <row r="3503" spans="1:16" x14ac:dyDescent="0.35">
      <c r="A3503" s="9" t="s">
        <v>545</v>
      </c>
      <c r="B3503" s="2">
        <v>137.08000000000001</v>
      </c>
      <c r="C3503" s="2">
        <v>138.44</v>
      </c>
      <c r="D3503" s="2">
        <v>135.80000000000001</v>
      </c>
      <c r="E3503" s="2">
        <v>137.34</v>
      </c>
      <c r="F3503" s="2">
        <v>159211393</v>
      </c>
      <c r="G3503" s="2" t="s">
        <v>571</v>
      </c>
      <c r="H3503" s="2" t="s">
        <v>572</v>
      </c>
      <c r="I3503" s="2" t="s">
        <v>17</v>
      </c>
      <c r="J3503" s="4">
        <v>-1.4139999999999999</v>
      </c>
      <c r="K3503" s="2" t="s">
        <v>537</v>
      </c>
      <c r="L3503" s="2">
        <v>2024</v>
      </c>
      <c r="M3503" s="2" t="s">
        <v>274</v>
      </c>
      <c r="N3503" s="2" t="s">
        <v>23</v>
      </c>
      <c r="O3503">
        <f t="shared" si="108"/>
        <v>2.6399999999999864</v>
      </c>
      <c r="P3503">
        <f t="shared" si="109"/>
        <v>251.08099999999996</v>
      </c>
    </row>
    <row r="3504" spans="1:16" x14ac:dyDescent="0.35">
      <c r="A3504" s="9" t="s">
        <v>546</v>
      </c>
      <c r="B3504" s="2">
        <v>138.94</v>
      </c>
      <c r="C3504" s="2">
        <v>139.6</v>
      </c>
      <c r="D3504" s="2">
        <v>132.54</v>
      </c>
      <c r="E3504" s="2">
        <v>134.25</v>
      </c>
      <c r="F3504" s="2">
        <v>231514881</v>
      </c>
      <c r="G3504" s="2" t="s">
        <v>571</v>
      </c>
      <c r="H3504" s="2" t="s">
        <v>572</v>
      </c>
      <c r="I3504" s="2" t="s">
        <v>17</v>
      </c>
      <c r="J3504" s="4">
        <v>-2.25</v>
      </c>
      <c r="K3504" s="2" t="s">
        <v>537</v>
      </c>
      <c r="L3504" s="2">
        <v>2024</v>
      </c>
      <c r="M3504" s="2" t="s">
        <v>274</v>
      </c>
      <c r="N3504" s="2" t="s">
        <v>23</v>
      </c>
      <c r="O3504">
        <f t="shared" si="108"/>
        <v>7.0600000000000023</v>
      </c>
      <c r="P3504">
        <f t="shared" si="109"/>
        <v>248.83099999999996</v>
      </c>
    </row>
    <row r="3505" spans="1:16" x14ac:dyDescent="0.35">
      <c r="A3505" s="9" t="s">
        <v>547</v>
      </c>
      <c r="B3505" s="2">
        <v>134.18</v>
      </c>
      <c r="C3505" s="2">
        <v>134.4</v>
      </c>
      <c r="D3505" s="2">
        <v>130.41999999999999</v>
      </c>
      <c r="E3505" s="2">
        <v>132</v>
      </c>
      <c r="F3505" s="2">
        <v>237951130</v>
      </c>
      <c r="G3505" s="2" t="s">
        <v>571</v>
      </c>
      <c r="H3505" s="2" t="s">
        <v>572</v>
      </c>
      <c r="I3505" s="2" t="s">
        <v>17</v>
      </c>
      <c r="J3505" s="4">
        <v>-1.6759999999999999</v>
      </c>
      <c r="K3505" s="2" t="s">
        <v>537</v>
      </c>
      <c r="L3505" s="2">
        <v>2024</v>
      </c>
      <c r="M3505" s="2" t="s">
        <v>274</v>
      </c>
      <c r="N3505" s="2" t="s">
        <v>23</v>
      </c>
      <c r="O3505">
        <f t="shared" si="108"/>
        <v>3.9800000000000182</v>
      </c>
      <c r="P3505">
        <f t="shared" si="109"/>
        <v>247.15499999999997</v>
      </c>
    </row>
    <row r="3506" spans="1:16" x14ac:dyDescent="0.35">
      <c r="A3506" s="9" t="s">
        <v>548</v>
      </c>
      <c r="B3506" s="2">
        <v>129.09</v>
      </c>
      <c r="C3506" s="2">
        <v>131.59</v>
      </c>
      <c r="D3506" s="2">
        <v>126.86</v>
      </c>
      <c r="E3506" s="2">
        <v>130.38999999999999</v>
      </c>
      <c r="F3506" s="2">
        <v>259410263</v>
      </c>
      <c r="G3506" s="2" t="s">
        <v>571</v>
      </c>
      <c r="H3506" s="2" t="s">
        <v>572</v>
      </c>
      <c r="I3506" s="2" t="s">
        <v>17</v>
      </c>
      <c r="J3506" s="4">
        <v>-1.22</v>
      </c>
      <c r="K3506" s="2" t="s">
        <v>537</v>
      </c>
      <c r="L3506" s="2">
        <v>2024</v>
      </c>
      <c r="M3506" s="2" t="s">
        <v>274</v>
      </c>
      <c r="N3506" s="2" t="s">
        <v>23</v>
      </c>
      <c r="O3506">
        <f t="shared" si="108"/>
        <v>4.730000000000004</v>
      </c>
      <c r="P3506">
        <f t="shared" si="109"/>
        <v>245.93499999999997</v>
      </c>
    </row>
    <row r="3507" spans="1:16" x14ac:dyDescent="0.35">
      <c r="A3507" s="9" t="s">
        <v>549</v>
      </c>
      <c r="B3507" s="2">
        <v>133.86000000000001</v>
      </c>
      <c r="C3507" s="2">
        <v>136.69999999999999</v>
      </c>
      <c r="D3507" s="2">
        <v>128.28</v>
      </c>
      <c r="E3507" s="2">
        <v>128.91</v>
      </c>
      <c r="F3507" s="2">
        <v>277444533</v>
      </c>
      <c r="G3507" s="2" t="s">
        <v>571</v>
      </c>
      <c r="H3507" s="2" t="s">
        <v>572</v>
      </c>
      <c r="I3507" s="2" t="s">
        <v>17</v>
      </c>
      <c r="J3507" s="4">
        <v>-1.135</v>
      </c>
      <c r="K3507" s="2" t="s">
        <v>537</v>
      </c>
      <c r="L3507" s="2">
        <v>2024</v>
      </c>
      <c r="M3507" s="2" t="s">
        <v>274</v>
      </c>
      <c r="N3507" s="2" t="s">
        <v>23</v>
      </c>
      <c r="O3507">
        <f t="shared" si="108"/>
        <v>8.4199999999999875</v>
      </c>
      <c r="P3507">
        <f t="shared" si="109"/>
        <v>244.79999999999998</v>
      </c>
    </row>
    <row r="3508" spans="1:16" x14ac:dyDescent="0.35">
      <c r="A3508" s="9" t="s">
        <v>550</v>
      </c>
      <c r="B3508" s="2">
        <v>131.76</v>
      </c>
      <c r="C3508" s="2">
        <v>134.03</v>
      </c>
      <c r="D3508" s="2">
        <v>129.55000000000001</v>
      </c>
      <c r="E3508" s="2">
        <v>130.68</v>
      </c>
      <c r="F3508" s="2">
        <v>209719210</v>
      </c>
      <c r="G3508" s="2" t="s">
        <v>571</v>
      </c>
      <c r="H3508" s="2" t="s">
        <v>572</v>
      </c>
      <c r="I3508" s="2" t="s">
        <v>17</v>
      </c>
      <c r="J3508" s="3">
        <v>1.373</v>
      </c>
      <c r="K3508" s="2" t="s">
        <v>537</v>
      </c>
      <c r="L3508" s="2">
        <v>2024</v>
      </c>
      <c r="M3508" s="2" t="s">
        <v>274</v>
      </c>
      <c r="N3508" s="2" t="s">
        <v>21</v>
      </c>
      <c r="O3508">
        <f t="shared" si="108"/>
        <v>4.4799999999999898</v>
      </c>
      <c r="P3508">
        <f t="shared" si="109"/>
        <v>246.17299999999997</v>
      </c>
    </row>
    <row r="3509" spans="1:16" x14ac:dyDescent="0.35">
      <c r="A3509" s="9" t="s">
        <v>551</v>
      </c>
      <c r="B3509" s="2">
        <v>129.81</v>
      </c>
      <c r="C3509" s="2">
        <v>135.28</v>
      </c>
      <c r="D3509" s="2">
        <v>128.22</v>
      </c>
      <c r="E3509" s="2">
        <v>134.69999999999999</v>
      </c>
      <c r="F3509" s="2">
        <v>306528553</v>
      </c>
      <c r="G3509" s="2" t="s">
        <v>571</v>
      </c>
      <c r="H3509" s="2" t="s">
        <v>572</v>
      </c>
      <c r="I3509" s="2" t="s">
        <v>17</v>
      </c>
      <c r="J3509" s="3">
        <v>3.0760000000000001</v>
      </c>
      <c r="K3509" s="2" t="s">
        <v>537</v>
      </c>
      <c r="L3509" s="2">
        <v>2024</v>
      </c>
      <c r="M3509" s="2" t="s">
        <v>274</v>
      </c>
      <c r="N3509" s="2" t="s">
        <v>21</v>
      </c>
      <c r="O3509">
        <f t="shared" si="108"/>
        <v>7.0600000000000023</v>
      </c>
      <c r="P3509">
        <f t="shared" si="109"/>
        <v>249.24899999999997</v>
      </c>
    </row>
    <row r="3510" spans="1:16" x14ac:dyDescent="0.35">
      <c r="A3510" s="9" t="s">
        <v>552</v>
      </c>
      <c r="B3510" s="2">
        <v>136.28</v>
      </c>
      <c r="C3510" s="2">
        <v>139.79</v>
      </c>
      <c r="D3510" s="2">
        <v>135.12</v>
      </c>
      <c r="E3510" s="2">
        <v>139.66999999999999</v>
      </c>
      <c r="F3510" s="2">
        <v>176053506</v>
      </c>
      <c r="G3510" s="2" t="s">
        <v>571</v>
      </c>
      <c r="H3510" s="2" t="s">
        <v>572</v>
      </c>
      <c r="I3510" s="2" t="s">
        <v>17</v>
      </c>
      <c r="J3510" s="3">
        <v>3.69</v>
      </c>
      <c r="K3510" s="2" t="s">
        <v>537</v>
      </c>
      <c r="L3510" s="2">
        <v>2024</v>
      </c>
      <c r="M3510" s="2" t="s">
        <v>274</v>
      </c>
      <c r="N3510" s="2" t="s">
        <v>21</v>
      </c>
      <c r="O3510">
        <f t="shared" si="108"/>
        <v>4.6699999999999875</v>
      </c>
      <c r="P3510">
        <f t="shared" si="109"/>
        <v>252.93899999999996</v>
      </c>
    </row>
    <row r="3511" spans="1:16" x14ac:dyDescent="0.35">
      <c r="A3511" s="9" t="s">
        <v>553</v>
      </c>
      <c r="B3511" s="2">
        <v>140</v>
      </c>
      <c r="C3511" s="2">
        <v>141.9</v>
      </c>
      <c r="D3511" s="2">
        <v>138.65</v>
      </c>
      <c r="E3511" s="2">
        <v>140.22</v>
      </c>
      <c r="F3511" s="2">
        <v>105156989</v>
      </c>
      <c r="G3511" s="2" t="s">
        <v>571</v>
      </c>
      <c r="H3511" s="2" t="s">
        <v>572</v>
      </c>
      <c r="I3511" s="2" t="s">
        <v>17</v>
      </c>
      <c r="J3511" s="3">
        <v>0.39400000000000002</v>
      </c>
      <c r="K3511" s="2" t="s">
        <v>537</v>
      </c>
      <c r="L3511" s="2">
        <v>2024</v>
      </c>
      <c r="M3511" s="2" t="s">
        <v>274</v>
      </c>
      <c r="N3511" s="2" t="s">
        <v>21</v>
      </c>
      <c r="O3511">
        <f t="shared" si="108"/>
        <v>3.25</v>
      </c>
      <c r="P3511">
        <f t="shared" si="109"/>
        <v>253.33299999999997</v>
      </c>
    </row>
    <row r="3512" spans="1:16" x14ac:dyDescent="0.35">
      <c r="A3512" s="9" t="s">
        <v>554</v>
      </c>
      <c r="B3512" s="2">
        <v>139.69999999999999</v>
      </c>
      <c r="C3512" s="2">
        <v>140.85</v>
      </c>
      <c r="D3512" s="2">
        <v>137.72999999999999</v>
      </c>
      <c r="E3512" s="2">
        <v>139.93</v>
      </c>
      <c r="F3512" s="2">
        <v>116519090</v>
      </c>
      <c r="G3512" s="2" t="s">
        <v>571</v>
      </c>
      <c r="H3512" s="2" t="s">
        <v>572</v>
      </c>
      <c r="I3512" s="2" t="s">
        <v>17</v>
      </c>
      <c r="J3512" s="4">
        <v>-0.20699999999999999</v>
      </c>
      <c r="K3512" s="2" t="s">
        <v>537</v>
      </c>
      <c r="L3512" s="2">
        <v>2024</v>
      </c>
      <c r="M3512" s="2" t="s">
        <v>274</v>
      </c>
      <c r="N3512" s="2" t="s">
        <v>23</v>
      </c>
      <c r="O3512">
        <f t="shared" si="108"/>
        <v>3.1200000000000045</v>
      </c>
      <c r="P3512">
        <f t="shared" si="109"/>
        <v>253.12599999999998</v>
      </c>
    </row>
    <row r="3513" spans="1:16" x14ac:dyDescent="0.35">
      <c r="A3513" s="9" t="s">
        <v>555</v>
      </c>
      <c r="B3513" s="2">
        <v>138.55000000000001</v>
      </c>
      <c r="C3513" s="2">
        <v>139.02000000000001</v>
      </c>
      <c r="D3513" s="2">
        <v>134.71</v>
      </c>
      <c r="E3513" s="2">
        <v>137.01</v>
      </c>
      <c r="F3513" s="2">
        <v>170582603</v>
      </c>
      <c r="G3513" s="2" t="s">
        <v>571</v>
      </c>
      <c r="H3513" s="2" t="s">
        <v>572</v>
      </c>
      <c r="I3513" s="2" t="s">
        <v>17</v>
      </c>
      <c r="J3513" s="4">
        <v>-2.0870000000000002</v>
      </c>
      <c r="K3513" s="2" t="s">
        <v>537</v>
      </c>
      <c r="L3513" s="2">
        <v>2024</v>
      </c>
      <c r="M3513" s="2" t="s">
        <v>274</v>
      </c>
      <c r="N3513" s="2" t="s">
        <v>23</v>
      </c>
      <c r="O3513">
        <f t="shared" si="108"/>
        <v>4.3100000000000023</v>
      </c>
      <c r="P3513">
        <f t="shared" si="109"/>
        <v>251.03899999999999</v>
      </c>
    </row>
    <row r="3514" spans="1:16" x14ac:dyDescent="0.35">
      <c r="A3514" s="9" t="s">
        <v>556</v>
      </c>
      <c r="B3514" s="2">
        <v>134.83000000000001</v>
      </c>
      <c r="C3514" s="2">
        <v>140.27000000000001</v>
      </c>
      <c r="D3514" s="2">
        <v>134.02000000000001</v>
      </c>
      <c r="E3514" s="2">
        <v>137.49</v>
      </c>
      <c r="F3514" s="2">
        <v>167734700</v>
      </c>
      <c r="G3514" s="2" t="s">
        <v>571</v>
      </c>
      <c r="H3514" s="2" t="s">
        <v>572</v>
      </c>
      <c r="I3514" s="2" t="s">
        <v>17</v>
      </c>
      <c r="J3514" s="3">
        <v>0.35</v>
      </c>
      <c r="K3514" s="2" t="s">
        <v>537</v>
      </c>
      <c r="L3514" s="2">
        <v>2024</v>
      </c>
      <c r="M3514" s="2" t="s">
        <v>274</v>
      </c>
      <c r="N3514" s="2" t="s">
        <v>21</v>
      </c>
      <c r="O3514">
        <f t="shared" si="108"/>
        <v>6.25</v>
      </c>
      <c r="P3514">
        <f t="shared" si="109"/>
        <v>251.38899999999998</v>
      </c>
    </row>
    <row r="3515" spans="1:16" x14ac:dyDescent="0.35">
      <c r="A3515" s="9" t="s">
        <v>557</v>
      </c>
      <c r="B3515" s="2">
        <v>138.03</v>
      </c>
      <c r="C3515" s="2">
        <v>138.07</v>
      </c>
      <c r="D3515" s="2">
        <v>133.83000000000001</v>
      </c>
      <c r="E3515" s="2">
        <v>134.29</v>
      </c>
      <c r="F3515" s="2">
        <v>155659211</v>
      </c>
      <c r="G3515" s="2" t="s">
        <v>571</v>
      </c>
      <c r="H3515" s="2" t="s">
        <v>572</v>
      </c>
      <c r="I3515" s="2" t="s">
        <v>17</v>
      </c>
      <c r="J3515" s="4">
        <v>-2.327</v>
      </c>
      <c r="K3515" s="2" t="s">
        <v>537</v>
      </c>
      <c r="L3515" s="2">
        <v>2024</v>
      </c>
      <c r="M3515" s="2" t="s">
        <v>274</v>
      </c>
      <c r="N3515" s="2" t="s">
        <v>23</v>
      </c>
      <c r="O3515">
        <f t="shared" si="108"/>
        <v>4.2399999999999807</v>
      </c>
      <c r="P3515">
        <f t="shared" si="109"/>
        <v>249.06199999999998</v>
      </c>
    </row>
    <row r="3516" spans="1:16" x14ac:dyDescent="0.35">
      <c r="A3516" s="9" t="s">
        <v>14</v>
      </c>
      <c r="B3516" s="2">
        <v>118.47</v>
      </c>
      <c r="C3516" s="2">
        <v>118.8</v>
      </c>
      <c r="D3516" s="2">
        <v>104.64</v>
      </c>
      <c r="E3516" s="2">
        <v>108.1</v>
      </c>
      <c r="F3516" s="2">
        <v>231402818</v>
      </c>
      <c r="G3516" s="2" t="s">
        <v>573</v>
      </c>
      <c r="H3516" s="2" t="s">
        <v>574</v>
      </c>
      <c r="I3516" s="2" t="s">
        <v>575</v>
      </c>
      <c r="J3516" s="2"/>
      <c r="K3516" s="2" t="s">
        <v>18</v>
      </c>
      <c r="L3516" s="2">
        <v>2023</v>
      </c>
      <c r="M3516" s="2" t="s">
        <v>19</v>
      </c>
      <c r="N3516" s="2"/>
      <c r="O3516">
        <f t="shared" si="108"/>
        <v>14.159999999999997</v>
      </c>
      <c r="P3516">
        <f t="shared" si="109"/>
        <v>0</v>
      </c>
    </row>
    <row r="3517" spans="1:16" x14ac:dyDescent="0.35">
      <c r="A3517" s="9" t="s">
        <v>20</v>
      </c>
      <c r="B3517" s="2">
        <v>109.11</v>
      </c>
      <c r="C3517" s="2">
        <v>114.59</v>
      </c>
      <c r="D3517" s="2">
        <v>107.52</v>
      </c>
      <c r="E3517" s="2">
        <v>113.64</v>
      </c>
      <c r="F3517" s="2">
        <v>180388976</v>
      </c>
      <c r="G3517" s="2" t="s">
        <v>573</v>
      </c>
      <c r="H3517" s="2" t="s">
        <v>574</v>
      </c>
      <c r="I3517" s="2" t="s">
        <v>575</v>
      </c>
      <c r="J3517" s="3">
        <v>5.125</v>
      </c>
      <c r="K3517" s="2" t="s">
        <v>18</v>
      </c>
      <c r="L3517" s="2">
        <v>2023</v>
      </c>
      <c r="M3517" s="2" t="s">
        <v>19</v>
      </c>
      <c r="N3517" s="2" t="s">
        <v>21</v>
      </c>
      <c r="O3517">
        <f t="shared" si="108"/>
        <v>7.0700000000000074</v>
      </c>
      <c r="P3517">
        <f t="shared" si="109"/>
        <v>5.125</v>
      </c>
    </row>
    <row r="3518" spans="1:16" x14ac:dyDescent="0.35">
      <c r="A3518" s="9" t="s">
        <v>22</v>
      </c>
      <c r="B3518" s="2">
        <v>110.51</v>
      </c>
      <c r="C3518" s="2">
        <v>111.75</v>
      </c>
      <c r="D3518" s="2">
        <v>107.16</v>
      </c>
      <c r="E3518" s="2">
        <v>110.34</v>
      </c>
      <c r="F3518" s="2">
        <v>157986324</v>
      </c>
      <c r="G3518" s="2" t="s">
        <v>573</v>
      </c>
      <c r="H3518" s="2" t="s">
        <v>574</v>
      </c>
      <c r="I3518" s="2" t="s">
        <v>575</v>
      </c>
      <c r="J3518" s="4">
        <v>-2.9039999999999999</v>
      </c>
      <c r="K3518" s="2" t="s">
        <v>18</v>
      </c>
      <c r="L3518" s="2">
        <v>2023</v>
      </c>
      <c r="M3518" s="2" t="s">
        <v>19</v>
      </c>
      <c r="N3518" s="2" t="s">
        <v>23</v>
      </c>
      <c r="O3518">
        <f t="shared" si="108"/>
        <v>4.5900000000000034</v>
      </c>
      <c r="P3518">
        <f t="shared" si="109"/>
        <v>2.2210000000000001</v>
      </c>
    </row>
    <row r="3519" spans="1:16" x14ac:dyDescent="0.35">
      <c r="A3519" s="9" t="s">
        <v>24</v>
      </c>
      <c r="B3519" s="2">
        <v>103</v>
      </c>
      <c r="C3519" s="2">
        <v>114.39</v>
      </c>
      <c r="D3519" s="2">
        <v>101.81</v>
      </c>
      <c r="E3519" s="2">
        <v>113.06</v>
      </c>
      <c r="F3519" s="2">
        <v>220911051</v>
      </c>
      <c r="G3519" s="2" t="s">
        <v>573</v>
      </c>
      <c r="H3519" s="2" t="s">
        <v>574</v>
      </c>
      <c r="I3519" s="2" t="s">
        <v>575</v>
      </c>
      <c r="J3519" s="3">
        <v>2.4649999999999999</v>
      </c>
      <c r="K3519" s="2" t="s">
        <v>18</v>
      </c>
      <c r="L3519" s="2">
        <v>2023</v>
      </c>
      <c r="M3519" s="2" t="s">
        <v>19</v>
      </c>
      <c r="N3519" s="2" t="s">
        <v>21</v>
      </c>
      <c r="O3519">
        <f t="shared" si="108"/>
        <v>12.579999999999998</v>
      </c>
      <c r="P3519">
        <f t="shared" si="109"/>
        <v>4.6859999999999999</v>
      </c>
    </row>
    <row r="3520" spans="1:16" x14ac:dyDescent="0.35">
      <c r="A3520" s="9" t="s">
        <v>25</v>
      </c>
      <c r="B3520" s="2">
        <v>118.96</v>
      </c>
      <c r="C3520" s="2">
        <v>123.52</v>
      </c>
      <c r="D3520" s="2">
        <v>117.11</v>
      </c>
      <c r="E3520" s="2">
        <v>119.77</v>
      </c>
      <c r="F3520" s="2">
        <v>190283951</v>
      </c>
      <c r="G3520" s="2" t="s">
        <v>573</v>
      </c>
      <c r="H3520" s="2" t="s">
        <v>574</v>
      </c>
      <c r="I3520" s="2" t="s">
        <v>575</v>
      </c>
      <c r="J3520" s="3">
        <v>5.9349999999999996</v>
      </c>
      <c r="K3520" s="2" t="s">
        <v>18</v>
      </c>
      <c r="L3520" s="2">
        <v>2023</v>
      </c>
      <c r="M3520" s="2" t="s">
        <v>19</v>
      </c>
      <c r="N3520" s="2" t="s">
        <v>21</v>
      </c>
      <c r="O3520">
        <f t="shared" si="108"/>
        <v>6.4099999999999966</v>
      </c>
      <c r="P3520">
        <f t="shared" si="109"/>
        <v>10.620999999999999</v>
      </c>
    </row>
    <row r="3521" spans="1:16" x14ac:dyDescent="0.35">
      <c r="A3521" s="9" t="s">
        <v>26</v>
      </c>
      <c r="B3521" s="2">
        <v>121.07</v>
      </c>
      <c r="C3521" s="2">
        <v>122.76</v>
      </c>
      <c r="D3521" s="2">
        <v>114.92</v>
      </c>
      <c r="E3521" s="2">
        <v>118.85</v>
      </c>
      <c r="F3521" s="2">
        <v>167642485</v>
      </c>
      <c r="G3521" s="2" t="s">
        <v>573</v>
      </c>
      <c r="H3521" s="2" t="s">
        <v>574</v>
      </c>
      <c r="I3521" s="2" t="s">
        <v>575</v>
      </c>
      <c r="J3521" s="4">
        <v>-0.76800000000000002</v>
      </c>
      <c r="K3521" s="2" t="s">
        <v>18</v>
      </c>
      <c r="L3521" s="2">
        <v>2023</v>
      </c>
      <c r="M3521" s="2" t="s">
        <v>19</v>
      </c>
      <c r="N3521" s="2" t="s">
        <v>23</v>
      </c>
      <c r="O3521">
        <f t="shared" si="108"/>
        <v>7.8400000000000034</v>
      </c>
      <c r="P3521">
        <f t="shared" si="109"/>
        <v>9.852999999999998</v>
      </c>
    </row>
    <row r="3522" spans="1:16" x14ac:dyDescent="0.35">
      <c r="A3522" s="9" t="s">
        <v>27</v>
      </c>
      <c r="B3522" s="2">
        <v>122.09</v>
      </c>
      <c r="C3522" s="2">
        <v>125.95</v>
      </c>
      <c r="D3522" s="2">
        <v>120.51</v>
      </c>
      <c r="E3522" s="2">
        <v>123.22</v>
      </c>
      <c r="F3522" s="2">
        <v>183810771</v>
      </c>
      <c r="G3522" s="2" t="s">
        <v>573</v>
      </c>
      <c r="H3522" s="2" t="s">
        <v>574</v>
      </c>
      <c r="I3522" s="2" t="s">
        <v>575</v>
      </c>
      <c r="J3522" s="3">
        <v>3.677</v>
      </c>
      <c r="K3522" s="2" t="s">
        <v>18</v>
      </c>
      <c r="L3522" s="2">
        <v>2023</v>
      </c>
      <c r="M3522" s="2" t="s">
        <v>19</v>
      </c>
      <c r="N3522" s="2" t="s">
        <v>21</v>
      </c>
      <c r="O3522">
        <f t="shared" si="108"/>
        <v>5.4399999999999977</v>
      </c>
      <c r="P3522">
        <f t="shared" si="109"/>
        <v>13.529999999999998</v>
      </c>
    </row>
    <row r="3523" spans="1:16" x14ac:dyDescent="0.35">
      <c r="A3523" s="9" t="s">
        <v>28</v>
      </c>
      <c r="B3523" s="2">
        <v>122.56</v>
      </c>
      <c r="C3523" s="2">
        <v>124.131</v>
      </c>
      <c r="D3523" s="2">
        <v>117</v>
      </c>
      <c r="E3523" s="2">
        <v>123.56</v>
      </c>
      <c r="F3523" s="2">
        <v>169400913</v>
      </c>
      <c r="G3523" s="2" t="s">
        <v>573</v>
      </c>
      <c r="H3523" s="2" t="s">
        <v>574</v>
      </c>
      <c r="I3523" s="2" t="s">
        <v>575</v>
      </c>
      <c r="J3523" s="3">
        <v>0.27600000000000002</v>
      </c>
      <c r="K3523" s="2" t="s">
        <v>18</v>
      </c>
      <c r="L3523" s="2">
        <v>2023</v>
      </c>
      <c r="M3523" s="2" t="s">
        <v>19</v>
      </c>
      <c r="N3523" s="2" t="s">
        <v>21</v>
      </c>
      <c r="O3523">
        <f t="shared" ref="O3523:O3586" si="110">C3523-D3523</f>
        <v>7.1310000000000002</v>
      </c>
      <c r="P3523">
        <f t="shared" si="109"/>
        <v>13.805999999999997</v>
      </c>
    </row>
    <row r="3524" spans="1:16" x14ac:dyDescent="0.35">
      <c r="A3524" s="9" t="s">
        <v>29</v>
      </c>
      <c r="B3524" s="2">
        <v>116.55</v>
      </c>
      <c r="C3524" s="2">
        <v>122.63</v>
      </c>
      <c r="D3524" s="2">
        <v>115.6</v>
      </c>
      <c r="E3524" s="2">
        <v>122.4</v>
      </c>
      <c r="F3524" s="2">
        <v>180714119</v>
      </c>
      <c r="G3524" s="2" t="s">
        <v>573</v>
      </c>
      <c r="H3524" s="2" t="s">
        <v>574</v>
      </c>
      <c r="I3524" s="2" t="s">
        <v>575</v>
      </c>
      <c r="J3524" s="4">
        <v>-0.93899999999999995</v>
      </c>
      <c r="K3524" s="2" t="s">
        <v>18</v>
      </c>
      <c r="L3524" s="2">
        <v>2023</v>
      </c>
      <c r="M3524" s="2" t="s">
        <v>19</v>
      </c>
      <c r="N3524" s="2" t="s">
        <v>23</v>
      </c>
      <c r="O3524">
        <f t="shared" si="110"/>
        <v>7.0300000000000011</v>
      </c>
      <c r="P3524">
        <f t="shared" ref="P3524:P3587" si="111">IF(G3524=G3523, P3523+J3524, J3524)</f>
        <v>12.866999999999997</v>
      </c>
    </row>
    <row r="3525" spans="1:16" x14ac:dyDescent="0.35">
      <c r="A3525" s="9" t="s">
        <v>30</v>
      </c>
      <c r="B3525" s="2">
        <v>125.69499999999999</v>
      </c>
      <c r="C3525" s="2">
        <v>131.69999999999999</v>
      </c>
      <c r="D3525" s="2">
        <v>125.02</v>
      </c>
      <c r="E3525" s="2">
        <v>131.49</v>
      </c>
      <c r="F3525" s="2">
        <v>186476985</v>
      </c>
      <c r="G3525" s="2" t="s">
        <v>573</v>
      </c>
      <c r="H3525" s="2" t="s">
        <v>574</v>
      </c>
      <c r="I3525" s="2" t="s">
        <v>575</v>
      </c>
      <c r="J3525" s="3">
        <v>7.4260000000000002</v>
      </c>
      <c r="K3525" s="2" t="s">
        <v>18</v>
      </c>
      <c r="L3525" s="2">
        <v>2023</v>
      </c>
      <c r="M3525" s="2" t="s">
        <v>19</v>
      </c>
      <c r="N3525" s="2" t="s">
        <v>21</v>
      </c>
      <c r="O3525">
        <f t="shared" si="110"/>
        <v>6.6799999999999926</v>
      </c>
      <c r="P3525">
        <f t="shared" si="111"/>
        <v>20.292999999999999</v>
      </c>
    </row>
    <row r="3526" spans="1:16" x14ac:dyDescent="0.35">
      <c r="A3526" s="9" t="s">
        <v>31</v>
      </c>
      <c r="B3526" s="2">
        <v>136.55500000000001</v>
      </c>
      <c r="C3526" s="2">
        <v>136.68</v>
      </c>
      <c r="D3526" s="2">
        <v>127.01</v>
      </c>
      <c r="E3526" s="2">
        <v>128.78</v>
      </c>
      <c r="F3526" s="2">
        <v>195680318</v>
      </c>
      <c r="G3526" s="2" t="s">
        <v>573</v>
      </c>
      <c r="H3526" s="2" t="s">
        <v>574</v>
      </c>
      <c r="I3526" s="2" t="s">
        <v>575</v>
      </c>
      <c r="J3526" s="4">
        <v>-2.0609999999999999</v>
      </c>
      <c r="K3526" s="2" t="s">
        <v>18</v>
      </c>
      <c r="L3526" s="2">
        <v>2023</v>
      </c>
      <c r="M3526" s="2" t="s">
        <v>19</v>
      </c>
      <c r="N3526" s="2" t="s">
        <v>23</v>
      </c>
      <c r="O3526">
        <f t="shared" si="110"/>
        <v>9.6700000000000017</v>
      </c>
      <c r="P3526">
        <f t="shared" si="111"/>
        <v>18.231999999999999</v>
      </c>
    </row>
    <row r="3527" spans="1:16" x14ac:dyDescent="0.35">
      <c r="A3527" s="9" t="s">
        <v>32</v>
      </c>
      <c r="B3527" s="2">
        <v>127.26</v>
      </c>
      <c r="C3527" s="2">
        <v>129.99</v>
      </c>
      <c r="D3527" s="2">
        <v>124.30800000000001</v>
      </c>
      <c r="E3527" s="2">
        <v>127.17</v>
      </c>
      <c r="F3527" s="2">
        <v>170291880</v>
      </c>
      <c r="G3527" s="2" t="s">
        <v>573</v>
      </c>
      <c r="H3527" s="2" t="s">
        <v>574</v>
      </c>
      <c r="I3527" s="2" t="s">
        <v>575</v>
      </c>
      <c r="J3527" s="4">
        <v>-1.25</v>
      </c>
      <c r="K3527" s="2" t="s">
        <v>18</v>
      </c>
      <c r="L3527" s="2">
        <v>2023</v>
      </c>
      <c r="M3527" s="2" t="s">
        <v>19</v>
      </c>
      <c r="N3527" s="2" t="s">
        <v>23</v>
      </c>
      <c r="O3527">
        <f t="shared" si="110"/>
        <v>5.6820000000000022</v>
      </c>
      <c r="P3527">
        <f t="shared" si="111"/>
        <v>16.981999999999999</v>
      </c>
    </row>
    <row r="3528" spans="1:16" x14ac:dyDescent="0.35">
      <c r="A3528" s="9" t="s">
        <v>33</v>
      </c>
      <c r="B3528" s="2">
        <v>128.68</v>
      </c>
      <c r="C3528" s="2">
        <v>133.51</v>
      </c>
      <c r="D3528" s="2">
        <v>127.34699999999999</v>
      </c>
      <c r="E3528" s="2">
        <v>133.41999999999999</v>
      </c>
      <c r="F3528" s="2">
        <v>138858136</v>
      </c>
      <c r="G3528" s="2" t="s">
        <v>573</v>
      </c>
      <c r="H3528" s="2" t="s">
        <v>574</v>
      </c>
      <c r="I3528" s="2" t="s">
        <v>575</v>
      </c>
      <c r="J3528" s="3">
        <v>4.915</v>
      </c>
      <c r="K3528" s="2" t="s">
        <v>18</v>
      </c>
      <c r="L3528" s="2">
        <v>2023</v>
      </c>
      <c r="M3528" s="2" t="s">
        <v>19</v>
      </c>
      <c r="N3528" s="2" t="s">
        <v>21</v>
      </c>
      <c r="O3528">
        <f t="shared" si="110"/>
        <v>6.1629999999999967</v>
      </c>
      <c r="P3528">
        <f t="shared" si="111"/>
        <v>21.896999999999998</v>
      </c>
    </row>
    <row r="3529" spans="1:16" x14ac:dyDescent="0.35">
      <c r="A3529" s="9" t="s">
        <v>34</v>
      </c>
      <c r="B3529" s="2">
        <v>135.87</v>
      </c>
      <c r="C3529" s="2">
        <v>145.37899999999999</v>
      </c>
      <c r="D3529" s="2">
        <v>134.27000000000001</v>
      </c>
      <c r="E3529" s="2">
        <v>143.75</v>
      </c>
      <c r="F3529" s="2">
        <v>203119211</v>
      </c>
      <c r="G3529" s="2" t="s">
        <v>573</v>
      </c>
      <c r="H3529" s="2" t="s">
        <v>574</v>
      </c>
      <c r="I3529" s="2" t="s">
        <v>575</v>
      </c>
      <c r="J3529" s="3">
        <v>7.742</v>
      </c>
      <c r="K3529" s="2" t="s">
        <v>18</v>
      </c>
      <c r="L3529" s="2">
        <v>2023</v>
      </c>
      <c r="M3529" s="2" t="s">
        <v>19</v>
      </c>
      <c r="N3529" s="2" t="s">
        <v>21</v>
      </c>
      <c r="O3529">
        <f t="shared" si="110"/>
        <v>11.10899999999998</v>
      </c>
      <c r="P3529">
        <f t="shared" si="111"/>
        <v>29.638999999999999</v>
      </c>
    </row>
    <row r="3530" spans="1:16" x14ac:dyDescent="0.35">
      <c r="A3530" s="9" t="s">
        <v>35</v>
      </c>
      <c r="B3530" s="2">
        <v>143</v>
      </c>
      <c r="C3530" s="2">
        <v>146.5</v>
      </c>
      <c r="D3530" s="2">
        <v>141.1</v>
      </c>
      <c r="E3530" s="2">
        <v>143.88999999999999</v>
      </c>
      <c r="F3530" s="2">
        <v>158699056</v>
      </c>
      <c r="G3530" s="2" t="s">
        <v>573</v>
      </c>
      <c r="H3530" s="2" t="s">
        <v>574</v>
      </c>
      <c r="I3530" s="2" t="s">
        <v>575</v>
      </c>
      <c r="J3530" s="3">
        <v>9.7000000000000003E-2</v>
      </c>
      <c r="K3530" s="2" t="s">
        <v>18</v>
      </c>
      <c r="L3530" s="2">
        <v>2023</v>
      </c>
      <c r="M3530" s="2" t="s">
        <v>19</v>
      </c>
      <c r="N3530" s="2" t="s">
        <v>21</v>
      </c>
      <c r="O3530">
        <f t="shared" si="110"/>
        <v>5.4000000000000057</v>
      </c>
      <c r="P3530">
        <f t="shared" si="111"/>
        <v>29.736000000000001</v>
      </c>
    </row>
    <row r="3531" spans="1:16" x14ac:dyDescent="0.35">
      <c r="A3531" s="9" t="s">
        <v>36</v>
      </c>
      <c r="B3531" s="2">
        <v>141.905</v>
      </c>
      <c r="C3531" s="2">
        <v>146.41</v>
      </c>
      <c r="D3531" s="2">
        <v>138.07</v>
      </c>
      <c r="E3531" s="2">
        <v>144.43</v>
      </c>
      <c r="F3531" s="2">
        <v>192734347</v>
      </c>
      <c r="G3531" s="2" t="s">
        <v>573</v>
      </c>
      <c r="H3531" s="2" t="s">
        <v>574</v>
      </c>
      <c r="I3531" s="2" t="s">
        <v>575</v>
      </c>
      <c r="J3531" s="3">
        <v>0.375</v>
      </c>
      <c r="K3531" s="2" t="s">
        <v>18</v>
      </c>
      <c r="L3531" s="2">
        <v>2023</v>
      </c>
      <c r="M3531" s="2" t="s">
        <v>19</v>
      </c>
      <c r="N3531" s="2" t="s">
        <v>21</v>
      </c>
      <c r="O3531">
        <f t="shared" si="110"/>
        <v>8.3400000000000034</v>
      </c>
      <c r="P3531">
        <f t="shared" si="111"/>
        <v>30.111000000000001</v>
      </c>
    </row>
    <row r="3532" spans="1:16" x14ac:dyDescent="0.35">
      <c r="A3532" s="9" t="s">
        <v>37</v>
      </c>
      <c r="B3532" s="2">
        <v>159.965</v>
      </c>
      <c r="C3532" s="2">
        <v>161.41999999999999</v>
      </c>
      <c r="D3532" s="2">
        <v>154.76</v>
      </c>
      <c r="E3532" s="2">
        <v>160.27000000000001</v>
      </c>
      <c r="F3532" s="2">
        <v>234815090</v>
      </c>
      <c r="G3532" s="2" t="s">
        <v>573</v>
      </c>
      <c r="H3532" s="2" t="s">
        <v>574</v>
      </c>
      <c r="I3532" s="2" t="s">
        <v>575</v>
      </c>
      <c r="J3532" s="3">
        <v>10.967000000000001</v>
      </c>
      <c r="K3532" s="2" t="s">
        <v>18</v>
      </c>
      <c r="L3532" s="2">
        <v>2023</v>
      </c>
      <c r="M3532" s="2" t="s">
        <v>19</v>
      </c>
      <c r="N3532" s="2" t="s">
        <v>21</v>
      </c>
      <c r="O3532">
        <f t="shared" si="110"/>
        <v>6.6599999999999966</v>
      </c>
      <c r="P3532">
        <f t="shared" si="111"/>
        <v>41.078000000000003</v>
      </c>
    </row>
    <row r="3533" spans="1:16" x14ac:dyDescent="0.35">
      <c r="A3533" s="9" t="s">
        <v>38</v>
      </c>
      <c r="B3533" s="2">
        <v>162.43</v>
      </c>
      <c r="C3533" s="2">
        <v>180.68</v>
      </c>
      <c r="D3533" s="2">
        <v>161.16999999999999</v>
      </c>
      <c r="E3533" s="2">
        <v>177.9</v>
      </c>
      <c r="F3533" s="2">
        <v>306590613</v>
      </c>
      <c r="G3533" s="2" t="s">
        <v>573</v>
      </c>
      <c r="H3533" s="2" t="s">
        <v>574</v>
      </c>
      <c r="I3533" s="2" t="s">
        <v>575</v>
      </c>
      <c r="J3533" s="3">
        <v>11</v>
      </c>
      <c r="K3533" s="2" t="s">
        <v>18</v>
      </c>
      <c r="L3533" s="2">
        <v>2023</v>
      </c>
      <c r="M3533" s="2" t="s">
        <v>19</v>
      </c>
      <c r="N3533" s="2" t="s">
        <v>21</v>
      </c>
      <c r="O3533">
        <f t="shared" si="110"/>
        <v>19.510000000000019</v>
      </c>
      <c r="P3533">
        <f t="shared" si="111"/>
        <v>52.078000000000003</v>
      </c>
    </row>
    <row r="3534" spans="1:16" x14ac:dyDescent="0.35">
      <c r="A3534" s="9" t="s">
        <v>39</v>
      </c>
      <c r="B3534" s="2">
        <v>178.05</v>
      </c>
      <c r="C3534" s="2">
        <v>179.77</v>
      </c>
      <c r="D3534" s="2">
        <v>166.5</v>
      </c>
      <c r="E3534" s="2">
        <v>166.66</v>
      </c>
      <c r="F3534" s="2">
        <v>230878807</v>
      </c>
      <c r="G3534" s="2" t="s">
        <v>573</v>
      </c>
      <c r="H3534" s="2" t="s">
        <v>574</v>
      </c>
      <c r="I3534" s="2" t="s">
        <v>575</v>
      </c>
      <c r="J3534" s="4">
        <v>-6.3179999999999996</v>
      </c>
      <c r="K3534" s="2" t="s">
        <v>18</v>
      </c>
      <c r="L3534" s="2">
        <v>2023</v>
      </c>
      <c r="M3534" s="2" t="s">
        <v>19</v>
      </c>
      <c r="N3534" s="2" t="s">
        <v>23</v>
      </c>
      <c r="O3534">
        <f t="shared" si="110"/>
        <v>13.27000000000001</v>
      </c>
      <c r="P3534">
        <f t="shared" si="111"/>
        <v>45.760000000000005</v>
      </c>
    </row>
    <row r="3535" spans="1:16" x14ac:dyDescent="0.35">
      <c r="A3535" s="9" t="s">
        <v>40</v>
      </c>
      <c r="B3535" s="2">
        <v>164.57</v>
      </c>
      <c r="C3535" s="2">
        <v>174.3</v>
      </c>
      <c r="D3535" s="2">
        <v>162.78</v>
      </c>
      <c r="E3535" s="2">
        <v>173.22</v>
      </c>
      <c r="F3535" s="2">
        <v>196813541</v>
      </c>
      <c r="G3535" s="2" t="s">
        <v>573</v>
      </c>
      <c r="H3535" s="2" t="s">
        <v>574</v>
      </c>
      <c r="I3535" s="2" t="s">
        <v>575</v>
      </c>
      <c r="J3535" s="3">
        <v>3.9359999999999999</v>
      </c>
      <c r="K3535" s="2" t="s">
        <v>18</v>
      </c>
      <c r="L3535" s="2">
        <v>2023</v>
      </c>
      <c r="M3535" s="2" t="s">
        <v>19</v>
      </c>
      <c r="N3535" s="2" t="s">
        <v>21</v>
      </c>
      <c r="O3535">
        <f t="shared" si="110"/>
        <v>11.52000000000001</v>
      </c>
      <c r="P3535">
        <f t="shared" si="111"/>
        <v>49.696000000000005</v>
      </c>
    </row>
    <row r="3536" spans="1:16" x14ac:dyDescent="0.35">
      <c r="A3536" s="9" t="s">
        <v>41</v>
      </c>
      <c r="B3536" s="2">
        <v>173.89</v>
      </c>
      <c r="C3536" s="2">
        <v>183.80500000000001</v>
      </c>
      <c r="D3536" s="2">
        <v>169.93</v>
      </c>
      <c r="E3536" s="2">
        <v>181.41</v>
      </c>
      <c r="F3536" s="2">
        <v>213806323</v>
      </c>
      <c r="G3536" s="2" t="s">
        <v>573</v>
      </c>
      <c r="H3536" s="2" t="s">
        <v>574</v>
      </c>
      <c r="I3536" s="2" t="s">
        <v>575</v>
      </c>
      <c r="J3536" s="3">
        <v>4.7279999999999998</v>
      </c>
      <c r="K3536" s="2" t="s">
        <v>42</v>
      </c>
      <c r="L3536" s="2">
        <v>2023</v>
      </c>
      <c r="M3536" s="2" t="s">
        <v>43</v>
      </c>
      <c r="N3536" s="2" t="s">
        <v>21</v>
      </c>
      <c r="O3536">
        <f t="shared" si="110"/>
        <v>13.875</v>
      </c>
      <c r="P3536">
        <f t="shared" si="111"/>
        <v>54.424000000000007</v>
      </c>
    </row>
    <row r="3537" spans="1:16" x14ac:dyDescent="0.35">
      <c r="A3537" s="9" t="s">
        <v>44</v>
      </c>
      <c r="B3537" s="2">
        <v>187.32499999999999</v>
      </c>
      <c r="C3537" s="2">
        <v>196.75</v>
      </c>
      <c r="D3537" s="2">
        <v>182.61</v>
      </c>
      <c r="E3537" s="2">
        <v>188.27</v>
      </c>
      <c r="F3537" s="2">
        <v>217448287</v>
      </c>
      <c r="G3537" s="2" t="s">
        <v>573</v>
      </c>
      <c r="H3537" s="2" t="s">
        <v>574</v>
      </c>
      <c r="I3537" s="2" t="s">
        <v>575</v>
      </c>
      <c r="J3537" s="3">
        <v>3.7810000000000001</v>
      </c>
      <c r="K3537" s="2" t="s">
        <v>42</v>
      </c>
      <c r="L3537" s="2">
        <v>2023</v>
      </c>
      <c r="M3537" s="2" t="s">
        <v>43</v>
      </c>
      <c r="N3537" s="2" t="s">
        <v>21</v>
      </c>
      <c r="O3537">
        <f t="shared" si="110"/>
        <v>14.139999999999986</v>
      </c>
      <c r="P3537">
        <f t="shared" si="111"/>
        <v>58.205000000000005</v>
      </c>
    </row>
    <row r="3538" spans="1:16" x14ac:dyDescent="0.35">
      <c r="A3538" s="9" t="s">
        <v>45</v>
      </c>
      <c r="B3538" s="2">
        <v>183.95</v>
      </c>
      <c r="C3538" s="2">
        <v>199</v>
      </c>
      <c r="D3538" s="2">
        <v>183.69</v>
      </c>
      <c r="E3538" s="2">
        <v>189.98</v>
      </c>
      <c r="F3538" s="2">
        <v>232662023</v>
      </c>
      <c r="G3538" s="2" t="s">
        <v>573</v>
      </c>
      <c r="H3538" s="2" t="s">
        <v>574</v>
      </c>
      <c r="I3538" s="2" t="s">
        <v>575</v>
      </c>
      <c r="J3538" s="3">
        <v>0.90800000000000003</v>
      </c>
      <c r="K3538" s="2" t="s">
        <v>42</v>
      </c>
      <c r="L3538" s="2">
        <v>2023</v>
      </c>
      <c r="M3538" s="2" t="s">
        <v>43</v>
      </c>
      <c r="N3538" s="2" t="s">
        <v>21</v>
      </c>
      <c r="O3538">
        <f t="shared" si="110"/>
        <v>15.310000000000002</v>
      </c>
      <c r="P3538">
        <f t="shared" si="111"/>
        <v>59.113000000000007</v>
      </c>
    </row>
    <row r="3539" spans="1:16" x14ac:dyDescent="0.35">
      <c r="A3539" s="9" t="s">
        <v>46</v>
      </c>
      <c r="B3539" s="2">
        <v>193.01</v>
      </c>
      <c r="C3539" s="2">
        <v>198.17</v>
      </c>
      <c r="D3539" s="2">
        <v>189.92</v>
      </c>
      <c r="E3539" s="2">
        <v>194.76</v>
      </c>
      <c r="F3539" s="2">
        <v>186188131</v>
      </c>
      <c r="G3539" s="2" t="s">
        <v>573</v>
      </c>
      <c r="H3539" s="2" t="s">
        <v>574</v>
      </c>
      <c r="I3539" s="2" t="s">
        <v>575</v>
      </c>
      <c r="J3539" s="3">
        <v>2.516</v>
      </c>
      <c r="K3539" s="2" t="s">
        <v>42</v>
      </c>
      <c r="L3539" s="2">
        <v>2023</v>
      </c>
      <c r="M3539" s="2" t="s">
        <v>43</v>
      </c>
      <c r="N3539" s="2" t="s">
        <v>21</v>
      </c>
      <c r="O3539">
        <f t="shared" si="110"/>
        <v>8.25</v>
      </c>
      <c r="P3539">
        <f t="shared" si="111"/>
        <v>61.629000000000005</v>
      </c>
    </row>
    <row r="3540" spans="1:16" x14ac:dyDescent="0.35">
      <c r="A3540" s="9" t="s">
        <v>47</v>
      </c>
      <c r="B3540" s="2">
        <v>196.43</v>
      </c>
      <c r="C3540" s="2">
        <v>197.5</v>
      </c>
      <c r="D3540" s="2">
        <v>189.55</v>
      </c>
      <c r="E3540" s="2">
        <v>196.81</v>
      </c>
      <c r="F3540" s="2">
        <v>186010325</v>
      </c>
      <c r="G3540" s="2" t="s">
        <v>573</v>
      </c>
      <c r="H3540" s="2" t="s">
        <v>574</v>
      </c>
      <c r="I3540" s="2" t="s">
        <v>575</v>
      </c>
      <c r="J3540" s="3">
        <v>1.0529999999999999</v>
      </c>
      <c r="K3540" s="2" t="s">
        <v>42</v>
      </c>
      <c r="L3540" s="2">
        <v>2023</v>
      </c>
      <c r="M3540" s="2" t="s">
        <v>43</v>
      </c>
      <c r="N3540" s="2" t="s">
        <v>21</v>
      </c>
      <c r="O3540">
        <f t="shared" si="110"/>
        <v>7.9499999999999886</v>
      </c>
      <c r="P3540">
        <f t="shared" si="111"/>
        <v>62.682000000000002</v>
      </c>
    </row>
    <row r="3541" spans="1:16" x14ac:dyDescent="0.35">
      <c r="A3541" s="9" t="s">
        <v>48</v>
      </c>
      <c r="B3541" s="2">
        <v>196.1</v>
      </c>
      <c r="C3541" s="2">
        <v>203</v>
      </c>
      <c r="D3541" s="2">
        <v>194.31</v>
      </c>
      <c r="E3541" s="2">
        <v>201.29</v>
      </c>
      <c r="F3541" s="2">
        <v>180673644</v>
      </c>
      <c r="G3541" s="2" t="s">
        <v>573</v>
      </c>
      <c r="H3541" s="2" t="s">
        <v>574</v>
      </c>
      <c r="I3541" s="2" t="s">
        <v>575</v>
      </c>
      <c r="J3541" s="3">
        <v>2.2759999999999998</v>
      </c>
      <c r="K3541" s="2" t="s">
        <v>42</v>
      </c>
      <c r="L3541" s="2">
        <v>2023</v>
      </c>
      <c r="M3541" s="2" t="s">
        <v>43</v>
      </c>
      <c r="N3541" s="2" t="s">
        <v>21</v>
      </c>
      <c r="O3541">
        <f t="shared" si="110"/>
        <v>8.6899999999999977</v>
      </c>
      <c r="P3541">
        <f t="shared" si="111"/>
        <v>64.957999999999998</v>
      </c>
    </row>
    <row r="3542" spans="1:16" x14ac:dyDescent="0.35">
      <c r="A3542" s="9" t="s">
        <v>49</v>
      </c>
      <c r="B3542" s="2">
        <v>207.77500000000001</v>
      </c>
      <c r="C3542" s="2">
        <v>214</v>
      </c>
      <c r="D3542" s="2">
        <v>204.77</v>
      </c>
      <c r="E3542" s="2">
        <v>207.32</v>
      </c>
      <c r="F3542" s="2">
        <v>215431442</v>
      </c>
      <c r="G3542" s="2" t="s">
        <v>573</v>
      </c>
      <c r="H3542" s="2" t="s">
        <v>574</v>
      </c>
      <c r="I3542" s="2" t="s">
        <v>575</v>
      </c>
      <c r="J3542" s="3">
        <v>2.996</v>
      </c>
      <c r="K3542" s="2" t="s">
        <v>42</v>
      </c>
      <c r="L3542" s="2">
        <v>2023</v>
      </c>
      <c r="M3542" s="2" t="s">
        <v>43</v>
      </c>
      <c r="N3542" s="2" t="s">
        <v>21</v>
      </c>
      <c r="O3542">
        <f t="shared" si="110"/>
        <v>9.2299999999999898</v>
      </c>
      <c r="P3542">
        <f t="shared" si="111"/>
        <v>67.953999999999994</v>
      </c>
    </row>
    <row r="3543" spans="1:16" x14ac:dyDescent="0.35">
      <c r="A3543" s="9" t="s">
        <v>50</v>
      </c>
      <c r="B3543" s="2">
        <v>202.22499999999999</v>
      </c>
      <c r="C3543" s="2">
        <v>206.2</v>
      </c>
      <c r="D3543" s="2">
        <v>192.89</v>
      </c>
      <c r="E3543" s="2">
        <v>196.89</v>
      </c>
      <c r="F3543" s="2">
        <v>204754129</v>
      </c>
      <c r="G3543" s="2" t="s">
        <v>573</v>
      </c>
      <c r="H3543" s="2" t="s">
        <v>574</v>
      </c>
      <c r="I3543" s="2" t="s">
        <v>575</v>
      </c>
      <c r="J3543" s="4">
        <v>-5.0309999999999997</v>
      </c>
      <c r="K3543" s="2" t="s">
        <v>42</v>
      </c>
      <c r="L3543" s="2">
        <v>2023</v>
      </c>
      <c r="M3543" s="2" t="s">
        <v>43</v>
      </c>
      <c r="N3543" s="2" t="s">
        <v>23</v>
      </c>
      <c r="O3543">
        <f t="shared" si="110"/>
        <v>13.310000000000002</v>
      </c>
      <c r="P3543">
        <f t="shared" si="111"/>
        <v>62.922999999999995</v>
      </c>
    </row>
    <row r="3544" spans="1:16" x14ac:dyDescent="0.35">
      <c r="A3544" s="9" t="s">
        <v>51</v>
      </c>
      <c r="B3544" s="2">
        <v>194.41499999999999</v>
      </c>
      <c r="C3544" s="2">
        <v>196.3</v>
      </c>
      <c r="D3544" s="2">
        <v>187.61</v>
      </c>
      <c r="E3544" s="2">
        <v>194.64</v>
      </c>
      <c r="F3544" s="2">
        <v>172475452</v>
      </c>
      <c r="G3544" s="2" t="s">
        <v>573</v>
      </c>
      <c r="H3544" s="2" t="s">
        <v>574</v>
      </c>
      <c r="I3544" s="2" t="s">
        <v>575</v>
      </c>
      <c r="J3544" s="4">
        <v>-1.143</v>
      </c>
      <c r="K3544" s="2" t="s">
        <v>42</v>
      </c>
      <c r="L3544" s="2">
        <v>2023</v>
      </c>
      <c r="M3544" s="2" t="s">
        <v>43</v>
      </c>
      <c r="N3544" s="2" t="s">
        <v>23</v>
      </c>
      <c r="O3544">
        <f t="shared" si="110"/>
        <v>8.6899999999999977</v>
      </c>
      <c r="P3544">
        <f t="shared" si="111"/>
        <v>61.779999999999994</v>
      </c>
    </row>
    <row r="3545" spans="1:16" x14ac:dyDescent="0.35">
      <c r="A3545" s="9" t="s">
        <v>52</v>
      </c>
      <c r="B3545" s="2">
        <v>191.94</v>
      </c>
      <c r="C3545" s="2">
        <v>209.82</v>
      </c>
      <c r="D3545" s="2">
        <v>189.44</v>
      </c>
      <c r="E3545" s="2">
        <v>209.25</v>
      </c>
      <c r="F3545" s="2">
        <v>216455708</v>
      </c>
      <c r="G3545" s="2" t="s">
        <v>573</v>
      </c>
      <c r="H3545" s="2" t="s">
        <v>574</v>
      </c>
      <c r="I3545" s="2" t="s">
        <v>575</v>
      </c>
      <c r="J3545" s="3">
        <v>7.5060000000000002</v>
      </c>
      <c r="K3545" s="2" t="s">
        <v>42</v>
      </c>
      <c r="L3545" s="2">
        <v>2023</v>
      </c>
      <c r="M3545" s="2" t="s">
        <v>43</v>
      </c>
      <c r="N3545" s="2" t="s">
        <v>21</v>
      </c>
      <c r="O3545">
        <f t="shared" si="110"/>
        <v>20.379999999999995</v>
      </c>
      <c r="P3545">
        <f t="shared" si="111"/>
        <v>69.286000000000001</v>
      </c>
    </row>
    <row r="3546" spans="1:16" x14ac:dyDescent="0.35">
      <c r="A3546" s="9" t="s">
        <v>53</v>
      </c>
      <c r="B3546" s="2">
        <v>211.755</v>
      </c>
      <c r="C3546" s="2">
        <v>214.66</v>
      </c>
      <c r="D3546" s="2">
        <v>206.11</v>
      </c>
      <c r="E3546" s="2">
        <v>214.24</v>
      </c>
      <c r="F3546" s="2">
        <v>182108581</v>
      </c>
      <c r="G3546" s="2" t="s">
        <v>573</v>
      </c>
      <c r="H3546" s="2" t="s">
        <v>574</v>
      </c>
      <c r="I3546" s="2" t="s">
        <v>575</v>
      </c>
      <c r="J3546" s="3">
        <v>2.3849999999999998</v>
      </c>
      <c r="K3546" s="2" t="s">
        <v>42</v>
      </c>
      <c r="L3546" s="2">
        <v>2023</v>
      </c>
      <c r="M3546" s="2" t="s">
        <v>43</v>
      </c>
      <c r="N3546" s="2" t="s">
        <v>21</v>
      </c>
      <c r="O3546">
        <f t="shared" si="110"/>
        <v>8.5499999999999829</v>
      </c>
      <c r="P3546">
        <f t="shared" si="111"/>
        <v>71.671000000000006</v>
      </c>
    </row>
    <row r="3547" spans="1:16" x14ac:dyDescent="0.35">
      <c r="A3547" s="9" t="s">
        <v>54</v>
      </c>
      <c r="B3547" s="2">
        <v>210.78</v>
      </c>
      <c r="C3547" s="2">
        <v>217.65</v>
      </c>
      <c r="D3547" s="2">
        <v>201.84</v>
      </c>
      <c r="E3547" s="2">
        <v>202.04</v>
      </c>
      <c r="F3547" s="2">
        <v>229586538</v>
      </c>
      <c r="G3547" s="2" t="s">
        <v>573</v>
      </c>
      <c r="H3547" s="2" t="s">
        <v>574</v>
      </c>
      <c r="I3547" s="2" t="s">
        <v>575</v>
      </c>
      <c r="J3547" s="4">
        <v>-5.6950000000000003</v>
      </c>
      <c r="K3547" s="2" t="s">
        <v>42</v>
      </c>
      <c r="L3547" s="2">
        <v>2023</v>
      </c>
      <c r="M3547" s="2" t="s">
        <v>43</v>
      </c>
      <c r="N3547" s="2" t="s">
        <v>23</v>
      </c>
      <c r="O3547">
        <f t="shared" si="110"/>
        <v>15.810000000000002</v>
      </c>
      <c r="P3547">
        <f t="shared" si="111"/>
        <v>65.975999999999999</v>
      </c>
    </row>
    <row r="3548" spans="1:16" x14ac:dyDescent="0.35">
      <c r="A3548" s="9" t="s">
        <v>55</v>
      </c>
      <c r="B3548" s="2">
        <v>199.98500000000001</v>
      </c>
      <c r="C3548" s="2">
        <v>208.44</v>
      </c>
      <c r="D3548" s="2">
        <v>197.5</v>
      </c>
      <c r="E3548" s="2">
        <v>208.31</v>
      </c>
      <c r="F3548" s="2">
        <v>213738549</v>
      </c>
      <c r="G3548" s="2" t="s">
        <v>573</v>
      </c>
      <c r="H3548" s="2" t="s">
        <v>574</v>
      </c>
      <c r="I3548" s="2" t="s">
        <v>575</v>
      </c>
      <c r="J3548" s="3">
        <v>3.1030000000000002</v>
      </c>
      <c r="K3548" s="2" t="s">
        <v>42</v>
      </c>
      <c r="L3548" s="2">
        <v>2023</v>
      </c>
      <c r="M3548" s="2" t="s">
        <v>43</v>
      </c>
      <c r="N3548" s="2" t="s">
        <v>21</v>
      </c>
      <c r="O3548">
        <f t="shared" si="110"/>
        <v>10.939999999999998</v>
      </c>
      <c r="P3548">
        <f t="shared" si="111"/>
        <v>69.078999999999994</v>
      </c>
    </row>
    <row r="3549" spans="1:16" x14ac:dyDescent="0.35">
      <c r="A3549" s="9" t="s">
        <v>56</v>
      </c>
      <c r="B3549" s="2">
        <v>204.99</v>
      </c>
      <c r="C3549" s="2">
        <v>209.71</v>
      </c>
      <c r="D3549" s="2">
        <v>197.22</v>
      </c>
      <c r="E3549" s="2">
        <v>197.37</v>
      </c>
      <c r="F3549" s="2">
        <v>180018588</v>
      </c>
      <c r="G3549" s="2" t="s">
        <v>573</v>
      </c>
      <c r="H3549" s="2" t="s">
        <v>574</v>
      </c>
      <c r="I3549" s="2" t="s">
        <v>575</v>
      </c>
      <c r="J3549" s="4">
        <v>-5.2519999999999998</v>
      </c>
      <c r="K3549" s="2" t="s">
        <v>42</v>
      </c>
      <c r="L3549" s="2">
        <v>2023</v>
      </c>
      <c r="M3549" s="2" t="s">
        <v>43</v>
      </c>
      <c r="N3549" s="2" t="s">
        <v>23</v>
      </c>
      <c r="O3549">
        <f t="shared" si="110"/>
        <v>12.490000000000009</v>
      </c>
      <c r="P3549">
        <f t="shared" si="111"/>
        <v>63.826999999999991</v>
      </c>
    </row>
    <row r="3550" spans="1:16" x14ac:dyDescent="0.35">
      <c r="A3550" s="9" t="s">
        <v>57</v>
      </c>
      <c r="B3550" s="2">
        <v>197.93</v>
      </c>
      <c r="C3550" s="2">
        <v>201.99</v>
      </c>
      <c r="D3550" s="2">
        <v>191.78</v>
      </c>
      <c r="E3550" s="2">
        <v>200.86</v>
      </c>
      <c r="F3550" s="2">
        <v>191828457</v>
      </c>
      <c r="G3550" s="2" t="s">
        <v>573</v>
      </c>
      <c r="H3550" s="2" t="s">
        <v>574</v>
      </c>
      <c r="I3550" s="2" t="s">
        <v>575</v>
      </c>
      <c r="J3550" s="3">
        <v>1.768</v>
      </c>
      <c r="K3550" s="2" t="s">
        <v>42</v>
      </c>
      <c r="L3550" s="2">
        <v>2023</v>
      </c>
      <c r="M3550" s="2" t="s">
        <v>43</v>
      </c>
      <c r="N3550" s="2" t="s">
        <v>21</v>
      </c>
      <c r="O3550">
        <f t="shared" si="110"/>
        <v>10.210000000000008</v>
      </c>
      <c r="P3550">
        <f t="shared" si="111"/>
        <v>65.594999999999985</v>
      </c>
    </row>
    <row r="3551" spans="1:16" x14ac:dyDescent="0.35">
      <c r="A3551" s="9" t="s">
        <v>58</v>
      </c>
      <c r="B3551" s="2">
        <v>203.91</v>
      </c>
      <c r="C3551" s="2">
        <v>205.14</v>
      </c>
      <c r="D3551" s="2">
        <v>196.33</v>
      </c>
      <c r="E3551" s="2">
        <v>202.07</v>
      </c>
      <c r="F3551" s="2">
        <v>146359950</v>
      </c>
      <c r="G3551" s="2" t="s">
        <v>573</v>
      </c>
      <c r="H3551" s="2" t="s">
        <v>574</v>
      </c>
      <c r="I3551" s="2" t="s">
        <v>575</v>
      </c>
      <c r="J3551" s="3">
        <v>0.60199999999999998</v>
      </c>
      <c r="K3551" s="2" t="s">
        <v>42</v>
      </c>
      <c r="L3551" s="2">
        <v>2023</v>
      </c>
      <c r="M3551" s="2" t="s">
        <v>43</v>
      </c>
      <c r="N3551" s="2" t="s">
        <v>21</v>
      </c>
      <c r="O3551">
        <f t="shared" si="110"/>
        <v>8.8099999999999739</v>
      </c>
      <c r="P3551">
        <f t="shared" si="111"/>
        <v>66.196999999999989</v>
      </c>
    </row>
    <row r="3552" spans="1:16" x14ac:dyDescent="0.35">
      <c r="A3552" s="9" t="s">
        <v>59</v>
      </c>
      <c r="B3552" s="2">
        <v>196.32499999999999</v>
      </c>
      <c r="C3552" s="2">
        <v>197.66900000000001</v>
      </c>
      <c r="D3552" s="2">
        <v>192.8</v>
      </c>
      <c r="E3552" s="2">
        <v>196.88</v>
      </c>
      <c r="F3552" s="2">
        <v>142228105</v>
      </c>
      <c r="G3552" s="2" t="s">
        <v>573</v>
      </c>
      <c r="H3552" s="2" t="s">
        <v>574</v>
      </c>
      <c r="I3552" s="2" t="s">
        <v>575</v>
      </c>
      <c r="J3552" s="4">
        <v>-2.5680000000000001</v>
      </c>
      <c r="K3552" s="2" t="s">
        <v>42</v>
      </c>
      <c r="L3552" s="2">
        <v>2023</v>
      </c>
      <c r="M3552" s="2" t="s">
        <v>43</v>
      </c>
      <c r="N3552" s="2" t="s">
        <v>23</v>
      </c>
      <c r="O3552">
        <f t="shared" si="110"/>
        <v>4.8689999999999998</v>
      </c>
      <c r="P3552">
        <f t="shared" si="111"/>
        <v>63.628999999999991</v>
      </c>
    </row>
    <row r="3553" spans="1:16" x14ac:dyDescent="0.35">
      <c r="A3553" s="9" t="s">
        <v>60</v>
      </c>
      <c r="B3553" s="2">
        <v>202.03</v>
      </c>
      <c r="C3553" s="2">
        <v>209.42</v>
      </c>
      <c r="D3553" s="2">
        <v>201.26</v>
      </c>
      <c r="E3553" s="2">
        <v>207.63</v>
      </c>
      <c r="F3553" s="2">
        <v>161028315</v>
      </c>
      <c r="G3553" s="2" t="s">
        <v>573</v>
      </c>
      <c r="H3553" s="2" t="s">
        <v>574</v>
      </c>
      <c r="I3553" s="2" t="s">
        <v>575</v>
      </c>
      <c r="J3553" s="3">
        <v>5.46</v>
      </c>
      <c r="K3553" s="2" t="s">
        <v>42</v>
      </c>
      <c r="L3553" s="2">
        <v>2023</v>
      </c>
      <c r="M3553" s="2" t="s">
        <v>43</v>
      </c>
      <c r="N3553" s="2" t="s">
        <v>21</v>
      </c>
      <c r="O3553">
        <f t="shared" si="110"/>
        <v>8.1599999999999966</v>
      </c>
      <c r="P3553">
        <f t="shared" si="111"/>
        <v>69.088999999999984</v>
      </c>
    </row>
    <row r="3554" spans="1:16" x14ac:dyDescent="0.35">
      <c r="A3554" s="9" t="s">
        <v>61</v>
      </c>
      <c r="B3554" s="2">
        <v>210.59</v>
      </c>
      <c r="C3554" s="2">
        <v>211.23</v>
      </c>
      <c r="D3554" s="2">
        <v>203.75</v>
      </c>
      <c r="E3554" s="2">
        <v>205.71</v>
      </c>
      <c r="F3554" s="2">
        <v>153144912</v>
      </c>
      <c r="G3554" s="2" t="s">
        <v>573</v>
      </c>
      <c r="H3554" s="2" t="s">
        <v>574</v>
      </c>
      <c r="I3554" s="2" t="s">
        <v>575</v>
      </c>
      <c r="J3554" s="4">
        <v>-0.92500000000000004</v>
      </c>
      <c r="K3554" s="2" t="s">
        <v>42</v>
      </c>
      <c r="L3554" s="2">
        <v>2023</v>
      </c>
      <c r="M3554" s="2" t="s">
        <v>43</v>
      </c>
      <c r="N3554" s="2" t="s">
        <v>23</v>
      </c>
      <c r="O3554">
        <f t="shared" si="110"/>
        <v>7.4799999999999898</v>
      </c>
      <c r="P3554">
        <f t="shared" si="111"/>
        <v>68.163999999999987</v>
      </c>
    </row>
    <row r="3555" spans="1:16" x14ac:dyDescent="0.35">
      <c r="A3555" s="9" t="s">
        <v>62</v>
      </c>
      <c r="B3555" s="2">
        <v>206.21</v>
      </c>
      <c r="C3555" s="2">
        <v>207.2</v>
      </c>
      <c r="D3555" s="2">
        <v>198.52</v>
      </c>
      <c r="E3555" s="2">
        <v>202.77</v>
      </c>
      <c r="F3555" s="2">
        <v>156852790</v>
      </c>
      <c r="G3555" s="2" t="s">
        <v>573</v>
      </c>
      <c r="H3555" s="2" t="s">
        <v>574</v>
      </c>
      <c r="I3555" s="2" t="s">
        <v>575</v>
      </c>
      <c r="J3555" s="4">
        <v>-1.429</v>
      </c>
      <c r="K3555" s="2" t="s">
        <v>63</v>
      </c>
      <c r="L3555" s="2">
        <v>2023</v>
      </c>
      <c r="M3555" s="2" t="s">
        <v>64</v>
      </c>
      <c r="N3555" s="2" t="s">
        <v>23</v>
      </c>
      <c r="O3555">
        <f t="shared" si="110"/>
        <v>8.6799999999999784</v>
      </c>
      <c r="P3555">
        <f t="shared" si="111"/>
        <v>66.734999999999985</v>
      </c>
    </row>
    <row r="3556" spans="1:16" x14ac:dyDescent="0.35">
      <c r="A3556" s="9" t="s">
        <v>65</v>
      </c>
      <c r="B3556" s="2">
        <v>186.74</v>
      </c>
      <c r="C3556" s="2">
        <v>193.75</v>
      </c>
      <c r="D3556" s="2">
        <v>186.01</v>
      </c>
      <c r="E3556" s="2">
        <v>190.9</v>
      </c>
      <c r="F3556" s="2">
        <v>181979154</v>
      </c>
      <c r="G3556" s="2" t="s">
        <v>573</v>
      </c>
      <c r="H3556" s="2" t="s">
        <v>574</v>
      </c>
      <c r="I3556" s="2" t="s">
        <v>575</v>
      </c>
      <c r="J3556" s="4">
        <v>-5.8540000000000001</v>
      </c>
      <c r="K3556" s="2" t="s">
        <v>63</v>
      </c>
      <c r="L3556" s="2">
        <v>2023</v>
      </c>
      <c r="M3556" s="2" t="s">
        <v>64</v>
      </c>
      <c r="N3556" s="2" t="s">
        <v>23</v>
      </c>
      <c r="O3556">
        <f t="shared" si="110"/>
        <v>7.7400000000000091</v>
      </c>
      <c r="P3556">
        <f t="shared" si="111"/>
        <v>60.880999999999986</v>
      </c>
    </row>
    <row r="3557" spans="1:16" x14ac:dyDescent="0.35">
      <c r="A3557" s="9" t="s">
        <v>66</v>
      </c>
      <c r="B3557" s="2">
        <v>194.79499999999999</v>
      </c>
      <c r="C3557" s="2">
        <v>200.48</v>
      </c>
      <c r="D3557" s="2">
        <v>192.88</v>
      </c>
      <c r="E3557" s="2">
        <v>197.79</v>
      </c>
      <c r="F3557" s="2">
        <v>154193277</v>
      </c>
      <c r="G3557" s="2" t="s">
        <v>573</v>
      </c>
      <c r="H3557" s="2" t="s">
        <v>574</v>
      </c>
      <c r="I3557" s="2" t="s">
        <v>575</v>
      </c>
      <c r="J3557" s="3">
        <v>3.609</v>
      </c>
      <c r="K3557" s="2" t="s">
        <v>63</v>
      </c>
      <c r="L3557" s="2">
        <v>2023</v>
      </c>
      <c r="M3557" s="2" t="s">
        <v>64</v>
      </c>
      <c r="N3557" s="2" t="s">
        <v>21</v>
      </c>
      <c r="O3557">
        <f t="shared" si="110"/>
        <v>7.5999999999999943</v>
      </c>
      <c r="P3557">
        <f t="shared" si="111"/>
        <v>64.489999999999981</v>
      </c>
    </row>
    <row r="3558" spans="1:16" x14ac:dyDescent="0.35">
      <c r="A3558" s="9" t="s">
        <v>67</v>
      </c>
      <c r="B3558" s="2">
        <v>198.54</v>
      </c>
      <c r="C3558" s="2">
        <v>198.6</v>
      </c>
      <c r="D3558" s="2">
        <v>192.3</v>
      </c>
      <c r="E3558" s="2">
        <v>193.81</v>
      </c>
      <c r="F3558" s="2">
        <v>128100106</v>
      </c>
      <c r="G3558" s="2" t="s">
        <v>573</v>
      </c>
      <c r="H3558" s="2" t="s">
        <v>574</v>
      </c>
      <c r="I3558" s="2" t="s">
        <v>575</v>
      </c>
      <c r="J3558" s="4">
        <v>-2.012</v>
      </c>
      <c r="K3558" s="2" t="s">
        <v>63</v>
      </c>
      <c r="L3558" s="2">
        <v>2023</v>
      </c>
      <c r="M3558" s="2" t="s">
        <v>64</v>
      </c>
      <c r="N3558" s="2" t="s">
        <v>23</v>
      </c>
      <c r="O3558">
        <f t="shared" si="110"/>
        <v>6.2999999999999829</v>
      </c>
      <c r="P3558">
        <f t="shared" si="111"/>
        <v>62.47799999999998</v>
      </c>
    </row>
    <row r="3559" spans="1:16" x14ac:dyDescent="0.35">
      <c r="A3559" s="9" t="s">
        <v>68</v>
      </c>
      <c r="B3559" s="2">
        <v>191.38</v>
      </c>
      <c r="C3559" s="2">
        <v>194.2</v>
      </c>
      <c r="D3559" s="2">
        <v>186.1</v>
      </c>
      <c r="E3559" s="2">
        <v>187.71</v>
      </c>
      <c r="F3559" s="2">
        <v>148125790</v>
      </c>
      <c r="G3559" s="2" t="s">
        <v>573</v>
      </c>
      <c r="H3559" s="2" t="s">
        <v>574</v>
      </c>
      <c r="I3559" s="2" t="s">
        <v>575</v>
      </c>
      <c r="J3559" s="4">
        <v>-3.1469999999999998</v>
      </c>
      <c r="K3559" s="2" t="s">
        <v>63</v>
      </c>
      <c r="L3559" s="2">
        <v>2023</v>
      </c>
      <c r="M3559" s="2" t="s">
        <v>64</v>
      </c>
      <c r="N3559" s="2" t="s">
        <v>23</v>
      </c>
      <c r="O3559">
        <f t="shared" si="110"/>
        <v>8.0999999999999943</v>
      </c>
      <c r="P3559">
        <f t="shared" si="111"/>
        <v>59.330999999999982</v>
      </c>
    </row>
    <row r="3560" spans="1:16" x14ac:dyDescent="0.35">
      <c r="A3560" s="9" t="s">
        <v>69</v>
      </c>
      <c r="B3560" s="2">
        <v>185.04</v>
      </c>
      <c r="C3560" s="2">
        <v>186.5</v>
      </c>
      <c r="D3560" s="2">
        <v>180</v>
      </c>
      <c r="E3560" s="2">
        <v>182</v>
      </c>
      <c r="F3560" s="2">
        <v>151897763</v>
      </c>
      <c r="G3560" s="2" t="s">
        <v>573</v>
      </c>
      <c r="H3560" s="2" t="s">
        <v>574</v>
      </c>
      <c r="I3560" s="2" t="s">
        <v>575</v>
      </c>
      <c r="J3560" s="4">
        <v>-3.0419999999999998</v>
      </c>
      <c r="K3560" s="2" t="s">
        <v>63</v>
      </c>
      <c r="L3560" s="2">
        <v>2023</v>
      </c>
      <c r="M3560" s="2" t="s">
        <v>64</v>
      </c>
      <c r="N3560" s="2" t="s">
        <v>23</v>
      </c>
      <c r="O3560">
        <f t="shared" si="110"/>
        <v>6.5</v>
      </c>
      <c r="P3560">
        <f t="shared" si="111"/>
        <v>56.28899999999998</v>
      </c>
    </row>
    <row r="3561" spans="1:16" x14ac:dyDescent="0.35">
      <c r="A3561" s="9" t="s">
        <v>70</v>
      </c>
      <c r="B3561" s="2">
        <v>180.25</v>
      </c>
      <c r="C3561" s="2">
        <v>185.18</v>
      </c>
      <c r="D3561" s="2">
        <v>172.512</v>
      </c>
      <c r="E3561" s="2">
        <v>172.92</v>
      </c>
      <c r="F3561" s="2">
        <v>170023794</v>
      </c>
      <c r="G3561" s="2" t="s">
        <v>573</v>
      </c>
      <c r="H3561" s="2" t="s">
        <v>574</v>
      </c>
      <c r="I3561" s="2" t="s">
        <v>575</v>
      </c>
      <c r="J3561" s="4">
        <v>-4.9889999999999999</v>
      </c>
      <c r="K3561" s="2" t="s">
        <v>63</v>
      </c>
      <c r="L3561" s="2">
        <v>2023</v>
      </c>
      <c r="M3561" s="2" t="s">
        <v>64</v>
      </c>
      <c r="N3561" s="2" t="s">
        <v>23</v>
      </c>
      <c r="O3561">
        <f t="shared" si="110"/>
        <v>12.668000000000006</v>
      </c>
      <c r="P3561">
        <f t="shared" si="111"/>
        <v>51.299999999999983</v>
      </c>
    </row>
    <row r="3562" spans="1:16" x14ac:dyDescent="0.35">
      <c r="A3562" s="9" t="s">
        <v>71</v>
      </c>
      <c r="B3562" s="2">
        <v>175.13</v>
      </c>
      <c r="C3562" s="2">
        <v>178.29</v>
      </c>
      <c r="D3562" s="2">
        <v>168.44</v>
      </c>
      <c r="E3562" s="2">
        <v>173.44</v>
      </c>
      <c r="F3562" s="2">
        <v>191488872</v>
      </c>
      <c r="G3562" s="2" t="s">
        <v>573</v>
      </c>
      <c r="H3562" s="2" t="s">
        <v>574</v>
      </c>
      <c r="I3562" s="2" t="s">
        <v>575</v>
      </c>
      <c r="J3562" s="3">
        <v>0.30099999999999999</v>
      </c>
      <c r="K3562" s="2" t="s">
        <v>63</v>
      </c>
      <c r="L3562" s="2">
        <v>2023</v>
      </c>
      <c r="M3562" s="2" t="s">
        <v>64</v>
      </c>
      <c r="N3562" s="2" t="s">
        <v>21</v>
      </c>
      <c r="O3562">
        <f t="shared" si="110"/>
        <v>9.8499999999999943</v>
      </c>
      <c r="P3562">
        <f t="shared" si="111"/>
        <v>51.600999999999985</v>
      </c>
    </row>
    <row r="3563" spans="1:16" x14ac:dyDescent="0.35">
      <c r="A3563" s="9" t="s">
        <v>72</v>
      </c>
      <c r="B3563" s="2">
        <v>167.45500000000001</v>
      </c>
      <c r="C3563" s="2">
        <v>177.35</v>
      </c>
      <c r="D3563" s="2">
        <v>163.91</v>
      </c>
      <c r="E3563" s="2">
        <v>174.48</v>
      </c>
      <c r="F3563" s="2">
        <v>167790256</v>
      </c>
      <c r="G3563" s="2" t="s">
        <v>573</v>
      </c>
      <c r="H3563" s="2" t="s">
        <v>574</v>
      </c>
      <c r="I3563" s="2" t="s">
        <v>575</v>
      </c>
      <c r="J3563" s="3">
        <v>0.6</v>
      </c>
      <c r="K3563" s="2" t="s">
        <v>63</v>
      </c>
      <c r="L3563" s="2">
        <v>2023</v>
      </c>
      <c r="M3563" s="2" t="s">
        <v>64</v>
      </c>
      <c r="N3563" s="2" t="s">
        <v>21</v>
      </c>
      <c r="O3563">
        <f t="shared" si="110"/>
        <v>13.439999999999998</v>
      </c>
      <c r="P3563">
        <f t="shared" si="111"/>
        <v>52.200999999999986</v>
      </c>
    </row>
    <row r="3564" spans="1:16" x14ac:dyDescent="0.35">
      <c r="A3564" s="9" t="s">
        <v>73</v>
      </c>
      <c r="B3564" s="2">
        <v>177.31</v>
      </c>
      <c r="C3564" s="2">
        <v>183.8</v>
      </c>
      <c r="D3564" s="2">
        <v>177.14</v>
      </c>
      <c r="E3564" s="2">
        <v>183.26</v>
      </c>
      <c r="F3564" s="2">
        <v>143717897</v>
      </c>
      <c r="G3564" s="2" t="s">
        <v>573</v>
      </c>
      <c r="H3564" s="2" t="s">
        <v>574</v>
      </c>
      <c r="I3564" s="2" t="s">
        <v>575</v>
      </c>
      <c r="J3564" s="3">
        <v>5.032</v>
      </c>
      <c r="K3564" s="2" t="s">
        <v>63</v>
      </c>
      <c r="L3564" s="2">
        <v>2023</v>
      </c>
      <c r="M3564" s="2" t="s">
        <v>64</v>
      </c>
      <c r="N3564" s="2" t="s">
        <v>21</v>
      </c>
      <c r="O3564">
        <f t="shared" si="110"/>
        <v>6.660000000000025</v>
      </c>
      <c r="P3564">
        <f t="shared" si="111"/>
        <v>57.23299999999999</v>
      </c>
    </row>
    <row r="3565" spans="1:16" x14ac:dyDescent="0.35">
      <c r="A3565" s="9" t="s">
        <v>74</v>
      </c>
      <c r="B3565" s="2">
        <v>180.8</v>
      </c>
      <c r="C3565" s="2">
        <v>182.34</v>
      </c>
      <c r="D3565" s="2">
        <v>176.03</v>
      </c>
      <c r="E3565" s="2">
        <v>180.45</v>
      </c>
      <c r="F3565" s="2">
        <v>145995583</v>
      </c>
      <c r="G3565" s="2" t="s">
        <v>573</v>
      </c>
      <c r="H3565" s="2" t="s">
        <v>574</v>
      </c>
      <c r="I3565" s="2" t="s">
        <v>575</v>
      </c>
      <c r="J3565" s="4">
        <v>-1.5329999999999999</v>
      </c>
      <c r="K3565" s="2" t="s">
        <v>63</v>
      </c>
      <c r="L3565" s="2">
        <v>2023</v>
      </c>
      <c r="M3565" s="2" t="s">
        <v>64</v>
      </c>
      <c r="N3565" s="2" t="s">
        <v>23</v>
      </c>
      <c r="O3565">
        <f t="shared" si="110"/>
        <v>6.3100000000000023</v>
      </c>
      <c r="P3565">
        <f t="shared" si="111"/>
        <v>55.699999999999989</v>
      </c>
    </row>
    <row r="3566" spans="1:16" x14ac:dyDescent="0.35">
      <c r="A3566" s="9" t="s">
        <v>75</v>
      </c>
      <c r="B3566" s="2">
        <v>180.36500000000001</v>
      </c>
      <c r="C3566" s="2">
        <v>185.81</v>
      </c>
      <c r="D3566" s="2">
        <v>178.84</v>
      </c>
      <c r="E3566" s="2">
        <v>184.13</v>
      </c>
      <c r="F3566" s="2">
        <v>121374453</v>
      </c>
      <c r="G3566" s="2" t="s">
        <v>573</v>
      </c>
      <c r="H3566" s="2" t="s">
        <v>574</v>
      </c>
      <c r="I3566" s="2" t="s">
        <v>575</v>
      </c>
      <c r="J3566" s="3">
        <v>2.0390000000000001</v>
      </c>
      <c r="K3566" s="2" t="s">
        <v>63</v>
      </c>
      <c r="L3566" s="2">
        <v>2023</v>
      </c>
      <c r="M3566" s="2" t="s">
        <v>64</v>
      </c>
      <c r="N3566" s="2" t="s">
        <v>21</v>
      </c>
      <c r="O3566">
        <f t="shared" si="110"/>
        <v>6.9699999999999989</v>
      </c>
      <c r="P3566">
        <f t="shared" si="111"/>
        <v>57.73899999999999</v>
      </c>
    </row>
    <row r="3567" spans="1:16" x14ac:dyDescent="0.35">
      <c r="A3567" s="9" t="s">
        <v>76</v>
      </c>
      <c r="B3567" s="2">
        <v>184.51499999999999</v>
      </c>
      <c r="C3567" s="2">
        <v>186.22</v>
      </c>
      <c r="D3567" s="2">
        <v>177.33</v>
      </c>
      <c r="E3567" s="2">
        <v>180.13</v>
      </c>
      <c r="F3567" s="2">
        <v>133197140</v>
      </c>
      <c r="G3567" s="2" t="s">
        <v>573</v>
      </c>
      <c r="H3567" s="2" t="s">
        <v>574</v>
      </c>
      <c r="I3567" s="2" t="s">
        <v>575</v>
      </c>
      <c r="J3567" s="4">
        <v>-2.1720000000000002</v>
      </c>
      <c r="K3567" s="2" t="s">
        <v>63</v>
      </c>
      <c r="L3567" s="2">
        <v>2023</v>
      </c>
      <c r="M3567" s="2" t="s">
        <v>64</v>
      </c>
      <c r="N3567" s="2" t="s">
        <v>23</v>
      </c>
      <c r="O3567">
        <f t="shared" si="110"/>
        <v>8.8899999999999864</v>
      </c>
      <c r="P3567">
        <f t="shared" si="111"/>
        <v>55.566999999999993</v>
      </c>
    </row>
    <row r="3568" spans="1:16" x14ac:dyDescent="0.35">
      <c r="A3568" s="9" t="s">
        <v>77</v>
      </c>
      <c r="B3568" s="2">
        <v>178.08</v>
      </c>
      <c r="C3568" s="2">
        <v>186.44</v>
      </c>
      <c r="D3568" s="2">
        <v>176.35</v>
      </c>
      <c r="E3568" s="2">
        <v>183.25</v>
      </c>
      <c r="F3568" s="2">
        <v>129684359</v>
      </c>
      <c r="G3568" s="2" t="s">
        <v>573</v>
      </c>
      <c r="H3568" s="2" t="s">
        <v>574</v>
      </c>
      <c r="I3568" s="2" t="s">
        <v>575</v>
      </c>
      <c r="J3568" s="3">
        <v>1.732</v>
      </c>
      <c r="K3568" s="2" t="s">
        <v>63</v>
      </c>
      <c r="L3568" s="2">
        <v>2023</v>
      </c>
      <c r="M3568" s="2" t="s">
        <v>64</v>
      </c>
      <c r="N3568" s="2" t="s">
        <v>21</v>
      </c>
      <c r="O3568">
        <f t="shared" si="110"/>
        <v>10.090000000000003</v>
      </c>
      <c r="P3568">
        <f t="shared" si="111"/>
        <v>57.298999999999992</v>
      </c>
    </row>
    <row r="3569" spans="1:16" x14ac:dyDescent="0.35">
      <c r="A3569" s="9" t="s">
        <v>78</v>
      </c>
      <c r="B3569" s="2">
        <v>188.28</v>
      </c>
      <c r="C3569" s="2">
        <v>198</v>
      </c>
      <c r="D3569" s="2">
        <v>188.04</v>
      </c>
      <c r="E3569" s="2">
        <v>197.58</v>
      </c>
      <c r="F3569" s="2">
        <v>153391444</v>
      </c>
      <c r="G3569" s="2" t="s">
        <v>573</v>
      </c>
      <c r="H3569" s="2" t="s">
        <v>574</v>
      </c>
      <c r="I3569" s="2" t="s">
        <v>575</v>
      </c>
      <c r="J3569" s="3">
        <v>7.82</v>
      </c>
      <c r="K3569" s="2" t="s">
        <v>63</v>
      </c>
      <c r="L3569" s="2">
        <v>2023</v>
      </c>
      <c r="M3569" s="2" t="s">
        <v>64</v>
      </c>
      <c r="N3569" s="2" t="s">
        <v>21</v>
      </c>
      <c r="O3569">
        <f t="shared" si="110"/>
        <v>9.960000000000008</v>
      </c>
      <c r="P3569">
        <f t="shared" si="111"/>
        <v>65.119</v>
      </c>
    </row>
    <row r="3570" spans="1:16" x14ac:dyDescent="0.35">
      <c r="A3570" s="9" t="s">
        <v>79</v>
      </c>
      <c r="B3570" s="2">
        <v>199.3</v>
      </c>
      <c r="C3570" s="2">
        <v>200.66</v>
      </c>
      <c r="D3570" s="2">
        <v>190.95</v>
      </c>
      <c r="E3570" s="2">
        <v>191.15</v>
      </c>
      <c r="F3570" s="2">
        <v>150376373</v>
      </c>
      <c r="G3570" s="2" t="s">
        <v>573</v>
      </c>
      <c r="H3570" s="2" t="s">
        <v>574</v>
      </c>
      <c r="I3570" s="2" t="s">
        <v>575</v>
      </c>
      <c r="J3570" s="4">
        <v>-3.254</v>
      </c>
      <c r="K3570" s="2" t="s">
        <v>63</v>
      </c>
      <c r="L3570" s="2">
        <v>2023</v>
      </c>
      <c r="M3570" s="2" t="s">
        <v>64</v>
      </c>
      <c r="N3570" s="2" t="s">
        <v>23</v>
      </c>
      <c r="O3570">
        <f t="shared" si="110"/>
        <v>9.710000000000008</v>
      </c>
      <c r="P3570">
        <f t="shared" si="111"/>
        <v>61.865000000000002</v>
      </c>
    </row>
    <row r="3571" spans="1:16" x14ac:dyDescent="0.35">
      <c r="A3571" s="9" t="s">
        <v>80</v>
      </c>
      <c r="B3571" s="2">
        <v>195.26</v>
      </c>
      <c r="C3571" s="2">
        <v>199.31</v>
      </c>
      <c r="D3571" s="2">
        <v>188.65</v>
      </c>
      <c r="E3571" s="2">
        <v>192.22</v>
      </c>
      <c r="F3571" s="2">
        <v>144193876</v>
      </c>
      <c r="G3571" s="2" t="s">
        <v>573</v>
      </c>
      <c r="H3571" s="2" t="s">
        <v>574</v>
      </c>
      <c r="I3571" s="2" t="s">
        <v>575</v>
      </c>
      <c r="J3571" s="3">
        <v>0.56000000000000005</v>
      </c>
      <c r="K3571" s="2" t="s">
        <v>63</v>
      </c>
      <c r="L3571" s="2">
        <v>2023</v>
      </c>
      <c r="M3571" s="2" t="s">
        <v>64</v>
      </c>
      <c r="N3571" s="2" t="s">
        <v>21</v>
      </c>
      <c r="O3571">
        <f t="shared" si="110"/>
        <v>10.659999999999997</v>
      </c>
      <c r="P3571">
        <f t="shared" si="111"/>
        <v>62.425000000000004</v>
      </c>
    </row>
    <row r="3572" spans="1:16" x14ac:dyDescent="0.35">
      <c r="A3572" s="9" t="s">
        <v>81</v>
      </c>
      <c r="B3572" s="2">
        <v>191.65</v>
      </c>
      <c r="C3572" s="2">
        <v>192.36</v>
      </c>
      <c r="D3572" s="2">
        <v>187.15</v>
      </c>
      <c r="E3572" s="2">
        <v>190.41</v>
      </c>
      <c r="F3572" s="2">
        <v>116531584</v>
      </c>
      <c r="G3572" s="2" t="s">
        <v>573</v>
      </c>
      <c r="H3572" s="2" t="s">
        <v>574</v>
      </c>
      <c r="I3572" s="2" t="s">
        <v>575</v>
      </c>
      <c r="J3572" s="4">
        <v>-0.94199999999999995</v>
      </c>
      <c r="K3572" s="2" t="s">
        <v>63</v>
      </c>
      <c r="L3572" s="2">
        <v>2023</v>
      </c>
      <c r="M3572" s="2" t="s">
        <v>64</v>
      </c>
      <c r="N3572" s="2" t="s">
        <v>23</v>
      </c>
      <c r="O3572">
        <f t="shared" si="110"/>
        <v>5.210000000000008</v>
      </c>
      <c r="P3572">
        <f t="shared" si="111"/>
        <v>61.483000000000004</v>
      </c>
    </row>
    <row r="3573" spans="1:16" x14ac:dyDescent="0.35">
      <c r="A3573" s="9" t="s">
        <v>82</v>
      </c>
      <c r="B3573" s="2">
        <v>194.41499999999999</v>
      </c>
      <c r="C3573" s="2">
        <v>197.39</v>
      </c>
      <c r="D3573" s="2">
        <v>189.94</v>
      </c>
      <c r="E3573" s="2">
        <v>191.81</v>
      </c>
      <c r="F3573" s="2">
        <v>120851587</v>
      </c>
      <c r="G3573" s="2" t="s">
        <v>573</v>
      </c>
      <c r="H3573" s="2" t="s">
        <v>574</v>
      </c>
      <c r="I3573" s="2" t="s">
        <v>575</v>
      </c>
      <c r="J3573" s="3">
        <v>0.73499999999999999</v>
      </c>
      <c r="K3573" s="2" t="s">
        <v>63</v>
      </c>
      <c r="L3573" s="2">
        <v>2023</v>
      </c>
      <c r="M3573" s="2" t="s">
        <v>64</v>
      </c>
      <c r="N3573" s="2" t="s">
        <v>21</v>
      </c>
      <c r="O3573">
        <f t="shared" si="110"/>
        <v>7.4499999999999886</v>
      </c>
      <c r="P3573">
        <f t="shared" si="111"/>
        <v>62.218000000000004</v>
      </c>
    </row>
    <row r="3574" spans="1:16" x14ac:dyDescent="0.35">
      <c r="A3574" s="9" t="s">
        <v>83</v>
      </c>
      <c r="B3574" s="2">
        <v>192</v>
      </c>
      <c r="C3574" s="2">
        <v>192.35</v>
      </c>
      <c r="D3574" s="2">
        <v>185.43</v>
      </c>
      <c r="E3574" s="2">
        <v>189.19</v>
      </c>
      <c r="F3574" s="2">
        <v>98654635</v>
      </c>
      <c r="G3574" s="2" t="s">
        <v>573</v>
      </c>
      <c r="H3574" s="2" t="s">
        <v>574</v>
      </c>
      <c r="I3574" s="2" t="s">
        <v>575</v>
      </c>
      <c r="J3574" s="4">
        <v>-1.3660000000000001</v>
      </c>
      <c r="K3574" s="2" t="s">
        <v>63</v>
      </c>
      <c r="L3574" s="2">
        <v>2023</v>
      </c>
      <c r="M3574" s="2" t="s">
        <v>64</v>
      </c>
      <c r="N3574" s="2" t="s">
        <v>23</v>
      </c>
      <c r="O3574">
        <f t="shared" si="110"/>
        <v>6.9199999999999875</v>
      </c>
      <c r="P3574">
        <f t="shared" si="111"/>
        <v>60.852000000000004</v>
      </c>
    </row>
    <row r="3575" spans="1:16" x14ac:dyDescent="0.35">
      <c r="A3575" s="9" t="s">
        <v>84</v>
      </c>
      <c r="B3575" s="2">
        <v>193.13</v>
      </c>
      <c r="C3575" s="2">
        <v>195.29</v>
      </c>
      <c r="D3575" s="2">
        <v>189.44</v>
      </c>
      <c r="E3575" s="2">
        <v>193.88</v>
      </c>
      <c r="F3575" s="2">
        <v>123660026</v>
      </c>
      <c r="G3575" s="2" t="s">
        <v>573</v>
      </c>
      <c r="H3575" s="2" t="s">
        <v>574</v>
      </c>
      <c r="I3575" s="2" t="s">
        <v>575</v>
      </c>
      <c r="J3575" s="3">
        <v>2.4790000000000001</v>
      </c>
      <c r="K3575" s="2" t="s">
        <v>63</v>
      </c>
      <c r="L3575" s="2">
        <v>2023</v>
      </c>
      <c r="M3575" s="2" t="s">
        <v>64</v>
      </c>
      <c r="N3575" s="2" t="s">
        <v>21</v>
      </c>
      <c r="O3575">
        <f t="shared" si="110"/>
        <v>5.8499999999999943</v>
      </c>
      <c r="P3575">
        <f t="shared" si="111"/>
        <v>63.331000000000003</v>
      </c>
    </row>
    <row r="3576" spans="1:16" x14ac:dyDescent="0.35">
      <c r="A3576" s="9" t="s">
        <v>85</v>
      </c>
      <c r="B3576" s="2">
        <v>195.58</v>
      </c>
      <c r="C3576" s="2">
        <v>197.33</v>
      </c>
      <c r="D3576" s="2">
        <v>194.42</v>
      </c>
      <c r="E3576" s="2">
        <v>195.28</v>
      </c>
      <c r="F3576" s="2">
        <v>110252238</v>
      </c>
      <c r="G3576" s="2" t="s">
        <v>573</v>
      </c>
      <c r="H3576" s="2" t="s">
        <v>574</v>
      </c>
      <c r="I3576" s="2" t="s">
        <v>575</v>
      </c>
      <c r="J3576" s="3">
        <v>0.72199999999999998</v>
      </c>
      <c r="K3576" s="2" t="s">
        <v>63</v>
      </c>
      <c r="L3576" s="2">
        <v>2023</v>
      </c>
      <c r="M3576" s="2" t="s">
        <v>64</v>
      </c>
      <c r="N3576" s="2" t="s">
        <v>21</v>
      </c>
      <c r="O3576">
        <f t="shared" si="110"/>
        <v>2.910000000000025</v>
      </c>
      <c r="P3576">
        <f t="shared" si="111"/>
        <v>64.052999999999997</v>
      </c>
    </row>
    <row r="3577" spans="1:16" x14ac:dyDescent="0.35">
      <c r="A3577" s="9" t="s">
        <v>86</v>
      </c>
      <c r="B3577" s="2">
        <v>197.53</v>
      </c>
      <c r="C3577" s="2">
        <v>207.79</v>
      </c>
      <c r="D3577" s="2">
        <v>197.2</v>
      </c>
      <c r="E3577" s="2">
        <v>207.46</v>
      </c>
      <c r="F3577" s="2">
        <v>170222118</v>
      </c>
      <c r="G3577" s="2" t="s">
        <v>573</v>
      </c>
      <c r="H3577" s="2" t="s">
        <v>574</v>
      </c>
      <c r="I3577" s="2" t="s">
        <v>575</v>
      </c>
      <c r="J3577" s="3">
        <v>6.2370000000000001</v>
      </c>
      <c r="K3577" s="2" t="s">
        <v>63</v>
      </c>
      <c r="L3577" s="2">
        <v>2023</v>
      </c>
      <c r="M3577" s="2" t="s">
        <v>64</v>
      </c>
      <c r="N3577" s="2" t="s">
        <v>21</v>
      </c>
      <c r="O3577">
        <f t="shared" si="110"/>
        <v>10.590000000000003</v>
      </c>
      <c r="P3577">
        <f t="shared" si="111"/>
        <v>70.289999999999992</v>
      </c>
    </row>
    <row r="3578" spans="1:16" x14ac:dyDescent="0.35">
      <c r="A3578" s="9" t="s">
        <v>87</v>
      </c>
      <c r="B3578" s="2">
        <v>199.91</v>
      </c>
      <c r="C3578" s="2">
        <v>202.69</v>
      </c>
      <c r="D3578" s="2">
        <v>192.2</v>
      </c>
      <c r="E3578" s="2">
        <v>194.77</v>
      </c>
      <c r="F3578" s="2">
        <v>169545900</v>
      </c>
      <c r="G3578" s="2" t="s">
        <v>573</v>
      </c>
      <c r="H3578" s="2" t="s">
        <v>574</v>
      </c>
      <c r="I3578" s="2" t="s">
        <v>575</v>
      </c>
      <c r="J3578" s="4">
        <v>-6.117</v>
      </c>
      <c r="K3578" s="2" t="s">
        <v>88</v>
      </c>
      <c r="L3578" s="2">
        <v>2023</v>
      </c>
      <c r="M3578" s="2" t="s">
        <v>89</v>
      </c>
      <c r="N3578" s="2" t="s">
        <v>23</v>
      </c>
      <c r="O3578">
        <f t="shared" si="110"/>
        <v>10.490000000000009</v>
      </c>
      <c r="P3578">
        <f t="shared" si="111"/>
        <v>64.172999999999988</v>
      </c>
    </row>
    <row r="3579" spans="1:16" x14ac:dyDescent="0.35">
      <c r="A3579" s="9" t="s">
        <v>90</v>
      </c>
      <c r="B3579" s="2">
        <v>197.32</v>
      </c>
      <c r="C3579" s="2">
        <v>198.745</v>
      </c>
      <c r="D3579" s="2">
        <v>190.32</v>
      </c>
      <c r="E3579" s="2">
        <v>192.58</v>
      </c>
      <c r="F3579" s="2">
        <v>126463845</v>
      </c>
      <c r="G3579" s="2" t="s">
        <v>573</v>
      </c>
      <c r="H3579" s="2" t="s">
        <v>574</v>
      </c>
      <c r="I3579" s="2" t="s">
        <v>575</v>
      </c>
      <c r="J3579" s="4">
        <v>-1.1240000000000001</v>
      </c>
      <c r="K3579" s="2" t="s">
        <v>88</v>
      </c>
      <c r="L3579" s="2">
        <v>2023</v>
      </c>
      <c r="M3579" s="2" t="s">
        <v>89</v>
      </c>
      <c r="N3579" s="2" t="s">
        <v>23</v>
      </c>
      <c r="O3579">
        <f t="shared" si="110"/>
        <v>8.4250000000000114</v>
      </c>
      <c r="P3579">
        <f t="shared" si="111"/>
        <v>63.048999999999985</v>
      </c>
    </row>
    <row r="3580" spans="1:16" x14ac:dyDescent="0.35">
      <c r="A3580" s="9" t="s">
        <v>91</v>
      </c>
      <c r="B3580" s="2">
        <v>190.51499999999999</v>
      </c>
      <c r="C3580" s="2">
        <v>190.68</v>
      </c>
      <c r="D3580" s="2">
        <v>183.76</v>
      </c>
      <c r="E3580" s="2">
        <v>185.52</v>
      </c>
      <c r="F3580" s="2">
        <v>133882493</v>
      </c>
      <c r="G3580" s="2" t="s">
        <v>573</v>
      </c>
      <c r="H3580" s="2" t="s">
        <v>574</v>
      </c>
      <c r="I3580" s="2" t="s">
        <v>575</v>
      </c>
      <c r="J3580" s="4">
        <v>-3.6659999999999999</v>
      </c>
      <c r="K3580" s="2" t="s">
        <v>88</v>
      </c>
      <c r="L3580" s="2">
        <v>2023</v>
      </c>
      <c r="M3580" s="2" t="s">
        <v>89</v>
      </c>
      <c r="N3580" s="2" t="s">
        <v>23</v>
      </c>
      <c r="O3580">
        <f t="shared" si="110"/>
        <v>6.9200000000000159</v>
      </c>
      <c r="P3580">
        <f t="shared" si="111"/>
        <v>59.382999999999988</v>
      </c>
    </row>
    <row r="3581" spans="1:16" x14ac:dyDescent="0.35">
      <c r="A3581" s="9" t="s">
        <v>92</v>
      </c>
      <c r="B3581" s="2">
        <v>183.08</v>
      </c>
      <c r="C3581" s="2">
        <v>186.39</v>
      </c>
      <c r="D3581" s="2">
        <v>179.74</v>
      </c>
      <c r="E3581" s="2">
        <v>185.06</v>
      </c>
      <c r="F3581" s="2">
        <v>123857932</v>
      </c>
      <c r="G3581" s="2" t="s">
        <v>573</v>
      </c>
      <c r="H3581" s="2" t="s">
        <v>574</v>
      </c>
      <c r="I3581" s="2" t="s">
        <v>575</v>
      </c>
      <c r="J3581" s="4">
        <v>-0.248</v>
      </c>
      <c r="K3581" s="2" t="s">
        <v>88</v>
      </c>
      <c r="L3581" s="2">
        <v>2023</v>
      </c>
      <c r="M3581" s="2" t="s">
        <v>89</v>
      </c>
      <c r="N3581" s="2" t="s">
        <v>23</v>
      </c>
      <c r="O3581">
        <f t="shared" si="110"/>
        <v>6.6499999999999773</v>
      </c>
      <c r="P3581">
        <f t="shared" si="111"/>
        <v>59.134999999999991</v>
      </c>
    </row>
    <row r="3582" spans="1:16" x14ac:dyDescent="0.35">
      <c r="A3582" s="9" t="s">
        <v>93</v>
      </c>
      <c r="B3582" s="2">
        <v>179.94</v>
      </c>
      <c r="C3582" s="2">
        <v>185.1</v>
      </c>
      <c r="D3582" s="2">
        <v>176.11</v>
      </c>
      <c r="E3582" s="2">
        <v>184.51</v>
      </c>
      <c r="F3582" s="2">
        <v>142154637</v>
      </c>
      <c r="G3582" s="2" t="s">
        <v>573</v>
      </c>
      <c r="H3582" s="2" t="s">
        <v>574</v>
      </c>
      <c r="I3582" s="2" t="s">
        <v>575</v>
      </c>
      <c r="J3582" s="4">
        <v>-0.29699999999999999</v>
      </c>
      <c r="K3582" s="2" t="s">
        <v>88</v>
      </c>
      <c r="L3582" s="2">
        <v>2023</v>
      </c>
      <c r="M3582" s="2" t="s">
        <v>89</v>
      </c>
      <c r="N3582" s="2" t="s">
        <v>23</v>
      </c>
      <c r="O3582">
        <f t="shared" si="110"/>
        <v>8.9899999999999807</v>
      </c>
      <c r="P3582">
        <f t="shared" si="111"/>
        <v>58.837999999999994</v>
      </c>
    </row>
    <row r="3583" spans="1:16" x14ac:dyDescent="0.35">
      <c r="A3583" s="9" t="s">
        <v>94</v>
      </c>
      <c r="B3583" s="2">
        <v>186.69</v>
      </c>
      <c r="C3583" s="2">
        <v>189.19</v>
      </c>
      <c r="D3583" s="2">
        <v>185.648</v>
      </c>
      <c r="E3583" s="2">
        <v>186.79</v>
      </c>
      <c r="F3583" s="2">
        <v>115770892</v>
      </c>
      <c r="G3583" s="2" t="s">
        <v>573</v>
      </c>
      <c r="H3583" s="2" t="s">
        <v>574</v>
      </c>
      <c r="I3583" s="2" t="s">
        <v>575</v>
      </c>
      <c r="J3583" s="3">
        <v>1.236</v>
      </c>
      <c r="K3583" s="2" t="s">
        <v>88</v>
      </c>
      <c r="L3583" s="2">
        <v>2023</v>
      </c>
      <c r="M3583" s="2" t="s">
        <v>89</v>
      </c>
      <c r="N3583" s="2" t="s">
        <v>21</v>
      </c>
      <c r="O3583">
        <f t="shared" si="110"/>
        <v>3.5420000000000016</v>
      </c>
      <c r="P3583">
        <f t="shared" si="111"/>
        <v>60.073999999999991</v>
      </c>
    </row>
    <row r="3584" spans="1:16" x14ac:dyDescent="0.35">
      <c r="A3584" s="9" t="s">
        <v>95</v>
      </c>
      <c r="B3584" s="2">
        <v>190.74</v>
      </c>
      <c r="C3584" s="2">
        <v>191.58500000000001</v>
      </c>
      <c r="D3584" s="2">
        <v>180.31</v>
      </c>
      <c r="E3584" s="2">
        <v>180.54</v>
      </c>
      <c r="F3584" s="2">
        <v>150256278</v>
      </c>
      <c r="G3584" s="2" t="s">
        <v>573</v>
      </c>
      <c r="H3584" s="2" t="s">
        <v>574</v>
      </c>
      <c r="I3584" s="2" t="s">
        <v>575</v>
      </c>
      <c r="J3584" s="4">
        <v>-3.3460000000000001</v>
      </c>
      <c r="K3584" s="2" t="s">
        <v>88</v>
      </c>
      <c r="L3584" s="2">
        <v>2023</v>
      </c>
      <c r="M3584" s="2" t="s">
        <v>89</v>
      </c>
      <c r="N3584" s="2" t="s">
        <v>23</v>
      </c>
      <c r="O3584">
        <f t="shared" si="110"/>
        <v>11.275000000000006</v>
      </c>
      <c r="P3584">
        <f t="shared" si="111"/>
        <v>56.727999999999994</v>
      </c>
    </row>
    <row r="3585" spans="1:16" x14ac:dyDescent="0.35">
      <c r="A3585" s="9" t="s">
        <v>96</v>
      </c>
      <c r="B3585" s="2">
        <v>182.95500000000001</v>
      </c>
      <c r="C3585" s="2">
        <v>186.5</v>
      </c>
      <c r="D3585" s="2">
        <v>180.94</v>
      </c>
      <c r="E3585" s="2">
        <v>185.9</v>
      </c>
      <c r="F3585" s="2">
        <v>112932985</v>
      </c>
      <c r="G3585" s="2" t="s">
        <v>573</v>
      </c>
      <c r="H3585" s="2" t="s">
        <v>574</v>
      </c>
      <c r="I3585" s="2" t="s">
        <v>575</v>
      </c>
      <c r="J3585" s="3">
        <v>2.9689999999999999</v>
      </c>
      <c r="K3585" s="2" t="s">
        <v>88</v>
      </c>
      <c r="L3585" s="2">
        <v>2023</v>
      </c>
      <c r="M3585" s="2" t="s">
        <v>89</v>
      </c>
      <c r="N3585" s="2" t="s">
        <v>21</v>
      </c>
      <c r="O3585">
        <f t="shared" si="110"/>
        <v>5.5600000000000023</v>
      </c>
      <c r="P3585">
        <f t="shared" si="111"/>
        <v>59.696999999999996</v>
      </c>
    </row>
    <row r="3586" spans="1:16" x14ac:dyDescent="0.35">
      <c r="A3586" s="9" t="s">
        <v>97</v>
      </c>
      <c r="B3586" s="2">
        <v>183.95</v>
      </c>
      <c r="C3586" s="2">
        <v>186.28</v>
      </c>
      <c r="D3586" s="2">
        <v>182.01</v>
      </c>
      <c r="E3586" s="2">
        <v>185</v>
      </c>
      <c r="F3586" s="2">
        <v>96438664</v>
      </c>
      <c r="G3586" s="2" t="s">
        <v>573</v>
      </c>
      <c r="H3586" s="2" t="s">
        <v>574</v>
      </c>
      <c r="I3586" s="2" t="s">
        <v>575</v>
      </c>
      <c r="J3586" s="4">
        <v>-0.48399999999999999</v>
      </c>
      <c r="K3586" s="2" t="s">
        <v>88</v>
      </c>
      <c r="L3586" s="2">
        <v>2023</v>
      </c>
      <c r="M3586" s="2" t="s">
        <v>89</v>
      </c>
      <c r="N3586" s="2" t="s">
        <v>23</v>
      </c>
      <c r="O3586">
        <f t="shared" si="110"/>
        <v>4.2700000000000102</v>
      </c>
      <c r="P3586">
        <f t="shared" si="111"/>
        <v>59.212999999999994</v>
      </c>
    </row>
    <row r="3587" spans="1:16" x14ac:dyDescent="0.35">
      <c r="A3587" s="9" t="s">
        <v>98</v>
      </c>
      <c r="B3587" s="2">
        <v>186.32</v>
      </c>
      <c r="C3587" s="2">
        <v>189.69</v>
      </c>
      <c r="D3587" s="2">
        <v>182.69</v>
      </c>
      <c r="E3587" s="2">
        <v>187.04</v>
      </c>
      <c r="F3587" s="2">
        <v>116662189</v>
      </c>
      <c r="G3587" s="2" t="s">
        <v>573</v>
      </c>
      <c r="H3587" s="2" t="s">
        <v>574</v>
      </c>
      <c r="I3587" s="2" t="s">
        <v>575</v>
      </c>
      <c r="J3587" s="3">
        <v>1.103</v>
      </c>
      <c r="K3587" s="2" t="s">
        <v>88</v>
      </c>
      <c r="L3587" s="2">
        <v>2023</v>
      </c>
      <c r="M3587" s="2" t="s">
        <v>89</v>
      </c>
      <c r="N3587" s="2" t="s">
        <v>21</v>
      </c>
      <c r="O3587">
        <f t="shared" ref="O3587:O3650" si="112">C3587-D3587</f>
        <v>7</v>
      </c>
      <c r="P3587">
        <f t="shared" si="111"/>
        <v>60.315999999999995</v>
      </c>
    </row>
    <row r="3588" spans="1:16" x14ac:dyDescent="0.35">
      <c r="A3588" s="9" t="s">
        <v>99</v>
      </c>
      <c r="B3588" s="2">
        <v>187.15</v>
      </c>
      <c r="C3588" s="2">
        <v>187.69</v>
      </c>
      <c r="D3588" s="2">
        <v>183.577</v>
      </c>
      <c r="E3588" s="2">
        <v>184.31</v>
      </c>
      <c r="F3588" s="2">
        <v>92067016</v>
      </c>
      <c r="G3588" s="2" t="s">
        <v>573</v>
      </c>
      <c r="H3588" s="2" t="s">
        <v>574</v>
      </c>
      <c r="I3588" s="2" t="s">
        <v>575</v>
      </c>
      <c r="J3588" s="4">
        <v>-1.46</v>
      </c>
      <c r="K3588" s="2" t="s">
        <v>88</v>
      </c>
      <c r="L3588" s="2">
        <v>2023</v>
      </c>
      <c r="M3588" s="2" t="s">
        <v>89</v>
      </c>
      <c r="N3588" s="2" t="s">
        <v>23</v>
      </c>
      <c r="O3588">
        <f t="shared" si="112"/>
        <v>4.1129999999999995</v>
      </c>
      <c r="P3588">
        <f t="shared" ref="P3588:P3651" si="113">IF(G3588=G3587, P3587+J3588, J3588)</f>
        <v>58.855999999999995</v>
      </c>
    </row>
    <row r="3589" spans="1:16" x14ac:dyDescent="0.35">
      <c r="A3589" s="9" t="s">
        <v>100</v>
      </c>
      <c r="B3589" s="2">
        <v>179.1</v>
      </c>
      <c r="C3589" s="2">
        <v>183.5</v>
      </c>
      <c r="D3589" s="2">
        <v>177.65</v>
      </c>
      <c r="E3589" s="2">
        <v>180.59</v>
      </c>
      <c r="F3589" s="2">
        <v>125732687</v>
      </c>
      <c r="G3589" s="2" t="s">
        <v>573</v>
      </c>
      <c r="H3589" s="2" t="s">
        <v>574</v>
      </c>
      <c r="I3589" s="2" t="s">
        <v>575</v>
      </c>
      <c r="J3589" s="4">
        <v>-2.0179999999999998</v>
      </c>
      <c r="K3589" s="2" t="s">
        <v>88</v>
      </c>
      <c r="L3589" s="2">
        <v>2023</v>
      </c>
      <c r="M3589" s="2" t="s">
        <v>89</v>
      </c>
      <c r="N3589" s="2" t="s">
        <v>23</v>
      </c>
      <c r="O3589">
        <f t="shared" si="112"/>
        <v>5.8499999999999943</v>
      </c>
      <c r="P3589">
        <f t="shared" si="113"/>
        <v>56.837999999999994</v>
      </c>
    </row>
    <row r="3590" spans="1:16" x14ac:dyDescent="0.35">
      <c r="A3590" s="9" t="s">
        <v>101</v>
      </c>
      <c r="B3590" s="2">
        <v>166.16499999999999</v>
      </c>
      <c r="C3590" s="2">
        <v>169.7</v>
      </c>
      <c r="D3590" s="2">
        <v>160.56</v>
      </c>
      <c r="E3590" s="2">
        <v>162.99</v>
      </c>
      <c r="F3590" s="2">
        <v>210970819</v>
      </c>
      <c r="G3590" s="2" t="s">
        <v>573</v>
      </c>
      <c r="H3590" s="2" t="s">
        <v>574</v>
      </c>
      <c r="I3590" s="2" t="s">
        <v>575</v>
      </c>
      <c r="J3590" s="4">
        <v>-9.7460000000000004</v>
      </c>
      <c r="K3590" s="2" t="s">
        <v>88</v>
      </c>
      <c r="L3590" s="2">
        <v>2023</v>
      </c>
      <c r="M3590" s="2" t="s">
        <v>89</v>
      </c>
      <c r="N3590" s="2" t="s">
        <v>23</v>
      </c>
      <c r="O3590">
        <f t="shared" si="112"/>
        <v>9.1399999999999864</v>
      </c>
      <c r="P3590">
        <f t="shared" si="113"/>
        <v>47.091999999999992</v>
      </c>
    </row>
    <row r="3591" spans="1:16" x14ac:dyDescent="0.35">
      <c r="A3591" s="9" t="s">
        <v>102</v>
      </c>
      <c r="B3591" s="2">
        <v>164.8</v>
      </c>
      <c r="C3591" s="2">
        <v>166</v>
      </c>
      <c r="D3591" s="2">
        <v>161.321</v>
      </c>
      <c r="E3591" s="2">
        <v>165.08</v>
      </c>
      <c r="F3591" s="2">
        <v>123538954</v>
      </c>
      <c r="G3591" s="2" t="s">
        <v>573</v>
      </c>
      <c r="H3591" s="2" t="s">
        <v>574</v>
      </c>
      <c r="I3591" s="2" t="s">
        <v>575</v>
      </c>
      <c r="J3591" s="3">
        <v>1.282</v>
      </c>
      <c r="K3591" s="2" t="s">
        <v>88</v>
      </c>
      <c r="L3591" s="2">
        <v>2023</v>
      </c>
      <c r="M3591" s="2" t="s">
        <v>89</v>
      </c>
      <c r="N3591" s="2" t="s">
        <v>21</v>
      </c>
      <c r="O3591">
        <f t="shared" si="112"/>
        <v>4.679000000000002</v>
      </c>
      <c r="P3591">
        <f t="shared" si="113"/>
        <v>48.373999999999995</v>
      </c>
    </row>
    <row r="3592" spans="1:16" x14ac:dyDescent="0.35">
      <c r="A3592" s="9" t="s">
        <v>103</v>
      </c>
      <c r="B3592" s="2">
        <v>164.65</v>
      </c>
      <c r="C3592" s="2">
        <v>165.65</v>
      </c>
      <c r="D3592" s="2">
        <v>158.61000000000001</v>
      </c>
      <c r="E3592" s="2">
        <v>162.55000000000001</v>
      </c>
      <c r="F3592" s="2">
        <v>140006559</v>
      </c>
      <c r="G3592" s="2" t="s">
        <v>573</v>
      </c>
      <c r="H3592" s="2" t="s">
        <v>574</v>
      </c>
      <c r="I3592" s="2" t="s">
        <v>575</v>
      </c>
      <c r="J3592" s="4">
        <v>-1.5329999999999999</v>
      </c>
      <c r="K3592" s="2" t="s">
        <v>88</v>
      </c>
      <c r="L3592" s="2">
        <v>2023</v>
      </c>
      <c r="M3592" s="2" t="s">
        <v>89</v>
      </c>
      <c r="N3592" s="2" t="s">
        <v>23</v>
      </c>
      <c r="O3592">
        <f t="shared" si="112"/>
        <v>7.039999999999992</v>
      </c>
      <c r="P3592">
        <f t="shared" si="113"/>
        <v>46.840999999999994</v>
      </c>
    </row>
    <row r="3593" spans="1:16" x14ac:dyDescent="0.35">
      <c r="A3593" s="9" t="s">
        <v>104</v>
      </c>
      <c r="B3593" s="2">
        <v>159.82</v>
      </c>
      <c r="C3593" s="2">
        <v>163.47</v>
      </c>
      <c r="D3593" s="2">
        <v>158.75</v>
      </c>
      <c r="E3593" s="2">
        <v>160.66999999999999</v>
      </c>
      <c r="F3593" s="2">
        <v>121999312</v>
      </c>
      <c r="G3593" s="2" t="s">
        <v>573</v>
      </c>
      <c r="H3593" s="2" t="s">
        <v>574</v>
      </c>
      <c r="I3593" s="2" t="s">
        <v>575</v>
      </c>
      <c r="J3593" s="4">
        <v>-1.157</v>
      </c>
      <c r="K3593" s="2" t="s">
        <v>88</v>
      </c>
      <c r="L3593" s="2">
        <v>2023</v>
      </c>
      <c r="M3593" s="2" t="s">
        <v>89</v>
      </c>
      <c r="N3593" s="2" t="s">
        <v>23</v>
      </c>
      <c r="O3593">
        <f t="shared" si="112"/>
        <v>4.7199999999999989</v>
      </c>
      <c r="P3593">
        <f t="shared" si="113"/>
        <v>45.683999999999997</v>
      </c>
    </row>
    <row r="3594" spans="1:16" x14ac:dyDescent="0.35">
      <c r="A3594" s="9" t="s">
        <v>105</v>
      </c>
      <c r="B3594" s="2">
        <v>160.29</v>
      </c>
      <c r="C3594" s="2">
        <v>160.66999999999999</v>
      </c>
      <c r="D3594" s="2">
        <v>153.13999999999999</v>
      </c>
      <c r="E3594" s="2">
        <v>153.75</v>
      </c>
      <c r="F3594" s="2">
        <v>153364142</v>
      </c>
      <c r="G3594" s="2" t="s">
        <v>573</v>
      </c>
      <c r="H3594" s="2" t="s">
        <v>574</v>
      </c>
      <c r="I3594" s="2" t="s">
        <v>575</v>
      </c>
      <c r="J3594" s="4">
        <v>-4.3070000000000004</v>
      </c>
      <c r="K3594" s="2" t="s">
        <v>88</v>
      </c>
      <c r="L3594" s="2">
        <v>2023</v>
      </c>
      <c r="M3594" s="2" t="s">
        <v>89</v>
      </c>
      <c r="N3594" s="2" t="s">
        <v>23</v>
      </c>
      <c r="O3594">
        <f t="shared" si="112"/>
        <v>7.5300000000000011</v>
      </c>
      <c r="P3594">
        <f t="shared" si="113"/>
        <v>41.376999999999995</v>
      </c>
    </row>
    <row r="3595" spans="1:16" x14ac:dyDescent="0.35">
      <c r="A3595" s="9" t="s">
        <v>106</v>
      </c>
      <c r="B3595" s="2">
        <v>152.63999999999999</v>
      </c>
      <c r="C3595" s="2">
        <v>160.47999999999999</v>
      </c>
      <c r="D3595" s="2">
        <v>152.37</v>
      </c>
      <c r="E3595" s="2">
        <v>160.19</v>
      </c>
      <c r="F3595" s="2">
        <v>127015177</v>
      </c>
      <c r="G3595" s="2" t="s">
        <v>573</v>
      </c>
      <c r="H3595" s="2" t="s">
        <v>574</v>
      </c>
      <c r="I3595" s="2" t="s">
        <v>575</v>
      </c>
      <c r="J3595" s="3">
        <v>4.1890000000000001</v>
      </c>
      <c r="K3595" s="2" t="s">
        <v>88</v>
      </c>
      <c r="L3595" s="2">
        <v>2023</v>
      </c>
      <c r="M3595" s="2" t="s">
        <v>89</v>
      </c>
      <c r="N3595" s="2" t="s">
        <v>21</v>
      </c>
      <c r="O3595">
        <f t="shared" si="112"/>
        <v>8.1099999999999852</v>
      </c>
      <c r="P3595">
        <f t="shared" si="113"/>
        <v>45.565999999999995</v>
      </c>
    </row>
    <row r="3596" spans="1:16" x14ac:dyDescent="0.35">
      <c r="A3596" s="9" t="s">
        <v>107</v>
      </c>
      <c r="B3596" s="2">
        <v>160.9</v>
      </c>
      <c r="C3596" s="2">
        <v>165</v>
      </c>
      <c r="D3596" s="2">
        <v>157.32</v>
      </c>
      <c r="E3596" s="2">
        <v>164.31</v>
      </c>
      <c r="F3596" s="2">
        <v>122515812</v>
      </c>
      <c r="G3596" s="2" t="s">
        <v>573</v>
      </c>
      <c r="H3596" s="2" t="s">
        <v>574</v>
      </c>
      <c r="I3596" s="2" t="s">
        <v>575</v>
      </c>
      <c r="J3596" s="3">
        <v>2.5720000000000001</v>
      </c>
      <c r="K3596" s="2" t="s">
        <v>88</v>
      </c>
      <c r="L3596" s="2">
        <v>2023</v>
      </c>
      <c r="M3596" s="2" t="s">
        <v>89</v>
      </c>
      <c r="N3596" s="2" t="s">
        <v>21</v>
      </c>
      <c r="O3596">
        <f t="shared" si="112"/>
        <v>7.6800000000000068</v>
      </c>
      <c r="P3596">
        <f t="shared" si="113"/>
        <v>48.137999999999998</v>
      </c>
    </row>
    <row r="3597" spans="1:16" x14ac:dyDescent="0.35">
      <c r="A3597" s="9" t="s">
        <v>108</v>
      </c>
      <c r="B3597" s="2">
        <v>163.16999999999999</v>
      </c>
      <c r="C3597" s="2">
        <v>163.28</v>
      </c>
      <c r="D3597" s="2">
        <v>158.83000000000001</v>
      </c>
      <c r="E3597" s="2">
        <v>161.83000000000001</v>
      </c>
      <c r="F3597" s="2">
        <v>109015048</v>
      </c>
      <c r="G3597" s="2" t="s">
        <v>573</v>
      </c>
      <c r="H3597" s="2" t="s">
        <v>574</v>
      </c>
      <c r="I3597" s="2" t="s">
        <v>575</v>
      </c>
      <c r="J3597" s="4">
        <v>-1.5089999999999999</v>
      </c>
      <c r="K3597" s="2" t="s">
        <v>109</v>
      </c>
      <c r="L3597" s="2">
        <v>2023</v>
      </c>
      <c r="M3597" s="2" t="s">
        <v>110</v>
      </c>
      <c r="N3597" s="2" t="s">
        <v>23</v>
      </c>
      <c r="O3597">
        <f t="shared" si="112"/>
        <v>4.4499999999999886</v>
      </c>
      <c r="P3597">
        <f t="shared" si="113"/>
        <v>46.628999999999998</v>
      </c>
    </row>
    <row r="3598" spans="1:16" x14ac:dyDescent="0.35">
      <c r="A3598" s="9" t="s">
        <v>111</v>
      </c>
      <c r="B3598" s="2">
        <v>161.88</v>
      </c>
      <c r="C3598" s="2">
        <v>165.49</v>
      </c>
      <c r="D3598" s="2">
        <v>158.93</v>
      </c>
      <c r="E3598" s="2">
        <v>160.31</v>
      </c>
      <c r="F3598" s="2">
        <v>128259744</v>
      </c>
      <c r="G3598" s="2" t="s">
        <v>573</v>
      </c>
      <c r="H3598" s="2" t="s">
        <v>574</v>
      </c>
      <c r="I3598" s="2" t="s">
        <v>575</v>
      </c>
      <c r="J3598" s="4">
        <v>-0.93899999999999995</v>
      </c>
      <c r="K3598" s="2" t="s">
        <v>109</v>
      </c>
      <c r="L3598" s="2">
        <v>2023</v>
      </c>
      <c r="M3598" s="2" t="s">
        <v>110</v>
      </c>
      <c r="N3598" s="2" t="s">
        <v>23</v>
      </c>
      <c r="O3598">
        <f t="shared" si="112"/>
        <v>6.5600000000000023</v>
      </c>
      <c r="P3598">
        <f t="shared" si="113"/>
        <v>45.69</v>
      </c>
    </row>
    <row r="3599" spans="1:16" x14ac:dyDescent="0.35">
      <c r="A3599" s="9" t="s">
        <v>112</v>
      </c>
      <c r="B3599" s="2">
        <v>160.01</v>
      </c>
      <c r="C3599" s="2">
        <v>165</v>
      </c>
      <c r="D3599" s="2">
        <v>159.91</v>
      </c>
      <c r="E3599" s="2">
        <v>160.61000000000001</v>
      </c>
      <c r="F3599" s="2">
        <v>119727972</v>
      </c>
      <c r="G3599" s="2" t="s">
        <v>573</v>
      </c>
      <c r="H3599" s="2" t="s">
        <v>574</v>
      </c>
      <c r="I3599" s="2" t="s">
        <v>575</v>
      </c>
      <c r="J3599" s="3">
        <v>0.187</v>
      </c>
      <c r="K3599" s="2" t="s">
        <v>109</v>
      </c>
      <c r="L3599" s="2">
        <v>2023</v>
      </c>
      <c r="M3599" s="2" t="s">
        <v>110</v>
      </c>
      <c r="N3599" s="2" t="s">
        <v>21</v>
      </c>
      <c r="O3599">
        <f t="shared" si="112"/>
        <v>5.0900000000000034</v>
      </c>
      <c r="P3599">
        <f t="shared" si="113"/>
        <v>45.876999999999995</v>
      </c>
    </row>
    <row r="3600" spans="1:16" x14ac:dyDescent="0.35">
      <c r="A3600" s="9" t="s">
        <v>113</v>
      </c>
      <c r="B3600" s="2">
        <v>162.71</v>
      </c>
      <c r="C3600" s="2">
        <v>162.94999999999999</v>
      </c>
      <c r="D3600" s="2">
        <v>159.65</v>
      </c>
      <c r="E3600" s="2">
        <v>161.19999999999999</v>
      </c>
      <c r="F3600" s="2">
        <v>95108492</v>
      </c>
      <c r="G3600" s="2" t="s">
        <v>573</v>
      </c>
      <c r="H3600" s="2" t="s">
        <v>574</v>
      </c>
      <c r="I3600" s="2" t="s">
        <v>575</v>
      </c>
      <c r="J3600" s="3">
        <v>0.36699999999999999</v>
      </c>
      <c r="K3600" s="2" t="s">
        <v>109</v>
      </c>
      <c r="L3600" s="2">
        <v>2023</v>
      </c>
      <c r="M3600" s="2" t="s">
        <v>110</v>
      </c>
      <c r="N3600" s="2" t="s">
        <v>21</v>
      </c>
      <c r="O3600">
        <f t="shared" si="112"/>
        <v>3.2999999999999829</v>
      </c>
      <c r="P3600">
        <f t="shared" si="113"/>
        <v>46.243999999999993</v>
      </c>
    </row>
    <row r="3601" spans="1:16" x14ac:dyDescent="0.35">
      <c r="A3601" s="9" t="s">
        <v>114</v>
      </c>
      <c r="B3601" s="2">
        <v>163.97</v>
      </c>
      <c r="C3601" s="2">
        <v>170.79</v>
      </c>
      <c r="D3601" s="2">
        <v>163.51</v>
      </c>
      <c r="E3601" s="2">
        <v>170.06</v>
      </c>
      <c r="F3601" s="2">
        <v>107607259</v>
      </c>
      <c r="G3601" s="2" t="s">
        <v>573</v>
      </c>
      <c r="H3601" s="2" t="s">
        <v>574</v>
      </c>
      <c r="I3601" s="2" t="s">
        <v>575</v>
      </c>
      <c r="J3601" s="3">
        <v>5.4960000000000004</v>
      </c>
      <c r="K3601" s="2" t="s">
        <v>109</v>
      </c>
      <c r="L3601" s="2">
        <v>2023</v>
      </c>
      <c r="M3601" s="2" t="s">
        <v>110</v>
      </c>
      <c r="N3601" s="2" t="s">
        <v>21</v>
      </c>
      <c r="O3601">
        <f t="shared" si="112"/>
        <v>7.2800000000000011</v>
      </c>
      <c r="P3601">
        <f t="shared" si="113"/>
        <v>51.739999999999995</v>
      </c>
    </row>
    <row r="3602" spans="1:16" x14ac:dyDescent="0.35">
      <c r="A3602" s="9" t="s">
        <v>115</v>
      </c>
      <c r="B3602" s="2">
        <v>173.72</v>
      </c>
      <c r="C3602" s="2">
        <v>173.8</v>
      </c>
      <c r="D3602" s="2">
        <v>169.19</v>
      </c>
      <c r="E3602" s="2">
        <v>171.79</v>
      </c>
      <c r="F3602" s="2">
        <v>112249449</v>
      </c>
      <c r="G3602" s="2" t="s">
        <v>573</v>
      </c>
      <c r="H3602" s="2" t="s">
        <v>574</v>
      </c>
      <c r="I3602" s="2" t="s">
        <v>575</v>
      </c>
      <c r="J3602" s="3">
        <v>1.0169999999999999</v>
      </c>
      <c r="K3602" s="2" t="s">
        <v>109</v>
      </c>
      <c r="L3602" s="2">
        <v>2023</v>
      </c>
      <c r="M3602" s="2" t="s">
        <v>110</v>
      </c>
      <c r="N3602" s="2" t="s">
        <v>21</v>
      </c>
      <c r="O3602">
        <f t="shared" si="112"/>
        <v>4.6100000000000136</v>
      </c>
      <c r="P3602">
        <f t="shared" si="113"/>
        <v>52.756999999999998</v>
      </c>
    </row>
    <row r="3603" spans="1:16" x14ac:dyDescent="0.35">
      <c r="A3603" s="9" t="s">
        <v>116</v>
      </c>
      <c r="B3603" s="2">
        <v>168.95</v>
      </c>
      <c r="C3603" s="2">
        <v>169.82</v>
      </c>
      <c r="D3603" s="2">
        <v>166.56</v>
      </c>
      <c r="E3603" s="2">
        <v>169.15</v>
      </c>
      <c r="F3603" s="2">
        <v>88965043</v>
      </c>
      <c r="G3603" s="2" t="s">
        <v>573</v>
      </c>
      <c r="H3603" s="2" t="s">
        <v>574</v>
      </c>
      <c r="I3603" s="2" t="s">
        <v>575</v>
      </c>
      <c r="J3603" s="4">
        <v>-1.5369999999999999</v>
      </c>
      <c r="K3603" s="2" t="s">
        <v>109</v>
      </c>
      <c r="L3603" s="2">
        <v>2023</v>
      </c>
      <c r="M3603" s="2" t="s">
        <v>110</v>
      </c>
      <c r="N3603" s="2" t="s">
        <v>23</v>
      </c>
      <c r="O3603">
        <f t="shared" si="112"/>
        <v>3.2599999999999909</v>
      </c>
      <c r="P3603">
        <f t="shared" si="113"/>
        <v>51.22</v>
      </c>
    </row>
    <row r="3604" spans="1:16" x14ac:dyDescent="0.35">
      <c r="A3604" s="9" t="s">
        <v>117</v>
      </c>
      <c r="B3604" s="2">
        <v>172.55</v>
      </c>
      <c r="C3604" s="2">
        <v>174.43</v>
      </c>
      <c r="D3604" s="2">
        <v>166.68</v>
      </c>
      <c r="E3604" s="2">
        <v>168.54</v>
      </c>
      <c r="F3604" s="2">
        <v>119840693</v>
      </c>
      <c r="G3604" s="2" t="s">
        <v>573</v>
      </c>
      <c r="H3604" s="2" t="s">
        <v>574</v>
      </c>
      <c r="I3604" s="2" t="s">
        <v>575</v>
      </c>
      <c r="J3604" s="4">
        <v>-0.36099999999999999</v>
      </c>
      <c r="K3604" s="2" t="s">
        <v>109</v>
      </c>
      <c r="L3604" s="2">
        <v>2023</v>
      </c>
      <c r="M3604" s="2" t="s">
        <v>110</v>
      </c>
      <c r="N3604" s="2" t="s">
        <v>23</v>
      </c>
      <c r="O3604">
        <f t="shared" si="112"/>
        <v>7.75</v>
      </c>
      <c r="P3604">
        <f t="shared" si="113"/>
        <v>50.859000000000002</v>
      </c>
    </row>
    <row r="3605" spans="1:16" x14ac:dyDescent="0.35">
      <c r="A3605" s="9" t="s">
        <v>118</v>
      </c>
      <c r="B3605" s="2">
        <v>168.7</v>
      </c>
      <c r="C3605" s="2">
        <v>173.57</v>
      </c>
      <c r="D3605" s="2">
        <v>166.79</v>
      </c>
      <c r="E3605" s="2">
        <v>172.08</v>
      </c>
      <c r="F3605" s="2">
        <v>103889930</v>
      </c>
      <c r="G3605" s="2" t="s">
        <v>573</v>
      </c>
      <c r="H3605" s="2" t="s">
        <v>574</v>
      </c>
      <c r="I3605" s="2" t="s">
        <v>575</v>
      </c>
      <c r="J3605" s="3">
        <v>2.1</v>
      </c>
      <c r="K3605" s="2" t="s">
        <v>109</v>
      </c>
      <c r="L3605" s="2">
        <v>2023</v>
      </c>
      <c r="M3605" s="2" t="s">
        <v>110</v>
      </c>
      <c r="N3605" s="2" t="s">
        <v>21</v>
      </c>
      <c r="O3605">
        <f t="shared" si="112"/>
        <v>6.7800000000000011</v>
      </c>
      <c r="P3605">
        <f t="shared" si="113"/>
        <v>52.959000000000003</v>
      </c>
    </row>
    <row r="3606" spans="1:16" x14ac:dyDescent="0.35">
      <c r="A3606" s="9" t="s">
        <v>119</v>
      </c>
      <c r="B3606" s="2">
        <v>176.07</v>
      </c>
      <c r="C3606" s="2">
        <v>177.38</v>
      </c>
      <c r="D3606" s="2">
        <v>167.23</v>
      </c>
      <c r="E3606" s="2">
        <v>167.98</v>
      </c>
      <c r="F3606" s="2">
        <v>157849625</v>
      </c>
      <c r="G3606" s="2" t="s">
        <v>573</v>
      </c>
      <c r="H3606" s="2" t="s">
        <v>574</v>
      </c>
      <c r="I3606" s="2" t="s">
        <v>575</v>
      </c>
      <c r="J3606" s="4">
        <v>-2.383</v>
      </c>
      <c r="K3606" s="2" t="s">
        <v>109</v>
      </c>
      <c r="L3606" s="2">
        <v>2023</v>
      </c>
      <c r="M3606" s="2" t="s">
        <v>110</v>
      </c>
      <c r="N3606" s="2" t="s">
        <v>23</v>
      </c>
      <c r="O3606">
        <f t="shared" si="112"/>
        <v>10.150000000000006</v>
      </c>
      <c r="P3606">
        <f t="shared" si="113"/>
        <v>50.576000000000001</v>
      </c>
    </row>
    <row r="3607" spans="1:16" x14ac:dyDescent="0.35">
      <c r="A3607" s="9" t="s">
        <v>120</v>
      </c>
      <c r="B3607" s="2">
        <v>167.655</v>
      </c>
      <c r="C3607" s="2">
        <v>169.76</v>
      </c>
      <c r="D3607" s="2">
        <v>164.55</v>
      </c>
      <c r="E3607" s="2">
        <v>166.35</v>
      </c>
      <c r="F3607" s="2">
        <v>105592510</v>
      </c>
      <c r="G3607" s="2" t="s">
        <v>573</v>
      </c>
      <c r="H3607" s="2" t="s">
        <v>574</v>
      </c>
      <c r="I3607" s="2" t="s">
        <v>575</v>
      </c>
      <c r="J3607" s="4">
        <v>-0.97</v>
      </c>
      <c r="K3607" s="2" t="s">
        <v>109</v>
      </c>
      <c r="L3607" s="2">
        <v>2023</v>
      </c>
      <c r="M3607" s="2" t="s">
        <v>110</v>
      </c>
      <c r="N3607" s="2" t="s">
        <v>23</v>
      </c>
      <c r="O3607">
        <f t="shared" si="112"/>
        <v>5.2099999999999795</v>
      </c>
      <c r="P3607">
        <f t="shared" si="113"/>
        <v>49.606000000000002</v>
      </c>
    </row>
    <row r="3608" spans="1:16" x14ac:dyDescent="0.35">
      <c r="A3608" s="9" t="s">
        <v>121</v>
      </c>
      <c r="B3608" s="2">
        <v>165.65</v>
      </c>
      <c r="C3608" s="2">
        <v>169.518</v>
      </c>
      <c r="D3608" s="2">
        <v>164.35</v>
      </c>
      <c r="E3608" s="2">
        <v>166.52</v>
      </c>
      <c r="F3608" s="2">
        <v>98288792</v>
      </c>
      <c r="G3608" s="2" t="s">
        <v>573</v>
      </c>
      <c r="H3608" s="2" t="s">
        <v>574</v>
      </c>
      <c r="I3608" s="2" t="s">
        <v>575</v>
      </c>
      <c r="J3608" s="3">
        <v>0.10199999999999999</v>
      </c>
      <c r="K3608" s="2" t="s">
        <v>109</v>
      </c>
      <c r="L3608" s="2">
        <v>2023</v>
      </c>
      <c r="M3608" s="2" t="s">
        <v>110</v>
      </c>
      <c r="N3608" s="2" t="s">
        <v>21</v>
      </c>
      <c r="O3608">
        <f t="shared" si="112"/>
        <v>5.1680000000000064</v>
      </c>
      <c r="P3608">
        <f t="shared" si="113"/>
        <v>49.707999999999998</v>
      </c>
    </row>
    <row r="3609" spans="1:16" x14ac:dyDescent="0.35">
      <c r="A3609" s="9" t="s">
        <v>123</v>
      </c>
      <c r="B3609" s="2">
        <v>168.41</v>
      </c>
      <c r="C3609" s="2">
        <v>174.5</v>
      </c>
      <c r="D3609" s="2">
        <v>167.185</v>
      </c>
      <c r="E3609" s="2">
        <v>173.86</v>
      </c>
      <c r="F3609" s="2">
        <v>125473558</v>
      </c>
      <c r="G3609" s="2" t="s">
        <v>573</v>
      </c>
      <c r="H3609" s="2" t="s">
        <v>574</v>
      </c>
      <c r="I3609" s="2" t="s">
        <v>575</v>
      </c>
      <c r="J3609" s="3">
        <v>4.4080000000000004</v>
      </c>
      <c r="K3609" s="2" t="s">
        <v>109</v>
      </c>
      <c r="L3609" s="2">
        <v>2023</v>
      </c>
      <c r="M3609" s="2" t="s">
        <v>110</v>
      </c>
      <c r="N3609" s="2" t="s">
        <v>21</v>
      </c>
      <c r="O3609">
        <f t="shared" si="112"/>
        <v>7.3149999999999977</v>
      </c>
      <c r="P3609">
        <f t="shared" si="113"/>
        <v>54.116</v>
      </c>
    </row>
    <row r="3610" spans="1:16" x14ac:dyDescent="0.35">
      <c r="A3610" s="9" t="s">
        <v>124</v>
      </c>
      <c r="B3610" s="2">
        <v>174.22</v>
      </c>
      <c r="C3610" s="2">
        <v>177.06</v>
      </c>
      <c r="D3610" s="2">
        <v>172.45</v>
      </c>
      <c r="E3610" s="2">
        <v>176.89</v>
      </c>
      <c r="F3610" s="2">
        <v>109520332</v>
      </c>
      <c r="G3610" s="2" t="s">
        <v>573</v>
      </c>
      <c r="H3610" s="2" t="s">
        <v>574</v>
      </c>
      <c r="I3610" s="2" t="s">
        <v>575</v>
      </c>
      <c r="J3610" s="3">
        <v>1.7430000000000001</v>
      </c>
      <c r="K3610" s="2" t="s">
        <v>109</v>
      </c>
      <c r="L3610" s="2">
        <v>2023</v>
      </c>
      <c r="M3610" s="2" t="s">
        <v>110</v>
      </c>
      <c r="N3610" s="2" t="s">
        <v>21</v>
      </c>
      <c r="O3610">
        <f t="shared" si="112"/>
        <v>4.6100000000000136</v>
      </c>
      <c r="P3610">
        <f t="shared" si="113"/>
        <v>55.859000000000002</v>
      </c>
    </row>
    <row r="3611" spans="1:16" x14ac:dyDescent="0.35">
      <c r="A3611" s="9" t="s">
        <v>125</v>
      </c>
      <c r="B3611" s="2">
        <v>177.17</v>
      </c>
      <c r="C3611" s="2">
        <v>181.95</v>
      </c>
      <c r="D3611" s="2">
        <v>176.31</v>
      </c>
      <c r="E3611" s="2">
        <v>180.14</v>
      </c>
      <c r="F3611" s="2">
        <v>136196668</v>
      </c>
      <c r="G3611" s="2" t="s">
        <v>573</v>
      </c>
      <c r="H3611" s="2" t="s">
        <v>574</v>
      </c>
      <c r="I3611" s="2" t="s">
        <v>575</v>
      </c>
      <c r="J3611" s="3">
        <v>1.837</v>
      </c>
      <c r="K3611" s="2" t="s">
        <v>109</v>
      </c>
      <c r="L3611" s="2">
        <v>2023</v>
      </c>
      <c r="M3611" s="2" t="s">
        <v>110</v>
      </c>
      <c r="N3611" s="2" t="s">
        <v>21</v>
      </c>
      <c r="O3611">
        <f t="shared" si="112"/>
        <v>5.6399999999999864</v>
      </c>
      <c r="P3611">
        <f t="shared" si="113"/>
        <v>57.696000000000005</v>
      </c>
    </row>
    <row r="3612" spans="1:16" x14ac:dyDescent="0.35">
      <c r="A3612" s="9" t="s">
        <v>126</v>
      </c>
      <c r="B3612" s="2">
        <v>180.7</v>
      </c>
      <c r="C3612" s="2">
        <v>189.32</v>
      </c>
      <c r="D3612" s="2">
        <v>180.11</v>
      </c>
      <c r="E3612" s="2">
        <v>188.87</v>
      </c>
      <c r="F3612" s="2">
        <v>132001430</v>
      </c>
      <c r="G3612" s="2" t="s">
        <v>573</v>
      </c>
      <c r="H3612" s="2" t="s">
        <v>574</v>
      </c>
      <c r="I3612" s="2" t="s">
        <v>575</v>
      </c>
      <c r="J3612" s="3">
        <v>4.8460000000000001</v>
      </c>
      <c r="K3612" s="2" t="s">
        <v>109</v>
      </c>
      <c r="L3612" s="2">
        <v>2023</v>
      </c>
      <c r="M3612" s="2" t="s">
        <v>110</v>
      </c>
      <c r="N3612" s="2" t="s">
        <v>21</v>
      </c>
      <c r="O3612">
        <f t="shared" si="112"/>
        <v>9.2099999999999795</v>
      </c>
      <c r="P3612">
        <f t="shared" si="113"/>
        <v>62.542000000000002</v>
      </c>
    </row>
    <row r="3613" spans="1:16" x14ac:dyDescent="0.35">
      <c r="A3613" s="9" t="s">
        <v>127</v>
      </c>
      <c r="B3613" s="2">
        <v>186.2</v>
      </c>
      <c r="C3613" s="2">
        <v>192.96</v>
      </c>
      <c r="D3613" s="2">
        <v>185.26</v>
      </c>
      <c r="E3613" s="2">
        <v>185.77</v>
      </c>
      <c r="F3613" s="2">
        <v>156952130</v>
      </c>
      <c r="G3613" s="2" t="s">
        <v>573</v>
      </c>
      <c r="H3613" s="2" t="s">
        <v>574</v>
      </c>
      <c r="I3613" s="2" t="s">
        <v>575</v>
      </c>
      <c r="J3613" s="4">
        <v>-1.641</v>
      </c>
      <c r="K3613" s="2" t="s">
        <v>109</v>
      </c>
      <c r="L3613" s="2">
        <v>2023</v>
      </c>
      <c r="M3613" s="2" t="s">
        <v>110</v>
      </c>
      <c r="N3613" s="2" t="s">
        <v>23</v>
      </c>
      <c r="O3613">
        <f t="shared" si="112"/>
        <v>7.7000000000000171</v>
      </c>
      <c r="P3613">
        <f t="shared" si="113"/>
        <v>60.901000000000003</v>
      </c>
    </row>
    <row r="3614" spans="1:16" x14ac:dyDescent="0.35">
      <c r="A3614" s="9" t="s">
        <v>128</v>
      </c>
      <c r="B3614" s="2">
        <v>182.23</v>
      </c>
      <c r="C3614" s="2">
        <v>184.22</v>
      </c>
      <c r="D3614" s="2">
        <v>178.22</v>
      </c>
      <c r="E3614" s="2">
        <v>182.9</v>
      </c>
      <c r="F3614" s="2">
        <v>137605054</v>
      </c>
      <c r="G3614" s="2" t="s">
        <v>573</v>
      </c>
      <c r="H3614" s="2" t="s">
        <v>574</v>
      </c>
      <c r="I3614" s="2" t="s">
        <v>575</v>
      </c>
      <c r="J3614" s="4">
        <v>-1.5449999999999999</v>
      </c>
      <c r="K3614" s="2" t="s">
        <v>109</v>
      </c>
      <c r="L3614" s="2">
        <v>2023</v>
      </c>
      <c r="M3614" s="2" t="s">
        <v>110</v>
      </c>
      <c r="N3614" s="2" t="s">
        <v>23</v>
      </c>
      <c r="O3614">
        <f t="shared" si="112"/>
        <v>6</v>
      </c>
      <c r="P3614">
        <f t="shared" si="113"/>
        <v>59.356000000000002</v>
      </c>
    </row>
    <row r="3615" spans="1:16" x14ac:dyDescent="0.35">
      <c r="A3615" s="9" t="s">
        <v>129</v>
      </c>
      <c r="B3615" s="2">
        <v>186.54</v>
      </c>
      <c r="C3615" s="2">
        <v>186.78</v>
      </c>
      <c r="D3615" s="2">
        <v>180.58</v>
      </c>
      <c r="E3615" s="2">
        <v>184.47</v>
      </c>
      <c r="F3615" s="2">
        <v>96870719</v>
      </c>
      <c r="G3615" s="2" t="s">
        <v>573</v>
      </c>
      <c r="H3615" s="2" t="s">
        <v>574</v>
      </c>
      <c r="I3615" s="2" t="s">
        <v>575</v>
      </c>
      <c r="J3615" s="3">
        <v>0.85799999999999998</v>
      </c>
      <c r="K3615" s="2" t="s">
        <v>109</v>
      </c>
      <c r="L3615" s="2">
        <v>2023</v>
      </c>
      <c r="M3615" s="2" t="s">
        <v>110</v>
      </c>
      <c r="N3615" s="2" t="s">
        <v>21</v>
      </c>
      <c r="O3615">
        <f t="shared" si="112"/>
        <v>6.1999999999999886</v>
      </c>
      <c r="P3615">
        <f t="shared" si="113"/>
        <v>60.213999999999999</v>
      </c>
    </row>
    <row r="3616" spans="1:16" x14ac:dyDescent="0.35">
      <c r="A3616" s="9" t="s">
        <v>130</v>
      </c>
      <c r="B3616" s="2">
        <v>184.62</v>
      </c>
      <c r="C3616" s="2">
        <v>198.6</v>
      </c>
      <c r="D3616" s="2">
        <v>184.53</v>
      </c>
      <c r="E3616" s="2">
        <v>193.17</v>
      </c>
      <c r="F3616" s="2">
        <v>162061496</v>
      </c>
      <c r="G3616" s="2" t="s">
        <v>573</v>
      </c>
      <c r="H3616" s="2" t="s">
        <v>574</v>
      </c>
      <c r="I3616" s="2" t="s">
        <v>575</v>
      </c>
      <c r="J3616" s="3">
        <v>4.7160000000000002</v>
      </c>
      <c r="K3616" s="2" t="s">
        <v>109</v>
      </c>
      <c r="L3616" s="2">
        <v>2023</v>
      </c>
      <c r="M3616" s="2" t="s">
        <v>110</v>
      </c>
      <c r="N3616" s="2" t="s">
        <v>21</v>
      </c>
      <c r="O3616">
        <f t="shared" si="112"/>
        <v>14.069999999999993</v>
      </c>
      <c r="P3616">
        <f t="shared" si="113"/>
        <v>64.929999999999993</v>
      </c>
    </row>
    <row r="3617" spans="1:16" x14ac:dyDescent="0.35">
      <c r="A3617" s="9" t="s">
        <v>131</v>
      </c>
      <c r="B3617" s="2">
        <v>200.1</v>
      </c>
      <c r="C3617" s="2">
        <v>204.48</v>
      </c>
      <c r="D3617" s="2">
        <v>197.53</v>
      </c>
      <c r="E3617" s="2">
        <v>201.16</v>
      </c>
      <c r="F3617" s="2">
        <v>128818746</v>
      </c>
      <c r="G3617" s="2" t="s">
        <v>573</v>
      </c>
      <c r="H3617" s="2" t="s">
        <v>574</v>
      </c>
      <c r="I3617" s="2" t="s">
        <v>575</v>
      </c>
      <c r="J3617" s="3">
        <v>4.1360000000000001</v>
      </c>
      <c r="K3617" s="2" t="s">
        <v>109</v>
      </c>
      <c r="L3617" s="2">
        <v>2023</v>
      </c>
      <c r="M3617" s="2" t="s">
        <v>110</v>
      </c>
      <c r="N3617" s="2" t="s">
        <v>21</v>
      </c>
      <c r="O3617">
        <f t="shared" si="112"/>
        <v>6.9499999999999886</v>
      </c>
      <c r="P3617">
        <f t="shared" si="113"/>
        <v>69.065999999999988</v>
      </c>
    </row>
    <row r="3618" spans="1:16" x14ac:dyDescent="0.35">
      <c r="A3618" s="9" t="s">
        <v>132</v>
      </c>
      <c r="B3618" s="2">
        <v>199.78</v>
      </c>
      <c r="C3618" s="2">
        <v>203.95</v>
      </c>
      <c r="D3618" s="2">
        <v>195.12</v>
      </c>
      <c r="E3618" s="2">
        <v>203.93</v>
      </c>
      <c r="F3618" s="2">
        <v>150711736</v>
      </c>
      <c r="G3618" s="2" t="s">
        <v>573</v>
      </c>
      <c r="H3618" s="2" t="s">
        <v>574</v>
      </c>
      <c r="I3618" s="2" t="s">
        <v>575</v>
      </c>
      <c r="J3618" s="3">
        <v>1.377</v>
      </c>
      <c r="K3618" s="2" t="s">
        <v>109</v>
      </c>
      <c r="L3618" s="2">
        <v>2023</v>
      </c>
      <c r="M3618" s="2" t="s">
        <v>110</v>
      </c>
      <c r="N3618" s="2" t="s">
        <v>21</v>
      </c>
      <c r="O3618">
        <f t="shared" si="112"/>
        <v>8.8299999999999841</v>
      </c>
      <c r="P3618">
        <f t="shared" si="113"/>
        <v>70.442999999999984</v>
      </c>
    </row>
    <row r="3619" spans="1:16" x14ac:dyDescent="0.35">
      <c r="A3619" s="9" t="s">
        <v>133</v>
      </c>
      <c r="B3619" s="2">
        <v>202.59</v>
      </c>
      <c r="C3619" s="2">
        <v>209.8</v>
      </c>
      <c r="D3619" s="2">
        <v>199.37</v>
      </c>
      <c r="E3619" s="2">
        <v>207.52</v>
      </c>
      <c r="F3619" s="2">
        <v>148029931</v>
      </c>
      <c r="G3619" s="2" t="s">
        <v>573</v>
      </c>
      <c r="H3619" s="2" t="s">
        <v>574</v>
      </c>
      <c r="I3619" s="2" t="s">
        <v>575</v>
      </c>
      <c r="J3619" s="3">
        <v>1.76</v>
      </c>
      <c r="K3619" s="2" t="s">
        <v>134</v>
      </c>
      <c r="L3619" s="2">
        <v>2023</v>
      </c>
      <c r="M3619" s="2" t="s">
        <v>135</v>
      </c>
      <c r="N3619" s="2" t="s">
        <v>21</v>
      </c>
      <c r="O3619">
        <f t="shared" si="112"/>
        <v>10.430000000000007</v>
      </c>
      <c r="P3619">
        <f t="shared" si="113"/>
        <v>72.202999999999989</v>
      </c>
    </row>
    <row r="3620" spans="1:16" x14ac:dyDescent="0.35">
      <c r="A3620" s="9" t="s">
        <v>136</v>
      </c>
      <c r="B3620" s="2">
        <v>210.15</v>
      </c>
      <c r="C3620" s="2">
        <v>217.25</v>
      </c>
      <c r="D3620" s="2">
        <v>209.75200000000001</v>
      </c>
      <c r="E3620" s="2">
        <v>213.97</v>
      </c>
      <c r="F3620" s="2">
        <v>164398372</v>
      </c>
      <c r="G3620" s="2" t="s">
        <v>573</v>
      </c>
      <c r="H3620" s="2" t="s">
        <v>574</v>
      </c>
      <c r="I3620" s="2" t="s">
        <v>575</v>
      </c>
      <c r="J3620" s="3">
        <v>3.1080000000000001</v>
      </c>
      <c r="K3620" s="2" t="s">
        <v>134</v>
      </c>
      <c r="L3620" s="2">
        <v>2023</v>
      </c>
      <c r="M3620" s="2" t="s">
        <v>135</v>
      </c>
      <c r="N3620" s="2" t="s">
        <v>21</v>
      </c>
      <c r="O3620">
        <f t="shared" si="112"/>
        <v>7.4979999999999905</v>
      </c>
      <c r="P3620">
        <f t="shared" si="113"/>
        <v>75.310999999999993</v>
      </c>
    </row>
    <row r="3621" spans="1:16" x14ac:dyDescent="0.35">
      <c r="A3621" s="9" t="s">
        <v>137</v>
      </c>
      <c r="B3621" s="2">
        <v>217.8</v>
      </c>
      <c r="C3621" s="2">
        <v>221.29</v>
      </c>
      <c r="D3621" s="2">
        <v>214.52</v>
      </c>
      <c r="E3621" s="2">
        <v>217.61</v>
      </c>
      <c r="F3621" s="2">
        <v>151143052</v>
      </c>
      <c r="G3621" s="2" t="s">
        <v>573</v>
      </c>
      <c r="H3621" s="2" t="s">
        <v>574</v>
      </c>
      <c r="I3621" s="2" t="s">
        <v>575</v>
      </c>
      <c r="J3621" s="3">
        <v>1.7010000000000001</v>
      </c>
      <c r="K3621" s="2" t="s">
        <v>134</v>
      </c>
      <c r="L3621" s="2">
        <v>2023</v>
      </c>
      <c r="M3621" s="2" t="s">
        <v>135</v>
      </c>
      <c r="N3621" s="2" t="s">
        <v>21</v>
      </c>
      <c r="O3621">
        <f t="shared" si="112"/>
        <v>6.7699999999999818</v>
      </c>
      <c r="P3621">
        <f t="shared" si="113"/>
        <v>77.011999999999986</v>
      </c>
    </row>
    <row r="3622" spans="1:16" x14ac:dyDescent="0.35">
      <c r="A3622" s="9" t="s">
        <v>138</v>
      </c>
      <c r="B3622" s="2">
        <v>216.14</v>
      </c>
      <c r="C3622" s="2">
        <v>221.91</v>
      </c>
      <c r="D3622" s="2">
        <v>212.53</v>
      </c>
      <c r="E3622" s="2">
        <v>221.31</v>
      </c>
      <c r="F3622" s="2">
        <v>146911576</v>
      </c>
      <c r="G3622" s="2" t="s">
        <v>573</v>
      </c>
      <c r="H3622" s="2" t="s">
        <v>574</v>
      </c>
      <c r="I3622" s="2" t="s">
        <v>575</v>
      </c>
      <c r="J3622" s="3">
        <v>1.7</v>
      </c>
      <c r="K3622" s="2" t="s">
        <v>134</v>
      </c>
      <c r="L3622" s="2">
        <v>2023</v>
      </c>
      <c r="M3622" s="2" t="s">
        <v>135</v>
      </c>
      <c r="N3622" s="2" t="s">
        <v>21</v>
      </c>
      <c r="O3622">
        <f t="shared" si="112"/>
        <v>9.3799999999999955</v>
      </c>
      <c r="P3622">
        <f t="shared" si="113"/>
        <v>78.711999999999989</v>
      </c>
    </row>
    <row r="3623" spans="1:16" x14ac:dyDescent="0.35">
      <c r="A3623" s="9" t="s">
        <v>139</v>
      </c>
      <c r="B3623" s="2">
        <v>228</v>
      </c>
      <c r="C3623" s="2">
        <v>230.83</v>
      </c>
      <c r="D3623" s="2">
        <v>223.2</v>
      </c>
      <c r="E3623" s="2">
        <v>224.57</v>
      </c>
      <c r="F3623" s="2">
        <v>185710777</v>
      </c>
      <c r="G3623" s="2" t="s">
        <v>573</v>
      </c>
      <c r="H3623" s="2" t="s">
        <v>574</v>
      </c>
      <c r="I3623" s="2" t="s">
        <v>575</v>
      </c>
      <c r="J3623" s="3">
        <v>1.4730000000000001</v>
      </c>
      <c r="K3623" s="2" t="s">
        <v>134</v>
      </c>
      <c r="L3623" s="2">
        <v>2023</v>
      </c>
      <c r="M3623" s="2" t="s">
        <v>135</v>
      </c>
      <c r="N3623" s="2" t="s">
        <v>21</v>
      </c>
      <c r="O3623">
        <f t="shared" si="112"/>
        <v>7.6300000000000239</v>
      </c>
      <c r="P3623">
        <f t="shared" si="113"/>
        <v>80.184999999999988</v>
      </c>
    </row>
    <row r="3624" spans="1:16" x14ac:dyDescent="0.35">
      <c r="A3624" s="9" t="s">
        <v>140</v>
      </c>
      <c r="B3624" s="2">
        <v>224.22</v>
      </c>
      <c r="C3624" s="2">
        <v>235.23</v>
      </c>
      <c r="D3624" s="2">
        <v>223.01</v>
      </c>
      <c r="E3624" s="2">
        <v>234.86</v>
      </c>
      <c r="F3624" s="2">
        <v>164489739</v>
      </c>
      <c r="G3624" s="2" t="s">
        <v>573</v>
      </c>
      <c r="H3624" s="2" t="s">
        <v>574</v>
      </c>
      <c r="I3624" s="2" t="s">
        <v>575</v>
      </c>
      <c r="J3624" s="3">
        <v>4.5819999999999999</v>
      </c>
      <c r="K3624" s="2" t="s">
        <v>134</v>
      </c>
      <c r="L3624" s="2">
        <v>2023</v>
      </c>
      <c r="M3624" s="2" t="s">
        <v>135</v>
      </c>
      <c r="N3624" s="2" t="s">
        <v>21</v>
      </c>
      <c r="O3624">
        <f t="shared" si="112"/>
        <v>12.219999999999999</v>
      </c>
      <c r="P3624">
        <f t="shared" si="113"/>
        <v>84.766999999999982</v>
      </c>
    </row>
    <row r="3625" spans="1:16" x14ac:dyDescent="0.35">
      <c r="A3625" s="9" t="s">
        <v>141</v>
      </c>
      <c r="B3625" s="2">
        <v>249.07</v>
      </c>
      <c r="C3625" s="2">
        <v>252.42</v>
      </c>
      <c r="D3625" s="2">
        <v>242.02</v>
      </c>
      <c r="E3625" s="2">
        <v>244.4</v>
      </c>
      <c r="F3625" s="2">
        <v>200242371</v>
      </c>
      <c r="G3625" s="2" t="s">
        <v>573</v>
      </c>
      <c r="H3625" s="2" t="s">
        <v>574</v>
      </c>
      <c r="I3625" s="2" t="s">
        <v>575</v>
      </c>
      <c r="J3625" s="3">
        <v>4.0620000000000003</v>
      </c>
      <c r="K3625" s="2" t="s">
        <v>134</v>
      </c>
      <c r="L3625" s="2">
        <v>2023</v>
      </c>
      <c r="M3625" s="2" t="s">
        <v>135</v>
      </c>
      <c r="N3625" s="2" t="s">
        <v>21</v>
      </c>
      <c r="O3625">
        <f t="shared" si="112"/>
        <v>10.399999999999977</v>
      </c>
      <c r="P3625">
        <f t="shared" si="113"/>
        <v>88.828999999999979</v>
      </c>
    </row>
    <row r="3626" spans="1:16" x14ac:dyDescent="0.35">
      <c r="A3626" s="9" t="s">
        <v>142</v>
      </c>
      <c r="B3626" s="2">
        <v>247.94</v>
      </c>
      <c r="C3626" s="2">
        <v>250.97</v>
      </c>
      <c r="D3626" s="2">
        <v>244.59</v>
      </c>
      <c r="E3626" s="2">
        <v>249.83</v>
      </c>
      <c r="F3626" s="2">
        <v>150740523</v>
      </c>
      <c r="G3626" s="2" t="s">
        <v>573</v>
      </c>
      <c r="H3626" s="2" t="s">
        <v>574</v>
      </c>
      <c r="I3626" s="2" t="s">
        <v>575</v>
      </c>
      <c r="J3626" s="3">
        <v>2.222</v>
      </c>
      <c r="K3626" s="2" t="s">
        <v>134</v>
      </c>
      <c r="L3626" s="2">
        <v>2023</v>
      </c>
      <c r="M3626" s="2" t="s">
        <v>135</v>
      </c>
      <c r="N3626" s="2" t="s">
        <v>21</v>
      </c>
      <c r="O3626">
        <f t="shared" si="112"/>
        <v>6.3799999999999955</v>
      </c>
      <c r="P3626">
        <f t="shared" si="113"/>
        <v>91.050999999999974</v>
      </c>
    </row>
    <row r="3627" spans="1:16" x14ac:dyDescent="0.35">
      <c r="A3627" s="9" t="s">
        <v>143</v>
      </c>
      <c r="B3627" s="2">
        <v>253.51</v>
      </c>
      <c r="C3627" s="2">
        <v>259.68</v>
      </c>
      <c r="D3627" s="2">
        <v>251.34</v>
      </c>
      <c r="E3627" s="2">
        <v>258.70999999999998</v>
      </c>
      <c r="F3627" s="2">
        <v>162384343</v>
      </c>
      <c r="G3627" s="2" t="s">
        <v>573</v>
      </c>
      <c r="H3627" s="2" t="s">
        <v>574</v>
      </c>
      <c r="I3627" s="2" t="s">
        <v>575</v>
      </c>
      <c r="J3627" s="3">
        <v>3.5539999999999998</v>
      </c>
      <c r="K3627" s="2" t="s">
        <v>134</v>
      </c>
      <c r="L3627" s="2">
        <v>2023</v>
      </c>
      <c r="M3627" s="2" t="s">
        <v>135</v>
      </c>
      <c r="N3627" s="2" t="s">
        <v>21</v>
      </c>
      <c r="O3627">
        <f t="shared" si="112"/>
        <v>8.3400000000000034</v>
      </c>
      <c r="P3627">
        <f t="shared" si="113"/>
        <v>94.604999999999976</v>
      </c>
    </row>
    <row r="3628" spans="1:16" x14ac:dyDescent="0.35">
      <c r="A3628" s="9" t="s">
        <v>144</v>
      </c>
      <c r="B3628" s="2">
        <v>260.17</v>
      </c>
      <c r="C3628" s="2">
        <v>261.57</v>
      </c>
      <c r="D3628" s="2">
        <v>250.5</v>
      </c>
      <c r="E3628" s="2">
        <v>256.79000000000002</v>
      </c>
      <c r="F3628" s="2">
        <v>170575536</v>
      </c>
      <c r="G3628" s="2" t="s">
        <v>573</v>
      </c>
      <c r="H3628" s="2" t="s">
        <v>574</v>
      </c>
      <c r="I3628" s="2" t="s">
        <v>575</v>
      </c>
      <c r="J3628" s="4">
        <v>-0.74199999999999999</v>
      </c>
      <c r="K3628" s="2" t="s">
        <v>134</v>
      </c>
      <c r="L3628" s="2">
        <v>2023</v>
      </c>
      <c r="M3628" s="2" t="s">
        <v>135</v>
      </c>
      <c r="N3628" s="2" t="s">
        <v>23</v>
      </c>
      <c r="O3628">
        <f t="shared" si="112"/>
        <v>11.069999999999993</v>
      </c>
      <c r="P3628">
        <f t="shared" si="113"/>
        <v>93.862999999999971</v>
      </c>
    </row>
    <row r="3629" spans="1:16" x14ac:dyDescent="0.35">
      <c r="A3629" s="9" t="s">
        <v>145</v>
      </c>
      <c r="B3629" s="2">
        <v>248.4</v>
      </c>
      <c r="C3629" s="2">
        <v>258.95</v>
      </c>
      <c r="D3629" s="2">
        <v>247.29</v>
      </c>
      <c r="E3629" s="2">
        <v>255.9</v>
      </c>
      <c r="F3629" s="2">
        <v>160171238</v>
      </c>
      <c r="G3629" s="2" t="s">
        <v>573</v>
      </c>
      <c r="H3629" s="2" t="s">
        <v>574</v>
      </c>
      <c r="I3629" s="2" t="s">
        <v>575</v>
      </c>
      <c r="J3629" s="4">
        <v>-0.34699999999999998</v>
      </c>
      <c r="K3629" s="2" t="s">
        <v>134</v>
      </c>
      <c r="L3629" s="2">
        <v>2023</v>
      </c>
      <c r="M3629" s="2" t="s">
        <v>135</v>
      </c>
      <c r="N3629" s="2" t="s">
        <v>23</v>
      </c>
      <c r="O3629">
        <f t="shared" si="112"/>
        <v>11.659999999999997</v>
      </c>
      <c r="P3629">
        <f t="shared" si="113"/>
        <v>93.515999999999977</v>
      </c>
    </row>
    <row r="3630" spans="1:16" x14ac:dyDescent="0.35">
      <c r="A3630" s="9" t="s">
        <v>146</v>
      </c>
      <c r="B3630" s="2">
        <v>258.92</v>
      </c>
      <c r="C3630" s="2">
        <v>263.60000000000002</v>
      </c>
      <c r="D3630" s="2">
        <v>257.209</v>
      </c>
      <c r="E3630" s="2">
        <v>260.54000000000002</v>
      </c>
      <c r="F3630" s="2">
        <v>167915649</v>
      </c>
      <c r="G3630" s="2" t="s">
        <v>573</v>
      </c>
      <c r="H3630" s="2" t="s">
        <v>574</v>
      </c>
      <c r="I3630" s="2" t="s">
        <v>575</v>
      </c>
      <c r="J3630" s="3">
        <v>1.8129999999999999</v>
      </c>
      <c r="K3630" s="2" t="s">
        <v>134</v>
      </c>
      <c r="L3630" s="2">
        <v>2023</v>
      </c>
      <c r="M3630" s="2" t="s">
        <v>135</v>
      </c>
      <c r="N3630" s="2" t="s">
        <v>21</v>
      </c>
      <c r="O3630">
        <f t="shared" si="112"/>
        <v>6.3910000000000196</v>
      </c>
      <c r="P3630">
        <f t="shared" si="113"/>
        <v>95.328999999999979</v>
      </c>
    </row>
    <row r="3631" spans="1:16" x14ac:dyDescent="0.35">
      <c r="A3631" s="9" t="s">
        <v>147</v>
      </c>
      <c r="B3631" s="2">
        <v>261.5</v>
      </c>
      <c r="C3631" s="2">
        <v>274.75</v>
      </c>
      <c r="D3631" s="2">
        <v>261.12</v>
      </c>
      <c r="E3631" s="2">
        <v>274.45</v>
      </c>
      <c r="F3631" s="2">
        <v>165611217</v>
      </c>
      <c r="G3631" s="2" t="s">
        <v>573</v>
      </c>
      <c r="H3631" s="2" t="s">
        <v>574</v>
      </c>
      <c r="I3631" s="2" t="s">
        <v>575</v>
      </c>
      <c r="J3631" s="3">
        <v>5.3390000000000004</v>
      </c>
      <c r="K3631" s="2" t="s">
        <v>134</v>
      </c>
      <c r="L3631" s="2">
        <v>2023</v>
      </c>
      <c r="M3631" s="2" t="s">
        <v>135</v>
      </c>
      <c r="N3631" s="2" t="s">
        <v>21</v>
      </c>
      <c r="O3631">
        <f t="shared" si="112"/>
        <v>13.629999999999995</v>
      </c>
      <c r="P3631">
        <f t="shared" si="113"/>
        <v>100.66799999999998</v>
      </c>
    </row>
    <row r="3632" spans="1:16" x14ac:dyDescent="0.35">
      <c r="A3632" s="9" t="s">
        <v>148</v>
      </c>
      <c r="B3632" s="2">
        <v>275.13</v>
      </c>
      <c r="C3632" s="2">
        <v>276.99</v>
      </c>
      <c r="D3632" s="2">
        <v>257.77999999999997</v>
      </c>
      <c r="E3632" s="2">
        <v>259.45999999999998</v>
      </c>
      <c r="F3632" s="2">
        <v>211797109</v>
      </c>
      <c r="G3632" s="2" t="s">
        <v>573</v>
      </c>
      <c r="H3632" s="2" t="s">
        <v>574</v>
      </c>
      <c r="I3632" s="2" t="s">
        <v>575</v>
      </c>
      <c r="J3632" s="4">
        <v>-5.4619999999999997</v>
      </c>
      <c r="K3632" s="2" t="s">
        <v>134</v>
      </c>
      <c r="L3632" s="2">
        <v>2023</v>
      </c>
      <c r="M3632" s="2" t="s">
        <v>135</v>
      </c>
      <c r="N3632" s="2" t="s">
        <v>23</v>
      </c>
      <c r="O3632">
        <f t="shared" si="112"/>
        <v>19.210000000000036</v>
      </c>
      <c r="P3632">
        <f t="shared" si="113"/>
        <v>95.205999999999975</v>
      </c>
    </row>
    <row r="3633" spans="1:16" x14ac:dyDescent="0.35">
      <c r="A3633" s="9" t="s">
        <v>149</v>
      </c>
      <c r="B3633" s="2">
        <v>250.77</v>
      </c>
      <c r="C3633" s="2">
        <v>265</v>
      </c>
      <c r="D3633" s="2">
        <v>248.25</v>
      </c>
      <c r="E3633" s="2">
        <v>264.61</v>
      </c>
      <c r="F3633" s="2">
        <v>166875944</v>
      </c>
      <c r="G3633" s="2" t="s">
        <v>573</v>
      </c>
      <c r="H3633" s="2" t="s">
        <v>574</v>
      </c>
      <c r="I3633" s="2" t="s">
        <v>575</v>
      </c>
      <c r="J3633" s="3">
        <v>1.9850000000000001</v>
      </c>
      <c r="K3633" s="2" t="s">
        <v>134</v>
      </c>
      <c r="L3633" s="2">
        <v>2023</v>
      </c>
      <c r="M3633" s="2" t="s">
        <v>135</v>
      </c>
      <c r="N3633" s="2" t="s">
        <v>21</v>
      </c>
      <c r="O3633">
        <f t="shared" si="112"/>
        <v>16.75</v>
      </c>
      <c r="P3633">
        <f t="shared" si="113"/>
        <v>97.190999999999974</v>
      </c>
    </row>
    <row r="3634" spans="1:16" x14ac:dyDescent="0.35">
      <c r="A3634" s="9" t="s">
        <v>150</v>
      </c>
      <c r="B3634" s="2">
        <v>259.29000000000002</v>
      </c>
      <c r="C3634" s="2">
        <v>262.45</v>
      </c>
      <c r="D3634" s="2">
        <v>252.8</v>
      </c>
      <c r="E3634" s="2">
        <v>256.60000000000002</v>
      </c>
      <c r="F3634" s="2">
        <v>177460803</v>
      </c>
      <c r="G3634" s="2" t="s">
        <v>573</v>
      </c>
      <c r="H3634" s="2" t="s">
        <v>574</v>
      </c>
      <c r="I3634" s="2" t="s">
        <v>575</v>
      </c>
      <c r="J3634" s="4">
        <v>-3.0270000000000001</v>
      </c>
      <c r="K3634" s="2" t="s">
        <v>134</v>
      </c>
      <c r="L3634" s="2">
        <v>2023</v>
      </c>
      <c r="M3634" s="2" t="s">
        <v>135</v>
      </c>
      <c r="N3634" s="2" t="s">
        <v>23</v>
      </c>
      <c r="O3634">
        <f t="shared" si="112"/>
        <v>9.6499999999999773</v>
      </c>
      <c r="P3634">
        <f t="shared" si="113"/>
        <v>94.163999999999973</v>
      </c>
    </row>
    <row r="3635" spans="1:16" x14ac:dyDescent="0.35">
      <c r="A3635" s="9" t="s">
        <v>151</v>
      </c>
      <c r="B3635" s="2">
        <v>254.28</v>
      </c>
      <c r="C3635" s="2">
        <v>258.37</v>
      </c>
      <c r="D3635" s="2">
        <v>240.7</v>
      </c>
      <c r="E3635" s="2">
        <v>241.05</v>
      </c>
      <c r="F3635" s="2">
        <v>179990552</v>
      </c>
      <c r="G3635" s="2" t="s">
        <v>573</v>
      </c>
      <c r="H3635" s="2" t="s">
        <v>574</v>
      </c>
      <c r="I3635" s="2" t="s">
        <v>575</v>
      </c>
      <c r="J3635" s="4">
        <v>-6.06</v>
      </c>
      <c r="K3635" s="2" t="s">
        <v>134</v>
      </c>
      <c r="L3635" s="2">
        <v>2023</v>
      </c>
      <c r="M3635" s="2" t="s">
        <v>135</v>
      </c>
      <c r="N3635" s="2" t="s">
        <v>23</v>
      </c>
      <c r="O3635">
        <f t="shared" si="112"/>
        <v>17.670000000000016</v>
      </c>
      <c r="P3635">
        <f t="shared" si="113"/>
        <v>88.103999999999971</v>
      </c>
    </row>
    <row r="3636" spans="1:16" x14ac:dyDescent="0.35">
      <c r="A3636" s="9" t="s">
        <v>152</v>
      </c>
      <c r="B3636" s="2">
        <v>243.24</v>
      </c>
      <c r="C3636" s="2">
        <v>250.39</v>
      </c>
      <c r="D3636" s="2">
        <v>240.85</v>
      </c>
      <c r="E3636" s="2">
        <v>250.21</v>
      </c>
      <c r="F3636" s="2">
        <v>164968214</v>
      </c>
      <c r="G3636" s="2" t="s">
        <v>573</v>
      </c>
      <c r="H3636" s="2" t="s">
        <v>574</v>
      </c>
      <c r="I3636" s="2" t="s">
        <v>575</v>
      </c>
      <c r="J3636" s="3">
        <v>3.8</v>
      </c>
      <c r="K3636" s="2" t="s">
        <v>134</v>
      </c>
      <c r="L3636" s="2">
        <v>2023</v>
      </c>
      <c r="M3636" s="2" t="s">
        <v>135</v>
      </c>
      <c r="N3636" s="2" t="s">
        <v>21</v>
      </c>
      <c r="O3636">
        <f t="shared" si="112"/>
        <v>9.539999999999992</v>
      </c>
      <c r="P3636">
        <f t="shared" si="113"/>
        <v>91.903999999999968</v>
      </c>
    </row>
    <row r="3637" spans="1:16" x14ac:dyDescent="0.35">
      <c r="A3637" s="9" t="s">
        <v>153</v>
      </c>
      <c r="B3637" s="2">
        <v>249.7</v>
      </c>
      <c r="C3637" s="2">
        <v>259.88</v>
      </c>
      <c r="D3637" s="2">
        <v>248.89</v>
      </c>
      <c r="E3637" s="2">
        <v>256.24</v>
      </c>
      <c r="F3637" s="2">
        <v>159770797</v>
      </c>
      <c r="G3637" s="2" t="s">
        <v>573</v>
      </c>
      <c r="H3637" s="2" t="s">
        <v>574</v>
      </c>
      <c r="I3637" s="2" t="s">
        <v>575</v>
      </c>
      <c r="J3637" s="3">
        <v>2.41</v>
      </c>
      <c r="K3637" s="2" t="s">
        <v>134</v>
      </c>
      <c r="L3637" s="2">
        <v>2023</v>
      </c>
      <c r="M3637" s="2" t="s">
        <v>135</v>
      </c>
      <c r="N3637" s="2" t="s">
        <v>21</v>
      </c>
      <c r="O3637">
        <f t="shared" si="112"/>
        <v>10.990000000000009</v>
      </c>
      <c r="P3637">
        <f t="shared" si="113"/>
        <v>94.313999999999965</v>
      </c>
    </row>
    <row r="3638" spans="1:16" x14ac:dyDescent="0.35">
      <c r="A3638" s="9" t="s">
        <v>154</v>
      </c>
      <c r="B3638" s="2">
        <v>258.02999999999997</v>
      </c>
      <c r="C3638" s="2">
        <v>260.74</v>
      </c>
      <c r="D3638" s="2">
        <v>253.61</v>
      </c>
      <c r="E3638" s="2">
        <v>257.5</v>
      </c>
      <c r="F3638" s="2">
        <v>131283360</v>
      </c>
      <c r="G3638" s="2" t="s">
        <v>573</v>
      </c>
      <c r="H3638" s="2" t="s">
        <v>574</v>
      </c>
      <c r="I3638" s="2" t="s">
        <v>575</v>
      </c>
      <c r="J3638" s="3">
        <v>0.49199999999999999</v>
      </c>
      <c r="K3638" s="2" t="s">
        <v>134</v>
      </c>
      <c r="L3638" s="2">
        <v>2023</v>
      </c>
      <c r="M3638" s="2" t="s">
        <v>135</v>
      </c>
      <c r="N3638" s="2" t="s">
        <v>21</v>
      </c>
      <c r="O3638">
        <f t="shared" si="112"/>
        <v>7.1299999999999955</v>
      </c>
      <c r="P3638">
        <f t="shared" si="113"/>
        <v>94.805999999999969</v>
      </c>
    </row>
    <row r="3639" spans="1:16" x14ac:dyDescent="0.35">
      <c r="A3639" s="9" t="s">
        <v>155</v>
      </c>
      <c r="B3639" s="2">
        <v>260.60000000000002</v>
      </c>
      <c r="C3639" s="2">
        <v>264.45</v>
      </c>
      <c r="D3639" s="2">
        <v>259.89</v>
      </c>
      <c r="E3639" s="2">
        <v>261.77</v>
      </c>
      <c r="F3639" s="2">
        <v>112620784</v>
      </c>
      <c r="G3639" s="2" t="s">
        <v>573</v>
      </c>
      <c r="H3639" s="2" t="s">
        <v>574</v>
      </c>
      <c r="I3639" s="2" t="s">
        <v>575</v>
      </c>
      <c r="J3639" s="3">
        <v>1.6579999999999999</v>
      </c>
      <c r="K3639" s="2" t="s">
        <v>134</v>
      </c>
      <c r="L3639" s="2">
        <v>2023</v>
      </c>
      <c r="M3639" s="2" t="s">
        <v>135</v>
      </c>
      <c r="N3639" s="2" t="s">
        <v>21</v>
      </c>
      <c r="O3639">
        <f t="shared" si="112"/>
        <v>4.5600000000000023</v>
      </c>
      <c r="P3639">
        <f t="shared" si="113"/>
        <v>96.46399999999997</v>
      </c>
    </row>
    <row r="3640" spans="1:16" x14ac:dyDescent="0.35">
      <c r="A3640" s="9" t="s">
        <v>156</v>
      </c>
      <c r="B3640" s="2">
        <v>276.49</v>
      </c>
      <c r="C3640" s="2">
        <v>284.25</v>
      </c>
      <c r="D3640" s="2">
        <v>275.11</v>
      </c>
      <c r="E3640" s="2">
        <v>279.82</v>
      </c>
      <c r="F3640" s="2">
        <v>119685891</v>
      </c>
      <c r="G3640" s="2" t="s">
        <v>573</v>
      </c>
      <c r="H3640" s="2" t="s">
        <v>574</v>
      </c>
      <c r="I3640" s="2" t="s">
        <v>575</v>
      </c>
      <c r="J3640" s="3">
        <v>6.8949999999999996</v>
      </c>
      <c r="K3640" s="2" t="s">
        <v>157</v>
      </c>
      <c r="L3640" s="2">
        <v>2023</v>
      </c>
      <c r="M3640" s="2" t="s">
        <v>158</v>
      </c>
      <c r="N3640" s="2" t="s">
        <v>21</v>
      </c>
      <c r="O3640">
        <f t="shared" si="112"/>
        <v>9.1399999999999864</v>
      </c>
      <c r="P3640">
        <f t="shared" si="113"/>
        <v>103.35899999999997</v>
      </c>
    </row>
    <row r="3641" spans="1:16" x14ac:dyDescent="0.35">
      <c r="A3641" s="9" t="s">
        <v>159</v>
      </c>
      <c r="B3641" s="2">
        <v>278.82</v>
      </c>
      <c r="C3641" s="2">
        <v>283.85000000000002</v>
      </c>
      <c r="D3641" s="2">
        <v>277.60000000000002</v>
      </c>
      <c r="E3641" s="2">
        <v>282.48</v>
      </c>
      <c r="F3641" s="2">
        <v>131530862</v>
      </c>
      <c r="G3641" s="2" t="s">
        <v>573</v>
      </c>
      <c r="H3641" s="2" t="s">
        <v>574</v>
      </c>
      <c r="I3641" s="2" t="s">
        <v>575</v>
      </c>
      <c r="J3641" s="3">
        <v>0.95099999999999996</v>
      </c>
      <c r="K3641" s="2" t="s">
        <v>157</v>
      </c>
      <c r="L3641" s="2">
        <v>2023</v>
      </c>
      <c r="M3641" s="2" t="s">
        <v>158</v>
      </c>
      <c r="N3641" s="2" t="s">
        <v>21</v>
      </c>
      <c r="O3641">
        <f t="shared" si="112"/>
        <v>6.25</v>
      </c>
      <c r="P3641">
        <f t="shared" si="113"/>
        <v>104.30999999999996</v>
      </c>
    </row>
    <row r="3642" spans="1:16" x14ac:dyDescent="0.35">
      <c r="A3642" s="9" t="s">
        <v>160</v>
      </c>
      <c r="B3642" s="2">
        <v>278.08999999999997</v>
      </c>
      <c r="C3642" s="2">
        <v>279.97000000000003</v>
      </c>
      <c r="D3642" s="2">
        <v>272.88</v>
      </c>
      <c r="E3642" s="2">
        <v>276.54000000000002</v>
      </c>
      <c r="F3642" s="2">
        <v>120707419</v>
      </c>
      <c r="G3642" s="2" t="s">
        <v>573</v>
      </c>
      <c r="H3642" s="2" t="s">
        <v>574</v>
      </c>
      <c r="I3642" s="2" t="s">
        <v>575</v>
      </c>
      <c r="J3642" s="4">
        <v>-2.1030000000000002</v>
      </c>
      <c r="K3642" s="2" t="s">
        <v>157</v>
      </c>
      <c r="L3642" s="2">
        <v>2023</v>
      </c>
      <c r="M3642" s="2" t="s">
        <v>158</v>
      </c>
      <c r="N3642" s="2" t="s">
        <v>23</v>
      </c>
      <c r="O3642">
        <f t="shared" si="112"/>
        <v>7.0900000000000318</v>
      </c>
      <c r="P3642">
        <f t="shared" si="113"/>
        <v>102.20699999999997</v>
      </c>
    </row>
    <row r="3643" spans="1:16" x14ac:dyDescent="0.35">
      <c r="A3643" s="9" t="s">
        <v>161</v>
      </c>
      <c r="B3643" s="2">
        <v>278.43</v>
      </c>
      <c r="C3643" s="2">
        <v>280.77999999999997</v>
      </c>
      <c r="D3643" s="2">
        <v>273.77</v>
      </c>
      <c r="E3643" s="2">
        <v>274.43</v>
      </c>
      <c r="F3643" s="2">
        <v>113879174</v>
      </c>
      <c r="G3643" s="2" t="s">
        <v>573</v>
      </c>
      <c r="H3643" s="2" t="s">
        <v>574</v>
      </c>
      <c r="I3643" s="2" t="s">
        <v>575</v>
      </c>
      <c r="J3643" s="4">
        <v>-0.76300000000000001</v>
      </c>
      <c r="K3643" s="2" t="s">
        <v>157</v>
      </c>
      <c r="L3643" s="2">
        <v>2023</v>
      </c>
      <c r="M3643" s="2" t="s">
        <v>158</v>
      </c>
      <c r="N3643" s="2" t="s">
        <v>23</v>
      </c>
      <c r="O3643">
        <f t="shared" si="112"/>
        <v>7.0099999999999909</v>
      </c>
      <c r="P3643">
        <f t="shared" si="113"/>
        <v>101.44399999999996</v>
      </c>
    </row>
    <row r="3644" spans="1:16" x14ac:dyDescent="0.35">
      <c r="A3644" s="9" t="s">
        <v>162</v>
      </c>
      <c r="B3644" s="2">
        <v>276.47000000000003</v>
      </c>
      <c r="C3644" s="2">
        <v>277.52</v>
      </c>
      <c r="D3644" s="2">
        <v>265.10000000000002</v>
      </c>
      <c r="E3644" s="2">
        <v>269.61</v>
      </c>
      <c r="F3644" s="2">
        <v>119425405</v>
      </c>
      <c r="G3644" s="2" t="s">
        <v>573</v>
      </c>
      <c r="H3644" s="2" t="s">
        <v>574</v>
      </c>
      <c r="I3644" s="2" t="s">
        <v>575</v>
      </c>
      <c r="J3644" s="4">
        <v>-1.756</v>
      </c>
      <c r="K3644" s="2" t="s">
        <v>157</v>
      </c>
      <c r="L3644" s="2">
        <v>2023</v>
      </c>
      <c r="M3644" s="2" t="s">
        <v>158</v>
      </c>
      <c r="N3644" s="2" t="s">
        <v>23</v>
      </c>
      <c r="O3644">
        <f t="shared" si="112"/>
        <v>12.419999999999959</v>
      </c>
      <c r="P3644">
        <f t="shared" si="113"/>
        <v>99.68799999999996</v>
      </c>
    </row>
    <row r="3645" spans="1:16" x14ac:dyDescent="0.35">
      <c r="A3645" s="9" t="s">
        <v>163</v>
      </c>
      <c r="B3645" s="2">
        <v>268.64999999999998</v>
      </c>
      <c r="C3645" s="2">
        <v>270.89999999999998</v>
      </c>
      <c r="D3645" s="2">
        <v>266.37</v>
      </c>
      <c r="E3645" s="2">
        <v>269.79000000000002</v>
      </c>
      <c r="F3645" s="2">
        <v>91972358</v>
      </c>
      <c r="G3645" s="2" t="s">
        <v>573</v>
      </c>
      <c r="H3645" s="2" t="s">
        <v>574</v>
      </c>
      <c r="I3645" s="2" t="s">
        <v>575</v>
      </c>
      <c r="J3645" s="3">
        <v>6.7000000000000004E-2</v>
      </c>
      <c r="K3645" s="2" t="s">
        <v>157</v>
      </c>
      <c r="L3645" s="2">
        <v>2023</v>
      </c>
      <c r="M3645" s="2" t="s">
        <v>158</v>
      </c>
      <c r="N3645" s="2" t="s">
        <v>21</v>
      </c>
      <c r="O3645">
        <f t="shared" si="112"/>
        <v>4.5299999999999727</v>
      </c>
      <c r="P3645">
        <f t="shared" si="113"/>
        <v>99.754999999999953</v>
      </c>
    </row>
    <row r="3646" spans="1:16" x14ac:dyDescent="0.35">
      <c r="A3646" s="9" t="s">
        <v>164</v>
      </c>
      <c r="B3646" s="2">
        <v>276.32499999999999</v>
      </c>
      <c r="C3646" s="2">
        <v>276.52</v>
      </c>
      <c r="D3646" s="2">
        <v>271.45999999999998</v>
      </c>
      <c r="E3646" s="2">
        <v>271.99</v>
      </c>
      <c r="F3646" s="2">
        <v>95672139</v>
      </c>
      <c r="G3646" s="2" t="s">
        <v>573</v>
      </c>
      <c r="H3646" s="2" t="s">
        <v>574</v>
      </c>
      <c r="I3646" s="2" t="s">
        <v>575</v>
      </c>
      <c r="J3646" s="3">
        <v>0.81499999999999995</v>
      </c>
      <c r="K3646" s="2" t="s">
        <v>157</v>
      </c>
      <c r="L3646" s="2">
        <v>2023</v>
      </c>
      <c r="M3646" s="2" t="s">
        <v>158</v>
      </c>
      <c r="N3646" s="2" t="s">
        <v>21</v>
      </c>
      <c r="O3646">
        <f t="shared" si="112"/>
        <v>5.0600000000000023</v>
      </c>
      <c r="P3646">
        <f t="shared" si="113"/>
        <v>100.56999999999995</v>
      </c>
    </row>
    <row r="3647" spans="1:16" x14ac:dyDescent="0.35">
      <c r="A3647" s="9" t="s">
        <v>165</v>
      </c>
      <c r="B3647" s="2">
        <v>274.58999999999997</v>
      </c>
      <c r="C3647" s="2">
        <v>279.45</v>
      </c>
      <c r="D3647" s="2">
        <v>270.60000000000002</v>
      </c>
      <c r="E3647" s="2">
        <v>277.89999999999998</v>
      </c>
      <c r="F3647" s="2">
        <v>112681458</v>
      </c>
      <c r="G3647" s="2" t="s">
        <v>573</v>
      </c>
      <c r="H3647" s="2" t="s">
        <v>574</v>
      </c>
      <c r="I3647" s="2" t="s">
        <v>575</v>
      </c>
      <c r="J3647" s="3">
        <v>2.173</v>
      </c>
      <c r="K3647" s="2" t="s">
        <v>157</v>
      </c>
      <c r="L3647" s="2">
        <v>2023</v>
      </c>
      <c r="M3647" s="2" t="s">
        <v>158</v>
      </c>
      <c r="N3647" s="2" t="s">
        <v>21</v>
      </c>
      <c r="O3647">
        <f t="shared" si="112"/>
        <v>8.8499999999999659</v>
      </c>
      <c r="P3647">
        <f t="shared" si="113"/>
        <v>102.74299999999995</v>
      </c>
    </row>
    <row r="3648" spans="1:16" x14ac:dyDescent="0.35">
      <c r="A3648" s="9" t="s">
        <v>166</v>
      </c>
      <c r="B3648" s="2">
        <v>277.01</v>
      </c>
      <c r="C3648" s="2">
        <v>285.3</v>
      </c>
      <c r="D3648" s="2">
        <v>276.31</v>
      </c>
      <c r="E3648" s="2">
        <v>281.38</v>
      </c>
      <c r="F3648" s="2">
        <v>120062369</v>
      </c>
      <c r="G3648" s="2" t="s">
        <v>573</v>
      </c>
      <c r="H3648" s="2" t="s">
        <v>574</v>
      </c>
      <c r="I3648" s="2" t="s">
        <v>575</v>
      </c>
      <c r="J3648" s="3">
        <v>1.252</v>
      </c>
      <c r="K3648" s="2" t="s">
        <v>157</v>
      </c>
      <c r="L3648" s="2">
        <v>2023</v>
      </c>
      <c r="M3648" s="2" t="s">
        <v>158</v>
      </c>
      <c r="N3648" s="2" t="s">
        <v>21</v>
      </c>
      <c r="O3648">
        <f t="shared" si="112"/>
        <v>8.9900000000000091</v>
      </c>
      <c r="P3648">
        <f t="shared" si="113"/>
        <v>103.99499999999995</v>
      </c>
    </row>
    <row r="3649" spans="1:16" x14ac:dyDescent="0.35">
      <c r="A3649" s="9" t="s">
        <v>167</v>
      </c>
      <c r="B3649" s="2">
        <v>286.625</v>
      </c>
      <c r="C3649" s="2">
        <v>292.23</v>
      </c>
      <c r="D3649" s="2">
        <v>283.57</v>
      </c>
      <c r="E3649" s="2">
        <v>290.38</v>
      </c>
      <c r="F3649" s="2">
        <v>131569593</v>
      </c>
      <c r="G3649" s="2" t="s">
        <v>573</v>
      </c>
      <c r="H3649" s="2" t="s">
        <v>574</v>
      </c>
      <c r="I3649" s="2" t="s">
        <v>575</v>
      </c>
      <c r="J3649" s="3">
        <v>3.1989999999999998</v>
      </c>
      <c r="K3649" s="2" t="s">
        <v>157</v>
      </c>
      <c r="L3649" s="2">
        <v>2023</v>
      </c>
      <c r="M3649" s="2" t="s">
        <v>158</v>
      </c>
      <c r="N3649" s="2" t="s">
        <v>21</v>
      </c>
      <c r="O3649">
        <f t="shared" si="112"/>
        <v>8.660000000000025</v>
      </c>
      <c r="P3649">
        <f t="shared" si="113"/>
        <v>107.19399999999995</v>
      </c>
    </row>
    <row r="3650" spans="1:16" x14ac:dyDescent="0.35">
      <c r="A3650" s="9" t="s">
        <v>168</v>
      </c>
      <c r="B3650" s="2">
        <v>290.14999999999998</v>
      </c>
      <c r="C3650" s="2">
        <v>295.26</v>
      </c>
      <c r="D3650" s="2">
        <v>286.01</v>
      </c>
      <c r="E3650" s="2">
        <v>293.33999999999997</v>
      </c>
      <c r="F3650" s="2">
        <v>112434713</v>
      </c>
      <c r="G3650" s="2" t="s">
        <v>573</v>
      </c>
      <c r="H3650" s="2" t="s">
        <v>574</v>
      </c>
      <c r="I3650" s="2" t="s">
        <v>575</v>
      </c>
      <c r="J3650" s="3">
        <v>1.0189999999999999</v>
      </c>
      <c r="K3650" s="2" t="s">
        <v>157</v>
      </c>
      <c r="L3650" s="2">
        <v>2023</v>
      </c>
      <c r="M3650" s="2" t="s">
        <v>158</v>
      </c>
      <c r="N3650" s="2" t="s">
        <v>21</v>
      </c>
      <c r="O3650">
        <f t="shared" si="112"/>
        <v>9.25</v>
      </c>
      <c r="P3650">
        <f t="shared" si="113"/>
        <v>108.21299999999995</v>
      </c>
    </row>
    <row r="3651" spans="1:16" x14ac:dyDescent="0.35">
      <c r="A3651" s="9" t="s">
        <v>169</v>
      </c>
      <c r="B3651" s="2">
        <v>296.04000000000002</v>
      </c>
      <c r="C3651" s="2">
        <v>299.29000000000002</v>
      </c>
      <c r="D3651" s="2">
        <v>289.52</v>
      </c>
      <c r="E3651" s="2">
        <v>291.26</v>
      </c>
      <c r="F3651" s="2">
        <v>142355353</v>
      </c>
      <c r="G3651" s="2" t="s">
        <v>573</v>
      </c>
      <c r="H3651" s="2" t="s">
        <v>574</v>
      </c>
      <c r="I3651" s="2" t="s">
        <v>575</v>
      </c>
      <c r="J3651" s="4">
        <v>-0.70899999999999996</v>
      </c>
      <c r="K3651" s="2" t="s">
        <v>157</v>
      </c>
      <c r="L3651" s="2">
        <v>2023</v>
      </c>
      <c r="M3651" s="2" t="s">
        <v>158</v>
      </c>
      <c r="N3651" s="2" t="s">
        <v>23</v>
      </c>
      <c r="O3651">
        <f t="shared" ref="O3651:O3714" si="114">C3651-D3651</f>
        <v>9.7700000000000387</v>
      </c>
      <c r="P3651">
        <f t="shared" si="113"/>
        <v>107.50399999999995</v>
      </c>
    </row>
    <row r="3652" spans="1:16" x14ac:dyDescent="0.35">
      <c r="A3652" s="9" t="s">
        <v>170</v>
      </c>
      <c r="B3652" s="2">
        <v>279.56</v>
      </c>
      <c r="C3652" s="2">
        <v>280.93</v>
      </c>
      <c r="D3652" s="2">
        <v>261.2</v>
      </c>
      <c r="E3652" s="2">
        <v>262.89999999999998</v>
      </c>
      <c r="F3652" s="2">
        <v>175158273</v>
      </c>
      <c r="G3652" s="2" t="s">
        <v>573</v>
      </c>
      <c r="H3652" s="2" t="s">
        <v>574</v>
      </c>
      <c r="I3652" s="2" t="s">
        <v>575</v>
      </c>
      <c r="J3652" s="4">
        <v>-9.7370000000000001</v>
      </c>
      <c r="K3652" s="2" t="s">
        <v>157</v>
      </c>
      <c r="L3652" s="2">
        <v>2023</v>
      </c>
      <c r="M3652" s="2" t="s">
        <v>158</v>
      </c>
      <c r="N3652" s="2" t="s">
        <v>23</v>
      </c>
      <c r="O3652">
        <f t="shared" si="114"/>
        <v>19.730000000000018</v>
      </c>
      <c r="P3652">
        <f t="shared" ref="P3652:P3715" si="115">IF(G3652=G3651, P3651+J3652, J3652)</f>
        <v>97.766999999999953</v>
      </c>
    </row>
    <row r="3653" spans="1:16" x14ac:dyDescent="0.35">
      <c r="A3653" s="9" t="s">
        <v>171</v>
      </c>
      <c r="B3653" s="2">
        <v>268</v>
      </c>
      <c r="C3653" s="2">
        <v>268</v>
      </c>
      <c r="D3653" s="2">
        <v>255.8</v>
      </c>
      <c r="E3653" s="2">
        <v>260.02</v>
      </c>
      <c r="F3653" s="2">
        <v>161796073</v>
      </c>
      <c r="G3653" s="2" t="s">
        <v>573</v>
      </c>
      <c r="H3653" s="2" t="s">
        <v>574</v>
      </c>
      <c r="I3653" s="2" t="s">
        <v>575</v>
      </c>
      <c r="J3653" s="4">
        <v>-1.095</v>
      </c>
      <c r="K3653" s="2" t="s">
        <v>157</v>
      </c>
      <c r="L3653" s="2">
        <v>2023</v>
      </c>
      <c r="M3653" s="2" t="s">
        <v>158</v>
      </c>
      <c r="N3653" s="2" t="s">
        <v>23</v>
      </c>
      <c r="O3653">
        <f t="shared" si="114"/>
        <v>12.199999999999989</v>
      </c>
      <c r="P3653">
        <f t="shared" si="115"/>
        <v>96.671999999999954</v>
      </c>
    </row>
    <row r="3654" spans="1:16" x14ac:dyDescent="0.35">
      <c r="A3654" s="9" t="s">
        <v>172</v>
      </c>
      <c r="B3654" s="2">
        <v>255.85</v>
      </c>
      <c r="C3654" s="2">
        <v>269.85000000000002</v>
      </c>
      <c r="D3654" s="2">
        <v>254.12</v>
      </c>
      <c r="E3654" s="2">
        <v>269.06</v>
      </c>
      <c r="F3654" s="2">
        <v>137005037</v>
      </c>
      <c r="G3654" s="2" t="s">
        <v>573</v>
      </c>
      <c r="H3654" s="2" t="s">
        <v>574</v>
      </c>
      <c r="I3654" s="2" t="s">
        <v>575</v>
      </c>
      <c r="J3654" s="3">
        <v>3.4769999999999999</v>
      </c>
      <c r="K3654" s="2" t="s">
        <v>157</v>
      </c>
      <c r="L3654" s="2">
        <v>2023</v>
      </c>
      <c r="M3654" s="2" t="s">
        <v>158</v>
      </c>
      <c r="N3654" s="2" t="s">
        <v>21</v>
      </c>
      <c r="O3654">
        <f t="shared" si="114"/>
        <v>15.730000000000018</v>
      </c>
      <c r="P3654">
        <f t="shared" si="115"/>
        <v>100.14899999999996</v>
      </c>
    </row>
    <row r="3655" spans="1:16" x14ac:dyDescent="0.35">
      <c r="A3655" s="9" t="s">
        <v>173</v>
      </c>
      <c r="B3655" s="2">
        <v>272.38</v>
      </c>
      <c r="C3655" s="2">
        <v>272.89999999999998</v>
      </c>
      <c r="D3655" s="2">
        <v>265</v>
      </c>
      <c r="E3655" s="2">
        <v>265.27999999999997</v>
      </c>
      <c r="F3655" s="2">
        <v>112757327</v>
      </c>
      <c r="G3655" s="2" t="s">
        <v>573</v>
      </c>
      <c r="H3655" s="2" t="s">
        <v>574</v>
      </c>
      <c r="I3655" s="2" t="s">
        <v>575</v>
      </c>
      <c r="J3655" s="4">
        <v>-1.405</v>
      </c>
      <c r="K3655" s="2" t="s">
        <v>157</v>
      </c>
      <c r="L3655" s="2">
        <v>2023</v>
      </c>
      <c r="M3655" s="2" t="s">
        <v>158</v>
      </c>
      <c r="N3655" s="2" t="s">
        <v>23</v>
      </c>
      <c r="O3655">
        <f t="shared" si="114"/>
        <v>7.8999999999999773</v>
      </c>
      <c r="P3655">
        <f t="shared" si="115"/>
        <v>98.743999999999957</v>
      </c>
    </row>
    <row r="3656" spans="1:16" x14ac:dyDescent="0.35">
      <c r="A3656" s="9" t="s">
        <v>174</v>
      </c>
      <c r="B3656" s="2">
        <v>263.25</v>
      </c>
      <c r="C3656" s="2">
        <v>268.04000000000002</v>
      </c>
      <c r="D3656" s="2">
        <v>261.75</v>
      </c>
      <c r="E3656" s="2">
        <v>264.35000000000002</v>
      </c>
      <c r="F3656" s="2">
        <v>95856177</v>
      </c>
      <c r="G3656" s="2" t="s">
        <v>573</v>
      </c>
      <c r="H3656" s="2" t="s">
        <v>574</v>
      </c>
      <c r="I3656" s="2" t="s">
        <v>575</v>
      </c>
      <c r="J3656" s="4">
        <v>-0.35099999999999998</v>
      </c>
      <c r="K3656" s="2" t="s">
        <v>157</v>
      </c>
      <c r="L3656" s="2">
        <v>2023</v>
      </c>
      <c r="M3656" s="2" t="s">
        <v>158</v>
      </c>
      <c r="N3656" s="2" t="s">
        <v>23</v>
      </c>
      <c r="O3656">
        <f t="shared" si="114"/>
        <v>6.2900000000000205</v>
      </c>
      <c r="P3656">
        <f t="shared" si="115"/>
        <v>98.392999999999958</v>
      </c>
    </row>
    <row r="3657" spans="1:16" x14ac:dyDescent="0.35">
      <c r="A3657" s="9" t="s">
        <v>175</v>
      </c>
      <c r="B3657" s="2">
        <v>268.31</v>
      </c>
      <c r="C3657" s="2">
        <v>269.13</v>
      </c>
      <c r="D3657" s="2">
        <v>255.3</v>
      </c>
      <c r="E3657" s="2">
        <v>255.71</v>
      </c>
      <c r="F3657" s="2">
        <v>103697263</v>
      </c>
      <c r="G3657" s="2" t="s">
        <v>573</v>
      </c>
      <c r="H3657" s="2" t="s">
        <v>574</v>
      </c>
      <c r="I3657" s="2" t="s">
        <v>575</v>
      </c>
      <c r="J3657" s="4">
        <v>-3.2679999999999998</v>
      </c>
      <c r="K3657" s="2" t="s">
        <v>157</v>
      </c>
      <c r="L3657" s="2">
        <v>2023</v>
      </c>
      <c r="M3657" s="2" t="s">
        <v>158</v>
      </c>
      <c r="N3657" s="2" t="s">
        <v>23</v>
      </c>
      <c r="O3657">
        <f t="shared" si="114"/>
        <v>13.829999999999984</v>
      </c>
      <c r="P3657">
        <f t="shared" si="115"/>
        <v>95.124999999999957</v>
      </c>
    </row>
    <row r="3658" spans="1:16" x14ac:dyDescent="0.35">
      <c r="A3658" s="9" t="s">
        <v>176</v>
      </c>
      <c r="B3658" s="2">
        <v>259.86</v>
      </c>
      <c r="C3658" s="2">
        <v>267.25</v>
      </c>
      <c r="D3658" s="2">
        <v>258.23099999999999</v>
      </c>
      <c r="E3658" s="2">
        <v>266.44</v>
      </c>
      <c r="F3658" s="2">
        <v>111446026</v>
      </c>
      <c r="G3658" s="2" t="s">
        <v>573</v>
      </c>
      <c r="H3658" s="2" t="s">
        <v>574</v>
      </c>
      <c r="I3658" s="2" t="s">
        <v>575</v>
      </c>
      <c r="J3658" s="3">
        <v>4.1959999999999997</v>
      </c>
      <c r="K3658" s="2" t="s">
        <v>157</v>
      </c>
      <c r="L3658" s="2">
        <v>2023</v>
      </c>
      <c r="M3658" s="2" t="s">
        <v>158</v>
      </c>
      <c r="N3658" s="2" t="s">
        <v>21</v>
      </c>
      <c r="O3658">
        <f t="shared" si="114"/>
        <v>9.0190000000000055</v>
      </c>
      <c r="P3658">
        <f t="shared" si="115"/>
        <v>99.320999999999955</v>
      </c>
    </row>
    <row r="3659" spans="1:16" x14ac:dyDescent="0.35">
      <c r="A3659" s="9" t="s">
        <v>177</v>
      </c>
      <c r="B3659" s="2">
        <v>267.48</v>
      </c>
      <c r="C3659" s="2">
        <v>269.08</v>
      </c>
      <c r="D3659" s="2">
        <v>263.77999999999997</v>
      </c>
      <c r="E3659" s="2">
        <v>267.43</v>
      </c>
      <c r="F3659" s="2">
        <v>84582172</v>
      </c>
      <c r="G3659" s="2" t="s">
        <v>573</v>
      </c>
      <c r="H3659" s="2" t="s">
        <v>574</v>
      </c>
      <c r="I3659" s="2" t="s">
        <v>575</v>
      </c>
      <c r="J3659" s="3">
        <v>0.372</v>
      </c>
      <c r="K3659" s="2" t="s">
        <v>157</v>
      </c>
      <c r="L3659" s="2">
        <v>2023</v>
      </c>
      <c r="M3659" s="2" t="s">
        <v>158</v>
      </c>
      <c r="N3659" s="2" t="s">
        <v>21</v>
      </c>
      <c r="O3659">
        <f t="shared" si="114"/>
        <v>5.3000000000000114</v>
      </c>
      <c r="P3659">
        <f t="shared" si="115"/>
        <v>99.692999999999955</v>
      </c>
    </row>
    <row r="3660" spans="1:16" x14ac:dyDescent="0.35">
      <c r="A3660" s="9" t="s">
        <v>178</v>
      </c>
      <c r="B3660" s="2">
        <v>266.26</v>
      </c>
      <c r="C3660" s="2">
        <v>266.47000000000003</v>
      </c>
      <c r="D3660" s="2">
        <v>260.25</v>
      </c>
      <c r="E3660" s="2">
        <v>261.07</v>
      </c>
      <c r="F3660" s="2">
        <v>83645720</v>
      </c>
      <c r="G3660" s="2" t="s">
        <v>573</v>
      </c>
      <c r="H3660" s="2" t="s">
        <v>574</v>
      </c>
      <c r="I3660" s="2" t="s">
        <v>575</v>
      </c>
      <c r="J3660" s="4">
        <v>-2.3780000000000001</v>
      </c>
      <c r="K3660" s="2" t="s">
        <v>179</v>
      </c>
      <c r="L3660" s="2">
        <v>2023</v>
      </c>
      <c r="M3660" s="2" t="s">
        <v>180</v>
      </c>
      <c r="N3660" s="2" t="s">
        <v>23</v>
      </c>
      <c r="O3660">
        <f t="shared" si="114"/>
        <v>6.2200000000000273</v>
      </c>
      <c r="P3660">
        <f t="shared" si="115"/>
        <v>97.314999999999955</v>
      </c>
    </row>
    <row r="3661" spans="1:16" x14ac:dyDescent="0.35">
      <c r="A3661" s="9" t="s">
        <v>181</v>
      </c>
      <c r="B3661" s="2">
        <v>255.57</v>
      </c>
      <c r="C3661" s="2">
        <v>259.52</v>
      </c>
      <c r="D3661" s="2">
        <v>250.49</v>
      </c>
      <c r="E3661" s="2">
        <v>254.11</v>
      </c>
      <c r="F3661" s="2">
        <v>101752865</v>
      </c>
      <c r="G3661" s="2" t="s">
        <v>573</v>
      </c>
      <c r="H3661" s="2" t="s">
        <v>574</v>
      </c>
      <c r="I3661" s="2" t="s">
        <v>575</v>
      </c>
      <c r="J3661" s="4">
        <v>-2.6659999999999999</v>
      </c>
      <c r="K3661" s="2" t="s">
        <v>179</v>
      </c>
      <c r="L3661" s="2">
        <v>2023</v>
      </c>
      <c r="M3661" s="2" t="s">
        <v>180</v>
      </c>
      <c r="N3661" s="2" t="s">
        <v>23</v>
      </c>
      <c r="O3661">
        <f t="shared" si="114"/>
        <v>9.0299999999999727</v>
      </c>
      <c r="P3661">
        <f t="shared" si="115"/>
        <v>94.648999999999958</v>
      </c>
    </row>
    <row r="3662" spans="1:16" x14ac:dyDescent="0.35">
      <c r="A3662" s="9" t="s">
        <v>182</v>
      </c>
      <c r="B3662" s="2">
        <v>252.04</v>
      </c>
      <c r="C3662" s="2">
        <v>260.49</v>
      </c>
      <c r="D3662" s="2">
        <v>252</v>
      </c>
      <c r="E3662" s="2">
        <v>259.32</v>
      </c>
      <c r="F3662" s="2">
        <v>97829545</v>
      </c>
      <c r="G3662" s="2" t="s">
        <v>573</v>
      </c>
      <c r="H3662" s="2" t="s">
        <v>574</v>
      </c>
      <c r="I3662" s="2" t="s">
        <v>575</v>
      </c>
      <c r="J3662" s="3">
        <v>2.0499999999999998</v>
      </c>
      <c r="K3662" s="2" t="s">
        <v>179</v>
      </c>
      <c r="L3662" s="2">
        <v>2023</v>
      </c>
      <c r="M3662" s="2" t="s">
        <v>180</v>
      </c>
      <c r="N3662" s="2" t="s">
        <v>21</v>
      </c>
      <c r="O3662">
        <f t="shared" si="114"/>
        <v>8.4900000000000091</v>
      </c>
      <c r="P3662">
        <f t="shared" si="115"/>
        <v>96.698999999999955</v>
      </c>
    </row>
    <row r="3663" spans="1:16" x14ac:dyDescent="0.35">
      <c r="A3663" s="9" t="s">
        <v>183</v>
      </c>
      <c r="B3663" s="2">
        <v>260.97000000000003</v>
      </c>
      <c r="C3663" s="2">
        <v>264.77</v>
      </c>
      <c r="D3663" s="2">
        <v>253.11</v>
      </c>
      <c r="E3663" s="2">
        <v>253.86</v>
      </c>
      <c r="F3663" s="2">
        <v>99539907</v>
      </c>
      <c r="G3663" s="2" t="s">
        <v>573</v>
      </c>
      <c r="H3663" s="2" t="s">
        <v>574</v>
      </c>
      <c r="I3663" s="2" t="s">
        <v>575</v>
      </c>
      <c r="J3663" s="4">
        <v>-2.1059999999999999</v>
      </c>
      <c r="K3663" s="2" t="s">
        <v>179</v>
      </c>
      <c r="L3663" s="2">
        <v>2023</v>
      </c>
      <c r="M3663" s="2" t="s">
        <v>180</v>
      </c>
      <c r="N3663" s="2" t="s">
        <v>23</v>
      </c>
      <c r="O3663">
        <f t="shared" si="114"/>
        <v>11.659999999999968</v>
      </c>
      <c r="P3663">
        <f t="shared" si="115"/>
        <v>94.592999999999961</v>
      </c>
    </row>
    <row r="3664" spans="1:16" x14ac:dyDescent="0.35">
      <c r="A3664" s="9" t="s">
        <v>184</v>
      </c>
      <c r="B3664" s="2">
        <v>251.45</v>
      </c>
      <c r="C3664" s="2">
        <v>253.65100000000001</v>
      </c>
      <c r="D3664" s="2">
        <v>242.76</v>
      </c>
      <c r="E3664" s="2">
        <v>251.45</v>
      </c>
      <c r="F3664" s="2">
        <v>111097943</v>
      </c>
      <c r="G3664" s="2" t="s">
        <v>573</v>
      </c>
      <c r="H3664" s="2" t="s">
        <v>574</v>
      </c>
      <c r="I3664" s="2" t="s">
        <v>575</v>
      </c>
      <c r="J3664" s="4">
        <v>-0.94899999999999995</v>
      </c>
      <c r="K3664" s="2" t="s">
        <v>179</v>
      </c>
      <c r="L3664" s="2">
        <v>2023</v>
      </c>
      <c r="M3664" s="2" t="s">
        <v>180</v>
      </c>
      <c r="N3664" s="2" t="s">
        <v>23</v>
      </c>
      <c r="O3664">
        <f t="shared" si="114"/>
        <v>10.89100000000002</v>
      </c>
      <c r="P3664">
        <f t="shared" si="115"/>
        <v>93.643999999999963</v>
      </c>
    </row>
    <row r="3665" spans="1:16" x14ac:dyDescent="0.35">
      <c r="A3665" s="9" t="s">
        <v>185</v>
      </c>
      <c r="B3665" s="2">
        <v>247.45</v>
      </c>
      <c r="C3665" s="2">
        <v>250.92</v>
      </c>
      <c r="D3665" s="2">
        <v>245.01</v>
      </c>
      <c r="E3665" s="2">
        <v>249.7</v>
      </c>
      <c r="F3665" s="2">
        <v>96642183</v>
      </c>
      <c r="G3665" s="2" t="s">
        <v>573</v>
      </c>
      <c r="H3665" s="2" t="s">
        <v>574</v>
      </c>
      <c r="I3665" s="2" t="s">
        <v>575</v>
      </c>
      <c r="J3665" s="4">
        <v>-0.69599999999999995</v>
      </c>
      <c r="K3665" s="2" t="s">
        <v>179</v>
      </c>
      <c r="L3665" s="2">
        <v>2023</v>
      </c>
      <c r="M3665" s="2" t="s">
        <v>180</v>
      </c>
      <c r="N3665" s="2" t="s">
        <v>23</v>
      </c>
      <c r="O3665">
        <f t="shared" si="114"/>
        <v>5.9099999999999966</v>
      </c>
      <c r="P3665">
        <f t="shared" si="115"/>
        <v>92.947999999999965</v>
      </c>
    </row>
    <row r="3666" spans="1:16" x14ac:dyDescent="0.35">
      <c r="A3666" s="9" t="s">
        <v>186</v>
      </c>
      <c r="B3666" s="2">
        <v>250.87</v>
      </c>
      <c r="C3666" s="2">
        <v>251.1</v>
      </c>
      <c r="D3666" s="2">
        <v>241.9</v>
      </c>
      <c r="E3666" s="2">
        <v>242.19</v>
      </c>
      <c r="F3666" s="2">
        <v>101596324</v>
      </c>
      <c r="G3666" s="2" t="s">
        <v>573</v>
      </c>
      <c r="H3666" s="2" t="s">
        <v>574</v>
      </c>
      <c r="I3666" s="2" t="s">
        <v>575</v>
      </c>
      <c r="J3666" s="4">
        <v>-3.008</v>
      </c>
      <c r="K3666" s="2" t="s">
        <v>179</v>
      </c>
      <c r="L3666" s="2">
        <v>2023</v>
      </c>
      <c r="M3666" s="2" t="s">
        <v>180</v>
      </c>
      <c r="N3666" s="2" t="s">
        <v>23</v>
      </c>
      <c r="O3666">
        <f t="shared" si="114"/>
        <v>9.1999999999999886</v>
      </c>
      <c r="P3666">
        <f t="shared" si="115"/>
        <v>89.939999999999969</v>
      </c>
    </row>
    <row r="3667" spans="1:16" x14ac:dyDescent="0.35">
      <c r="A3667" s="9" t="s">
        <v>187</v>
      </c>
      <c r="B3667" s="2">
        <v>245.4</v>
      </c>
      <c r="C3667" s="2">
        <v>251.8</v>
      </c>
      <c r="D3667" s="2">
        <v>243</v>
      </c>
      <c r="E3667" s="2">
        <v>245.34</v>
      </c>
      <c r="F3667" s="2">
        <v>109498608</v>
      </c>
      <c r="G3667" s="2" t="s">
        <v>573</v>
      </c>
      <c r="H3667" s="2" t="s">
        <v>574</v>
      </c>
      <c r="I3667" s="2" t="s">
        <v>575</v>
      </c>
      <c r="J3667" s="3">
        <v>1.3009999999999999</v>
      </c>
      <c r="K3667" s="2" t="s">
        <v>179</v>
      </c>
      <c r="L3667" s="2">
        <v>2023</v>
      </c>
      <c r="M3667" s="2" t="s">
        <v>180</v>
      </c>
      <c r="N3667" s="2" t="s">
        <v>21</v>
      </c>
      <c r="O3667">
        <f t="shared" si="114"/>
        <v>8.8000000000000114</v>
      </c>
      <c r="P3667">
        <f t="shared" si="115"/>
        <v>91.240999999999971</v>
      </c>
    </row>
    <row r="3668" spans="1:16" x14ac:dyDescent="0.35">
      <c r="A3668" s="9" t="s">
        <v>188</v>
      </c>
      <c r="B3668" s="2">
        <v>241.77</v>
      </c>
      <c r="C3668" s="2">
        <v>243.79</v>
      </c>
      <c r="D3668" s="2">
        <v>238.02</v>
      </c>
      <c r="E3668" s="2">
        <v>242.65</v>
      </c>
      <c r="F3668" s="2">
        <v>99038642</v>
      </c>
      <c r="G3668" s="2" t="s">
        <v>573</v>
      </c>
      <c r="H3668" s="2" t="s">
        <v>574</v>
      </c>
      <c r="I3668" s="2" t="s">
        <v>575</v>
      </c>
      <c r="J3668" s="4">
        <v>-1.0960000000000001</v>
      </c>
      <c r="K3668" s="2" t="s">
        <v>179</v>
      </c>
      <c r="L3668" s="2">
        <v>2023</v>
      </c>
      <c r="M3668" s="2" t="s">
        <v>180</v>
      </c>
      <c r="N3668" s="2" t="s">
        <v>23</v>
      </c>
      <c r="O3668">
        <f t="shared" si="114"/>
        <v>5.7699999999999818</v>
      </c>
      <c r="P3668">
        <f t="shared" si="115"/>
        <v>90.144999999999968</v>
      </c>
    </row>
    <row r="3669" spans="1:16" x14ac:dyDescent="0.35">
      <c r="A3669" s="9" t="s">
        <v>189</v>
      </c>
      <c r="B3669" s="2">
        <v>235.7</v>
      </c>
      <c r="C3669" s="2">
        <v>240.66</v>
      </c>
      <c r="D3669" s="2">
        <v>233.75</v>
      </c>
      <c r="E3669" s="2">
        <v>239.76</v>
      </c>
      <c r="F3669" s="2">
        <v>98595331</v>
      </c>
      <c r="G3669" s="2" t="s">
        <v>573</v>
      </c>
      <c r="H3669" s="2" t="s">
        <v>574</v>
      </c>
      <c r="I3669" s="2" t="s">
        <v>575</v>
      </c>
      <c r="J3669" s="4">
        <v>-1.1910000000000001</v>
      </c>
      <c r="K3669" s="2" t="s">
        <v>179</v>
      </c>
      <c r="L3669" s="2">
        <v>2023</v>
      </c>
      <c r="M3669" s="2" t="s">
        <v>180</v>
      </c>
      <c r="N3669" s="2" t="s">
        <v>23</v>
      </c>
      <c r="O3669">
        <f t="shared" si="114"/>
        <v>6.9099999999999966</v>
      </c>
      <c r="P3669">
        <f t="shared" si="115"/>
        <v>88.953999999999965</v>
      </c>
    </row>
    <row r="3670" spans="1:16" x14ac:dyDescent="0.35">
      <c r="A3670" s="9" t="s">
        <v>190</v>
      </c>
      <c r="B3670" s="2">
        <v>238.73</v>
      </c>
      <c r="C3670" s="2">
        <v>240.5</v>
      </c>
      <c r="D3670" s="2">
        <v>232.61</v>
      </c>
      <c r="E3670" s="2">
        <v>232.96</v>
      </c>
      <c r="F3670" s="2">
        <v>88197599</v>
      </c>
      <c r="G3670" s="2" t="s">
        <v>573</v>
      </c>
      <c r="H3670" s="2" t="s">
        <v>574</v>
      </c>
      <c r="I3670" s="2" t="s">
        <v>575</v>
      </c>
      <c r="J3670" s="4">
        <v>-2.8359999999999999</v>
      </c>
      <c r="K3670" s="2" t="s">
        <v>179</v>
      </c>
      <c r="L3670" s="2">
        <v>2023</v>
      </c>
      <c r="M3670" s="2" t="s">
        <v>180</v>
      </c>
      <c r="N3670" s="2" t="s">
        <v>23</v>
      </c>
      <c r="O3670">
        <f t="shared" si="114"/>
        <v>7.8899999999999864</v>
      </c>
      <c r="P3670">
        <f t="shared" si="115"/>
        <v>86.117999999999967</v>
      </c>
    </row>
    <row r="3671" spans="1:16" x14ac:dyDescent="0.35">
      <c r="A3671" s="9" t="s">
        <v>191</v>
      </c>
      <c r="B3671" s="2">
        <v>228.02</v>
      </c>
      <c r="C3671" s="2">
        <v>233.97</v>
      </c>
      <c r="D3671" s="2">
        <v>225.38</v>
      </c>
      <c r="E3671" s="2">
        <v>225.6</v>
      </c>
      <c r="F3671" s="2">
        <v>112484520</v>
      </c>
      <c r="G3671" s="2" t="s">
        <v>573</v>
      </c>
      <c r="H3671" s="2" t="s">
        <v>574</v>
      </c>
      <c r="I3671" s="2" t="s">
        <v>575</v>
      </c>
      <c r="J3671" s="4">
        <v>-3.1589999999999998</v>
      </c>
      <c r="K3671" s="2" t="s">
        <v>179</v>
      </c>
      <c r="L3671" s="2">
        <v>2023</v>
      </c>
      <c r="M3671" s="2" t="s">
        <v>180</v>
      </c>
      <c r="N3671" s="2" t="s">
        <v>23</v>
      </c>
      <c r="O3671">
        <f t="shared" si="114"/>
        <v>8.5900000000000034</v>
      </c>
      <c r="P3671">
        <f t="shared" si="115"/>
        <v>82.958999999999961</v>
      </c>
    </row>
    <row r="3672" spans="1:16" x14ac:dyDescent="0.35">
      <c r="A3672" s="9" t="s">
        <v>192</v>
      </c>
      <c r="B3672" s="2">
        <v>226.06</v>
      </c>
      <c r="C3672" s="2">
        <v>226.74</v>
      </c>
      <c r="D3672" s="2">
        <v>218.83</v>
      </c>
      <c r="E3672" s="2">
        <v>219.22</v>
      </c>
      <c r="F3672" s="2">
        <v>120718417</v>
      </c>
      <c r="G3672" s="2" t="s">
        <v>573</v>
      </c>
      <c r="H3672" s="2" t="s">
        <v>574</v>
      </c>
      <c r="I3672" s="2" t="s">
        <v>575</v>
      </c>
      <c r="J3672" s="4">
        <v>-2.8279999999999998</v>
      </c>
      <c r="K3672" s="2" t="s">
        <v>179</v>
      </c>
      <c r="L3672" s="2">
        <v>2023</v>
      </c>
      <c r="M3672" s="2" t="s">
        <v>180</v>
      </c>
      <c r="N3672" s="2" t="s">
        <v>23</v>
      </c>
      <c r="O3672">
        <f t="shared" si="114"/>
        <v>7.9099999999999966</v>
      </c>
      <c r="P3672">
        <f t="shared" si="115"/>
        <v>80.130999999999958</v>
      </c>
    </row>
    <row r="3673" spans="1:16" x14ac:dyDescent="0.35">
      <c r="A3673" s="9" t="s">
        <v>193</v>
      </c>
      <c r="B3673" s="2">
        <v>214.12</v>
      </c>
      <c r="C3673" s="2">
        <v>217.58</v>
      </c>
      <c r="D3673" s="2">
        <v>212.36</v>
      </c>
      <c r="E3673" s="2">
        <v>215.49</v>
      </c>
      <c r="F3673" s="2">
        <v>136276584</v>
      </c>
      <c r="G3673" s="2" t="s">
        <v>573</v>
      </c>
      <c r="H3673" s="2" t="s">
        <v>574</v>
      </c>
      <c r="I3673" s="2" t="s">
        <v>575</v>
      </c>
      <c r="J3673" s="4">
        <v>-1.7010000000000001</v>
      </c>
      <c r="K3673" s="2" t="s">
        <v>179</v>
      </c>
      <c r="L3673" s="2">
        <v>2023</v>
      </c>
      <c r="M3673" s="2" t="s">
        <v>180</v>
      </c>
      <c r="N3673" s="2" t="s">
        <v>23</v>
      </c>
      <c r="O3673">
        <f t="shared" si="114"/>
        <v>5.2199999999999989</v>
      </c>
      <c r="P3673">
        <f t="shared" si="115"/>
        <v>78.429999999999964</v>
      </c>
    </row>
    <row r="3674" spans="1:16" x14ac:dyDescent="0.35">
      <c r="A3674" s="9" t="s">
        <v>194</v>
      </c>
      <c r="B3674" s="2">
        <v>221.55099999999999</v>
      </c>
      <c r="C3674" s="2">
        <v>232.13399999999999</v>
      </c>
      <c r="D3674" s="2">
        <v>220.58</v>
      </c>
      <c r="E3674" s="2">
        <v>231.28</v>
      </c>
      <c r="F3674" s="2">
        <v>135702671</v>
      </c>
      <c r="G3674" s="2" t="s">
        <v>573</v>
      </c>
      <c r="H3674" s="2" t="s">
        <v>574</v>
      </c>
      <c r="I3674" s="2" t="s">
        <v>575</v>
      </c>
      <c r="J3674" s="3">
        <v>7.327</v>
      </c>
      <c r="K3674" s="2" t="s">
        <v>179</v>
      </c>
      <c r="L3674" s="2">
        <v>2023</v>
      </c>
      <c r="M3674" s="2" t="s">
        <v>180</v>
      </c>
      <c r="N3674" s="2" t="s">
        <v>21</v>
      </c>
      <c r="O3674">
        <f t="shared" si="114"/>
        <v>11.553999999999974</v>
      </c>
      <c r="P3674">
        <f t="shared" si="115"/>
        <v>85.756999999999962</v>
      </c>
    </row>
    <row r="3675" spans="1:16" x14ac:dyDescent="0.35">
      <c r="A3675" s="9" t="s">
        <v>195</v>
      </c>
      <c r="B3675" s="2">
        <v>240.25</v>
      </c>
      <c r="C3675" s="2">
        <v>240.82</v>
      </c>
      <c r="D3675" s="2">
        <v>229.55</v>
      </c>
      <c r="E3675" s="2">
        <v>233.19</v>
      </c>
      <c r="F3675" s="2">
        <v>130597886</v>
      </c>
      <c r="G3675" s="2" t="s">
        <v>573</v>
      </c>
      <c r="H3675" s="2" t="s">
        <v>574</v>
      </c>
      <c r="I3675" s="2" t="s">
        <v>575</v>
      </c>
      <c r="J3675" s="3">
        <v>0.82599999999999996</v>
      </c>
      <c r="K3675" s="2" t="s">
        <v>179</v>
      </c>
      <c r="L3675" s="2">
        <v>2023</v>
      </c>
      <c r="M3675" s="2" t="s">
        <v>180</v>
      </c>
      <c r="N3675" s="2" t="s">
        <v>21</v>
      </c>
      <c r="O3675">
        <f t="shared" si="114"/>
        <v>11.269999999999982</v>
      </c>
      <c r="P3675">
        <f t="shared" si="115"/>
        <v>86.582999999999956</v>
      </c>
    </row>
    <row r="3676" spans="1:16" x14ac:dyDescent="0.35">
      <c r="A3676" s="9" t="s">
        <v>196</v>
      </c>
      <c r="B3676" s="2">
        <v>229.34</v>
      </c>
      <c r="C3676" s="2">
        <v>238.98</v>
      </c>
      <c r="D3676" s="2">
        <v>229.29</v>
      </c>
      <c r="E3676" s="2">
        <v>236.86</v>
      </c>
      <c r="F3676" s="2">
        <v>101077635</v>
      </c>
      <c r="G3676" s="2" t="s">
        <v>573</v>
      </c>
      <c r="H3676" s="2" t="s">
        <v>574</v>
      </c>
      <c r="I3676" s="2" t="s">
        <v>575</v>
      </c>
      <c r="J3676" s="3">
        <v>1.5740000000000001</v>
      </c>
      <c r="K3676" s="2" t="s">
        <v>179</v>
      </c>
      <c r="L3676" s="2">
        <v>2023</v>
      </c>
      <c r="M3676" s="2" t="s">
        <v>180</v>
      </c>
      <c r="N3676" s="2" t="s">
        <v>21</v>
      </c>
      <c r="O3676">
        <f t="shared" si="114"/>
        <v>9.6899999999999977</v>
      </c>
      <c r="P3676">
        <f t="shared" si="115"/>
        <v>88.156999999999954</v>
      </c>
    </row>
    <row r="3677" spans="1:16" x14ac:dyDescent="0.35">
      <c r="A3677" s="9" t="s">
        <v>197</v>
      </c>
      <c r="B3677" s="2">
        <v>238.66</v>
      </c>
      <c r="C3677" s="2">
        <v>238.92</v>
      </c>
      <c r="D3677" s="2">
        <v>228.18</v>
      </c>
      <c r="E3677" s="2">
        <v>230.04</v>
      </c>
      <c r="F3677" s="2">
        <v>99777432</v>
      </c>
      <c r="G3677" s="2" t="s">
        <v>573</v>
      </c>
      <c r="H3677" s="2" t="s">
        <v>574</v>
      </c>
      <c r="I3677" s="2" t="s">
        <v>575</v>
      </c>
      <c r="J3677" s="4">
        <v>-2.879</v>
      </c>
      <c r="K3677" s="2" t="s">
        <v>179</v>
      </c>
      <c r="L3677" s="2">
        <v>2023</v>
      </c>
      <c r="M3677" s="2" t="s">
        <v>180</v>
      </c>
      <c r="N3677" s="2" t="s">
        <v>23</v>
      </c>
      <c r="O3677">
        <f t="shared" si="114"/>
        <v>10.739999999999981</v>
      </c>
      <c r="P3677">
        <f t="shared" si="115"/>
        <v>85.277999999999949</v>
      </c>
    </row>
    <row r="3678" spans="1:16" x14ac:dyDescent="0.35">
      <c r="A3678" s="9" t="s">
        <v>198</v>
      </c>
      <c r="B3678" s="2">
        <v>231.31</v>
      </c>
      <c r="C3678" s="2">
        <v>239</v>
      </c>
      <c r="D3678" s="2">
        <v>230.35</v>
      </c>
      <c r="E3678" s="2">
        <v>238.59</v>
      </c>
      <c r="F3678" s="2">
        <v>106612231</v>
      </c>
      <c r="G3678" s="2" t="s">
        <v>573</v>
      </c>
      <c r="H3678" s="2" t="s">
        <v>574</v>
      </c>
      <c r="I3678" s="2" t="s">
        <v>575</v>
      </c>
      <c r="J3678" s="3">
        <v>3.7170000000000001</v>
      </c>
      <c r="K3678" s="2" t="s">
        <v>179</v>
      </c>
      <c r="L3678" s="2">
        <v>2023</v>
      </c>
      <c r="M3678" s="2" t="s">
        <v>180</v>
      </c>
      <c r="N3678" s="2" t="s">
        <v>21</v>
      </c>
      <c r="O3678">
        <f t="shared" si="114"/>
        <v>8.6500000000000057</v>
      </c>
      <c r="P3678">
        <f t="shared" si="115"/>
        <v>88.994999999999948</v>
      </c>
    </row>
    <row r="3679" spans="1:16" x14ac:dyDescent="0.35">
      <c r="A3679" s="9" t="s">
        <v>199</v>
      </c>
      <c r="B3679" s="2">
        <v>242.58</v>
      </c>
      <c r="C3679" s="2">
        <v>244.38</v>
      </c>
      <c r="D3679" s="2">
        <v>235.35</v>
      </c>
      <c r="E3679" s="2">
        <v>238.82</v>
      </c>
      <c r="F3679" s="2">
        <v>107673727</v>
      </c>
      <c r="G3679" s="2" t="s">
        <v>573</v>
      </c>
      <c r="H3679" s="2" t="s">
        <v>574</v>
      </c>
      <c r="I3679" s="2" t="s">
        <v>575</v>
      </c>
      <c r="J3679" s="3">
        <v>9.6000000000000002E-2</v>
      </c>
      <c r="K3679" s="2" t="s">
        <v>179</v>
      </c>
      <c r="L3679" s="2">
        <v>2023</v>
      </c>
      <c r="M3679" s="2" t="s">
        <v>180</v>
      </c>
      <c r="N3679" s="2" t="s">
        <v>21</v>
      </c>
      <c r="O3679">
        <f t="shared" si="114"/>
        <v>9.0300000000000011</v>
      </c>
      <c r="P3679">
        <f t="shared" si="115"/>
        <v>89.090999999999951</v>
      </c>
    </row>
    <row r="3680" spans="1:16" x14ac:dyDescent="0.35">
      <c r="A3680" s="9" t="s">
        <v>200</v>
      </c>
      <c r="B3680" s="2">
        <v>238.58</v>
      </c>
      <c r="C3680" s="2">
        <v>257.48</v>
      </c>
      <c r="D3680" s="2">
        <v>237.77</v>
      </c>
      <c r="E3680" s="2">
        <v>257.18</v>
      </c>
      <c r="F3680" s="2">
        <v>134047603</v>
      </c>
      <c r="G3680" s="2" t="s">
        <v>573</v>
      </c>
      <c r="H3680" s="2" t="s">
        <v>574</v>
      </c>
      <c r="I3680" s="2" t="s">
        <v>575</v>
      </c>
      <c r="J3680" s="3">
        <v>7.6879999999999997</v>
      </c>
      <c r="K3680" s="2" t="s">
        <v>179</v>
      </c>
      <c r="L3680" s="2">
        <v>2023</v>
      </c>
      <c r="M3680" s="2" t="s">
        <v>180</v>
      </c>
      <c r="N3680" s="2" t="s">
        <v>21</v>
      </c>
      <c r="O3680">
        <f t="shared" si="114"/>
        <v>19.710000000000008</v>
      </c>
      <c r="P3680">
        <f t="shared" si="115"/>
        <v>96.778999999999954</v>
      </c>
    </row>
    <row r="3681" spans="1:16" x14ac:dyDescent="0.35">
      <c r="A3681" s="9" t="s">
        <v>201</v>
      </c>
      <c r="B3681" s="2">
        <v>254.2</v>
      </c>
      <c r="C3681" s="2">
        <v>260.51</v>
      </c>
      <c r="D3681" s="2">
        <v>250.59</v>
      </c>
      <c r="E3681" s="2">
        <v>256.89999999999998</v>
      </c>
      <c r="F3681" s="2">
        <v>121988437</v>
      </c>
      <c r="G3681" s="2" t="s">
        <v>573</v>
      </c>
      <c r="H3681" s="2" t="s">
        <v>574</v>
      </c>
      <c r="I3681" s="2" t="s">
        <v>575</v>
      </c>
      <c r="J3681" s="4">
        <v>-0.109</v>
      </c>
      <c r="K3681" s="2" t="s">
        <v>179</v>
      </c>
      <c r="L3681" s="2">
        <v>2023</v>
      </c>
      <c r="M3681" s="2" t="s">
        <v>180</v>
      </c>
      <c r="N3681" s="2" t="s">
        <v>23</v>
      </c>
      <c r="O3681">
        <f t="shared" si="114"/>
        <v>9.9199999999999875</v>
      </c>
      <c r="P3681">
        <f t="shared" si="115"/>
        <v>96.669999999999959</v>
      </c>
    </row>
    <row r="3682" spans="1:16" x14ac:dyDescent="0.35">
      <c r="A3682" s="9" t="s">
        <v>202</v>
      </c>
      <c r="B3682" s="2">
        <v>255.98</v>
      </c>
      <c r="C3682" s="2">
        <v>261.18</v>
      </c>
      <c r="D3682" s="2">
        <v>255.05</v>
      </c>
      <c r="E3682" s="2">
        <v>258.08</v>
      </c>
      <c r="F3682" s="2">
        <v>108861698</v>
      </c>
      <c r="G3682" s="2" t="s">
        <v>573</v>
      </c>
      <c r="H3682" s="2" t="s">
        <v>574</v>
      </c>
      <c r="I3682" s="2" t="s">
        <v>575</v>
      </c>
      <c r="J3682" s="3">
        <v>0.45900000000000002</v>
      </c>
      <c r="K3682" s="2" t="s">
        <v>179</v>
      </c>
      <c r="L3682" s="2">
        <v>2023</v>
      </c>
      <c r="M3682" s="2" t="s">
        <v>180</v>
      </c>
      <c r="N3682" s="2" t="s">
        <v>21</v>
      </c>
      <c r="O3682">
        <f t="shared" si="114"/>
        <v>6.1299999999999955</v>
      </c>
      <c r="P3682">
        <f t="shared" si="115"/>
        <v>97.128999999999962</v>
      </c>
    </row>
    <row r="3683" spans="1:16" x14ac:dyDescent="0.35">
      <c r="A3683" s="9" t="s">
        <v>203</v>
      </c>
      <c r="B3683" s="2">
        <v>257.26</v>
      </c>
      <c r="C3683" s="2">
        <v>259.07900000000001</v>
      </c>
      <c r="D3683" s="2">
        <v>242.01</v>
      </c>
      <c r="E3683" s="2">
        <v>245.01</v>
      </c>
      <c r="F3683" s="2">
        <v>132541640</v>
      </c>
      <c r="G3683" s="2" t="s">
        <v>573</v>
      </c>
      <c r="H3683" s="2" t="s">
        <v>574</v>
      </c>
      <c r="I3683" s="2" t="s">
        <v>575</v>
      </c>
      <c r="J3683" s="4">
        <v>-5.0640000000000001</v>
      </c>
      <c r="K3683" s="2" t="s">
        <v>204</v>
      </c>
      <c r="L3683" s="2">
        <v>2023</v>
      </c>
      <c r="M3683" s="2" t="s">
        <v>205</v>
      </c>
      <c r="N3683" s="2" t="s">
        <v>23</v>
      </c>
      <c r="O3683">
        <f t="shared" si="114"/>
        <v>17.069000000000017</v>
      </c>
      <c r="P3683">
        <f t="shared" si="115"/>
        <v>92.064999999999969</v>
      </c>
    </row>
    <row r="3684" spans="1:16" x14ac:dyDescent="0.35">
      <c r="A3684" s="9" t="s">
        <v>206</v>
      </c>
      <c r="B3684" s="2">
        <v>245</v>
      </c>
      <c r="C3684" s="2">
        <v>258</v>
      </c>
      <c r="D3684" s="2">
        <v>244.86</v>
      </c>
      <c r="E3684" s="2">
        <v>256.49</v>
      </c>
      <c r="F3684" s="2">
        <v>129469565</v>
      </c>
      <c r="G3684" s="2" t="s">
        <v>573</v>
      </c>
      <c r="H3684" s="2" t="s">
        <v>574</v>
      </c>
      <c r="I3684" s="2" t="s">
        <v>575</v>
      </c>
      <c r="J3684" s="3">
        <v>4.6859999999999999</v>
      </c>
      <c r="K3684" s="2" t="s">
        <v>204</v>
      </c>
      <c r="L3684" s="2">
        <v>2023</v>
      </c>
      <c r="M3684" s="2" t="s">
        <v>205</v>
      </c>
      <c r="N3684" s="2" t="s">
        <v>21</v>
      </c>
      <c r="O3684">
        <f t="shared" si="114"/>
        <v>13.139999999999986</v>
      </c>
      <c r="P3684">
        <f t="shared" si="115"/>
        <v>96.750999999999976</v>
      </c>
    </row>
    <row r="3685" spans="1:16" x14ac:dyDescent="0.35">
      <c r="A3685" s="9" t="s">
        <v>207</v>
      </c>
      <c r="B3685" s="2">
        <v>255.13499999999999</v>
      </c>
      <c r="C3685" s="2">
        <v>255.39</v>
      </c>
      <c r="D3685" s="2">
        <v>245.06</v>
      </c>
      <c r="E3685" s="2">
        <v>251.92</v>
      </c>
      <c r="F3685" s="2">
        <v>116959759</v>
      </c>
      <c r="G3685" s="2" t="s">
        <v>573</v>
      </c>
      <c r="H3685" s="2" t="s">
        <v>574</v>
      </c>
      <c r="I3685" s="2" t="s">
        <v>575</v>
      </c>
      <c r="J3685" s="4">
        <v>-1.782</v>
      </c>
      <c r="K3685" s="2" t="s">
        <v>204</v>
      </c>
      <c r="L3685" s="2">
        <v>2023</v>
      </c>
      <c r="M3685" s="2" t="s">
        <v>205</v>
      </c>
      <c r="N3685" s="2" t="s">
        <v>23</v>
      </c>
      <c r="O3685">
        <f t="shared" si="114"/>
        <v>10.329999999999984</v>
      </c>
      <c r="P3685">
        <f t="shared" si="115"/>
        <v>94.96899999999998</v>
      </c>
    </row>
    <row r="3686" spans="1:16" x14ac:dyDescent="0.35">
      <c r="A3686" s="9" t="s">
        <v>208</v>
      </c>
      <c r="B3686" s="2">
        <v>245.07</v>
      </c>
      <c r="C3686" s="2">
        <v>252.81</v>
      </c>
      <c r="D3686" s="2">
        <v>243.26499999999999</v>
      </c>
      <c r="E3686" s="2">
        <v>251.49</v>
      </c>
      <c r="F3686" s="2">
        <v>115312886</v>
      </c>
      <c r="G3686" s="2" t="s">
        <v>573</v>
      </c>
      <c r="H3686" s="2" t="s">
        <v>574</v>
      </c>
      <c r="I3686" s="2" t="s">
        <v>575</v>
      </c>
      <c r="J3686" s="4">
        <v>-0.17100000000000001</v>
      </c>
      <c r="K3686" s="2" t="s">
        <v>204</v>
      </c>
      <c r="L3686" s="2">
        <v>2023</v>
      </c>
      <c r="M3686" s="2" t="s">
        <v>205</v>
      </c>
      <c r="N3686" s="2" t="s">
        <v>23</v>
      </c>
      <c r="O3686">
        <f t="shared" si="114"/>
        <v>9.5450000000000159</v>
      </c>
      <c r="P3686">
        <f t="shared" si="115"/>
        <v>94.797999999999973</v>
      </c>
    </row>
    <row r="3687" spans="1:16" x14ac:dyDescent="0.35">
      <c r="A3687" s="9" t="s">
        <v>209</v>
      </c>
      <c r="B3687" s="2">
        <v>251.22</v>
      </c>
      <c r="C3687" s="2">
        <v>256.52</v>
      </c>
      <c r="D3687" s="2">
        <v>246.67</v>
      </c>
      <c r="E3687" s="2">
        <v>248.5</v>
      </c>
      <c r="F3687" s="2">
        <v>118559635</v>
      </c>
      <c r="G3687" s="2" t="s">
        <v>573</v>
      </c>
      <c r="H3687" s="2" t="s">
        <v>574</v>
      </c>
      <c r="I3687" s="2" t="s">
        <v>575</v>
      </c>
      <c r="J3687" s="4">
        <v>-1.1890000000000001</v>
      </c>
      <c r="K3687" s="2" t="s">
        <v>204</v>
      </c>
      <c r="L3687" s="2">
        <v>2023</v>
      </c>
      <c r="M3687" s="2" t="s">
        <v>205</v>
      </c>
      <c r="N3687" s="2" t="s">
        <v>23</v>
      </c>
      <c r="O3687">
        <f t="shared" si="114"/>
        <v>9.8499999999999943</v>
      </c>
      <c r="P3687">
        <f t="shared" si="115"/>
        <v>93.60899999999998</v>
      </c>
    </row>
    <row r="3688" spans="1:16" x14ac:dyDescent="0.35">
      <c r="A3688" s="9" t="s">
        <v>210</v>
      </c>
      <c r="B3688" s="2">
        <v>264.27</v>
      </c>
      <c r="C3688" s="2">
        <v>274.85000000000002</v>
      </c>
      <c r="D3688" s="2">
        <v>260.61</v>
      </c>
      <c r="E3688" s="2">
        <v>273.58</v>
      </c>
      <c r="F3688" s="2">
        <v>174667852</v>
      </c>
      <c r="G3688" s="2" t="s">
        <v>573</v>
      </c>
      <c r="H3688" s="2" t="s">
        <v>574</v>
      </c>
      <c r="I3688" s="2" t="s">
        <v>575</v>
      </c>
      <c r="J3688" s="3">
        <v>10.093</v>
      </c>
      <c r="K3688" s="2" t="s">
        <v>204</v>
      </c>
      <c r="L3688" s="2">
        <v>2023</v>
      </c>
      <c r="M3688" s="2" t="s">
        <v>205</v>
      </c>
      <c r="N3688" s="2" t="s">
        <v>21</v>
      </c>
      <c r="O3688">
        <f t="shared" si="114"/>
        <v>14.240000000000009</v>
      </c>
      <c r="P3688">
        <f t="shared" si="115"/>
        <v>103.70199999999998</v>
      </c>
    </row>
    <row r="3689" spans="1:16" x14ac:dyDescent="0.35">
      <c r="A3689" s="9" t="s">
        <v>211</v>
      </c>
      <c r="B3689" s="2">
        <v>270.76</v>
      </c>
      <c r="C3689" s="2">
        <v>278.39</v>
      </c>
      <c r="D3689" s="2">
        <v>266.60000000000002</v>
      </c>
      <c r="E3689" s="2">
        <v>267.48</v>
      </c>
      <c r="F3689" s="2">
        <v>135999866</v>
      </c>
      <c r="G3689" s="2" t="s">
        <v>573</v>
      </c>
      <c r="H3689" s="2" t="s">
        <v>574</v>
      </c>
      <c r="I3689" s="2" t="s">
        <v>575</v>
      </c>
      <c r="J3689" s="4">
        <v>-2.23</v>
      </c>
      <c r="K3689" s="2" t="s">
        <v>204</v>
      </c>
      <c r="L3689" s="2">
        <v>2023</v>
      </c>
      <c r="M3689" s="2" t="s">
        <v>205</v>
      </c>
      <c r="N3689" s="2" t="s">
        <v>23</v>
      </c>
      <c r="O3689">
        <f t="shared" si="114"/>
        <v>11.789999999999964</v>
      </c>
      <c r="P3689">
        <f t="shared" si="115"/>
        <v>101.47199999999998</v>
      </c>
    </row>
    <row r="3690" spans="1:16" x14ac:dyDescent="0.35">
      <c r="A3690" s="9" t="s">
        <v>212</v>
      </c>
      <c r="B3690" s="2">
        <v>270.07</v>
      </c>
      <c r="C3690" s="2">
        <v>274.98</v>
      </c>
      <c r="D3690" s="2">
        <v>268.10000000000002</v>
      </c>
      <c r="E3690" s="2">
        <v>271.3</v>
      </c>
      <c r="F3690" s="2">
        <v>111673737</v>
      </c>
      <c r="G3690" s="2" t="s">
        <v>573</v>
      </c>
      <c r="H3690" s="2" t="s">
        <v>574</v>
      </c>
      <c r="I3690" s="2" t="s">
        <v>575</v>
      </c>
      <c r="J3690" s="3">
        <v>1.4279999999999999</v>
      </c>
      <c r="K3690" s="2" t="s">
        <v>204</v>
      </c>
      <c r="L3690" s="2">
        <v>2023</v>
      </c>
      <c r="M3690" s="2" t="s">
        <v>205</v>
      </c>
      <c r="N3690" s="2" t="s">
        <v>21</v>
      </c>
      <c r="O3690">
        <f t="shared" si="114"/>
        <v>6.8799999999999955</v>
      </c>
      <c r="P3690">
        <f t="shared" si="115"/>
        <v>102.89999999999998</v>
      </c>
    </row>
    <row r="3691" spans="1:16" x14ac:dyDescent="0.35">
      <c r="A3691" s="9" t="s">
        <v>213</v>
      </c>
      <c r="B3691" s="2">
        <v>271.32</v>
      </c>
      <c r="C3691" s="2">
        <v>276.709</v>
      </c>
      <c r="D3691" s="2">
        <v>270.42</v>
      </c>
      <c r="E3691" s="2">
        <v>276.04000000000002</v>
      </c>
      <c r="F3691" s="2">
        <v>107709842</v>
      </c>
      <c r="G3691" s="2" t="s">
        <v>573</v>
      </c>
      <c r="H3691" s="2" t="s">
        <v>574</v>
      </c>
      <c r="I3691" s="2" t="s">
        <v>575</v>
      </c>
      <c r="J3691" s="3">
        <v>1.7470000000000001</v>
      </c>
      <c r="K3691" s="2" t="s">
        <v>204</v>
      </c>
      <c r="L3691" s="2">
        <v>2023</v>
      </c>
      <c r="M3691" s="2" t="s">
        <v>205</v>
      </c>
      <c r="N3691" s="2" t="s">
        <v>21</v>
      </c>
      <c r="O3691">
        <f t="shared" si="114"/>
        <v>6.2889999999999873</v>
      </c>
      <c r="P3691">
        <f t="shared" si="115"/>
        <v>104.64699999999998</v>
      </c>
    </row>
    <row r="3692" spans="1:16" x14ac:dyDescent="0.35">
      <c r="A3692" s="9" t="s">
        <v>214</v>
      </c>
      <c r="B3692" s="2">
        <v>277.55</v>
      </c>
      <c r="C3692" s="2">
        <v>278.98</v>
      </c>
      <c r="D3692" s="2">
        <v>271</v>
      </c>
      <c r="E3692" s="2">
        <v>274.39</v>
      </c>
      <c r="F3692" s="2">
        <v>133692313</v>
      </c>
      <c r="G3692" s="2" t="s">
        <v>573</v>
      </c>
      <c r="H3692" s="2" t="s">
        <v>574</v>
      </c>
      <c r="I3692" s="2" t="s">
        <v>575</v>
      </c>
      <c r="J3692" s="4">
        <v>-0.59799999999999998</v>
      </c>
      <c r="K3692" s="2" t="s">
        <v>204</v>
      </c>
      <c r="L3692" s="2">
        <v>2023</v>
      </c>
      <c r="M3692" s="2" t="s">
        <v>205</v>
      </c>
      <c r="N3692" s="2" t="s">
        <v>23</v>
      </c>
      <c r="O3692">
        <f t="shared" si="114"/>
        <v>7.9800000000000182</v>
      </c>
      <c r="P3692">
        <f t="shared" si="115"/>
        <v>104.04899999999998</v>
      </c>
    </row>
    <row r="3693" spans="1:16" x14ac:dyDescent="0.35">
      <c r="A3693" s="9" t="s">
        <v>215</v>
      </c>
      <c r="B3693" s="2">
        <v>271.16000000000003</v>
      </c>
      <c r="C3693" s="2">
        <v>271.44</v>
      </c>
      <c r="D3693" s="2">
        <v>263.76</v>
      </c>
      <c r="E3693" s="2">
        <v>265.27999999999997</v>
      </c>
      <c r="F3693" s="2">
        <v>101543305</v>
      </c>
      <c r="G3693" s="2" t="s">
        <v>573</v>
      </c>
      <c r="H3693" s="2" t="s">
        <v>574</v>
      </c>
      <c r="I3693" s="2" t="s">
        <v>575</v>
      </c>
      <c r="J3693" s="4">
        <v>-3.32</v>
      </c>
      <c r="K3693" s="2" t="s">
        <v>204</v>
      </c>
      <c r="L3693" s="2">
        <v>2023</v>
      </c>
      <c r="M3693" s="2" t="s">
        <v>205</v>
      </c>
      <c r="N3693" s="2" t="s">
        <v>23</v>
      </c>
      <c r="O3693">
        <f t="shared" si="114"/>
        <v>7.6800000000000068</v>
      </c>
      <c r="P3693">
        <f t="shared" si="115"/>
        <v>100.72899999999998</v>
      </c>
    </row>
    <row r="3694" spans="1:16" x14ac:dyDescent="0.35">
      <c r="A3694" s="9" t="s">
        <v>216</v>
      </c>
      <c r="B3694" s="2">
        <v>264.35000000000002</v>
      </c>
      <c r="C3694" s="2">
        <v>267.85000000000002</v>
      </c>
      <c r="D3694" s="2">
        <v>261.2</v>
      </c>
      <c r="E3694" s="2">
        <v>266.5</v>
      </c>
      <c r="F3694" s="2">
        <v>103704040</v>
      </c>
      <c r="G3694" s="2" t="s">
        <v>573</v>
      </c>
      <c r="H3694" s="2" t="s">
        <v>574</v>
      </c>
      <c r="I3694" s="2" t="s">
        <v>575</v>
      </c>
      <c r="J3694" s="3">
        <v>0.46</v>
      </c>
      <c r="K3694" s="2" t="s">
        <v>204</v>
      </c>
      <c r="L3694" s="2">
        <v>2023</v>
      </c>
      <c r="M3694" s="2" t="s">
        <v>205</v>
      </c>
      <c r="N3694" s="2" t="s">
        <v>21</v>
      </c>
      <c r="O3694">
        <f t="shared" si="114"/>
        <v>6.6500000000000341</v>
      </c>
      <c r="P3694">
        <f t="shared" si="115"/>
        <v>101.18899999999998</v>
      </c>
    </row>
    <row r="3695" spans="1:16" x14ac:dyDescent="0.35">
      <c r="A3695" s="9" t="s">
        <v>217</v>
      </c>
      <c r="B3695" s="2">
        <v>267.04000000000002</v>
      </c>
      <c r="C3695" s="2">
        <v>273.93</v>
      </c>
      <c r="D3695" s="2">
        <v>262.46100000000001</v>
      </c>
      <c r="E3695" s="2">
        <v>262.58999999999997</v>
      </c>
      <c r="F3695" s="2">
        <v>122514643</v>
      </c>
      <c r="G3695" s="2" t="s">
        <v>573</v>
      </c>
      <c r="H3695" s="2" t="s">
        <v>574</v>
      </c>
      <c r="I3695" s="2" t="s">
        <v>575</v>
      </c>
      <c r="J3695" s="4">
        <v>-1.4670000000000001</v>
      </c>
      <c r="K3695" s="2" t="s">
        <v>204</v>
      </c>
      <c r="L3695" s="2">
        <v>2023</v>
      </c>
      <c r="M3695" s="2" t="s">
        <v>205</v>
      </c>
      <c r="N3695" s="2" t="s">
        <v>23</v>
      </c>
      <c r="O3695">
        <f t="shared" si="114"/>
        <v>11.468999999999994</v>
      </c>
      <c r="P3695">
        <f t="shared" si="115"/>
        <v>99.72199999999998</v>
      </c>
    </row>
    <row r="3696" spans="1:16" x14ac:dyDescent="0.35">
      <c r="A3696" s="9" t="s">
        <v>218</v>
      </c>
      <c r="B3696" s="2">
        <v>257.85000000000002</v>
      </c>
      <c r="C3696" s="2">
        <v>260.86</v>
      </c>
      <c r="D3696" s="2">
        <v>254.21</v>
      </c>
      <c r="E3696" s="2">
        <v>255.7</v>
      </c>
      <c r="F3696" s="2">
        <v>119951516</v>
      </c>
      <c r="G3696" s="2" t="s">
        <v>573</v>
      </c>
      <c r="H3696" s="2" t="s">
        <v>574</v>
      </c>
      <c r="I3696" s="2" t="s">
        <v>575</v>
      </c>
      <c r="J3696" s="4">
        <v>-2.6240000000000001</v>
      </c>
      <c r="K3696" s="2" t="s">
        <v>204</v>
      </c>
      <c r="L3696" s="2">
        <v>2023</v>
      </c>
      <c r="M3696" s="2" t="s">
        <v>205</v>
      </c>
      <c r="N3696" s="2" t="s">
        <v>23</v>
      </c>
      <c r="O3696">
        <f t="shared" si="114"/>
        <v>6.6500000000000057</v>
      </c>
      <c r="P3696">
        <f t="shared" si="115"/>
        <v>97.097999999999985</v>
      </c>
    </row>
    <row r="3697" spans="1:16" x14ac:dyDescent="0.35">
      <c r="A3697" s="9" t="s">
        <v>219</v>
      </c>
      <c r="B3697" s="2">
        <v>257.39999999999998</v>
      </c>
      <c r="C3697" s="2">
        <v>257.78899999999999</v>
      </c>
      <c r="D3697" s="2">
        <v>244.48</v>
      </c>
      <c r="E3697" s="2">
        <v>244.88</v>
      </c>
      <c r="F3697" s="2">
        <v>127524083</v>
      </c>
      <c r="G3697" s="2" t="s">
        <v>573</v>
      </c>
      <c r="H3697" s="2" t="s">
        <v>574</v>
      </c>
      <c r="I3697" s="2" t="s">
        <v>575</v>
      </c>
      <c r="J3697" s="4">
        <v>-4.2320000000000002</v>
      </c>
      <c r="K3697" s="2" t="s">
        <v>204</v>
      </c>
      <c r="L3697" s="2">
        <v>2023</v>
      </c>
      <c r="M3697" s="2" t="s">
        <v>205</v>
      </c>
      <c r="N3697" s="2" t="s">
        <v>23</v>
      </c>
      <c r="O3697">
        <f t="shared" si="114"/>
        <v>13.308999999999997</v>
      </c>
      <c r="P3697">
        <f t="shared" si="115"/>
        <v>92.865999999999985</v>
      </c>
    </row>
    <row r="3698" spans="1:16" x14ac:dyDescent="0.35">
      <c r="A3698" s="9" t="s">
        <v>220</v>
      </c>
      <c r="B3698" s="2">
        <v>243.38</v>
      </c>
      <c r="C3698" s="2">
        <v>247.1</v>
      </c>
      <c r="D3698" s="2">
        <v>238.31</v>
      </c>
      <c r="E3698" s="2">
        <v>246.99</v>
      </c>
      <c r="F3698" s="2">
        <v>104636557</v>
      </c>
      <c r="G3698" s="2" t="s">
        <v>573</v>
      </c>
      <c r="H3698" s="2" t="s">
        <v>574</v>
      </c>
      <c r="I3698" s="2" t="s">
        <v>575</v>
      </c>
      <c r="J3698" s="3">
        <v>0.86199999999999999</v>
      </c>
      <c r="K3698" s="2" t="s">
        <v>204</v>
      </c>
      <c r="L3698" s="2">
        <v>2023</v>
      </c>
      <c r="M3698" s="2" t="s">
        <v>205</v>
      </c>
      <c r="N3698" s="2" t="s">
        <v>21</v>
      </c>
      <c r="O3698">
        <f t="shared" si="114"/>
        <v>8.789999999999992</v>
      </c>
      <c r="P3698">
        <f t="shared" si="115"/>
        <v>93.72799999999998</v>
      </c>
    </row>
    <row r="3699" spans="1:16" x14ac:dyDescent="0.35">
      <c r="A3699" s="9" t="s">
        <v>221</v>
      </c>
      <c r="B3699" s="2">
        <v>242.98</v>
      </c>
      <c r="C3699" s="2">
        <v>249.55</v>
      </c>
      <c r="D3699" s="2">
        <v>241.66</v>
      </c>
      <c r="E3699" s="2">
        <v>244.12</v>
      </c>
      <c r="F3699" s="2">
        <v>101993631</v>
      </c>
      <c r="G3699" s="2" t="s">
        <v>573</v>
      </c>
      <c r="H3699" s="2" t="s">
        <v>574</v>
      </c>
      <c r="I3699" s="2" t="s">
        <v>575</v>
      </c>
      <c r="J3699" s="4">
        <v>-1.1619999999999999</v>
      </c>
      <c r="K3699" s="2" t="s">
        <v>204</v>
      </c>
      <c r="L3699" s="2">
        <v>2023</v>
      </c>
      <c r="M3699" s="2" t="s">
        <v>205</v>
      </c>
      <c r="N3699" s="2" t="s">
        <v>23</v>
      </c>
      <c r="O3699">
        <f t="shared" si="114"/>
        <v>7.8900000000000148</v>
      </c>
      <c r="P3699">
        <f t="shared" si="115"/>
        <v>92.565999999999974</v>
      </c>
    </row>
    <row r="3700" spans="1:16" x14ac:dyDescent="0.35">
      <c r="A3700" s="9" t="s">
        <v>222</v>
      </c>
      <c r="B3700" s="2">
        <v>244.262</v>
      </c>
      <c r="C3700" s="2">
        <v>245.33</v>
      </c>
      <c r="D3700" s="2">
        <v>234.58</v>
      </c>
      <c r="E3700" s="2">
        <v>240.5</v>
      </c>
      <c r="F3700" s="2">
        <v>136597184</v>
      </c>
      <c r="G3700" s="2" t="s">
        <v>573</v>
      </c>
      <c r="H3700" s="2" t="s">
        <v>574</v>
      </c>
      <c r="I3700" s="2" t="s">
        <v>575</v>
      </c>
      <c r="J3700" s="4">
        <v>-1.4830000000000001</v>
      </c>
      <c r="K3700" s="2" t="s">
        <v>204</v>
      </c>
      <c r="L3700" s="2">
        <v>2023</v>
      </c>
      <c r="M3700" s="2" t="s">
        <v>205</v>
      </c>
      <c r="N3700" s="2" t="s">
        <v>23</v>
      </c>
      <c r="O3700">
        <f t="shared" si="114"/>
        <v>10.75</v>
      </c>
      <c r="P3700">
        <f t="shared" si="115"/>
        <v>91.08299999999997</v>
      </c>
    </row>
    <row r="3701" spans="1:16" x14ac:dyDescent="0.35">
      <c r="A3701" s="9" t="s">
        <v>223</v>
      </c>
      <c r="B3701" s="2">
        <v>240.02</v>
      </c>
      <c r="C3701" s="2">
        <v>247.55</v>
      </c>
      <c r="D3701" s="2">
        <v>238.65</v>
      </c>
      <c r="E3701" s="2">
        <v>246.38</v>
      </c>
      <c r="F3701" s="2">
        <v>117058870</v>
      </c>
      <c r="G3701" s="2" t="s">
        <v>573</v>
      </c>
      <c r="H3701" s="2" t="s">
        <v>574</v>
      </c>
      <c r="I3701" s="2" t="s">
        <v>575</v>
      </c>
      <c r="J3701" s="3">
        <v>2.4449999999999998</v>
      </c>
      <c r="K3701" s="2" t="s">
        <v>204</v>
      </c>
      <c r="L3701" s="2">
        <v>2023</v>
      </c>
      <c r="M3701" s="2" t="s">
        <v>205</v>
      </c>
      <c r="N3701" s="2" t="s">
        <v>21</v>
      </c>
      <c r="O3701">
        <f t="shared" si="114"/>
        <v>8.9000000000000057</v>
      </c>
      <c r="P3701">
        <f t="shared" si="115"/>
        <v>93.527999999999963</v>
      </c>
    </row>
    <row r="3702" spans="1:16" x14ac:dyDescent="0.35">
      <c r="A3702" s="9" t="s">
        <v>224</v>
      </c>
      <c r="B3702" s="2">
        <v>250</v>
      </c>
      <c r="C3702" s="2">
        <v>254.77</v>
      </c>
      <c r="D3702" s="2">
        <v>246.35</v>
      </c>
      <c r="E3702" s="2">
        <v>250.22</v>
      </c>
      <c r="F3702" s="2">
        <v>128522729</v>
      </c>
      <c r="G3702" s="2" t="s">
        <v>573</v>
      </c>
      <c r="H3702" s="2" t="s">
        <v>574</v>
      </c>
      <c r="I3702" s="2" t="s">
        <v>575</v>
      </c>
      <c r="J3702" s="3">
        <v>1.5589999999999999</v>
      </c>
      <c r="K3702" s="2" t="s">
        <v>204</v>
      </c>
      <c r="L3702" s="2">
        <v>2023</v>
      </c>
      <c r="M3702" s="2" t="s">
        <v>205</v>
      </c>
      <c r="N3702" s="2" t="s">
        <v>21</v>
      </c>
      <c r="O3702">
        <f t="shared" si="114"/>
        <v>8.4200000000000159</v>
      </c>
      <c r="P3702">
        <f t="shared" si="115"/>
        <v>95.086999999999961</v>
      </c>
    </row>
    <row r="3703" spans="1:16" x14ac:dyDescent="0.35">
      <c r="A3703" s="9" t="s">
        <v>225</v>
      </c>
      <c r="B3703" s="2">
        <v>244.81</v>
      </c>
      <c r="C3703" s="2">
        <v>254.28</v>
      </c>
      <c r="D3703" s="2">
        <v>242.62</v>
      </c>
      <c r="E3703" s="2">
        <v>251.6</v>
      </c>
      <c r="F3703" s="2">
        <v>123810402</v>
      </c>
      <c r="G3703" s="2" t="s">
        <v>573</v>
      </c>
      <c r="H3703" s="2" t="s">
        <v>574</v>
      </c>
      <c r="I3703" s="2" t="s">
        <v>575</v>
      </c>
      <c r="J3703" s="3">
        <v>0.55200000000000005</v>
      </c>
      <c r="K3703" s="2" t="s">
        <v>226</v>
      </c>
      <c r="L3703" s="2">
        <v>2023</v>
      </c>
      <c r="M3703" s="2" t="s">
        <v>227</v>
      </c>
      <c r="N3703" s="2" t="s">
        <v>21</v>
      </c>
      <c r="O3703">
        <f t="shared" si="114"/>
        <v>11.659999999999997</v>
      </c>
      <c r="P3703">
        <f t="shared" si="115"/>
        <v>95.638999999999967</v>
      </c>
    </row>
    <row r="3704" spans="1:16" x14ac:dyDescent="0.35">
      <c r="A3704" s="9" t="s">
        <v>228</v>
      </c>
      <c r="B3704" s="2">
        <v>248.61</v>
      </c>
      <c r="C3704" s="2">
        <v>250.02</v>
      </c>
      <c r="D3704" s="2">
        <v>244.45</v>
      </c>
      <c r="E3704" s="2">
        <v>246.53</v>
      </c>
      <c r="F3704" s="2">
        <v>101985305</v>
      </c>
      <c r="G3704" s="2" t="s">
        <v>573</v>
      </c>
      <c r="H3704" s="2" t="s">
        <v>574</v>
      </c>
      <c r="I3704" s="2" t="s">
        <v>575</v>
      </c>
      <c r="J3704" s="4">
        <v>-2.0150000000000001</v>
      </c>
      <c r="K3704" s="2" t="s">
        <v>226</v>
      </c>
      <c r="L3704" s="2">
        <v>2023</v>
      </c>
      <c r="M3704" s="2" t="s">
        <v>227</v>
      </c>
      <c r="N3704" s="2" t="s">
        <v>23</v>
      </c>
      <c r="O3704">
        <f t="shared" si="114"/>
        <v>5.5700000000000216</v>
      </c>
      <c r="P3704">
        <f t="shared" si="115"/>
        <v>93.623999999999967</v>
      </c>
    </row>
    <row r="3705" spans="1:16" x14ac:dyDescent="0.35">
      <c r="A3705" s="9" t="s">
        <v>229</v>
      </c>
      <c r="B3705" s="2">
        <v>248.14</v>
      </c>
      <c r="C3705" s="2">
        <v>261.86</v>
      </c>
      <c r="D3705" s="2">
        <v>247.6</v>
      </c>
      <c r="E3705" s="2">
        <v>261.16000000000003</v>
      </c>
      <c r="F3705" s="2">
        <v>129721567</v>
      </c>
      <c r="G3705" s="2" t="s">
        <v>573</v>
      </c>
      <c r="H3705" s="2" t="s">
        <v>574</v>
      </c>
      <c r="I3705" s="2" t="s">
        <v>575</v>
      </c>
      <c r="J3705" s="3">
        <v>5.9340000000000002</v>
      </c>
      <c r="K3705" s="2" t="s">
        <v>226</v>
      </c>
      <c r="L3705" s="2">
        <v>2023</v>
      </c>
      <c r="M3705" s="2" t="s">
        <v>227</v>
      </c>
      <c r="N3705" s="2" t="s">
        <v>21</v>
      </c>
      <c r="O3705">
        <f t="shared" si="114"/>
        <v>14.260000000000019</v>
      </c>
      <c r="P3705">
        <f t="shared" si="115"/>
        <v>99.557999999999964</v>
      </c>
    </row>
    <row r="3706" spans="1:16" x14ac:dyDescent="0.35">
      <c r="A3706" s="9" t="s">
        <v>230</v>
      </c>
      <c r="B3706" s="2">
        <v>260</v>
      </c>
      <c r="C3706" s="2">
        <v>263.60000000000002</v>
      </c>
      <c r="D3706" s="2">
        <v>256.25</v>
      </c>
      <c r="E3706" s="2">
        <v>260.05</v>
      </c>
      <c r="F3706" s="2">
        <v>119159214</v>
      </c>
      <c r="G3706" s="2" t="s">
        <v>573</v>
      </c>
      <c r="H3706" s="2" t="s">
        <v>574</v>
      </c>
      <c r="I3706" s="2" t="s">
        <v>575</v>
      </c>
      <c r="J3706" s="4">
        <v>-0.42499999999999999</v>
      </c>
      <c r="K3706" s="2" t="s">
        <v>226</v>
      </c>
      <c r="L3706" s="2">
        <v>2023</v>
      </c>
      <c r="M3706" s="2" t="s">
        <v>227</v>
      </c>
      <c r="N3706" s="2" t="s">
        <v>23</v>
      </c>
      <c r="O3706">
        <f t="shared" si="114"/>
        <v>7.3500000000000227</v>
      </c>
      <c r="P3706">
        <f t="shared" si="115"/>
        <v>99.132999999999967</v>
      </c>
    </row>
    <row r="3707" spans="1:16" x14ac:dyDescent="0.35">
      <c r="A3707" s="9" t="s">
        <v>231</v>
      </c>
      <c r="B3707" s="2">
        <v>253.98</v>
      </c>
      <c r="C3707" s="2">
        <v>261.64999999999998</v>
      </c>
      <c r="D3707" s="2">
        <v>250.65</v>
      </c>
      <c r="E3707" s="2">
        <v>260.52999999999997</v>
      </c>
      <c r="F3707" s="2">
        <v>118121812</v>
      </c>
      <c r="G3707" s="2" t="s">
        <v>573</v>
      </c>
      <c r="H3707" s="2" t="s">
        <v>574</v>
      </c>
      <c r="I3707" s="2" t="s">
        <v>575</v>
      </c>
      <c r="J3707" s="3">
        <v>0.185</v>
      </c>
      <c r="K3707" s="2" t="s">
        <v>226</v>
      </c>
      <c r="L3707" s="2">
        <v>2023</v>
      </c>
      <c r="M3707" s="2" t="s">
        <v>227</v>
      </c>
      <c r="N3707" s="2" t="s">
        <v>21</v>
      </c>
      <c r="O3707">
        <f t="shared" si="114"/>
        <v>10.999999999999972</v>
      </c>
      <c r="P3707">
        <f t="shared" si="115"/>
        <v>99.317999999999969</v>
      </c>
    </row>
    <row r="3708" spans="1:16" x14ac:dyDescent="0.35">
      <c r="A3708" s="9" t="s">
        <v>232</v>
      </c>
      <c r="B3708" s="2">
        <v>255.31</v>
      </c>
      <c r="C3708" s="2">
        <v>261.36</v>
      </c>
      <c r="D3708" s="2">
        <v>252.05</v>
      </c>
      <c r="E3708" s="2">
        <v>259.67</v>
      </c>
      <c r="F3708" s="2">
        <v>101377947</v>
      </c>
      <c r="G3708" s="2" t="s">
        <v>573</v>
      </c>
      <c r="H3708" s="2" t="s">
        <v>574</v>
      </c>
      <c r="I3708" s="2" t="s">
        <v>575</v>
      </c>
      <c r="J3708" s="4">
        <v>-0.33</v>
      </c>
      <c r="K3708" s="2" t="s">
        <v>226</v>
      </c>
      <c r="L3708" s="2">
        <v>2023</v>
      </c>
      <c r="M3708" s="2" t="s">
        <v>227</v>
      </c>
      <c r="N3708" s="2" t="s">
        <v>23</v>
      </c>
      <c r="O3708">
        <f t="shared" si="114"/>
        <v>9.3100000000000023</v>
      </c>
      <c r="P3708">
        <f t="shared" si="115"/>
        <v>98.987999999999971</v>
      </c>
    </row>
    <row r="3709" spans="1:16" x14ac:dyDescent="0.35">
      <c r="A3709" s="9" t="s">
        <v>233</v>
      </c>
      <c r="B3709" s="2">
        <v>257.75</v>
      </c>
      <c r="C3709" s="2">
        <v>268.94</v>
      </c>
      <c r="D3709" s="2">
        <v>257.64999999999998</v>
      </c>
      <c r="E3709" s="2">
        <v>263.62</v>
      </c>
      <c r="F3709" s="2">
        <v>122656030</v>
      </c>
      <c r="G3709" s="2" t="s">
        <v>573</v>
      </c>
      <c r="H3709" s="2" t="s">
        <v>574</v>
      </c>
      <c r="I3709" s="2" t="s">
        <v>575</v>
      </c>
      <c r="J3709" s="3">
        <v>1.5209999999999999</v>
      </c>
      <c r="K3709" s="2" t="s">
        <v>226</v>
      </c>
      <c r="L3709" s="2">
        <v>2023</v>
      </c>
      <c r="M3709" s="2" t="s">
        <v>227</v>
      </c>
      <c r="N3709" s="2" t="s">
        <v>21</v>
      </c>
      <c r="O3709">
        <f t="shared" si="114"/>
        <v>11.29000000000002</v>
      </c>
      <c r="P3709">
        <f t="shared" si="115"/>
        <v>100.50899999999997</v>
      </c>
    </row>
    <row r="3710" spans="1:16" x14ac:dyDescent="0.35">
      <c r="A3710" s="9" t="s">
        <v>234</v>
      </c>
      <c r="B3710" s="2">
        <v>266.2</v>
      </c>
      <c r="C3710" s="2">
        <v>268.60000000000002</v>
      </c>
      <c r="D3710" s="2">
        <v>260.89999999999998</v>
      </c>
      <c r="E3710" s="2">
        <v>262.99</v>
      </c>
      <c r="F3710" s="2">
        <v>103706266</v>
      </c>
      <c r="G3710" s="2" t="s">
        <v>573</v>
      </c>
      <c r="H3710" s="2" t="s">
        <v>574</v>
      </c>
      <c r="I3710" s="2" t="s">
        <v>575</v>
      </c>
      <c r="J3710" s="4">
        <v>-0.23899999999999999</v>
      </c>
      <c r="K3710" s="2" t="s">
        <v>226</v>
      </c>
      <c r="L3710" s="2">
        <v>2023</v>
      </c>
      <c r="M3710" s="2" t="s">
        <v>227</v>
      </c>
      <c r="N3710" s="2" t="s">
        <v>23</v>
      </c>
      <c r="O3710">
        <f t="shared" si="114"/>
        <v>7.7000000000000455</v>
      </c>
      <c r="P3710">
        <f t="shared" si="115"/>
        <v>100.26999999999997</v>
      </c>
    </row>
    <row r="3711" spans="1:16" x14ac:dyDescent="0.35">
      <c r="A3711" s="9" t="s">
        <v>235</v>
      </c>
      <c r="B3711" s="2">
        <v>262.92</v>
      </c>
      <c r="C3711" s="2">
        <v>265.41000000000003</v>
      </c>
      <c r="D3711" s="2">
        <v>256.63099999999997</v>
      </c>
      <c r="E3711" s="2">
        <v>258.87</v>
      </c>
      <c r="F3711" s="2">
        <v>111508114</v>
      </c>
      <c r="G3711" s="2" t="s">
        <v>573</v>
      </c>
      <c r="H3711" s="2" t="s">
        <v>574</v>
      </c>
      <c r="I3711" s="2" t="s">
        <v>575</v>
      </c>
      <c r="J3711" s="4">
        <v>-1.5669999999999999</v>
      </c>
      <c r="K3711" s="2" t="s">
        <v>226</v>
      </c>
      <c r="L3711" s="2">
        <v>2023</v>
      </c>
      <c r="M3711" s="2" t="s">
        <v>227</v>
      </c>
      <c r="N3711" s="2" t="s">
        <v>23</v>
      </c>
      <c r="O3711">
        <f t="shared" si="114"/>
        <v>8.7790000000000532</v>
      </c>
      <c r="P3711">
        <f t="shared" si="115"/>
        <v>98.702999999999975</v>
      </c>
    </row>
    <row r="3712" spans="1:16" x14ac:dyDescent="0.35">
      <c r="A3712" s="9" t="s">
        <v>236</v>
      </c>
      <c r="B3712" s="2">
        <v>258.89999999999998</v>
      </c>
      <c r="C3712" s="2">
        <v>259.60000000000002</v>
      </c>
      <c r="D3712" s="2">
        <v>250.22</v>
      </c>
      <c r="E3712" s="2">
        <v>251.12</v>
      </c>
      <c r="F3712" s="2">
        <v>102296786</v>
      </c>
      <c r="G3712" s="2" t="s">
        <v>573</v>
      </c>
      <c r="H3712" s="2" t="s">
        <v>574</v>
      </c>
      <c r="I3712" s="2" t="s">
        <v>575</v>
      </c>
      <c r="J3712" s="4">
        <v>-2.9940000000000002</v>
      </c>
      <c r="K3712" s="2" t="s">
        <v>226</v>
      </c>
      <c r="L3712" s="2">
        <v>2023</v>
      </c>
      <c r="M3712" s="2" t="s">
        <v>227</v>
      </c>
      <c r="N3712" s="2" t="s">
        <v>23</v>
      </c>
      <c r="O3712">
        <f t="shared" si="114"/>
        <v>9.3800000000000239</v>
      </c>
      <c r="P3712">
        <f t="shared" si="115"/>
        <v>95.708999999999975</v>
      </c>
    </row>
    <row r="3713" spans="1:16" x14ac:dyDescent="0.35">
      <c r="A3713" s="9" t="s">
        <v>237</v>
      </c>
      <c r="B3713" s="2">
        <v>250.05</v>
      </c>
      <c r="C3713" s="2">
        <v>255.4</v>
      </c>
      <c r="D3713" s="2">
        <v>248.48</v>
      </c>
      <c r="E3713" s="2">
        <v>253.92</v>
      </c>
      <c r="F3713" s="2">
        <v>88917176</v>
      </c>
      <c r="G3713" s="2" t="s">
        <v>573</v>
      </c>
      <c r="H3713" s="2" t="s">
        <v>574</v>
      </c>
      <c r="I3713" s="2" t="s">
        <v>575</v>
      </c>
      <c r="J3713" s="3">
        <v>1.115</v>
      </c>
      <c r="K3713" s="2" t="s">
        <v>226</v>
      </c>
      <c r="L3713" s="2">
        <v>2023</v>
      </c>
      <c r="M3713" s="2" t="s">
        <v>227</v>
      </c>
      <c r="N3713" s="2" t="s">
        <v>21</v>
      </c>
      <c r="O3713">
        <f t="shared" si="114"/>
        <v>6.9200000000000159</v>
      </c>
      <c r="P3713">
        <f t="shared" si="115"/>
        <v>96.82399999999997</v>
      </c>
    </row>
    <row r="3714" spans="1:16" x14ac:dyDescent="0.35">
      <c r="A3714" s="9" t="s">
        <v>238</v>
      </c>
      <c r="B3714" s="2">
        <v>250.1</v>
      </c>
      <c r="C3714" s="2">
        <v>257.18299999999999</v>
      </c>
      <c r="D3714" s="2">
        <v>247.08</v>
      </c>
      <c r="E3714" s="2">
        <v>254.85</v>
      </c>
      <c r="F3714" s="2">
        <v>93562909</v>
      </c>
      <c r="G3714" s="2" t="s">
        <v>573</v>
      </c>
      <c r="H3714" s="2" t="s">
        <v>574</v>
      </c>
      <c r="I3714" s="2" t="s">
        <v>575</v>
      </c>
      <c r="J3714" s="3">
        <v>0.36599999999999999</v>
      </c>
      <c r="K3714" s="2" t="s">
        <v>226</v>
      </c>
      <c r="L3714" s="2">
        <v>2023</v>
      </c>
      <c r="M3714" s="2" t="s">
        <v>227</v>
      </c>
      <c r="N3714" s="2" t="s">
        <v>21</v>
      </c>
      <c r="O3714">
        <f t="shared" si="114"/>
        <v>10.10299999999998</v>
      </c>
      <c r="P3714">
        <f t="shared" si="115"/>
        <v>97.189999999999969</v>
      </c>
    </row>
    <row r="3715" spans="1:16" x14ac:dyDescent="0.35">
      <c r="A3715" s="9" t="s">
        <v>239</v>
      </c>
      <c r="B3715" s="2">
        <v>252.7</v>
      </c>
      <c r="C3715" s="2">
        <v>254.63</v>
      </c>
      <c r="D3715" s="2">
        <v>242.08</v>
      </c>
      <c r="E3715" s="2">
        <v>242.68</v>
      </c>
      <c r="F3715" s="2">
        <v>125147846</v>
      </c>
      <c r="G3715" s="2" t="s">
        <v>573</v>
      </c>
      <c r="H3715" s="2" t="s">
        <v>574</v>
      </c>
      <c r="I3715" s="2" t="s">
        <v>575</v>
      </c>
      <c r="J3715" s="4">
        <v>-4.7750000000000004</v>
      </c>
      <c r="K3715" s="2" t="s">
        <v>226</v>
      </c>
      <c r="L3715" s="2">
        <v>2023</v>
      </c>
      <c r="M3715" s="2" t="s">
        <v>227</v>
      </c>
      <c r="N3715" s="2" t="s">
        <v>23</v>
      </c>
      <c r="O3715">
        <f t="shared" ref="O3715:O3778" si="116">C3715-D3715</f>
        <v>12.549999999999983</v>
      </c>
      <c r="P3715">
        <f t="shared" si="115"/>
        <v>92.414999999999964</v>
      </c>
    </row>
    <row r="3716" spans="1:16" x14ac:dyDescent="0.35">
      <c r="A3716" s="9" t="s">
        <v>240</v>
      </c>
      <c r="B3716" s="2">
        <v>225.95</v>
      </c>
      <c r="C3716" s="2">
        <v>230.61</v>
      </c>
      <c r="D3716" s="2">
        <v>216.78</v>
      </c>
      <c r="E3716" s="2">
        <v>220.11</v>
      </c>
      <c r="F3716" s="2">
        <v>170772713</v>
      </c>
      <c r="G3716" s="2" t="s">
        <v>573</v>
      </c>
      <c r="H3716" s="2" t="s">
        <v>574</v>
      </c>
      <c r="I3716" s="2" t="s">
        <v>575</v>
      </c>
      <c r="J3716" s="4">
        <v>-9.3000000000000007</v>
      </c>
      <c r="K3716" s="2" t="s">
        <v>226</v>
      </c>
      <c r="L3716" s="2">
        <v>2023</v>
      </c>
      <c r="M3716" s="2" t="s">
        <v>227</v>
      </c>
      <c r="N3716" s="2" t="s">
        <v>23</v>
      </c>
      <c r="O3716">
        <f t="shared" si="116"/>
        <v>13.830000000000013</v>
      </c>
      <c r="P3716">
        <f t="shared" ref="P3716:P3779" si="117">IF(G3716=G3715, P3715+J3716, J3716)</f>
        <v>83.114999999999966</v>
      </c>
    </row>
    <row r="3717" spans="1:16" x14ac:dyDescent="0.35">
      <c r="A3717" s="9" t="s">
        <v>241</v>
      </c>
      <c r="B3717" s="2">
        <v>217.01</v>
      </c>
      <c r="C3717" s="2">
        <v>218.86099999999999</v>
      </c>
      <c r="D3717" s="2">
        <v>210.42</v>
      </c>
      <c r="E3717" s="2">
        <v>211.99</v>
      </c>
      <c r="F3717" s="2">
        <v>138010095</v>
      </c>
      <c r="G3717" s="2" t="s">
        <v>573</v>
      </c>
      <c r="H3717" s="2" t="s">
        <v>574</v>
      </c>
      <c r="I3717" s="2" t="s">
        <v>575</v>
      </c>
      <c r="J3717" s="4">
        <v>-3.6890000000000001</v>
      </c>
      <c r="K3717" s="2" t="s">
        <v>226</v>
      </c>
      <c r="L3717" s="2">
        <v>2023</v>
      </c>
      <c r="M3717" s="2" t="s">
        <v>227</v>
      </c>
      <c r="N3717" s="2" t="s">
        <v>23</v>
      </c>
      <c r="O3717">
        <f t="shared" si="116"/>
        <v>8.4410000000000025</v>
      </c>
      <c r="P3717">
        <f t="shared" si="117"/>
        <v>79.425999999999959</v>
      </c>
    </row>
    <row r="3718" spans="1:16" x14ac:dyDescent="0.35">
      <c r="A3718" s="9" t="s">
        <v>242</v>
      </c>
      <c r="B3718" s="2">
        <v>210</v>
      </c>
      <c r="C3718" s="2">
        <v>216.98</v>
      </c>
      <c r="D3718" s="2">
        <v>202.51</v>
      </c>
      <c r="E3718" s="2">
        <v>212.08</v>
      </c>
      <c r="F3718" s="2">
        <v>150683368</v>
      </c>
      <c r="G3718" s="2" t="s">
        <v>573</v>
      </c>
      <c r="H3718" s="2" t="s">
        <v>574</v>
      </c>
      <c r="I3718" s="2" t="s">
        <v>575</v>
      </c>
      <c r="J3718" s="3">
        <v>4.2000000000000003E-2</v>
      </c>
      <c r="K3718" s="2" t="s">
        <v>226</v>
      </c>
      <c r="L3718" s="2">
        <v>2023</v>
      </c>
      <c r="M3718" s="2" t="s">
        <v>227</v>
      </c>
      <c r="N3718" s="2" t="s">
        <v>21</v>
      </c>
      <c r="O3718">
        <f t="shared" si="116"/>
        <v>14.469999999999999</v>
      </c>
      <c r="P3718">
        <f t="shared" si="117"/>
        <v>79.467999999999961</v>
      </c>
    </row>
    <row r="3719" spans="1:16" x14ac:dyDescent="0.35">
      <c r="A3719" s="9" t="s">
        <v>243</v>
      </c>
      <c r="B3719" s="2">
        <v>216.5</v>
      </c>
      <c r="C3719" s="2">
        <v>222.05</v>
      </c>
      <c r="D3719" s="2">
        <v>214.11</v>
      </c>
      <c r="E3719" s="2">
        <v>216.52</v>
      </c>
      <c r="F3719" s="2">
        <v>118231113</v>
      </c>
      <c r="G3719" s="2" t="s">
        <v>573</v>
      </c>
      <c r="H3719" s="2" t="s">
        <v>574</v>
      </c>
      <c r="I3719" s="2" t="s">
        <v>575</v>
      </c>
      <c r="J3719" s="3">
        <v>2.0939999999999999</v>
      </c>
      <c r="K3719" s="2" t="s">
        <v>226</v>
      </c>
      <c r="L3719" s="2">
        <v>2023</v>
      </c>
      <c r="M3719" s="2" t="s">
        <v>227</v>
      </c>
      <c r="N3719" s="2" t="s">
        <v>21</v>
      </c>
      <c r="O3719">
        <f t="shared" si="116"/>
        <v>7.9399999999999977</v>
      </c>
      <c r="P3719">
        <f t="shared" si="117"/>
        <v>81.561999999999955</v>
      </c>
    </row>
    <row r="3720" spans="1:16" x14ac:dyDescent="0.35">
      <c r="A3720" s="9" t="s">
        <v>244</v>
      </c>
      <c r="B3720" s="2">
        <v>215.88</v>
      </c>
      <c r="C3720" s="2">
        <v>220.1</v>
      </c>
      <c r="D3720" s="2">
        <v>212.2</v>
      </c>
      <c r="E3720" s="2">
        <v>212.42</v>
      </c>
      <c r="F3720" s="2">
        <v>107065087</v>
      </c>
      <c r="G3720" s="2" t="s">
        <v>573</v>
      </c>
      <c r="H3720" s="2" t="s">
        <v>574</v>
      </c>
      <c r="I3720" s="2" t="s">
        <v>575</v>
      </c>
      <c r="J3720" s="4">
        <v>-1.8939999999999999</v>
      </c>
      <c r="K3720" s="2" t="s">
        <v>226</v>
      </c>
      <c r="L3720" s="2">
        <v>2023</v>
      </c>
      <c r="M3720" s="2" t="s">
        <v>227</v>
      </c>
      <c r="N3720" s="2" t="s">
        <v>23</v>
      </c>
      <c r="O3720">
        <f t="shared" si="116"/>
        <v>7.9000000000000057</v>
      </c>
      <c r="P3720">
        <f t="shared" si="117"/>
        <v>79.66799999999995</v>
      </c>
    </row>
    <row r="3721" spans="1:16" x14ac:dyDescent="0.35">
      <c r="A3721" s="9" t="s">
        <v>245</v>
      </c>
      <c r="B3721" s="2">
        <v>211.32</v>
      </c>
      <c r="C3721" s="2">
        <v>214.8</v>
      </c>
      <c r="D3721" s="2">
        <v>204.88</v>
      </c>
      <c r="E3721" s="2">
        <v>205.76</v>
      </c>
      <c r="F3721" s="2">
        <v>115112635</v>
      </c>
      <c r="G3721" s="2" t="s">
        <v>573</v>
      </c>
      <c r="H3721" s="2" t="s">
        <v>574</v>
      </c>
      <c r="I3721" s="2" t="s">
        <v>575</v>
      </c>
      <c r="J3721" s="4">
        <v>-3.1349999999999998</v>
      </c>
      <c r="K3721" s="2" t="s">
        <v>226</v>
      </c>
      <c r="L3721" s="2">
        <v>2023</v>
      </c>
      <c r="M3721" s="2" t="s">
        <v>227</v>
      </c>
      <c r="N3721" s="2" t="s">
        <v>23</v>
      </c>
      <c r="O3721">
        <f t="shared" si="116"/>
        <v>9.9200000000000159</v>
      </c>
      <c r="P3721">
        <f t="shared" si="117"/>
        <v>76.532999999999944</v>
      </c>
    </row>
    <row r="3722" spans="1:16" x14ac:dyDescent="0.35">
      <c r="A3722" s="9" t="s">
        <v>246</v>
      </c>
      <c r="B3722" s="2">
        <v>210.6</v>
      </c>
      <c r="C3722" s="2">
        <v>212.41</v>
      </c>
      <c r="D3722" s="2">
        <v>205.77</v>
      </c>
      <c r="E3722" s="2">
        <v>207.3</v>
      </c>
      <c r="F3722" s="2">
        <v>94881173</v>
      </c>
      <c r="G3722" s="2" t="s">
        <v>573</v>
      </c>
      <c r="H3722" s="2" t="s">
        <v>574</v>
      </c>
      <c r="I3722" s="2" t="s">
        <v>575</v>
      </c>
      <c r="J3722" s="3">
        <v>0.748</v>
      </c>
      <c r="K3722" s="2" t="s">
        <v>226</v>
      </c>
      <c r="L3722" s="2">
        <v>2023</v>
      </c>
      <c r="M3722" s="2" t="s">
        <v>227</v>
      </c>
      <c r="N3722" s="2" t="s">
        <v>21</v>
      </c>
      <c r="O3722">
        <f t="shared" si="116"/>
        <v>6.6399999999999864</v>
      </c>
      <c r="P3722">
        <f t="shared" si="117"/>
        <v>77.280999999999949</v>
      </c>
    </row>
    <row r="3723" spans="1:16" x14ac:dyDescent="0.35">
      <c r="A3723" s="9" t="s">
        <v>247</v>
      </c>
      <c r="B3723" s="2">
        <v>209.28</v>
      </c>
      <c r="C3723" s="2">
        <v>210.88</v>
      </c>
      <c r="D3723" s="2">
        <v>194.67</v>
      </c>
      <c r="E3723" s="2">
        <v>197.36</v>
      </c>
      <c r="F3723" s="2">
        <v>136448167</v>
      </c>
      <c r="G3723" s="2" t="s">
        <v>573</v>
      </c>
      <c r="H3723" s="2" t="s">
        <v>574</v>
      </c>
      <c r="I3723" s="2" t="s">
        <v>575</v>
      </c>
      <c r="J3723" s="4">
        <v>-4.7949999999999999</v>
      </c>
      <c r="K3723" s="2" t="s">
        <v>226</v>
      </c>
      <c r="L3723" s="2">
        <v>2023</v>
      </c>
      <c r="M3723" s="2" t="s">
        <v>227</v>
      </c>
      <c r="N3723" s="2" t="s">
        <v>23</v>
      </c>
      <c r="O3723">
        <f t="shared" si="116"/>
        <v>16.210000000000008</v>
      </c>
      <c r="P3723">
        <f t="shared" si="117"/>
        <v>72.485999999999947</v>
      </c>
    </row>
    <row r="3724" spans="1:16" x14ac:dyDescent="0.35">
      <c r="A3724" s="9" t="s">
        <v>248</v>
      </c>
      <c r="B3724" s="2">
        <v>196.12</v>
      </c>
      <c r="C3724" s="2">
        <v>202.8</v>
      </c>
      <c r="D3724" s="2">
        <v>194.07</v>
      </c>
      <c r="E3724" s="2">
        <v>200.84</v>
      </c>
      <c r="F3724" s="2">
        <v>118068273</v>
      </c>
      <c r="G3724" s="2" t="s">
        <v>573</v>
      </c>
      <c r="H3724" s="2" t="s">
        <v>574</v>
      </c>
      <c r="I3724" s="2" t="s">
        <v>575</v>
      </c>
      <c r="J3724" s="3">
        <v>1.7629999999999999</v>
      </c>
      <c r="K3724" s="2" t="s">
        <v>226</v>
      </c>
      <c r="L3724" s="2">
        <v>2023</v>
      </c>
      <c r="M3724" s="2" t="s">
        <v>227</v>
      </c>
      <c r="N3724" s="2" t="s">
        <v>21</v>
      </c>
      <c r="O3724">
        <f t="shared" si="116"/>
        <v>8.7300000000000182</v>
      </c>
      <c r="P3724">
        <f t="shared" si="117"/>
        <v>74.248999999999953</v>
      </c>
    </row>
    <row r="3725" spans="1:16" x14ac:dyDescent="0.35">
      <c r="A3725" s="9" t="s">
        <v>249</v>
      </c>
      <c r="B3725" s="2">
        <v>204.04</v>
      </c>
      <c r="C3725" s="2">
        <v>205.99</v>
      </c>
      <c r="D3725" s="2">
        <v>197.85</v>
      </c>
      <c r="E3725" s="2">
        <v>205.66</v>
      </c>
      <c r="F3725" s="2">
        <v>121661656</v>
      </c>
      <c r="G3725" s="2" t="s">
        <v>573</v>
      </c>
      <c r="H3725" s="2" t="s">
        <v>574</v>
      </c>
      <c r="I3725" s="2" t="s">
        <v>575</v>
      </c>
      <c r="J3725" s="3">
        <v>2.4</v>
      </c>
      <c r="K3725" s="2" t="s">
        <v>250</v>
      </c>
      <c r="L3725" s="2">
        <v>2023</v>
      </c>
      <c r="M3725" s="2" t="s">
        <v>251</v>
      </c>
      <c r="N3725" s="2" t="s">
        <v>21</v>
      </c>
      <c r="O3725">
        <f t="shared" si="116"/>
        <v>8.1400000000000148</v>
      </c>
      <c r="P3725">
        <f t="shared" si="117"/>
        <v>76.648999999999958</v>
      </c>
    </row>
    <row r="3726" spans="1:16" x14ac:dyDescent="0.35">
      <c r="A3726" s="9" t="s">
        <v>252</v>
      </c>
      <c r="B3726" s="2">
        <v>212.97</v>
      </c>
      <c r="C3726" s="2">
        <v>219.2</v>
      </c>
      <c r="D3726" s="2">
        <v>211.45</v>
      </c>
      <c r="E3726" s="2">
        <v>218.51</v>
      </c>
      <c r="F3726" s="2">
        <v>125987621</v>
      </c>
      <c r="G3726" s="2" t="s">
        <v>573</v>
      </c>
      <c r="H3726" s="2" t="s">
        <v>574</v>
      </c>
      <c r="I3726" s="2" t="s">
        <v>575</v>
      </c>
      <c r="J3726" s="3">
        <v>6.2480000000000002</v>
      </c>
      <c r="K3726" s="2" t="s">
        <v>250</v>
      </c>
      <c r="L3726" s="2">
        <v>2023</v>
      </c>
      <c r="M3726" s="2" t="s">
        <v>251</v>
      </c>
      <c r="N3726" s="2" t="s">
        <v>21</v>
      </c>
      <c r="O3726">
        <f t="shared" si="116"/>
        <v>7.75</v>
      </c>
      <c r="P3726">
        <f t="shared" si="117"/>
        <v>82.896999999999963</v>
      </c>
    </row>
    <row r="3727" spans="1:16" x14ac:dyDescent="0.35">
      <c r="A3727" s="9" t="s">
        <v>253</v>
      </c>
      <c r="B3727" s="2">
        <v>221.15</v>
      </c>
      <c r="C3727" s="2">
        <v>226.37</v>
      </c>
      <c r="D3727" s="2">
        <v>218.4</v>
      </c>
      <c r="E3727" s="2">
        <v>219.96</v>
      </c>
      <c r="F3727" s="2">
        <v>119534790</v>
      </c>
      <c r="G3727" s="2" t="s">
        <v>573</v>
      </c>
      <c r="H3727" s="2" t="s">
        <v>574</v>
      </c>
      <c r="I3727" s="2" t="s">
        <v>575</v>
      </c>
      <c r="J3727" s="3">
        <v>0.66400000000000003</v>
      </c>
      <c r="K3727" s="2" t="s">
        <v>250</v>
      </c>
      <c r="L3727" s="2">
        <v>2023</v>
      </c>
      <c r="M3727" s="2" t="s">
        <v>251</v>
      </c>
      <c r="N3727" s="2" t="s">
        <v>21</v>
      </c>
      <c r="O3727">
        <f t="shared" si="116"/>
        <v>7.9699999999999989</v>
      </c>
      <c r="P3727">
        <f t="shared" si="117"/>
        <v>83.560999999999964</v>
      </c>
    </row>
    <row r="3728" spans="1:16" x14ac:dyDescent="0.35">
      <c r="A3728" s="9" t="s">
        <v>254</v>
      </c>
      <c r="B3728" s="2">
        <v>223.98</v>
      </c>
      <c r="C3728" s="2">
        <v>226.32</v>
      </c>
      <c r="D3728" s="2">
        <v>215</v>
      </c>
      <c r="E3728" s="2">
        <v>219.27</v>
      </c>
      <c r="F3728" s="2">
        <v>117335820</v>
      </c>
      <c r="G3728" s="2" t="s">
        <v>573</v>
      </c>
      <c r="H3728" s="2" t="s">
        <v>574</v>
      </c>
      <c r="I3728" s="2" t="s">
        <v>575</v>
      </c>
      <c r="J3728" s="4">
        <v>-0.314</v>
      </c>
      <c r="K3728" s="2" t="s">
        <v>250</v>
      </c>
      <c r="L3728" s="2">
        <v>2023</v>
      </c>
      <c r="M3728" s="2" t="s">
        <v>251</v>
      </c>
      <c r="N3728" s="2" t="s">
        <v>23</v>
      </c>
      <c r="O3728">
        <f t="shared" si="116"/>
        <v>11.319999999999993</v>
      </c>
      <c r="P3728">
        <f t="shared" si="117"/>
        <v>83.246999999999971</v>
      </c>
    </row>
    <row r="3729" spans="1:16" x14ac:dyDescent="0.35">
      <c r="A3729" s="9" t="s">
        <v>255</v>
      </c>
      <c r="B3729" s="2">
        <v>219.98</v>
      </c>
      <c r="C3729" s="2">
        <v>223.12</v>
      </c>
      <c r="D3729" s="2">
        <v>215.72</v>
      </c>
      <c r="E3729" s="2">
        <v>222.18</v>
      </c>
      <c r="F3729" s="2">
        <v>116900130</v>
      </c>
      <c r="G3729" s="2" t="s">
        <v>573</v>
      </c>
      <c r="H3729" s="2" t="s">
        <v>574</v>
      </c>
      <c r="I3729" s="2" t="s">
        <v>575</v>
      </c>
      <c r="J3729" s="3">
        <v>1.327</v>
      </c>
      <c r="K3729" s="2" t="s">
        <v>250</v>
      </c>
      <c r="L3729" s="2">
        <v>2023</v>
      </c>
      <c r="M3729" s="2" t="s">
        <v>251</v>
      </c>
      <c r="N3729" s="2" t="s">
        <v>21</v>
      </c>
      <c r="O3729">
        <f t="shared" si="116"/>
        <v>7.4000000000000057</v>
      </c>
      <c r="P3729">
        <f t="shared" si="117"/>
        <v>84.57399999999997</v>
      </c>
    </row>
    <row r="3730" spans="1:16" x14ac:dyDescent="0.35">
      <c r="A3730" s="9" t="s">
        <v>256</v>
      </c>
      <c r="B3730" s="2">
        <v>223.15</v>
      </c>
      <c r="C3730" s="2">
        <v>224.15</v>
      </c>
      <c r="D3730" s="2">
        <v>217.64</v>
      </c>
      <c r="E3730" s="2">
        <v>222.11</v>
      </c>
      <c r="F3730" s="2">
        <v>106584841</v>
      </c>
      <c r="G3730" s="2" t="s">
        <v>573</v>
      </c>
      <c r="H3730" s="2" t="s">
        <v>574</v>
      </c>
      <c r="I3730" s="2" t="s">
        <v>575</v>
      </c>
      <c r="J3730" s="4">
        <v>-3.2000000000000001E-2</v>
      </c>
      <c r="K3730" s="2" t="s">
        <v>250</v>
      </c>
      <c r="L3730" s="2">
        <v>2023</v>
      </c>
      <c r="M3730" s="2" t="s">
        <v>251</v>
      </c>
      <c r="N3730" s="2" t="s">
        <v>23</v>
      </c>
      <c r="O3730">
        <f t="shared" si="116"/>
        <v>6.5100000000000193</v>
      </c>
      <c r="P3730">
        <f t="shared" si="117"/>
        <v>84.541999999999973</v>
      </c>
    </row>
    <row r="3731" spans="1:16" x14ac:dyDescent="0.35">
      <c r="A3731" s="9" t="s">
        <v>257</v>
      </c>
      <c r="B3731" s="2">
        <v>219.75</v>
      </c>
      <c r="C3731" s="2">
        <v>220.8</v>
      </c>
      <c r="D3731" s="2">
        <v>206.68</v>
      </c>
      <c r="E3731" s="2">
        <v>209.98</v>
      </c>
      <c r="F3731" s="2">
        <v>142110454</v>
      </c>
      <c r="G3731" s="2" t="s">
        <v>573</v>
      </c>
      <c r="H3731" s="2" t="s">
        <v>574</v>
      </c>
      <c r="I3731" s="2" t="s">
        <v>575</v>
      </c>
      <c r="J3731" s="4">
        <v>-5.4610000000000003</v>
      </c>
      <c r="K3731" s="2" t="s">
        <v>250</v>
      </c>
      <c r="L3731" s="2">
        <v>2023</v>
      </c>
      <c r="M3731" s="2" t="s">
        <v>251</v>
      </c>
      <c r="N3731" s="2" t="s">
        <v>23</v>
      </c>
      <c r="O3731">
        <f t="shared" si="116"/>
        <v>14.120000000000005</v>
      </c>
      <c r="P3731">
        <f t="shared" si="117"/>
        <v>79.080999999999975</v>
      </c>
    </row>
    <row r="3732" spans="1:16" x14ac:dyDescent="0.35">
      <c r="A3732" s="9" t="s">
        <v>258</v>
      </c>
      <c r="B3732" s="2">
        <v>210.03</v>
      </c>
      <c r="C3732" s="2">
        <v>215.38</v>
      </c>
      <c r="D3732" s="2">
        <v>205.69</v>
      </c>
      <c r="E3732" s="2">
        <v>214.65</v>
      </c>
      <c r="F3732" s="2">
        <v>131310128</v>
      </c>
      <c r="G3732" s="2" t="s">
        <v>573</v>
      </c>
      <c r="H3732" s="2" t="s">
        <v>574</v>
      </c>
      <c r="I3732" s="2" t="s">
        <v>575</v>
      </c>
      <c r="J3732" s="3">
        <v>2.2240000000000002</v>
      </c>
      <c r="K3732" s="2" t="s">
        <v>250</v>
      </c>
      <c r="L3732" s="2">
        <v>2023</v>
      </c>
      <c r="M3732" s="2" t="s">
        <v>251</v>
      </c>
      <c r="N3732" s="2" t="s">
        <v>21</v>
      </c>
      <c r="O3732">
        <f t="shared" si="116"/>
        <v>9.6899999999999977</v>
      </c>
      <c r="P3732">
        <f t="shared" si="117"/>
        <v>81.304999999999978</v>
      </c>
    </row>
    <row r="3733" spans="1:16" x14ac:dyDescent="0.35">
      <c r="A3733" s="9" t="s">
        <v>259</v>
      </c>
      <c r="B3733" s="2">
        <v>215.6</v>
      </c>
      <c r="C3733" s="2">
        <v>225.4</v>
      </c>
      <c r="D3733" s="2">
        <v>211.61</v>
      </c>
      <c r="E3733" s="2">
        <v>223.71</v>
      </c>
      <c r="F3733" s="2">
        <v>140447569</v>
      </c>
      <c r="G3733" s="2" t="s">
        <v>573</v>
      </c>
      <c r="H3733" s="2" t="s">
        <v>574</v>
      </c>
      <c r="I3733" s="2" t="s">
        <v>575</v>
      </c>
      <c r="J3733" s="3">
        <v>4.2210000000000001</v>
      </c>
      <c r="K3733" s="2" t="s">
        <v>250</v>
      </c>
      <c r="L3733" s="2">
        <v>2023</v>
      </c>
      <c r="M3733" s="2" t="s">
        <v>251</v>
      </c>
      <c r="N3733" s="2" t="s">
        <v>21</v>
      </c>
      <c r="O3733">
        <f t="shared" si="116"/>
        <v>13.789999999999992</v>
      </c>
      <c r="P3733">
        <f t="shared" si="117"/>
        <v>85.525999999999982</v>
      </c>
    </row>
    <row r="3734" spans="1:16" x14ac:dyDescent="0.35">
      <c r="A3734" s="9" t="s">
        <v>260</v>
      </c>
      <c r="B3734" s="2">
        <v>235.03</v>
      </c>
      <c r="C3734" s="2">
        <v>238.13499999999999</v>
      </c>
      <c r="D3734" s="2">
        <v>230.72</v>
      </c>
      <c r="E3734" s="2">
        <v>237.41</v>
      </c>
      <c r="F3734" s="2">
        <v>149771642</v>
      </c>
      <c r="G3734" s="2" t="s">
        <v>573</v>
      </c>
      <c r="H3734" s="2" t="s">
        <v>574</v>
      </c>
      <c r="I3734" s="2" t="s">
        <v>575</v>
      </c>
      <c r="J3734" s="3">
        <v>6.1239999999999997</v>
      </c>
      <c r="K3734" s="2" t="s">
        <v>250</v>
      </c>
      <c r="L3734" s="2">
        <v>2023</v>
      </c>
      <c r="M3734" s="2" t="s">
        <v>251</v>
      </c>
      <c r="N3734" s="2" t="s">
        <v>21</v>
      </c>
      <c r="O3734">
        <f t="shared" si="116"/>
        <v>7.414999999999992</v>
      </c>
      <c r="P3734">
        <f t="shared" si="117"/>
        <v>91.649999999999977</v>
      </c>
    </row>
    <row r="3735" spans="1:16" x14ac:dyDescent="0.35">
      <c r="A3735" s="9" t="s">
        <v>261</v>
      </c>
      <c r="B3735" s="2">
        <v>239.29</v>
      </c>
      <c r="C3735" s="2">
        <v>246.7</v>
      </c>
      <c r="D3735" s="2">
        <v>236.45</v>
      </c>
      <c r="E3735" s="2">
        <v>242.84</v>
      </c>
      <c r="F3735" s="2">
        <v>150353975</v>
      </c>
      <c r="G3735" s="2" t="s">
        <v>573</v>
      </c>
      <c r="H3735" s="2" t="s">
        <v>574</v>
      </c>
      <c r="I3735" s="2" t="s">
        <v>575</v>
      </c>
      <c r="J3735" s="3">
        <v>2.2869999999999999</v>
      </c>
      <c r="K3735" s="2" t="s">
        <v>250</v>
      </c>
      <c r="L3735" s="2">
        <v>2023</v>
      </c>
      <c r="M3735" s="2" t="s">
        <v>251</v>
      </c>
      <c r="N3735" s="2" t="s">
        <v>21</v>
      </c>
      <c r="O3735">
        <f t="shared" si="116"/>
        <v>10.25</v>
      </c>
      <c r="P3735">
        <f t="shared" si="117"/>
        <v>93.936999999999983</v>
      </c>
    </row>
    <row r="3736" spans="1:16" x14ac:dyDescent="0.35">
      <c r="A3736" s="9" t="s">
        <v>262</v>
      </c>
      <c r="B3736" s="2">
        <v>239.49</v>
      </c>
      <c r="C3736" s="2">
        <v>240.88</v>
      </c>
      <c r="D3736" s="2">
        <v>230.96</v>
      </c>
      <c r="E3736" s="2">
        <v>233.59</v>
      </c>
      <c r="F3736" s="2">
        <v>136816819</v>
      </c>
      <c r="G3736" s="2" t="s">
        <v>573</v>
      </c>
      <c r="H3736" s="2" t="s">
        <v>574</v>
      </c>
      <c r="I3736" s="2" t="s">
        <v>575</v>
      </c>
      <c r="J3736" s="4">
        <v>-3.8090000000000002</v>
      </c>
      <c r="K3736" s="2" t="s">
        <v>250</v>
      </c>
      <c r="L3736" s="2">
        <v>2023</v>
      </c>
      <c r="M3736" s="2" t="s">
        <v>251</v>
      </c>
      <c r="N3736" s="2" t="s">
        <v>23</v>
      </c>
      <c r="O3736">
        <f t="shared" si="116"/>
        <v>9.9199999999999875</v>
      </c>
      <c r="P3736">
        <f t="shared" si="117"/>
        <v>90.127999999999986</v>
      </c>
    </row>
    <row r="3737" spans="1:16" x14ac:dyDescent="0.35">
      <c r="A3737" s="9" t="s">
        <v>263</v>
      </c>
      <c r="B3737" s="2">
        <v>232</v>
      </c>
      <c r="C3737" s="2">
        <v>237.39</v>
      </c>
      <c r="D3737" s="2">
        <v>226.54</v>
      </c>
      <c r="E3737" s="2">
        <v>234.3</v>
      </c>
      <c r="F3737" s="2">
        <v>142766234</v>
      </c>
      <c r="G3737" s="2" t="s">
        <v>573</v>
      </c>
      <c r="H3737" s="2" t="s">
        <v>574</v>
      </c>
      <c r="I3737" s="2" t="s">
        <v>575</v>
      </c>
      <c r="J3737" s="3">
        <v>0.30399999999999999</v>
      </c>
      <c r="K3737" s="2" t="s">
        <v>250</v>
      </c>
      <c r="L3737" s="2">
        <v>2023</v>
      </c>
      <c r="M3737" s="2" t="s">
        <v>251</v>
      </c>
      <c r="N3737" s="2" t="s">
        <v>21</v>
      </c>
      <c r="O3737">
        <f t="shared" si="116"/>
        <v>10.849999999999994</v>
      </c>
      <c r="P3737">
        <f t="shared" si="117"/>
        <v>90.431999999999988</v>
      </c>
    </row>
    <row r="3738" spans="1:16" x14ac:dyDescent="0.35">
      <c r="A3738" s="9" t="s">
        <v>264</v>
      </c>
      <c r="B3738" s="2">
        <v>234.04</v>
      </c>
      <c r="C3738" s="2">
        <v>237.1</v>
      </c>
      <c r="D3738" s="2">
        <v>231.02</v>
      </c>
      <c r="E3738" s="2">
        <v>235.6</v>
      </c>
      <c r="F3738" s="2">
        <v>116562402</v>
      </c>
      <c r="G3738" s="2" t="s">
        <v>573</v>
      </c>
      <c r="H3738" s="2" t="s">
        <v>574</v>
      </c>
      <c r="I3738" s="2" t="s">
        <v>575</v>
      </c>
      <c r="J3738" s="3">
        <v>0.55500000000000005</v>
      </c>
      <c r="K3738" s="2" t="s">
        <v>250</v>
      </c>
      <c r="L3738" s="2">
        <v>2023</v>
      </c>
      <c r="M3738" s="2" t="s">
        <v>251</v>
      </c>
      <c r="N3738" s="2" t="s">
        <v>21</v>
      </c>
      <c r="O3738">
        <f t="shared" si="116"/>
        <v>6.0799999999999841</v>
      </c>
      <c r="P3738">
        <f t="shared" si="117"/>
        <v>90.986999999999995</v>
      </c>
    </row>
    <row r="3739" spans="1:16" x14ac:dyDescent="0.35">
      <c r="A3739" s="9" t="s">
        <v>265</v>
      </c>
      <c r="B3739" s="2">
        <v>235.04</v>
      </c>
      <c r="C3739" s="2">
        <v>243.62</v>
      </c>
      <c r="D3739" s="2">
        <v>233.34</v>
      </c>
      <c r="E3739" s="2">
        <v>241.2</v>
      </c>
      <c r="F3739" s="2">
        <v>122288000</v>
      </c>
      <c r="G3739" s="2" t="s">
        <v>573</v>
      </c>
      <c r="H3739" s="2" t="s">
        <v>574</v>
      </c>
      <c r="I3739" s="2" t="s">
        <v>575</v>
      </c>
      <c r="J3739" s="3">
        <v>2.3769999999999998</v>
      </c>
      <c r="K3739" s="2" t="s">
        <v>250</v>
      </c>
      <c r="L3739" s="2">
        <v>2023</v>
      </c>
      <c r="M3739" s="2" t="s">
        <v>251</v>
      </c>
      <c r="N3739" s="2" t="s">
        <v>21</v>
      </c>
      <c r="O3739">
        <f t="shared" si="116"/>
        <v>10.280000000000001</v>
      </c>
      <c r="P3739">
        <f t="shared" si="117"/>
        <v>93.36399999999999</v>
      </c>
    </row>
    <row r="3740" spans="1:16" x14ac:dyDescent="0.35">
      <c r="A3740" s="9" t="s">
        <v>266</v>
      </c>
      <c r="B3740" s="2">
        <v>242.04</v>
      </c>
      <c r="C3740" s="2">
        <v>244.01</v>
      </c>
      <c r="D3740" s="2">
        <v>231.4</v>
      </c>
      <c r="E3740" s="2">
        <v>234.21</v>
      </c>
      <c r="F3740" s="2">
        <v>118117078</v>
      </c>
      <c r="G3740" s="2" t="s">
        <v>573</v>
      </c>
      <c r="H3740" s="2" t="s">
        <v>574</v>
      </c>
      <c r="I3740" s="2" t="s">
        <v>575</v>
      </c>
      <c r="J3740" s="4">
        <v>-2.8980000000000001</v>
      </c>
      <c r="K3740" s="2" t="s">
        <v>250</v>
      </c>
      <c r="L3740" s="2">
        <v>2023</v>
      </c>
      <c r="M3740" s="2" t="s">
        <v>251</v>
      </c>
      <c r="N3740" s="2" t="s">
        <v>23</v>
      </c>
      <c r="O3740">
        <f t="shared" si="116"/>
        <v>12.609999999999985</v>
      </c>
      <c r="P3740">
        <f t="shared" si="117"/>
        <v>90.465999999999994</v>
      </c>
    </row>
    <row r="3741" spans="1:16" x14ac:dyDescent="0.35">
      <c r="A3741" s="9" t="s">
        <v>267</v>
      </c>
      <c r="B3741" s="2">
        <v>233.75</v>
      </c>
      <c r="C3741" s="2">
        <v>238.75</v>
      </c>
      <c r="D3741" s="2">
        <v>232.33</v>
      </c>
      <c r="E3741" s="2">
        <v>235.45</v>
      </c>
      <c r="F3741" s="2">
        <v>65125203</v>
      </c>
      <c r="G3741" s="2" t="s">
        <v>573</v>
      </c>
      <c r="H3741" s="2" t="s">
        <v>574</v>
      </c>
      <c r="I3741" s="2" t="s">
        <v>575</v>
      </c>
      <c r="J3741" s="3">
        <v>0.52900000000000003</v>
      </c>
      <c r="K3741" s="2" t="s">
        <v>250</v>
      </c>
      <c r="L3741" s="2">
        <v>2023</v>
      </c>
      <c r="M3741" s="2" t="s">
        <v>251</v>
      </c>
      <c r="N3741" s="2" t="s">
        <v>21</v>
      </c>
      <c r="O3741">
        <f t="shared" si="116"/>
        <v>6.4199999999999875</v>
      </c>
      <c r="P3741">
        <f t="shared" si="117"/>
        <v>90.99499999999999</v>
      </c>
    </row>
    <row r="3742" spans="1:16" x14ac:dyDescent="0.35">
      <c r="A3742" s="9" t="s">
        <v>268</v>
      </c>
      <c r="B3742" s="2">
        <v>236.89</v>
      </c>
      <c r="C3742" s="2">
        <v>238.33</v>
      </c>
      <c r="D3742" s="2">
        <v>232.1</v>
      </c>
      <c r="E3742" s="2">
        <v>236.08</v>
      </c>
      <c r="F3742" s="2">
        <v>112031763</v>
      </c>
      <c r="G3742" s="2" t="s">
        <v>573</v>
      </c>
      <c r="H3742" s="2" t="s">
        <v>574</v>
      </c>
      <c r="I3742" s="2" t="s">
        <v>575</v>
      </c>
      <c r="J3742" s="3">
        <v>0.26800000000000002</v>
      </c>
      <c r="K3742" s="2" t="s">
        <v>250</v>
      </c>
      <c r="L3742" s="2">
        <v>2023</v>
      </c>
      <c r="M3742" s="2" t="s">
        <v>251</v>
      </c>
      <c r="N3742" s="2" t="s">
        <v>21</v>
      </c>
      <c r="O3742">
        <f t="shared" si="116"/>
        <v>6.2300000000000182</v>
      </c>
      <c r="P3742">
        <f t="shared" si="117"/>
        <v>91.262999999999991</v>
      </c>
    </row>
    <row r="3743" spans="1:16" x14ac:dyDescent="0.35">
      <c r="A3743" s="9" t="s">
        <v>269</v>
      </c>
      <c r="B3743" s="2">
        <v>236.68</v>
      </c>
      <c r="C3743" s="2">
        <v>247</v>
      </c>
      <c r="D3743" s="2">
        <v>234.01</v>
      </c>
      <c r="E3743" s="2">
        <v>246.72</v>
      </c>
      <c r="F3743" s="2">
        <v>148549913</v>
      </c>
      <c r="G3743" s="2" t="s">
        <v>573</v>
      </c>
      <c r="H3743" s="2" t="s">
        <v>574</v>
      </c>
      <c r="I3743" s="2" t="s">
        <v>575</v>
      </c>
      <c r="J3743" s="3">
        <v>4.5069999999999997</v>
      </c>
      <c r="K3743" s="2" t="s">
        <v>250</v>
      </c>
      <c r="L3743" s="2">
        <v>2023</v>
      </c>
      <c r="M3743" s="2" t="s">
        <v>251</v>
      </c>
      <c r="N3743" s="2" t="s">
        <v>21</v>
      </c>
      <c r="O3743">
        <f t="shared" si="116"/>
        <v>12.990000000000009</v>
      </c>
      <c r="P3743">
        <f t="shared" si="117"/>
        <v>95.77</v>
      </c>
    </row>
    <row r="3744" spans="1:16" x14ac:dyDescent="0.35">
      <c r="A3744" s="9" t="s">
        <v>270</v>
      </c>
      <c r="B3744" s="2">
        <v>249.21</v>
      </c>
      <c r="C3744" s="2">
        <v>252.75</v>
      </c>
      <c r="D3744" s="2">
        <v>242.76</v>
      </c>
      <c r="E3744" s="2">
        <v>244.14</v>
      </c>
      <c r="F3744" s="2">
        <v>135401335</v>
      </c>
      <c r="G3744" s="2" t="s">
        <v>573</v>
      </c>
      <c r="H3744" s="2" t="s">
        <v>574</v>
      </c>
      <c r="I3744" s="2" t="s">
        <v>575</v>
      </c>
      <c r="J3744" s="4">
        <v>-1.046</v>
      </c>
      <c r="K3744" s="2" t="s">
        <v>250</v>
      </c>
      <c r="L3744" s="2">
        <v>2023</v>
      </c>
      <c r="M3744" s="2" t="s">
        <v>251</v>
      </c>
      <c r="N3744" s="2" t="s">
        <v>23</v>
      </c>
      <c r="O3744">
        <f t="shared" si="116"/>
        <v>9.9900000000000091</v>
      </c>
      <c r="P3744">
        <f t="shared" si="117"/>
        <v>94.72399999999999</v>
      </c>
    </row>
    <row r="3745" spans="1:16" x14ac:dyDescent="0.35">
      <c r="A3745" s="9" t="s">
        <v>271</v>
      </c>
      <c r="B3745" s="2">
        <v>245.14</v>
      </c>
      <c r="C3745" s="2">
        <v>245.22</v>
      </c>
      <c r="D3745" s="2">
        <v>236.91</v>
      </c>
      <c r="E3745" s="2">
        <v>240.08</v>
      </c>
      <c r="F3745" s="2">
        <v>132353196</v>
      </c>
      <c r="G3745" s="2" t="s">
        <v>573</v>
      </c>
      <c r="H3745" s="2" t="s">
        <v>574</v>
      </c>
      <c r="I3745" s="2" t="s">
        <v>575</v>
      </c>
      <c r="J3745" s="4">
        <v>-1.663</v>
      </c>
      <c r="K3745" s="2" t="s">
        <v>250</v>
      </c>
      <c r="L3745" s="2">
        <v>2023</v>
      </c>
      <c r="M3745" s="2" t="s">
        <v>251</v>
      </c>
      <c r="N3745" s="2" t="s">
        <v>23</v>
      </c>
      <c r="O3745">
        <f t="shared" si="116"/>
        <v>8.3100000000000023</v>
      </c>
      <c r="P3745">
        <f t="shared" si="117"/>
        <v>93.060999999999993</v>
      </c>
    </row>
    <row r="3746" spans="1:16" x14ac:dyDescent="0.35">
      <c r="A3746" s="9" t="s">
        <v>272</v>
      </c>
      <c r="B3746" s="2">
        <v>233.14</v>
      </c>
      <c r="C3746" s="2">
        <v>240.19</v>
      </c>
      <c r="D3746" s="2">
        <v>231.9</v>
      </c>
      <c r="E3746" s="2">
        <v>238.83</v>
      </c>
      <c r="F3746" s="2">
        <v>121331709</v>
      </c>
      <c r="G3746" s="2" t="s">
        <v>573</v>
      </c>
      <c r="H3746" s="2" t="s">
        <v>574</v>
      </c>
      <c r="I3746" s="2" t="s">
        <v>575</v>
      </c>
      <c r="J3746" s="4">
        <v>-0.52100000000000002</v>
      </c>
      <c r="K3746" s="2" t="s">
        <v>273</v>
      </c>
      <c r="L3746" s="2">
        <v>2023</v>
      </c>
      <c r="M3746" s="2" t="s">
        <v>274</v>
      </c>
      <c r="N3746" s="2" t="s">
        <v>23</v>
      </c>
      <c r="O3746">
        <f t="shared" si="116"/>
        <v>8.289999999999992</v>
      </c>
      <c r="P3746">
        <f t="shared" si="117"/>
        <v>92.539999999999992</v>
      </c>
    </row>
    <row r="3747" spans="1:16" x14ac:dyDescent="0.35">
      <c r="A3747" s="9" t="s">
        <v>275</v>
      </c>
      <c r="B3747" s="2">
        <v>235.75</v>
      </c>
      <c r="C3747" s="2">
        <v>239.37299999999999</v>
      </c>
      <c r="D3747" s="2">
        <v>233.29</v>
      </c>
      <c r="E3747" s="2">
        <v>235.58</v>
      </c>
      <c r="F3747" s="2">
        <v>104099817</v>
      </c>
      <c r="G3747" s="2" t="s">
        <v>573</v>
      </c>
      <c r="H3747" s="2" t="s">
        <v>574</v>
      </c>
      <c r="I3747" s="2" t="s">
        <v>575</v>
      </c>
      <c r="J3747" s="4">
        <v>-1.361</v>
      </c>
      <c r="K3747" s="2" t="s">
        <v>273</v>
      </c>
      <c r="L3747" s="2">
        <v>2023</v>
      </c>
      <c r="M3747" s="2" t="s">
        <v>274</v>
      </c>
      <c r="N3747" s="2" t="s">
        <v>23</v>
      </c>
      <c r="O3747">
        <f t="shared" si="116"/>
        <v>6.0829999999999984</v>
      </c>
      <c r="P3747">
        <f t="shared" si="117"/>
        <v>91.178999999999988</v>
      </c>
    </row>
    <row r="3748" spans="1:16" x14ac:dyDescent="0.35">
      <c r="A3748" s="9" t="s">
        <v>276</v>
      </c>
      <c r="B3748" s="2">
        <v>233.87</v>
      </c>
      <c r="C3748" s="2">
        <v>246.66</v>
      </c>
      <c r="D3748" s="2">
        <v>233.7</v>
      </c>
      <c r="E3748" s="2">
        <v>238.72</v>
      </c>
      <c r="F3748" s="2">
        <v>137971115</v>
      </c>
      <c r="G3748" s="2" t="s">
        <v>573</v>
      </c>
      <c r="H3748" s="2" t="s">
        <v>574</v>
      </c>
      <c r="I3748" s="2" t="s">
        <v>575</v>
      </c>
      <c r="J3748" s="3">
        <v>1.333</v>
      </c>
      <c r="K3748" s="2" t="s">
        <v>273</v>
      </c>
      <c r="L3748" s="2">
        <v>2023</v>
      </c>
      <c r="M3748" s="2" t="s">
        <v>274</v>
      </c>
      <c r="N3748" s="2" t="s">
        <v>21</v>
      </c>
      <c r="O3748">
        <f t="shared" si="116"/>
        <v>12.960000000000008</v>
      </c>
      <c r="P3748">
        <f t="shared" si="117"/>
        <v>92.511999999999986</v>
      </c>
    </row>
    <row r="3749" spans="1:16" x14ac:dyDescent="0.35">
      <c r="A3749" s="9" t="s">
        <v>277</v>
      </c>
      <c r="B3749" s="2">
        <v>242.92</v>
      </c>
      <c r="C3749" s="2">
        <v>246.57</v>
      </c>
      <c r="D3749" s="2">
        <v>239.17099999999999</v>
      </c>
      <c r="E3749" s="2">
        <v>239.37</v>
      </c>
      <c r="F3749" s="2">
        <v>126436179</v>
      </c>
      <c r="G3749" s="2" t="s">
        <v>573</v>
      </c>
      <c r="H3749" s="2" t="s">
        <v>574</v>
      </c>
      <c r="I3749" s="2" t="s">
        <v>575</v>
      </c>
      <c r="J3749" s="3">
        <v>0.27200000000000002</v>
      </c>
      <c r="K3749" s="2" t="s">
        <v>273</v>
      </c>
      <c r="L3749" s="2">
        <v>2023</v>
      </c>
      <c r="M3749" s="2" t="s">
        <v>274</v>
      </c>
      <c r="N3749" s="2" t="s">
        <v>21</v>
      </c>
      <c r="O3749">
        <f t="shared" si="116"/>
        <v>7.3990000000000009</v>
      </c>
      <c r="P3749">
        <f t="shared" si="117"/>
        <v>92.783999999999992</v>
      </c>
    </row>
    <row r="3750" spans="1:16" x14ac:dyDescent="0.35">
      <c r="A3750" s="9" t="s">
        <v>278</v>
      </c>
      <c r="B3750" s="2">
        <v>241.55</v>
      </c>
      <c r="C3750" s="2">
        <v>244.08</v>
      </c>
      <c r="D3750" s="2">
        <v>236.98</v>
      </c>
      <c r="E3750" s="2">
        <v>242.64</v>
      </c>
      <c r="F3750" s="2">
        <v>107142262</v>
      </c>
      <c r="G3750" s="2" t="s">
        <v>573</v>
      </c>
      <c r="H3750" s="2" t="s">
        <v>574</v>
      </c>
      <c r="I3750" s="2" t="s">
        <v>575</v>
      </c>
      <c r="J3750" s="3">
        <v>1.3660000000000001</v>
      </c>
      <c r="K3750" s="2" t="s">
        <v>273</v>
      </c>
      <c r="L3750" s="2">
        <v>2023</v>
      </c>
      <c r="M3750" s="2" t="s">
        <v>274</v>
      </c>
      <c r="N3750" s="2" t="s">
        <v>21</v>
      </c>
      <c r="O3750">
        <f t="shared" si="116"/>
        <v>7.1000000000000227</v>
      </c>
      <c r="P3750">
        <f t="shared" si="117"/>
        <v>94.149999999999991</v>
      </c>
    </row>
    <row r="3751" spans="1:16" x14ac:dyDescent="0.35">
      <c r="A3751" s="9" t="s">
        <v>279</v>
      </c>
      <c r="B3751" s="2">
        <v>240.27</v>
      </c>
      <c r="C3751" s="2">
        <v>245.27</v>
      </c>
      <c r="D3751" s="2">
        <v>239.27</v>
      </c>
      <c r="E3751" s="2">
        <v>243.84</v>
      </c>
      <c r="F3751" s="2">
        <v>103126829</v>
      </c>
      <c r="G3751" s="2" t="s">
        <v>573</v>
      </c>
      <c r="H3751" s="2" t="s">
        <v>574</v>
      </c>
      <c r="I3751" s="2" t="s">
        <v>575</v>
      </c>
      <c r="J3751" s="3">
        <v>0.495</v>
      </c>
      <c r="K3751" s="2" t="s">
        <v>273</v>
      </c>
      <c r="L3751" s="2">
        <v>2023</v>
      </c>
      <c r="M3751" s="2" t="s">
        <v>274</v>
      </c>
      <c r="N3751" s="2" t="s">
        <v>21</v>
      </c>
      <c r="O3751">
        <f t="shared" si="116"/>
        <v>6</v>
      </c>
      <c r="P3751">
        <f t="shared" si="117"/>
        <v>94.644999999999996</v>
      </c>
    </row>
    <row r="3752" spans="1:16" x14ac:dyDescent="0.35">
      <c r="A3752" s="9" t="s">
        <v>280</v>
      </c>
      <c r="B3752" s="2">
        <v>242.74</v>
      </c>
      <c r="C3752" s="2">
        <v>243.441</v>
      </c>
      <c r="D3752" s="2">
        <v>237.45</v>
      </c>
      <c r="E3752" s="2">
        <v>239.74</v>
      </c>
      <c r="F3752" s="2">
        <v>97913888</v>
      </c>
      <c r="G3752" s="2" t="s">
        <v>573</v>
      </c>
      <c r="H3752" s="2" t="s">
        <v>574</v>
      </c>
      <c r="I3752" s="2" t="s">
        <v>575</v>
      </c>
      <c r="J3752" s="4">
        <v>-1.681</v>
      </c>
      <c r="K3752" s="2" t="s">
        <v>273</v>
      </c>
      <c r="L3752" s="2">
        <v>2023</v>
      </c>
      <c r="M3752" s="2" t="s">
        <v>274</v>
      </c>
      <c r="N3752" s="2" t="s">
        <v>23</v>
      </c>
      <c r="O3752">
        <f t="shared" si="116"/>
        <v>5.9910000000000139</v>
      </c>
      <c r="P3752">
        <f t="shared" si="117"/>
        <v>92.963999999999999</v>
      </c>
    </row>
    <row r="3753" spans="1:16" x14ac:dyDescent="0.35">
      <c r="A3753" s="9" t="s">
        <v>281</v>
      </c>
      <c r="B3753" s="2">
        <v>238.55</v>
      </c>
      <c r="C3753" s="2">
        <v>238.99</v>
      </c>
      <c r="D3753" s="2">
        <v>233.87</v>
      </c>
      <c r="E3753" s="2">
        <v>237.01</v>
      </c>
      <c r="F3753" s="2">
        <v>95328313</v>
      </c>
      <c r="G3753" s="2" t="s">
        <v>573</v>
      </c>
      <c r="H3753" s="2" t="s">
        <v>574</v>
      </c>
      <c r="I3753" s="2" t="s">
        <v>575</v>
      </c>
      <c r="J3753" s="4">
        <v>-1.139</v>
      </c>
      <c r="K3753" s="2" t="s">
        <v>273</v>
      </c>
      <c r="L3753" s="2">
        <v>2023</v>
      </c>
      <c r="M3753" s="2" t="s">
        <v>274</v>
      </c>
      <c r="N3753" s="2" t="s">
        <v>23</v>
      </c>
      <c r="O3753">
        <f t="shared" si="116"/>
        <v>5.1200000000000045</v>
      </c>
      <c r="P3753">
        <f t="shared" si="117"/>
        <v>91.825000000000003</v>
      </c>
    </row>
    <row r="3754" spans="1:16" x14ac:dyDescent="0.35">
      <c r="A3754" s="9" t="s">
        <v>282</v>
      </c>
      <c r="B3754" s="2">
        <v>234.19</v>
      </c>
      <c r="C3754" s="2">
        <v>240.3</v>
      </c>
      <c r="D3754" s="2">
        <v>228.2</v>
      </c>
      <c r="E3754" s="2">
        <v>239.29</v>
      </c>
      <c r="F3754" s="2">
        <v>146286348</v>
      </c>
      <c r="G3754" s="2" t="s">
        <v>573</v>
      </c>
      <c r="H3754" s="2" t="s">
        <v>574</v>
      </c>
      <c r="I3754" s="2" t="s">
        <v>575</v>
      </c>
      <c r="J3754" s="3">
        <v>0.96199999999999997</v>
      </c>
      <c r="K3754" s="2" t="s">
        <v>273</v>
      </c>
      <c r="L3754" s="2">
        <v>2023</v>
      </c>
      <c r="M3754" s="2" t="s">
        <v>274</v>
      </c>
      <c r="N3754" s="2" t="s">
        <v>21</v>
      </c>
      <c r="O3754">
        <f t="shared" si="116"/>
        <v>12.100000000000023</v>
      </c>
      <c r="P3754">
        <f t="shared" si="117"/>
        <v>92.787000000000006</v>
      </c>
    </row>
    <row r="3755" spans="1:16" x14ac:dyDescent="0.35">
      <c r="A3755" s="9" t="s">
        <v>283</v>
      </c>
      <c r="B3755" s="2">
        <v>241.22</v>
      </c>
      <c r="C3755" s="2">
        <v>253.88</v>
      </c>
      <c r="D3755" s="2">
        <v>240.79</v>
      </c>
      <c r="E3755" s="2">
        <v>251.05</v>
      </c>
      <c r="F3755" s="2">
        <v>160829239</v>
      </c>
      <c r="G3755" s="2" t="s">
        <v>573</v>
      </c>
      <c r="H3755" s="2" t="s">
        <v>574</v>
      </c>
      <c r="I3755" s="2" t="s">
        <v>575</v>
      </c>
      <c r="J3755" s="3">
        <v>4.915</v>
      </c>
      <c r="K3755" s="2" t="s">
        <v>273</v>
      </c>
      <c r="L3755" s="2">
        <v>2023</v>
      </c>
      <c r="M3755" s="2" t="s">
        <v>274</v>
      </c>
      <c r="N3755" s="2" t="s">
        <v>21</v>
      </c>
      <c r="O3755">
        <f t="shared" si="116"/>
        <v>13.090000000000003</v>
      </c>
      <c r="P3755">
        <f t="shared" si="117"/>
        <v>97.702000000000012</v>
      </c>
    </row>
    <row r="3756" spans="1:16" x14ac:dyDescent="0.35">
      <c r="A3756" s="9" t="s">
        <v>284</v>
      </c>
      <c r="B3756" s="2">
        <v>251.21</v>
      </c>
      <c r="C3756" s="2">
        <v>254.13</v>
      </c>
      <c r="D3756" s="2">
        <v>248.3</v>
      </c>
      <c r="E3756" s="2">
        <v>253.5</v>
      </c>
      <c r="F3756" s="2">
        <v>135932762</v>
      </c>
      <c r="G3756" s="2" t="s">
        <v>573</v>
      </c>
      <c r="H3756" s="2" t="s">
        <v>574</v>
      </c>
      <c r="I3756" s="2" t="s">
        <v>575</v>
      </c>
      <c r="J3756" s="3">
        <v>0.97599999999999998</v>
      </c>
      <c r="K3756" s="2" t="s">
        <v>273</v>
      </c>
      <c r="L3756" s="2">
        <v>2023</v>
      </c>
      <c r="M3756" s="2" t="s">
        <v>274</v>
      </c>
      <c r="N3756" s="2" t="s">
        <v>21</v>
      </c>
      <c r="O3756">
        <f t="shared" si="116"/>
        <v>5.8299999999999841</v>
      </c>
      <c r="P3756">
        <f t="shared" si="117"/>
        <v>98.678000000000011</v>
      </c>
    </row>
    <row r="3757" spans="1:16" x14ac:dyDescent="0.35">
      <c r="A3757" s="9" t="s">
        <v>285</v>
      </c>
      <c r="B3757" s="2">
        <v>253.78</v>
      </c>
      <c r="C3757" s="2">
        <v>258.74</v>
      </c>
      <c r="D3757" s="2">
        <v>251.36</v>
      </c>
      <c r="E3757" s="2">
        <v>252.08</v>
      </c>
      <c r="F3757" s="2">
        <v>116416490</v>
      </c>
      <c r="G3757" s="2" t="s">
        <v>573</v>
      </c>
      <c r="H3757" s="2" t="s">
        <v>574</v>
      </c>
      <c r="I3757" s="2" t="s">
        <v>575</v>
      </c>
      <c r="J3757" s="4">
        <v>-0.56000000000000005</v>
      </c>
      <c r="K3757" s="2" t="s">
        <v>273</v>
      </c>
      <c r="L3757" s="2">
        <v>2023</v>
      </c>
      <c r="M3757" s="2" t="s">
        <v>274</v>
      </c>
      <c r="N3757" s="2" t="s">
        <v>23</v>
      </c>
      <c r="O3757">
        <f t="shared" si="116"/>
        <v>7.3799999999999955</v>
      </c>
      <c r="P3757">
        <f t="shared" si="117"/>
        <v>98.118000000000009</v>
      </c>
    </row>
    <row r="3758" spans="1:16" x14ac:dyDescent="0.35">
      <c r="A3758" s="9" t="s">
        <v>286</v>
      </c>
      <c r="B3758" s="2">
        <v>253.48</v>
      </c>
      <c r="C3758" s="2">
        <v>258.33999999999997</v>
      </c>
      <c r="D3758" s="2">
        <v>253.01</v>
      </c>
      <c r="E3758" s="2">
        <v>257.22000000000003</v>
      </c>
      <c r="F3758" s="2">
        <v>106737369</v>
      </c>
      <c r="G3758" s="2" t="s">
        <v>573</v>
      </c>
      <c r="H3758" s="2" t="s">
        <v>574</v>
      </c>
      <c r="I3758" s="2" t="s">
        <v>575</v>
      </c>
      <c r="J3758" s="3">
        <v>2.0390000000000001</v>
      </c>
      <c r="K3758" s="2" t="s">
        <v>273</v>
      </c>
      <c r="L3758" s="2">
        <v>2023</v>
      </c>
      <c r="M3758" s="2" t="s">
        <v>274</v>
      </c>
      <c r="N3758" s="2" t="s">
        <v>21</v>
      </c>
      <c r="O3758">
        <f t="shared" si="116"/>
        <v>5.3299999999999841</v>
      </c>
      <c r="P3758">
        <f t="shared" si="117"/>
        <v>100.15700000000001</v>
      </c>
    </row>
    <row r="3759" spans="1:16" x14ac:dyDescent="0.35">
      <c r="A3759" s="9" t="s">
        <v>287</v>
      </c>
      <c r="B3759" s="2">
        <v>256.41000000000003</v>
      </c>
      <c r="C3759" s="2">
        <v>259.83999999999997</v>
      </c>
      <c r="D3759" s="2">
        <v>247</v>
      </c>
      <c r="E3759" s="2">
        <v>247.14</v>
      </c>
      <c r="F3759" s="2">
        <v>125096987</v>
      </c>
      <c r="G3759" s="2" t="s">
        <v>573</v>
      </c>
      <c r="H3759" s="2" t="s">
        <v>574</v>
      </c>
      <c r="I3759" s="2" t="s">
        <v>575</v>
      </c>
      <c r="J3759" s="4">
        <v>-3.919</v>
      </c>
      <c r="K3759" s="2" t="s">
        <v>273</v>
      </c>
      <c r="L3759" s="2">
        <v>2023</v>
      </c>
      <c r="M3759" s="2" t="s">
        <v>274</v>
      </c>
      <c r="N3759" s="2" t="s">
        <v>23</v>
      </c>
      <c r="O3759">
        <f t="shared" si="116"/>
        <v>12.839999999999975</v>
      </c>
      <c r="P3759">
        <f t="shared" si="117"/>
        <v>96.238000000000014</v>
      </c>
    </row>
    <row r="3760" spans="1:16" x14ac:dyDescent="0.35">
      <c r="A3760" s="9" t="s">
        <v>288</v>
      </c>
      <c r="B3760" s="2">
        <v>251.9</v>
      </c>
      <c r="C3760" s="2">
        <v>254.8</v>
      </c>
      <c r="D3760" s="2">
        <v>248.55</v>
      </c>
      <c r="E3760" s="2">
        <v>254.5</v>
      </c>
      <c r="F3760" s="2">
        <v>109594227</v>
      </c>
      <c r="G3760" s="2" t="s">
        <v>573</v>
      </c>
      <c r="H3760" s="2" t="s">
        <v>574</v>
      </c>
      <c r="I3760" s="2" t="s">
        <v>575</v>
      </c>
      <c r="J3760" s="3">
        <v>2.9780000000000002</v>
      </c>
      <c r="K3760" s="2" t="s">
        <v>273</v>
      </c>
      <c r="L3760" s="2">
        <v>2023</v>
      </c>
      <c r="M3760" s="2" t="s">
        <v>274</v>
      </c>
      <c r="N3760" s="2" t="s">
        <v>21</v>
      </c>
      <c r="O3760">
        <f t="shared" si="116"/>
        <v>6.25</v>
      </c>
      <c r="P3760">
        <f t="shared" si="117"/>
        <v>99.216000000000008</v>
      </c>
    </row>
    <row r="3761" spans="1:16" x14ac:dyDescent="0.35">
      <c r="A3761" s="9" t="s">
        <v>289</v>
      </c>
      <c r="B3761" s="2">
        <v>256.76</v>
      </c>
      <c r="C3761" s="2">
        <v>258.22000000000003</v>
      </c>
      <c r="D3761" s="2">
        <v>251.37</v>
      </c>
      <c r="E3761" s="2">
        <v>252.54</v>
      </c>
      <c r="F3761" s="2">
        <v>93370094</v>
      </c>
      <c r="G3761" s="2" t="s">
        <v>573</v>
      </c>
      <c r="H3761" s="2" t="s">
        <v>574</v>
      </c>
      <c r="I3761" s="2" t="s">
        <v>575</v>
      </c>
      <c r="J3761" s="4">
        <v>-0.77</v>
      </c>
      <c r="K3761" s="2" t="s">
        <v>273</v>
      </c>
      <c r="L3761" s="2">
        <v>2023</v>
      </c>
      <c r="M3761" s="2" t="s">
        <v>274</v>
      </c>
      <c r="N3761" s="2" t="s">
        <v>23</v>
      </c>
      <c r="O3761">
        <f t="shared" si="116"/>
        <v>6.8500000000000227</v>
      </c>
      <c r="P3761">
        <f t="shared" si="117"/>
        <v>98.446000000000012</v>
      </c>
    </row>
    <row r="3762" spans="1:16" x14ac:dyDescent="0.35">
      <c r="A3762" s="9" t="s">
        <v>290</v>
      </c>
      <c r="B3762" s="2">
        <v>254.49</v>
      </c>
      <c r="C3762" s="2">
        <v>257.97000000000003</v>
      </c>
      <c r="D3762" s="2">
        <v>252.91</v>
      </c>
      <c r="E3762" s="2">
        <v>256.61</v>
      </c>
      <c r="F3762" s="2">
        <v>86892382</v>
      </c>
      <c r="G3762" s="2" t="s">
        <v>573</v>
      </c>
      <c r="H3762" s="2" t="s">
        <v>574</v>
      </c>
      <c r="I3762" s="2" t="s">
        <v>575</v>
      </c>
      <c r="J3762" s="3">
        <v>1.6120000000000001</v>
      </c>
      <c r="K3762" s="2" t="s">
        <v>273</v>
      </c>
      <c r="L3762" s="2">
        <v>2023</v>
      </c>
      <c r="M3762" s="2" t="s">
        <v>274</v>
      </c>
      <c r="N3762" s="2" t="s">
        <v>21</v>
      </c>
      <c r="O3762">
        <f t="shared" si="116"/>
        <v>5.0600000000000307</v>
      </c>
      <c r="P3762">
        <f t="shared" si="117"/>
        <v>100.05800000000001</v>
      </c>
    </row>
    <row r="3763" spans="1:16" x14ac:dyDescent="0.35">
      <c r="A3763" s="9" t="s">
        <v>291</v>
      </c>
      <c r="B3763" s="2">
        <v>258.35000000000002</v>
      </c>
      <c r="C3763" s="2">
        <v>263.33999999999997</v>
      </c>
      <c r="D3763" s="2">
        <v>257.52</v>
      </c>
      <c r="E3763" s="2">
        <v>261.44</v>
      </c>
      <c r="F3763" s="2">
        <v>106494359</v>
      </c>
      <c r="G3763" s="2" t="s">
        <v>573</v>
      </c>
      <c r="H3763" s="2" t="s">
        <v>574</v>
      </c>
      <c r="I3763" s="2" t="s">
        <v>575</v>
      </c>
      <c r="J3763" s="3">
        <v>1.8819999999999999</v>
      </c>
      <c r="K3763" s="2" t="s">
        <v>273</v>
      </c>
      <c r="L3763" s="2">
        <v>2023</v>
      </c>
      <c r="M3763" s="2" t="s">
        <v>274</v>
      </c>
      <c r="N3763" s="2" t="s">
        <v>21</v>
      </c>
      <c r="O3763">
        <f t="shared" si="116"/>
        <v>5.8199999999999932</v>
      </c>
      <c r="P3763">
        <f t="shared" si="117"/>
        <v>101.94000000000001</v>
      </c>
    </row>
    <row r="3764" spans="1:16" x14ac:dyDescent="0.35">
      <c r="A3764" s="9" t="s">
        <v>292</v>
      </c>
      <c r="B3764" s="2">
        <v>263.66000000000003</v>
      </c>
      <c r="C3764" s="2">
        <v>265.13</v>
      </c>
      <c r="D3764" s="2">
        <v>252.71</v>
      </c>
      <c r="E3764" s="2">
        <v>253.18</v>
      </c>
      <c r="F3764" s="2">
        <v>113619943</v>
      </c>
      <c r="G3764" s="2" t="s">
        <v>573</v>
      </c>
      <c r="H3764" s="2" t="s">
        <v>574</v>
      </c>
      <c r="I3764" s="2" t="s">
        <v>575</v>
      </c>
      <c r="J3764" s="4">
        <v>-3.1589999999999998</v>
      </c>
      <c r="K3764" s="2" t="s">
        <v>273</v>
      </c>
      <c r="L3764" s="2">
        <v>2023</v>
      </c>
      <c r="M3764" s="2" t="s">
        <v>274</v>
      </c>
      <c r="N3764" s="2" t="s">
        <v>23</v>
      </c>
      <c r="O3764">
        <f t="shared" si="116"/>
        <v>12.419999999999987</v>
      </c>
      <c r="P3764">
        <f t="shared" si="117"/>
        <v>98.781000000000006</v>
      </c>
    </row>
    <row r="3765" spans="1:16" x14ac:dyDescent="0.35">
      <c r="A3765" s="9" t="s">
        <v>293</v>
      </c>
      <c r="B3765" s="2">
        <v>255.1</v>
      </c>
      <c r="C3765" s="2">
        <v>255.19</v>
      </c>
      <c r="D3765" s="2">
        <v>247.43</v>
      </c>
      <c r="E3765" s="2">
        <v>248.48</v>
      </c>
      <c r="F3765" s="2">
        <v>100891578</v>
      </c>
      <c r="G3765" s="2" t="s">
        <v>573</v>
      </c>
      <c r="H3765" s="2" t="s">
        <v>574</v>
      </c>
      <c r="I3765" s="2" t="s">
        <v>575</v>
      </c>
      <c r="J3765" s="4">
        <v>-1.8560000000000001</v>
      </c>
      <c r="K3765" s="2" t="s">
        <v>273</v>
      </c>
      <c r="L3765" s="2">
        <v>2023</v>
      </c>
      <c r="M3765" s="2" t="s">
        <v>274</v>
      </c>
      <c r="N3765" s="2" t="s">
        <v>23</v>
      </c>
      <c r="O3765">
        <f t="shared" si="116"/>
        <v>7.7599999999999909</v>
      </c>
      <c r="P3765">
        <f t="shared" si="117"/>
        <v>96.925000000000011</v>
      </c>
    </row>
    <row r="3766" spans="1:16" x14ac:dyDescent="0.35">
      <c r="A3766" s="9" t="s">
        <v>294</v>
      </c>
      <c r="B3766" s="2">
        <v>250.08</v>
      </c>
      <c r="C3766" s="2">
        <v>251.25</v>
      </c>
      <c r="D3766" s="2">
        <v>244.41</v>
      </c>
      <c r="E3766" s="2">
        <v>248.42</v>
      </c>
      <c r="F3766" s="2">
        <v>104654163</v>
      </c>
      <c r="G3766" s="2" t="s">
        <v>573</v>
      </c>
      <c r="H3766" s="2" t="s">
        <v>574</v>
      </c>
      <c r="I3766" s="2" t="s">
        <v>575</v>
      </c>
      <c r="J3766" s="4">
        <v>-2.4E-2</v>
      </c>
      <c r="K3766" s="2" t="s">
        <v>295</v>
      </c>
      <c r="L3766" s="2">
        <v>2024</v>
      </c>
      <c r="M3766" s="2" t="s">
        <v>19</v>
      </c>
      <c r="N3766" s="2" t="s">
        <v>23</v>
      </c>
      <c r="O3766">
        <f t="shared" si="116"/>
        <v>6.8400000000000034</v>
      </c>
      <c r="P3766">
        <f t="shared" si="117"/>
        <v>96.90100000000001</v>
      </c>
    </row>
    <row r="3767" spans="1:16" x14ac:dyDescent="0.35">
      <c r="A3767" s="9" t="s">
        <v>296</v>
      </c>
      <c r="B3767" s="2">
        <v>244.98</v>
      </c>
      <c r="C3767" s="2">
        <v>245.68</v>
      </c>
      <c r="D3767" s="2">
        <v>236.32</v>
      </c>
      <c r="E3767" s="2">
        <v>238.45</v>
      </c>
      <c r="F3767" s="2">
        <v>121082599</v>
      </c>
      <c r="G3767" s="2" t="s">
        <v>573</v>
      </c>
      <c r="H3767" s="2" t="s">
        <v>574</v>
      </c>
      <c r="I3767" s="2" t="s">
        <v>575</v>
      </c>
      <c r="J3767" s="4">
        <v>-4.0129999999999999</v>
      </c>
      <c r="K3767" s="2" t="s">
        <v>295</v>
      </c>
      <c r="L3767" s="2">
        <v>2024</v>
      </c>
      <c r="M3767" s="2" t="s">
        <v>19</v>
      </c>
      <c r="N3767" s="2" t="s">
        <v>23</v>
      </c>
      <c r="O3767">
        <f t="shared" si="116"/>
        <v>9.3600000000000136</v>
      </c>
      <c r="P3767">
        <f t="shared" si="117"/>
        <v>92.888000000000005</v>
      </c>
    </row>
    <row r="3768" spans="1:16" x14ac:dyDescent="0.35">
      <c r="A3768" s="9" t="s">
        <v>297</v>
      </c>
      <c r="B3768" s="2">
        <v>239.25</v>
      </c>
      <c r="C3768" s="2">
        <v>242.7</v>
      </c>
      <c r="D3768" s="2">
        <v>237.73</v>
      </c>
      <c r="E3768" s="2">
        <v>237.93</v>
      </c>
      <c r="F3768" s="2">
        <v>102629283</v>
      </c>
      <c r="G3768" s="2" t="s">
        <v>573</v>
      </c>
      <c r="H3768" s="2" t="s">
        <v>574</v>
      </c>
      <c r="I3768" s="2" t="s">
        <v>575</v>
      </c>
      <c r="J3768" s="4">
        <v>-0.218</v>
      </c>
      <c r="K3768" s="2" t="s">
        <v>295</v>
      </c>
      <c r="L3768" s="2">
        <v>2024</v>
      </c>
      <c r="M3768" s="2" t="s">
        <v>19</v>
      </c>
      <c r="N3768" s="2" t="s">
        <v>23</v>
      </c>
      <c r="O3768">
        <f t="shared" si="116"/>
        <v>4.9699999999999989</v>
      </c>
      <c r="P3768">
        <f t="shared" si="117"/>
        <v>92.67</v>
      </c>
    </row>
    <row r="3769" spans="1:16" x14ac:dyDescent="0.35">
      <c r="A3769" s="9" t="s">
        <v>298</v>
      </c>
      <c r="B3769" s="2">
        <v>236.86</v>
      </c>
      <c r="C3769" s="2">
        <v>240.12</v>
      </c>
      <c r="D3769" s="2">
        <v>234.9</v>
      </c>
      <c r="E3769" s="2">
        <v>237.49</v>
      </c>
      <c r="F3769" s="2">
        <v>92488939</v>
      </c>
      <c r="G3769" s="2" t="s">
        <v>573</v>
      </c>
      <c r="H3769" s="2" t="s">
        <v>574</v>
      </c>
      <c r="I3769" s="2" t="s">
        <v>575</v>
      </c>
      <c r="J3769" s="4">
        <v>-0.185</v>
      </c>
      <c r="K3769" s="2" t="s">
        <v>295</v>
      </c>
      <c r="L3769" s="2">
        <v>2024</v>
      </c>
      <c r="M3769" s="2" t="s">
        <v>19</v>
      </c>
      <c r="N3769" s="2" t="s">
        <v>23</v>
      </c>
      <c r="O3769">
        <f t="shared" si="116"/>
        <v>5.2199999999999989</v>
      </c>
      <c r="P3769">
        <f t="shared" si="117"/>
        <v>92.484999999999999</v>
      </c>
    </row>
    <row r="3770" spans="1:16" x14ac:dyDescent="0.35">
      <c r="A3770" s="9" t="s">
        <v>299</v>
      </c>
      <c r="B3770" s="2">
        <v>236.14</v>
      </c>
      <c r="C3770" s="2">
        <v>241.25</v>
      </c>
      <c r="D3770" s="2">
        <v>235.3</v>
      </c>
      <c r="E3770" s="2">
        <v>240.45</v>
      </c>
      <c r="F3770" s="2">
        <v>85166580</v>
      </c>
      <c r="G3770" s="2" t="s">
        <v>573</v>
      </c>
      <c r="H3770" s="2" t="s">
        <v>574</v>
      </c>
      <c r="I3770" s="2" t="s">
        <v>575</v>
      </c>
      <c r="J3770" s="3">
        <v>1.246</v>
      </c>
      <c r="K3770" s="2" t="s">
        <v>295</v>
      </c>
      <c r="L3770" s="2">
        <v>2024</v>
      </c>
      <c r="M3770" s="2" t="s">
        <v>19</v>
      </c>
      <c r="N3770" s="2" t="s">
        <v>21</v>
      </c>
      <c r="O3770">
        <f t="shared" si="116"/>
        <v>5.9499999999999886</v>
      </c>
      <c r="P3770">
        <f t="shared" si="117"/>
        <v>93.730999999999995</v>
      </c>
    </row>
    <row r="3771" spans="1:16" x14ac:dyDescent="0.35">
      <c r="A3771" s="9" t="s">
        <v>300</v>
      </c>
      <c r="B3771" s="2">
        <v>238.11</v>
      </c>
      <c r="C3771" s="2">
        <v>238.965</v>
      </c>
      <c r="D3771" s="2">
        <v>232.04</v>
      </c>
      <c r="E3771" s="2">
        <v>234.96</v>
      </c>
      <c r="F3771" s="2">
        <v>96705664</v>
      </c>
      <c r="G3771" s="2" t="s">
        <v>573</v>
      </c>
      <c r="H3771" s="2" t="s">
        <v>574</v>
      </c>
      <c r="I3771" s="2" t="s">
        <v>575</v>
      </c>
      <c r="J3771" s="4">
        <v>-2.2829999999999999</v>
      </c>
      <c r="K3771" s="2" t="s">
        <v>295</v>
      </c>
      <c r="L3771" s="2">
        <v>2024</v>
      </c>
      <c r="M3771" s="2" t="s">
        <v>19</v>
      </c>
      <c r="N3771" s="2" t="s">
        <v>23</v>
      </c>
      <c r="O3771">
        <f t="shared" si="116"/>
        <v>6.9250000000000114</v>
      </c>
      <c r="P3771">
        <f t="shared" si="117"/>
        <v>91.447999999999993</v>
      </c>
    </row>
    <row r="3772" spans="1:16" x14ac:dyDescent="0.35">
      <c r="A3772" s="9" t="s">
        <v>301</v>
      </c>
      <c r="B3772" s="2">
        <v>235.1</v>
      </c>
      <c r="C3772" s="2">
        <v>235.5</v>
      </c>
      <c r="D3772" s="2">
        <v>231.29</v>
      </c>
      <c r="E3772" s="2">
        <v>233.94</v>
      </c>
      <c r="F3772" s="2">
        <v>91628502</v>
      </c>
      <c r="G3772" s="2" t="s">
        <v>573</v>
      </c>
      <c r="H3772" s="2" t="s">
        <v>574</v>
      </c>
      <c r="I3772" s="2" t="s">
        <v>575</v>
      </c>
      <c r="J3772" s="4">
        <v>-0.434</v>
      </c>
      <c r="K3772" s="2" t="s">
        <v>295</v>
      </c>
      <c r="L3772" s="2">
        <v>2024</v>
      </c>
      <c r="M3772" s="2" t="s">
        <v>19</v>
      </c>
      <c r="N3772" s="2" t="s">
        <v>23</v>
      </c>
      <c r="O3772">
        <f t="shared" si="116"/>
        <v>4.210000000000008</v>
      </c>
      <c r="P3772">
        <f t="shared" si="117"/>
        <v>91.013999999999996</v>
      </c>
    </row>
    <row r="3773" spans="1:16" x14ac:dyDescent="0.35">
      <c r="A3773" s="9" t="s">
        <v>302</v>
      </c>
      <c r="B3773" s="2">
        <v>230.57</v>
      </c>
      <c r="C3773" s="2">
        <v>230.93</v>
      </c>
      <c r="D3773" s="2">
        <v>225.37</v>
      </c>
      <c r="E3773" s="2">
        <v>227.22</v>
      </c>
      <c r="F3773" s="2">
        <v>105873612</v>
      </c>
      <c r="G3773" s="2" t="s">
        <v>573</v>
      </c>
      <c r="H3773" s="2" t="s">
        <v>574</v>
      </c>
      <c r="I3773" s="2" t="s">
        <v>575</v>
      </c>
      <c r="J3773" s="4">
        <v>-2.8730000000000002</v>
      </c>
      <c r="K3773" s="2" t="s">
        <v>295</v>
      </c>
      <c r="L3773" s="2">
        <v>2024</v>
      </c>
      <c r="M3773" s="2" t="s">
        <v>19</v>
      </c>
      <c r="N3773" s="2" t="s">
        <v>23</v>
      </c>
      <c r="O3773">
        <f t="shared" si="116"/>
        <v>5.5600000000000023</v>
      </c>
      <c r="P3773">
        <f t="shared" si="117"/>
        <v>88.140999999999991</v>
      </c>
    </row>
    <row r="3774" spans="1:16" x14ac:dyDescent="0.35">
      <c r="A3774" s="9" t="s">
        <v>303</v>
      </c>
      <c r="B3774" s="2">
        <v>220.08</v>
      </c>
      <c r="C3774" s="2">
        <v>225.34</v>
      </c>
      <c r="D3774" s="2">
        <v>217.15</v>
      </c>
      <c r="E3774" s="2">
        <v>218.89</v>
      </c>
      <c r="F3774" s="2">
        <v>123043812</v>
      </c>
      <c r="G3774" s="2" t="s">
        <v>573</v>
      </c>
      <c r="H3774" s="2" t="s">
        <v>574</v>
      </c>
      <c r="I3774" s="2" t="s">
        <v>575</v>
      </c>
      <c r="J3774" s="4">
        <v>-3.6659999999999999</v>
      </c>
      <c r="K3774" s="2" t="s">
        <v>295</v>
      </c>
      <c r="L3774" s="2">
        <v>2024</v>
      </c>
      <c r="M3774" s="2" t="s">
        <v>19</v>
      </c>
      <c r="N3774" s="2" t="s">
        <v>23</v>
      </c>
      <c r="O3774">
        <f t="shared" si="116"/>
        <v>8.1899999999999977</v>
      </c>
      <c r="P3774">
        <f t="shared" si="117"/>
        <v>84.474999999999994</v>
      </c>
    </row>
    <row r="3775" spans="1:16" x14ac:dyDescent="0.35">
      <c r="A3775" s="9" t="s">
        <v>304</v>
      </c>
      <c r="B3775" s="2">
        <v>215.1</v>
      </c>
      <c r="C3775" s="2">
        <v>223.49</v>
      </c>
      <c r="D3775" s="2">
        <v>212.18</v>
      </c>
      <c r="E3775" s="2">
        <v>219.91</v>
      </c>
      <c r="F3775" s="2">
        <v>115355046</v>
      </c>
      <c r="G3775" s="2" t="s">
        <v>573</v>
      </c>
      <c r="H3775" s="2" t="s">
        <v>574</v>
      </c>
      <c r="I3775" s="2" t="s">
        <v>575</v>
      </c>
      <c r="J3775" s="3">
        <v>0.46600000000000003</v>
      </c>
      <c r="K3775" s="2" t="s">
        <v>295</v>
      </c>
      <c r="L3775" s="2">
        <v>2024</v>
      </c>
      <c r="M3775" s="2" t="s">
        <v>19</v>
      </c>
      <c r="N3775" s="2" t="s">
        <v>21</v>
      </c>
      <c r="O3775">
        <f t="shared" si="116"/>
        <v>11.310000000000002</v>
      </c>
      <c r="P3775">
        <f t="shared" si="117"/>
        <v>84.940999999999988</v>
      </c>
    </row>
    <row r="3776" spans="1:16" x14ac:dyDescent="0.35">
      <c r="A3776" s="9" t="s">
        <v>305</v>
      </c>
      <c r="B3776" s="2">
        <v>214.86</v>
      </c>
      <c r="C3776" s="2">
        <v>215.67</v>
      </c>
      <c r="D3776" s="2">
        <v>212.01</v>
      </c>
      <c r="E3776" s="2">
        <v>215.55</v>
      </c>
      <c r="F3776" s="2">
        <v>103164400</v>
      </c>
      <c r="G3776" s="2" t="s">
        <v>573</v>
      </c>
      <c r="H3776" s="2" t="s">
        <v>574</v>
      </c>
      <c r="I3776" s="2" t="s">
        <v>575</v>
      </c>
      <c r="J3776" s="4">
        <v>-1.9830000000000001</v>
      </c>
      <c r="K3776" s="2" t="s">
        <v>295</v>
      </c>
      <c r="L3776" s="2">
        <v>2024</v>
      </c>
      <c r="M3776" s="2" t="s">
        <v>19</v>
      </c>
      <c r="N3776" s="2" t="s">
        <v>23</v>
      </c>
      <c r="O3776">
        <f t="shared" si="116"/>
        <v>3.6599999999999966</v>
      </c>
      <c r="P3776">
        <f t="shared" si="117"/>
        <v>82.957999999999984</v>
      </c>
    </row>
    <row r="3777" spans="1:16" x14ac:dyDescent="0.35">
      <c r="A3777" s="9" t="s">
        <v>306</v>
      </c>
      <c r="B3777" s="2">
        <v>216.88</v>
      </c>
      <c r="C3777" s="2">
        <v>217.45</v>
      </c>
      <c r="D3777" s="2">
        <v>208.74</v>
      </c>
      <c r="E3777" s="2">
        <v>211.88</v>
      </c>
      <c r="F3777" s="2">
        <v>108595431</v>
      </c>
      <c r="G3777" s="2" t="s">
        <v>573</v>
      </c>
      <c r="H3777" s="2" t="s">
        <v>574</v>
      </c>
      <c r="I3777" s="2" t="s">
        <v>575</v>
      </c>
      <c r="J3777" s="4">
        <v>-1.7030000000000001</v>
      </c>
      <c r="K3777" s="2" t="s">
        <v>295</v>
      </c>
      <c r="L3777" s="2">
        <v>2024</v>
      </c>
      <c r="M3777" s="2" t="s">
        <v>19</v>
      </c>
      <c r="N3777" s="2" t="s">
        <v>23</v>
      </c>
      <c r="O3777">
        <f t="shared" si="116"/>
        <v>8.7099999999999795</v>
      </c>
      <c r="P3777">
        <f t="shared" si="117"/>
        <v>81.254999999999981</v>
      </c>
    </row>
    <row r="3778" spans="1:16" x14ac:dyDescent="0.35">
      <c r="A3778" s="9" t="s">
        <v>307</v>
      </c>
      <c r="B3778" s="2">
        <v>209.99</v>
      </c>
      <c r="C3778" s="2">
        <v>213.19</v>
      </c>
      <c r="D3778" s="2">
        <v>207.56</v>
      </c>
      <c r="E3778" s="2">
        <v>212.19</v>
      </c>
      <c r="F3778" s="2">
        <v>102260343</v>
      </c>
      <c r="G3778" s="2" t="s">
        <v>573</v>
      </c>
      <c r="H3778" s="2" t="s">
        <v>574</v>
      </c>
      <c r="I3778" s="2" t="s">
        <v>575</v>
      </c>
      <c r="J3778" s="3">
        <v>0.14599999999999999</v>
      </c>
      <c r="K3778" s="2" t="s">
        <v>295</v>
      </c>
      <c r="L3778" s="2">
        <v>2024</v>
      </c>
      <c r="M3778" s="2" t="s">
        <v>19</v>
      </c>
      <c r="N3778" s="2" t="s">
        <v>21</v>
      </c>
      <c r="O3778">
        <f t="shared" si="116"/>
        <v>5.6299999999999955</v>
      </c>
      <c r="P3778">
        <f t="shared" si="117"/>
        <v>81.400999999999982</v>
      </c>
    </row>
    <row r="3779" spans="1:16" x14ac:dyDescent="0.35">
      <c r="A3779" s="9" t="s">
        <v>308</v>
      </c>
      <c r="B3779" s="2">
        <v>212.26</v>
      </c>
      <c r="C3779" s="2">
        <v>217.8</v>
      </c>
      <c r="D3779" s="2">
        <v>206.27</v>
      </c>
      <c r="E3779" s="2">
        <v>208.8</v>
      </c>
      <c r="F3779" s="2">
        <v>117952527</v>
      </c>
      <c r="G3779" s="2" t="s">
        <v>573</v>
      </c>
      <c r="H3779" s="2" t="s">
        <v>574</v>
      </c>
      <c r="I3779" s="2" t="s">
        <v>575</v>
      </c>
      <c r="J3779" s="4">
        <v>-1.5980000000000001</v>
      </c>
      <c r="K3779" s="2" t="s">
        <v>295</v>
      </c>
      <c r="L3779" s="2">
        <v>2024</v>
      </c>
      <c r="M3779" s="2" t="s">
        <v>19</v>
      </c>
      <c r="N3779" s="2" t="s">
        <v>23</v>
      </c>
      <c r="O3779">
        <f t="shared" ref="O3779:O3842" si="118">C3779-D3779</f>
        <v>11.530000000000001</v>
      </c>
      <c r="P3779">
        <f t="shared" si="117"/>
        <v>79.802999999999983</v>
      </c>
    </row>
    <row r="3780" spans="1:16" x14ac:dyDescent="0.35">
      <c r="A3780" s="9" t="s">
        <v>309</v>
      </c>
      <c r="B3780" s="2">
        <v>211.3</v>
      </c>
      <c r="C3780" s="2">
        <v>215.65</v>
      </c>
      <c r="D3780" s="2">
        <v>207.75200000000001</v>
      </c>
      <c r="E3780" s="2">
        <v>209.14</v>
      </c>
      <c r="F3780" s="2">
        <v>106605946</v>
      </c>
      <c r="G3780" s="2" t="s">
        <v>573</v>
      </c>
      <c r="H3780" s="2" t="s">
        <v>574</v>
      </c>
      <c r="I3780" s="2" t="s">
        <v>575</v>
      </c>
      <c r="J3780" s="3">
        <v>0.16300000000000001</v>
      </c>
      <c r="K3780" s="2" t="s">
        <v>295</v>
      </c>
      <c r="L3780" s="2">
        <v>2024</v>
      </c>
      <c r="M3780" s="2" t="s">
        <v>19</v>
      </c>
      <c r="N3780" s="2" t="s">
        <v>21</v>
      </c>
      <c r="O3780">
        <f t="shared" si="118"/>
        <v>7.8979999999999961</v>
      </c>
      <c r="P3780">
        <f t="shared" ref="P3780:P3843" si="119">IF(G3780=G3779, P3779+J3780, J3780)</f>
        <v>79.96599999999998</v>
      </c>
    </row>
    <row r="3781" spans="1:16" x14ac:dyDescent="0.35">
      <c r="A3781" s="9" t="s">
        <v>310</v>
      </c>
      <c r="B3781" s="2">
        <v>211.88</v>
      </c>
      <c r="C3781" s="2">
        <v>212.73</v>
      </c>
      <c r="D3781" s="2">
        <v>206.77</v>
      </c>
      <c r="E3781" s="2">
        <v>207.83</v>
      </c>
      <c r="F3781" s="2">
        <v>123369932</v>
      </c>
      <c r="G3781" s="2" t="s">
        <v>573</v>
      </c>
      <c r="H3781" s="2" t="s">
        <v>574</v>
      </c>
      <c r="I3781" s="2" t="s">
        <v>575</v>
      </c>
      <c r="J3781" s="4">
        <v>-0.626</v>
      </c>
      <c r="K3781" s="2" t="s">
        <v>295</v>
      </c>
      <c r="L3781" s="2">
        <v>2024</v>
      </c>
      <c r="M3781" s="2" t="s">
        <v>19</v>
      </c>
      <c r="N3781" s="2" t="s">
        <v>23</v>
      </c>
      <c r="O3781">
        <f t="shared" si="118"/>
        <v>5.9599999999999795</v>
      </c>
      <c r="P3781">
        <f t="shared" si="119"/>
        <v>79.339999999999975</v>
      </c>
    </row>
    <row r="3782" spans="1:16" x14ac:dyDescent="0.35">
      <c r="A3782" s="9" t="s">
        <v>311</v>
      </c>
      <c r="B3782" s="2">
        <v>189.7</v>
      </c>
      <c r="C3782" s="2">
        <v>193</v>
      </c>
      <c r="D3782" s="2">
        <v>180.06</v>
      </c>
      <c r="E3782" s="2">
        <v>182.63</v>
      </c>
      <c r="F3782" s="2">
        <v>198076787</v>
      </c>
      <c r="G3782" s="2" t="s">
        <v>573</v>
      </c>
      <c r="H3782" s="2" t="s">
        <v>574</v>
      </c>
      <c r="I3782" s="2" t="s">
        <v>575</v>
      </c>
      <c r="J3782" s="4">
        <v>-12.125</v>
      </c>
      <c r="K3782" s="2" t="s">
        <v>295</v>
      </c>
      <c r="L3782" s="2">
        <v>2024</v>
      </c>
      <c r="M3782" s="2" t="s">
        <v>19</v>
      </c>
      <c r="N3782" s="2" t="s">
        <v>23</v>
      </c>
      <c r="O3782">
        <f t="shared" si="118"/>
        <v>12.939999999999998</v>
      </c>
      <c r="P3782">
        <f t="shared" si="119"/>
        <v>67.214999999999975</v>
      </c>
    </row>
    <row r="3783" spans="1:16" x14ac:dyDescent="0.35">
      <c r="A3783" s="9" t="s">
        <v>312</v>
      </c>
      <c r="B3783" s="2">
        <v>185.5</v>
      </c>
      <c r="C3783" s="2">
        <v>186.78</v>
      </c>
      <c r="D3783" s="2">
        <v>182.1</v>
      </c>
      <c r="E3783" s="2">
        <v>183.25</v>
      </c>
      <c r="F3783" s="2">
        <v>107343231</v>
      </c>
      <c r="G3783" s="2" t="s">
        <v>573</v>
      </c>
      <c r="H3783" s="2" t="s">
        <v>574</v>
      </c>
      <c r="I3783" s="2" t="s">
        <v>575</v>
      </c>
      <c r="J3783" s="3">
        <v>0.33900000000000002</v>
      </c>
      <c r="K3783" s="2" t="s">
        <v>295</v>
      </c>
      <c r="L3783" s="2">
        <v>2024</v>
      </c>
      <c r="M3783" s="2" t="s">
        <v>19</v>
      </c>
      <c r="N3783" s="2" t="s">
        <v>21</v>
      </c>
      <c r="O3783">
        <f t="shared" si="118"/>
        <v>4.6800000000000068</v>
      </c>
      <c r="P3783">
        <f t="shared" si="119"/>
        <v>67.553999999999974</v>
      </c>
    </row>
    <row r="3784" spans="1:16" x14ac:dyDescent="0.35">
      <c r="A3784" s="9" t="s">
        <v>313</v>
      </c>
      <c r="B3784" s="2">
        <v>185.63</v>
      </c>
      <c r="C3784" s="2">
        <v>191.48</v>
      </c>
      <c r="D3784" s="2">
        <v>183.67</v>
      </c>
      <c r="E3784" s="2">
        <v>190.93</v>
      </c>
      <c r="F3784" s="2">
        <v>125013148</v>
      </c>
      <c r="G3784" s="2" t="s">
        <v>573</v>
      </c>
      <c r="H3784" s="2" t="s">
        <v>574</v>
      </c>
      <c r="I3784" s="2" t="s">
        <v>575</v>
      </c>
      <c r="J3784" s="3">
        <v>4.1909999999999998</v>
      </c>
      <c r="K3784" s="2" t="s">
        <v>295</v>
      </c>
      <c r="L3784" s="2">
        <v>2024</v>
      </c>
      <c r="M3784" s="2" t="s">
        <v>19</v>
      </c>
      <c r="N3784" s="2" t="s">
        <v>21</v>
      </c>
      <c r="O3784">
        <f t="shared" si="118"/>
        <v>7.8100000000000023</v>
      </c>
      <c r="P3784">
        <f t="shared" si="119"/>
        <v>71.744999999999976</v>
      </c>
    </row>
    <row r="3785" spans="1:16" x14ac:dyDescent="0.35">
      <c r="A3785" s="9" t="s">
        <v>314</v>
      </c>
      <c r="B3785" s="2">
        <v>195.33</v>
      </c>
      <c r="C3785" s="2">
        <v>196.35900000000001</v>
      </c>
      <c r="D3785" s="2">
        <v>190.61</v>
      </c>
      <c r="E3785" s="2">
        <v>191.59</v>
      </c>
      <c r="F3785" s="2">
        <v>109982327</v>
      </c>
      <c r="G3785" s="2" t="s">
        <v>573</v>
      </c>
      <c r="H3785" s="2" t="s">
        <v>574</v>
      </c>
      <c r="I3785" s="2" t="s">
        <v>575</v>
      </c>
      <c r="J3785" s="3">
        <v>0.34599999999999997</v>
      </c>
      <c r="K3785" s="2" t="s">
        <v>295</v>
      </c>
      <c r="L3785" s="2">
        <v>2024</v>
      </c>
      <c r="M3785" s="2" t="s">
        <v>19</v>
      </c>
      <c r="N3785" s="2" t="s">
        <v>21</v>
      </c>
      <c r="O3785">
        <f t="shared" si="118"/>
        <v>5.7489999999999952</v>
      </c>
      <c r="P3785">
        <f t="shared" si="119"/>
        <v>72.09099999999998</v>
      </c>
    </row>
    <row r="3786" spans="1:16" x14ac:dyDescent="0.35">
      <c r="A3786" s="9" t="s">
        <v>315</v>
      </c>
      <c r="B3786" s="2">
        <v>186.995</v>
      </c>
      <c r="C3786" s="2">
        <v>193.97</v>
      </c>
      <c r="D3786" s="2">
        <v>185.846</v>
      </c>
      <c r="E3786" s="2">
        <v>187.29</v>
      </c>
      <c r="F3786" s="2">
        <v>103221430</v>
      </c>
      <c r="G3786" s="2" t="s">
        <v>573</v>
      </c>
      <c r="H3786" s="2" t="s">
        <v>574</v>
      </c>
      <c r="I3786" s="2" t="s">
        <v>575</v>
      </c>
      <c r="J3786" s="4">
        <v>-2.2440000000000002</v>
      </c>
      <c r="K3786" s="2" t="s">
        <v>295</v>
      </c>
      <c r="L3786" s="2">
        <v>2024</v>
      </c>
      <c r="M3786" s="2" t="s">
        <v>19</v>
      </c>
      <c r="N3786" s="2" t="s">
        <v>23</v>
      </c>
      <c r="O3786">
        <f t="shared" si="118"/>
        <v>8.1239999999999952</v>
      </c>
      <c r="P3786">
        <f t="shared" si="119"/>
        <v>69.84699999999998</v>
      </c>
    </row>
    <row r="3787" spans="1:16" x14ac:dyDescent="0.35">
      <c r="A3787" s="9" t="s">
        <v>316</v>
      </c>
      <c r="B3787" s="2">
        <v>188.5</v>
      </c>
      <c r="C3787" s="2">
        <v>189.88</v>
      </c>
      <c r="D3787" s="2">
        <v>184.28</v>
      </c>
      <c r="E3787" s="2">
        <v>188.86</v>
      </c>
      <c r="F3787" s="2">
        <v>91843275</v>
      </c>
      <c r="G3787" s="2" t="s">
        <v>573</v>
      </c>
      <c r="H3787" s="2" t="s">
        <v>574</v>
      </c>
      <c r="I3787" s="2" t="s">
        <v>575</v>
      </c>
      <c r="J3787" s="3">
        <v>0.83799999999999997</v>
      </c>
      <c r="K3787" s="2" t="s">
        <v>317</v>
      </c>
      <c r="L3787" s="2">
        <v>2024</v>
      </c>
      <c r="M3787" s="2" t="s">
        <v>43</v>
      </c>
      <c r="N3787" s="2" t="s">
        <v>21</v>
      </c>
      <c r="O3787">
        <f t="shared" si="118"/>
        <v>5.5999999999999943</v>
      </c>
      <c r="P3787">
        <f t="shared" si="119"/>
        <v>70.684999999999974</v>
      </c>
    </row>
    <row r="3788" spans="1:16" x14ac:dyDescent="0.35">
      <c r="A3788" s="9" t="s">
        <v>318</v>
      </c>
      <c r="B3788" s="2">
        <v>185.04</v>
      </c>
      <c r="C3788" s="2">
        <v>188.69</v>
      </c>
      <c r="D3788" s="2">
        <v>182</v>
      </c>
      <c r="E3788" s="2">
        <v>187.91</v>
      </c>
      <c r="F3788" s="2">
        <v>110612672</v>
      </c>
      <c r="G3788" s="2" t="s">
        <v>573</v>
      </c>
      <c r="H3788" s="2" t="s">
        <v>574</v>
      </c>
      <c r="I3788" s="2" t="s">
        <v>575</v>
      </c>
      <c r="J3788" s="4">
        <v>-0.503</v>
      </c>
      <c r="K3788" s="2" t="s">
        <v>317</v>
      </c>
      <c r="L3788" s="2">
        <v>2024</v>
      </c>
      <c r="M3788" s="2" t="s">
        <v>43</v>
      </c>
      <c r="N3788" s="2" t="s">
        <v>23</v>
      </c>
      <c r="O3788">
        <f t="shared" si="118"/>
        <v>6.6899999999999977</v>
      </c>
      <c r="P3788">
        <f t="shared" si="119"/>
        <v>70.181999999999974</v>
      </c>
    </row>
    <row r="3789" spans="1:16" x14ac:dyDescent="0.35">
      <c r="A3789" s="9" t="s">
        <v>319</v>
      </c>
      <c r="B3789" s="2">
        <v>184.26</v>
      </c>
      <c r="C3789" s="2">
        <v>184.68</v>
      </c>
      <c r="D3789" s="2">
        <v>175.01</v>
      </c>
      <c r="E3789" s="2">
        <v>181.06</v>
      </c>
      <c r="F3789" s="2">
        <v>134294447</v>
      </c>
      <c r="G3789" s="2" t="s">
        <v>573</v>
      </c>
      <c r="H3789" s="2" t="s">
        <v>574</v>
      </c>
      <c r="I3789" s="2" t="s">
        <v>575</v>
      </c>
      <c r="J3789" s="4">
        <v>-3.645</v>
      </c>
      <c r="K3789" s="2" t="s">
        <v>317</v>
      </c>
      <c r="L3789" s="2">
        <v>2024</v>
      </c>
      <c r="M3789" s="2" t="s">
        <v>43</v>
      </c>
      <c r="N3789" s="2" t="s">
        <v>23</v>
      </c>
      <c r="O3789">
        <f t="shared" si="118"/>
        <v>9.6700000000000159</v>
      </c>
      <c r="P3789">
        <f t="shared" si="119"/>
        <v>66.536999999999978</v>
      </c>
    </row>
    <row r="3790" spans="1:16" x14ac:dyDescent="0.35">
      <c r="A3790" s="9" t="s">
        <v>320</v>
      </c>
      <c r="B3790" s="2">
        <v>177.21</v>
      </c>
      <c r="C3790" s="2">
        <v>186.49</v>
      </c>
      <c r="D3790" s="2">
        <v>177.11</v>
      </c>
      <c r="E3790" s="2">
        <v>185.1</v>
      </c>
      <c r="F3790" s="2">
        <v>122675954</v>
      </c>
      <c r="G3790" s="2" t="s">
        <v>573</v>
      </c>
      <c r="H3790" s="2" t="s">
        <v>574</v>
      </c>
      <c r="I3790" s="2" t="s">
        <v>575</v>
      </c>
      <c r="J3790" s="3">
        <v>2.2309999999999999</v>
      </c>
      <c r="K3790" s="2" t="s">
        <v>317</v>
      </c>
      <c r="L3790" s="2">
        <v>2024</v>
      </c>
      <c r="M3790" s="2" t="s">
        <v>43</v>
      </c>
      <c r="N3790" s="2" t="s">
        <v>21</v>
      </c>
      <c r="O3790">
        <f t="shared" si="118"/>
        <v>9.3799999999999955</v>
      </c>
      <c r="P3790">
        <f t="shared" si="119"/>
        <v>68.767999999999972</v>
      </c>
    </row>
    <row r="3791" spans="1:16" x14ac:dyDescent="0.35">
      <c r="A3791" s="9" t="s">
        <v>321</v>
      </c>
      <c r="B3791" s="2">
        <v>188.18</v>
      </c>
      <c r="C3791" s="2">
        <v>189.79</v>
      </c>
      <c r="D3791" s="2">
        <v>182.68</v>
      </c>
      <c r="E3791" s="2">
        <v>187.58</v>
      </c>
      <c r="F3791" s="2">
        <v>111535217</v>
      </c>
      <c r="G3791" s="2" t="s">
        <v>573</v>
      </c>
      <c r="H3791" s="2" t="s">
        <v>574</v>
      </c>
      <c r="I3791" s="2" t="s">
        <v>575</v>
      </c>
      <c r="J3791" s="3">
        <v>1.34</v>
      </c>
      <c r="K3791" s="2" t="s">
        <v>317</v>
      </c>
      <c r="L3791" s="2">
        <v>2024</v>
      </c>
      <c r="M3791" s="2" t="s">
        <v>43</v>
      </c>
      <c r="N3791" s="2" t="s">
        <v>21</v>
      </c>
      <c r="O3791">
        <f t="shared" si="118"/>
        <v>7.1099999999999852</v>
      </c>
      <c r="P3791">
        <f t="shared" si="119"/>
        <v>70.107999999999976</v>
      </c>
    </row>
    <row r="3792" spans="1:16" x14ac:dyDescent="0.35">
      <c r="A3792" s="9" t="s">
        <v>322</v>
      </c>
      <c r="B3792" s="2">
        <v>189</v>
      </c>
      <c r="C3792" s="2">
        <v>191.61699999999999</v>
      </c>
      <c r="D3792" s="2">
        <v>185.58</v>
      </c>
      <c r="E3792" s="2">
        <v>189.56</v>
      </c>
      <c r="F3792" s="2">
        <v>83034043</v>
      </c>
      <c r="G3792" s="2" t="s">
        <v>573</v>
      </c>
      <c r="H3792" s="2" t="s">
        <v>574</v>
      </c>
      <c r="I3792" s="2" t="s">
        <v>575</v>
      </c>
      <c r="J3792" s="3">
        <v>1.056</v>
      </c>
      <c r="K3792" s="2" t="s">
        <v>317</v>
      </c>
      <c r="L3792" s="2">
        <v>2024</v>
      </c>
      <c r="M3792" s="2" t="s">
        <v>43</v>
      </c>
      <c r="N3792" s="2" t="s">
        <v>21</v>
      </c>
      <c r="O3792">
        <f t="shared" si="118"/>
        <v>6.0369999999999777</v>
      </c>
      <c r="P3792">
        <f t="shared" si="119"/>
        <v>71.163999999999973</v>
      </c>
    </row>
    <row r="3793" spans="1:16" x14ac:dyDescent="0.35">
      <c r="A3793" s="9" t="s">
        <v>323</v>
      </c>
      <c r="B3793" s="2">
        <v>190.18</v>
      </c>
      <c r="C3793" s="2">
        <v>194.12</v>
      </c>
      <c r="D3793" s="2">
        <v>189.48</v>
      </c>
      <c r="E3793" s="2">
        <v>193.57</v>
      </c>
      <c r="F3793" s="2">
        <v>84476347</v>
      </c>
      <c r="G3793" s="2" t="s">
        <v>573</v>
      </c>
      <c r="H3793" s="2" t="s">
        <v>574</v>
      </c>
      <c r="I3793" s="2" t="s">
        <v>575</v>
      </c>
      <c r="J3793" s="3">
        <v>2.1150000000000002</v>
      </c>
      <c r="K3793" s="2" t="s">
        <v>317</v>
      </c>
      <c r="L3793" s="2">
        <v>2024</v>
      </c>
      <c r="M3793" s="2" t="s">
        <v>43</v>
      </c>
      <c r="N3793" s="2" t="s">
        <v>21</v>
      </c>
      <c r="O3793">
        <f t="shared" si="118"/>
        <v>4.6400000000000148</v>
      </c>
      <c r="P3793">
        <f t="shared" si="119"/>
        <v>73.278999999999968</v>
      </c>
    </row>
    <row r="3794" spans="1:16" x14ac:dyDescent="0.35">
      <c r="A3794" s="9" t="s">
        <v>324</v>
      </c>
      <c r="B3794" s="2">
        <v>192.11</v>
      </c>
      <c r="C3794" s="2">
        <v>194.73</v>
      </c>
      <c r="D3794" s="2">
        <v>187.28</v>
      </c>
      <c r="E3794" s="2">
        <v>188.13</v>
      </c>
      <c r="F3794" s="2">
        <v>95498597</v>
      </c>
      <c r="G3794" s="2" t="s">
        <v>573</v>
      </c>
      <c r="H3794" s="2" t="s">
        <v>574</v>
      </c>
      <c r="I3794" s="2" t="s">
        <v>575</v>
      </c>
      <c r="J3794" s="4">
        <v>-2.81</v>
      </c>
      <c r="K3794" s="2" t="s">
        <v>317</v>
      </c>
      <c r="L3794" s="2">
        <v>2024</v>
      </c>
      <c r="M3794" s="2" t="s">
        <v>43</v>
      </c>
      <c r="N3794" s="2" t="s">
        <v>23</v>
      </c>
      <c r="O3794">
        <f t="shared" si="118"/>
        <v>7.4499999999999886</v>
      </c>
      <c r="P3794">
        <f t="shared" si="119"/>
        <v>70.468999999999966</v>
      </c>
    </row>
    <row r="3795" spans="1:16" x14ac:dyDescent="0.35">
      <c r="A3795" s="9" t="s">
        <v>325</v>
      </c>
      <c r="B3795" s="2">
        <v>183.99</v>
      </c>
      <c r="C3795" s="2">
        <v>187.26</v>
      </c>
      <c r="D3795" s="2">
        <v>182.10900000000001</v>
      </c>
      <c r="E3795" s="2">
        <v>184.02</v>
      </c>
      <c r="F3795" s="2">
        <v>86759478</v>
      </c>
      <c r="G3795" s="2" t="s">
        <v>573</v>
      </c>
      <c r="H3795" s="2" t="s">
        <v>574</v>
      </c>
      <c r="I3795" s="2" t="s">
        <v>575</v>
      </c>
      <c r="J3795" s="4">
        <v>-2.1850000000000001</v>
      </c>
      <c r="K3795" s="2" t="s">
        <v>317</v>
      </c>
      <c r="L3795" s="2">
        <v>2024</v>
      </c>
      <c r="M3795" s="2" t="s">
        <v>43</v>
      </c>
      <c r="N3795" s="2" t="s">
        <v>23</v>
      </c>
      <c r="O3795">
        <f t="shared" si="118"/>
        <v>5.150999999999982</v>
      </c>
      <c r="P3795">
        <f t="shared" si="119"/>
        <v>68.283999999999963</v>
      </c>
    </row>
    <row r="3796" spans="1:16" x14ac:dyDescent="0.35">
      <c r="A3796" s="9" t="s">
        <v>326</v>
      </c>
      <c r="B3796" s="2">
        <v>185.3</v>
      </c>
      <c r="C3796" s="2">
        <v>188.89</v>
      </c>
      <c r="D3796" s="2">
        <v>183.35</v>
      </c>
      <c r="E3796" s="2">
        <v>188.71</v>
      </c>
      <c r="F3796" s="2">
        <v>81202987</v>
      </c>
      <c r="G3796" s="2" t="s">
        <v>573</v>
      </c>
      <c r="H3796" s="2" t="s">
        <v>574</v>
      </c>
      <c r="I3796" s="2" t="s">
        <v>575</v>
      </c>
      <c r="J3796" s="3">
        <v>2.5489999999999999</v>
      </c>
      <c r="K3796" s="2" t="s">
        <v>317</v>
      </c>
      <c r="L3796" s="2">
        <v>2024</v>
      </c>
      <c r="M3796" s="2" t="s">
        <v>43</v>
      </c>
      <c r="N3796" s="2" t="s">
        <v>21</v>
      </c>
      <c r="O3796">
        <f t="shared" si="118"/>
        <v>5.539999999999992</v>
      </c>
      <c r="P3796">
        <f t="shared" si="119"/>
        <v>70.83299999999997</v>
      </c>
    </row>
    <row r="3797" spans="1:16" x14ac:dyDescent="0.35">
      <c r="A3797" s="9" t="s">
        <v>327</v>
      </c>
      <c r="B3797" s="2">
        <v>189.16</v>
      </c>
      <c r="C3797" s="2">
        <v>200.88</v>
      </c>
      <c r="D3797" s="2">
        <v>188.85900000000001</v>
      </c>
      <c r="E3797" s="2">
        <v>200.45</v>
      </c>
      <c r="F3797" s="2">
        <v>120831762</v>
      </c>
      <c r="G3797" s="2" t="s">
        <v>573</v>
      </c>
      <c r="H3797" s="2" t="s">
        <v>574</v>
      </c>
      <c r="I3797" s="2" t="s">
        <v>575</v>
      </c>
      <c r="J3797" s="3">
        <v>6.2210000000000001</v>
      </c>
      <c r="K3797" s="2" t="s">
        <v>317</v>
      </c>
      <c r="L3797" s="2">
        <v>2024</v>
      </c>
      <c r="M3797" s="2" t="s">
        <v>43</v>
      </c>
      <c r="N3797" s="2" t="s">
        <v>21</v>
      </c>
      <c r="O3797">
        <f t="shared" si="118"/>
        <v>12.020999999999987</v>
      </c>
      <c r="P3797">
        <f t="shared" si="119"/>
        <v>77.053999999999974</v>
      </c>
    </row>
    <row r="3798" spans="1:16" x14ac:dyDescent="0.35">
      <c r="A3798" s="9" t="s">
        <v>328</v>
      </c>
      <c r="B3798" s="2">
        <v>202.06</v>
      </c>
      <c r="C3798" s="2">
        <v>203.17</v>
      </c>
      <c r="D3798" s="2">
        <v>197.4</v>
      </c>
      <c r="E3798" s="2">
        <v>199.95</v>
      </c>
      <c r="F3798" s="2">
        <v>111346705</v>
      </c>
      <c r="G3798" s="2" t="s">
        <v>573</v>
      </c>
      <c r="H3798" s="2" t="s">
        <v>574</v>
      </c>
      <c r="I3798" s="2" t="s">
        <v>575</v>
      </c>
      <c r="J3798" s="4">
        <v>-0.249</v>
      </c>
      <c r="K3798" s="2" t="s">
        <v>317</v>
      </c>
      <c r="L3798" s="2">
        <v>2024</v>
      </c>
      <c r="M3798" s="2" t="s">
        <v>43</v>
      </c>
      <c r="N3798" s="2" t="s">
        <v>23</v>
      </c>
      <c r="O3798">
        <f t="shared" si="118"/>
        <v>5.7699999999999818</v>
      </c>
      <c r="P3798">
        <f t="shared" si="119"/>
        <v>76.804999999999978</v>
      </c>
    </row>
    <row r="3799" spans="1:16" x14ac:dyDescent="0.35">
      <c r="A3799" s="9" t="s">
        <v>329</v>
      </c>
      <c r="B3799" s="2">
        <v>196.13</v>
      </c>
      <c r="C3799" s="2">
        <v>198.6</v>
      </c>
      <c r="D3799" s="2">
        <v>189.13</v>
      </c>
      <c r="E3799" s="2">
        <v>193.76</v>
      </c>
      <c r="F3799" s="2">
        <v>104545762</v>
      </c>
      <c r="G3799" s="2" t="s">
        <v>573</v>
      </c>
      <c r="H3799" s="2" t="s">
        <v>574</v>
      </c>
      <c r="I3799" s="2" t="s">
        <v>575</v>
      </c>
      <c r="J3799" s="4">
        <v>-3.0960000000000001</v>
      </c>
      <c r="K3799" s="2" t="s">
        <v>317</v>
      </c>
      <c r="L3799" s="2">
        <v>2024</v>
      </c>
      <c r="M3799" s="2" t="s">
        <v>43</v>
      </c>
      <c r="N3799" s="2" t="s">
        <v>23</v>
      </c>
      <c r="O3799">
        <f t="shared" si="118"/>
        <v>9.4699999999999989</v>
      </c>
      <c r="P3799">
        <f t="shared" si="119"/>
        <v>73.708999999999975</v>
      </c>
    </row>
    <row r="3800" spans="1:16" x14ac:dyDescent="0.35">
      <c r="A3800" s="9" t="s">
        <v>330</v>
      </c>
      <c r="B3800" s="2">
        <v>193.36</v>
      </c>
      <c r="C3800" s="2">
        <v>199.44</v>
      </c>
      <c r="D3800" s="2">
        <v>191.95</v>
      </c>
      <c r="E3800" s="2">
        <v>194.77</v>
      </c>
      <c r="F3800" s="2">
        <v>103844008</v>
      </c>
      <c r="G3800" s="2" t="s">
        <v>573</v>
      </c>
      <c r="H3800" s="2" t="s">
        <v>574</v>
      </c>
      <c r="I3800" s="2" t="s">
        <v>575</v>
      </c>
      <c r="J3800" s="3">
        <v>0.52100000000000002</v>
      </c>
      <c r="K3800" s="2" t="s">
        <v>317</v>
      </c>
      <c r="L3800" s="2">
        <v>2024</v>
      </c>
      <c r="M3800" s="2" t="s">
        <v>43</v>
      </c>
      <c r="N3800" s="2" t="s">
        <v>21</v>
      </c>
      <c r="O3800">
        <f t="shared" si="118"/>
        <v>7.4900000000000091</v>
      </c>
      <c r="P3800">
        <f t="shared" si="119"/>
        <v>74.229999999999976</v>
      </c>
    </row>
    <row r="3801" spans="1:16" x14ac:dyDescent="0.35">
      <c r="A3801" s="9" t="s">
        <v>331</v>
      </c>
      <c r="B3801" s="2">
        <v>194</v>
      </c>
      <c r="C3801" s="2">
        <v>198.32</v>
      </c>
      <c r="D3801" s="2">
        <v>191.36</v>
      </c>
      <c r="E3801" s="2">
        <v>197.41</v>
      </c>
      <c r="F3801" s="2">
        <v>92739461</v>
      </c>
      <c r="G3801" s="2" t="s">
        <v>573</v>
      </c>
      <c r="H3801" s="2" t="s">
        <v>574</v>
      </c>
      <c r="I3801" s="2" t="s">
        <v>575</v>
      </c>
      <c r="J3801" s="3">
        <v>1.355</v>
      </c>
      <c r="K3801" s="2" t="s">
        <v>317</v>
      </c>
      <c r="L3801" s="2">
        <v>2024</v>
      </c>
      <c r="M3801" s="2" t="s">
        <v>43</v>
      </c>
      <c r="N3801" s="2" t="s">
        <v>21</v>
      </c>
      <c r="O3801">
        <f t="shared" si="118"/>
        <v>6.9599999999999795</v>
      </c>
      <c r="P3801">
        <f t="shared" si="119"/>
        <v>75.58499999999998</v>
      </c>
    </row>
    <row r="3802" spans="1:16" x14ac:dyDescent="0.35">
      <c r="A3802" s="9" t="s">
        <v>332</v>
      </c>
      <c r="B3802" s="2">
        <v>195.31</v>
      </c>
      <c r="C3802" s="2">
        <v>197.57</v>
      </c>
      <c r="D3802" s="2">
        <v>191.5</v>
      </c>
      <c r="E3802" s="2">
        <v>191.97</v>
      </c>
      <c r="F3802" s="2">
        <v>78841917</v>
      </c>
      <c r="G3802" s="2" t="s">
        <v>573</v>
      </c>
      <c r="H3802" s="2" t="s">
        <v>574</v>
      </c>
      <c r="I3802" s="2" t="s">
        <v>575</v>
      </c>
      <c r="J3802" s="4">
        <v>-2.7559999999999998</v>
      </c>
      <c r="K3802" s="2" t="s">
        <v>317</v>
      </c>
      <c r="L3802" s="2">
        <v>2024</v>
      </c>
      <c r="M3802" s="2" t="s">
        <v>43</v>
      </c>
      <c r="N3802" s="2" t="s">
        <v>23</v>
      </c>
      <c r="O3802">
        <f t="shared" si="118"/>
        <v>6.0699999999999932</v>
      </c>
      <c r="P3802">
        <f t="shared" si="119"/>
        <v>72.828999999999979</v>
      </c>
    </row>
    <row r="3803" spans="1:16" x14ac:dyDescent="0.35">
      <c r="A3803" s="9" t="s">
        <v>333</v>
      </c>
      <c r="B3803" s="2">
        <v>192.29</v>
      </c>
      <c r="C3803" s="2">
        <v>201.78</v>
      </c>
      <c r="D3803" s="2">
        <v>192</v>
      </c>
      <c r="E3803" s="2">
        <v>199.4</v>
      </c>
      <c r="F3803" s="2">
        <v>111747116</v>
      </c>
      <c r="G3803" s="2" t="s">
        <v>573</v>
      </c>
      <c r="H3803" s="2" t="s">
        <v>574</v>
      </c>
      <c r="I3803" s="2" t="s">
        <v>575</v>
      </c>
      <c r="J3803" s="3">
        <v>3.87</v>
      </c>
      <c r="K3803" s="2" t="s">
        <v>317</v>
      </c>
      <c r="L3803" s="2">
        <v>2024</v>
      </c>
      <c r="M3803" s="2" t="s">
        <v>43</v>
      </c>
      <c r="N3803" s="2" t="s">
        <v>21</v>
      </c>
      <c r="O3803">
        <f t="shared" si="118"/>
        <v>9.7800000000000011</v>
      </c>
      <c r="P3803">
        <f t="shared" si="119"/>
        <v>76.698999999999984</v>
      </c>
    </row>
    <row r="3804" spans="1:16" x14ac:dyDescent="0.35">
      <c r="A3804" s="9" t="s">
        <v>334</v>
      </c>
      <c r="B3804" s="2">
        <v>204.04</v>
      </c>
      <c r="C3804" s="2">
        <v>205.6</v>
      </c>
      <c r="D3804" s="2">
        <v>198.26</v>
      </c>
      <c r="E3804" s="2">
        <v>199.73</v>
      </c>
      <c r="F3804" s="2">
        <v>108645412</v>
      </c>
      <c r="G3804" s="2" t="s">
        <v>573</v>
      </c>
      <c r="H3804" s="2" t="s">
        <v>574</v>
      </c>
      <c r="I3804" s="2" t="s">
        <v>575</v>
      </c>
      <c r="J3804" s="3">
        <v>0.16500000000000001</v>
      </c>
      <c r="K3804" s="2" t="s">
        <v>317</v>
      </c>
      <c r="L3804" s="2">
        <v>2024</v>
      </c>
      <c r="M3804" s="2" t="s">
        <v>43</v>
      </c>
      <c r="N3804" s="2" t="s">
        <v>21</v>
      </c>
      <c r="O3804">
        <f t="shared" si="118"/>
        <v>7.3400000000000034</v>
      </c>
      <c r="P3804">
        <f t="shared" si="119"/>
        <v>76.86399999999999</v>
      </c>
    </row>
    <row r="3805" spans="1:16" x14ac:dyDescent="0.35">
      <c r="A3805" s="9" t="s">
        <v>335</v>
      </c>
      <c r="B3805" s="2">
        <v>200.42</v>
      </c>
      <c r="C3805" s="2">
        <v>205.3</v>
      </c>
      <c r="D3805" s="2">
        <v>198.44</v>
      </c>
      <c r="E3805" s="2">
        <v>202.04</v>
      </c>
      <c r="F3805" s="2">
        <v>99806173</v>
      </c>
      <c r="G3805" s="2" t="s">
        <v>573</v>
      </c>
      <c r="H3805" s="2" t="s">
        <v>574</v>
      </c>
      <c r="I3805" s="2" t="s">
        <v>575</v>
      </c>
      <c r="J3805" s="3">
        <v>1.157</v>
      </c>
      <c r="K3805" s="2" t="s">
        <v>317</v>
      </c>
      <c r="L3805" s="2">
        <v>2024</v>
      </c>
      <c r="M3805" s="2" t="s">
        <v>43</v>
      </c>
      <c r="N3805" s="2" t="s">
        <v>21</v>
      </c>
      <c r="O3805">
        <f t="shared" si="118"/>
        <v>6.8600000000000136</v>
      </c>
      <c r="P3805">
        <f t="shared" si="119"/>
        <v>78.020999999999987</v>
      </c>
    </row>
    <row r="3806" spans="1:16" x14ac:dyDescent="0.35">
      <c r="A3806" s="9" t="s">
        <v>336</v>
      </c>
      <c r="B3806" s="2">
        <v>204.18</v>
      </c>
      <c r="C3806" s="2">
        <v>205.28</v>
      </c>
      <c r="D3806" s="2">
        <v>198.446</v>
      </c>
      <c r="E3806" s="2">
        <v>201.88</v>
      </c>
      <c r="F3806" s="2">
        <v>85906974</v>
      </c>
      <c r="G3806" s="2" t="s">
        <v>573</v>
      </c>
      <c r="H3806" s="2" t="s">
        <v>574</v>
      </c>
      <c r="I3806" s="2" t="s">
        <v>575</v>
      </c>
      <c r="J3806" s="4">
        <v>-7.9000000000000001E-2</v>
      </c>
      <c r="K3806" s="2" t="s">
        <v>317</v>
      </c>
      <c r="L3806" s="2">
        <v>2024</v>
      </c>
      <c r="M3806" s="2" t="s">
        <v>43</v>
      </c>
      <c r="N3806" s="2" t="s">
        <v>23</v>
      </c>
      <c r="O3806">
        <f t="shared" si="118"/>
        <v>6.8340000000000032</v>
      </c>
      <c r="P3806">
        <f t="shared" si="119"/>
        <v>77.941999999999993</v>
      </c>
    </row>
    <row r="3807" spans="1:16" x14ac:dyDescent="0.35">
      <c r="A3807" s="9" t="s">
        <v>337</v>
      </c>
      <c r="B3807" s="2">
        <v>200.52</v>
      </c>
      <c r="C3807" s="2">
        <v>204.52</v>
      </c>
      <c r="D3807" s="2">
        <v>198.5</v>
      </c>
      <c r="E3807" s="2">
        <v>202.64</v>
      </c>
      <c r="F3807" s="2">
        <v>82243119</v>
      </c>
      <c r="G3807" s="2" t="s">
        <v>573</v>
      </c>
      <c r="H3807" s="2" t="s">
        <v>574</v>
      </c>
      <c r="I3807" s="2" t="s">
        <v>575</v>
      </c>
      <c r="J3807" s="3">
        <v>0.376</v>
      </c>
      <c r="K3807" s="2" t="s">
        <v>338</v>
      </c>
      <c r="L3807" s="2">
        <v>2024</v>
      </c>
      <c r="M3807" s="2" t="s">
        <v>64</v>
      </c>
      <c r="N3807" s="2" t="s">
        <v>21</v>
      </c>
      <c r="O3807">
        <f t="shared" si="118"/>
        <v>6.0200000000000102</v>
      </c>
      <c r="P3807">
        <f t="shared" si="119"/>
        <v>78.317999999999998</v>
      </c>
    </row>
    <row r="3808" spans="1:16" x14ac:dyDescent="0.35">
      <c r="A3808" s="9" t="s">
        <v>339</v>
      </c>
      <c r="B3808" s="2">
        <v>198.73</v>
      </c>
      <c r="C3808" s="2">
        <v>199.75</v>
      </c>
      <c r="D3808" s="2">
        <v>186.72</v>
      </c>
      <c r="E3808" s="2">
        <v>188.14</v>
      </c>
      <c r="F3808" s="2">
        <v>134334869</v>
      </c>
      <c r="G3808" s="2" t="s">
        <v>573</v>
      </c>
      <c r="H3808" s="2" t="s">
        <v>574</v>
      </c>
      <c r="I3808" s="2" t="s">
        <v>575</v>
      </c>
      <c r="J3808" s="4">
        <v>-7.1559999999999997</v>
      </c>
      <c r="K3808" s="2" t="s">
        <v>338</v>
      </c>
      <c r="L3808" s="2">
        <v>2024</v>
      </c>
      <c r="M3808" s="2" t="s">
        <v>64</v>
      </c>
      <c r="N3808" s="2" t="s">
        <v>23</v>
      </c>
      <c r="O3808">
        <f t="shared" si="118"/>
        <v>13.030000000000001</v>
      </c>
      <c r="P3808">
        <f t="shared" si="119"/>
        <v>71.161999999999992</v>
      </c>
    </row>
    <row r="3809" spans="1:16" x14ac:dyDescent="0.35">
      <c r="A3809" s="9" t="s">
        <v>340</v>
      </c>
      <c r="B3809" s="2">
        <v>183.05</v>
      </c>
      <c r="C3809" s="2">
        <v>184.59</v>
      </c>
      <c r="D3809" s="2">
        <v>177.57</v>
      </c>
      <c r="E3809" s="2">
        <v>180.74</v>
      </c>
      <c r="F3809" s="2">
        <v>119660758</v>
      </c>
      <c r="G3809" s="2" t="s">
        <v>573</v>
      </c>
      <c r="H3809" s="2" t="s">
        <v>574</v>
      </c>
      <c r="I3809" s="2" t="s">
        <v>575</v>
      </c>
      <c r="J3809" s="4">
        <v>-3.9329999999999998</v>
      </c>
      <c r="K3809" s="2" t="s">
        <v>338</v>
      </c>
      <c r="L3809" s="2">
        <v>2024</v>
      </c>
      <c r="M3809" s="2" t="s">
        <v>64</v>
      </c>
      <c r="N3809" s="2" t="s">
        <v>23</v>
      </c>
      <c r="O3809">
        <f t="shared" si="118"/>
        <v>7.0200000000000102</v>
      </c>
      <c r="P3809">
        <f t="shared" si="119"/>
        <v>67.228999999999985</v>
      </c>
    </row>
    <row r="3810" spans="1:16" x14ac:dyDescent="0.35">
      <c r="A3810" s="9" t="s">
        <v>341</v>
      </c>
      <c r="B3810" s="2">
        <v>179.99</v>
      </c>
      <c r="C3810" s="2">
        <v>181.57599999999999</v>
      </c>
      <c r="D3810" s="2">
        <v>173.7</v>
      </c>
      <c r="E3810" s="2">
        <v>176.54</v>
      </c>
      <c r="F3810" s="2">
        <v>107920944</v>
      </c>
      <c r="G3810" s="2" t="s">
        <v>573</v>
      </c>
      <c r="H3810" s="2" t="s">
        <v>574</v>
      </c>
      <c r="I3810" s="2" t="s">
        <v>575</v>
      </c>
      <c r="J3810" s="4">
        <v>-2.3239999999999998</v>
      </c>
      <c r="K3810" s="2" t="s">
        <v>338</v>
      </c>
      <c r="L3810" s="2">
        <v>2024</v>
      </c>
      <c r="M3810" s="2" t="s">
        <v>64</v>
      </c>
      <c r="N3810" s="2" t="s">
        <v>23</v>
      </c>
      <c r="O3810">
        <f t="shared" si="118"/>
        <v>7.8760000000000048</v>
      </c>
      <c r="P3810">
        <f t="shared" si="119"/>
        <v>64.904999999999987</v>
      </c>
    </row>
    <row r="3811" spans="1:16" x14ac:dyDescent="0.35">
      <c r="A3811" s="9" t="s">
        <v>342</v>
      </c>
      <c r="B3811" s="2">
        <v>174.35</v>
      </c>
      <c r="C3811" s="2">
        <v>180.04</v>
      </c>
      <c r="D3811" s="2">
        <v>173.7</v>
      </c>
      <c r="E3811" s="2">
        <v>178.65</v>
      </c>
      <c r="F3811" s="2">
        <v>102129004</v>
      </c>
      <c r="G3811" s="2" t="s">
        <v>573</v>
      </c>
      <c r="H3811" s="2" t="s">
        <v>574</v>
      </c>
      <c r="I3811" s="2" t="s">
        <v>575</v>
      </c>
      <c r="J3811" s="3">
        <v>1.1950000000000001</v>
      </c>
      <c r="K3811" s="2" t="s">
        <v>338</v>
      </c>
      <c r="L3811" s="2">
        <v>2024</v>
      </c>
      <c r="M3811" s="2" t="s">
        <v>64</v>
      </c>
      <c r="N3811" s="2" t="s">
        <v>21</v>
      </c>
      <c r="O3811">
        <f t="shared" si="118"/>
        <v>6.3400000000000034</v>
      </c>
      <c r="P3811">
        <f t="shared" si="119"/>
        <v>66.09999999999998</v>
      </c>
    </row>
    <row r="3812" spans="1:16" x14ac:dyDescent="0.35">
      <c r="A3812" s="9" t="s">
        <v>343</v>
      </c>
      <c r="B3812" s="2">
        <v>181.5</v>
      </c>
      <c r="C3812" s="2">
        <v>182.73</v>
      </c>
      <c r="D3812" s="2">
        <v>174.7</v>
      </c>
      <c r="E3812" s="2">
        <v>175.34</v>
      </c>
      <c r="F3812" s="2">
        <v>85544644</v>
      </c>
      <c r="G3812" s="2" t="s">
        <v>573</v>
      </c>
      <c r="H3812" s="2" t="s">
        <v>574</v>
      </c>
      <c r="I3812" s="2" t="s">
        <v>575</v>
      </c>
      <c r="J3812" s="4">
        <v>-1.853</v>
      </c>
      <c r="K3812" s="2" t="s">
        <v>338</v>
      </c>
      <c r="L3812" s="2">
        <v>2024</v>
      </c>
      <c r="M3812" s="2" t="s">
        <v>64</v>
      </c>
      <c r="N3812" s="2" t="s">
        <v>23</v>
      </c>
      <c r="O3812">
        <f t="shared" si="118"/>
        <v>8.0300000000000011</v>
      </c>
      <c r="P3812">
        <f t="shared" si="119"/>
        <v>64.246999999999986</v>
      </c>
    </row>
    <row r="3813" spans="1:16" x14ac:dyDescent="0.35">
      <c r="A3813" s="9" t="s">
        <v>344</v>
      </c>
      <c r="B3813" s="2">
        <v>175.44499999999999</v>
      </c>
      <c r="C3813" s="2">
        <v>182.87</v>
      </c>
      <c r="D3813" s="2">
        <v>174.8</v>
      </c>
      <c r="E3813" s="2">
        <v>177.77</v>
      </c>
      <c r="F3813" s="2">
        <v>85391528</v>
      </c>
      <c r="G3813" s="2" t="s">
        <v>573</v>
      </c>
      <c r="H3813" s="2" t="s">
        <v>574</v>
      </c>
      <c r="I3813" s="2" t="s">
        <v>575</v>
      </c>
      <c r="J3813" s="3">
        <v>1.3859999999999999</v>
      </c>
      <c r="K3813" s="2" t="s">
        <v>338</v>
      </c>
      <c r="L3813" s="2">
        <v>2024</v>
      </c>
      <c r="M3813" s="2" t="s">
        <v>64</v>
      </c>
      <c r="N3813" s="2" t="s">
        <v>21</v>
      </c>
      <c r="O3813">
        <f t="shared" si="118"/>
        <v>8.0699999999999932</v>
      </c>
      <c r="P3813">
        <f t="shared" si="119"/>
        <v>65.632999999999981</v>
      </c>
    </row>
    <row r="3814" spans="1:16" x14ac:dyDescent="0.35">
      <c r="A3814" s="9" t="s">
        <v>345</v>
      </c>
      <c r="B3814" s="2">
        <v>177.77</v>
      </c>
      <c r="C3814" s="2">
        <v>179.43</v>
      </c>
      <c r="D3814" s="2">
        <v>172.41</v>
      </c>
      <c r="E3814" s="2">
        <v>177.54</v>
      </c>
      <c r="F3814" s="2">
        <v>87391684</v>
      </c>
      <c r="G3814" s="2" t="s">
        <v>573</v>
      </c>
      <c r="H3814" s="2" t="s">
        <v>574</v>
      </c>
      <c r="I3814" s="2" t="s">
        <v>575</v>
      </c>
      <c r="J3814" s="4">
        <v>-0.129</v>
      </c>
      <c r="K3814" s="2" t="s">
        <v>338</v>
      </c>
      <c r="L3814" s="2">
        <v>2024</v>
      </c>
      <c r="M3814" s="2" t="s">
        <v>64</v>
      </c>
      <c r="N3814" s="2" t="s">
        <v>23</v>
      </c>
      <c r="O3814">
        <f t="shared" si="118"/>
        <v>7.0200000000000102</v>
      </c>
      <c r="P3814">
        <f t="shared" si="119"/>
        <v>65.503999999999976</v>
      </c>
    </row>
    <row r="3815" spans="1:16" x14ac:dyDescent="0.35">
      <c r="A3815" s="9" t="s">
        <v>346</v>
      </c>
      <c r="B3815" s="2">
        <v>173.05</v>
      </c>
      <c r="C3815" s="2">
        <v>176.05</v>
      </c>
      <c r="D3815" s="2">
        <v>169.15</v>
      </c>
      <c r="E3815" s="2">
        <v>169.48</v>
      </c>
      <c r="F3815" s="2">
        <v>106524518</v>
      </c>
      <c r="G3815" s="2" t="s">
        <v>573</v>
      </c>
      <c r="H3815" s="2" t="s">
        <v>574</v>
      </c>
      <c r="I3815" s="2" t="s">
        <v>575</v>
      </c>
      <c r="J3815" s="4">
        <v>-4.54</v>
      </c>
      <c r="K3815" s="2" t="s">
        <v>338</v>
      </c>
      <c r="L3815" s="2">
        <v>2024</v>
      </c>
      <c r="M3815" s="2" t="s">
        <v>64</v>
      </c>
      <c r="N3815" s="2" t="s">
        <v>23</v>
      </c>
      <c r="O3815">
        <f t="shared" si="118"/>
        <v>6.9000000000000057</v>
      </c>
      <c r="P3815">
        <f t="shared" si="119"/>
        <v>60.963999999999977</v>
      </c>
    </row>
    <row r="3816" spans="1:16" x14ac:dyDescent="0.35">
      <c r="A3816" s="9" t="s">
        <v>347</v>
      </c>
      <c r="B3816" s="2">
        <v>167.77</v>
      </c>
      <c r="C3816" s="2">
        <v>171.17</v>
      </c>
      <c r="D3816" s="2">
        <v>160.51</v>
      </c>
      <c r="E3816" s="2">
        <v>162.5</v>
      </c>
      <c r="F3816" s="2">
        <v>126325696</v>
      </c>
      <c r="G3816" s="2" t="s">
        <v>573</v>
      </c>
      <c r="H3816" s="2" t="s">
        <v>574</v>
      </c>
      <c r="I3816" s="2" t="s">
        <v>575</v>
      </c>
      <c r="J3816" s="4">
        <v>-4.1180000000000003</v>
      </c>
      <c r="K3816" s="2" t="s">
        <v>338</v>
      </c>
      <c r="L3816" s="2">
        <v>2024</v>
      </c>
      <c r="M3816" s="2" t="s">
        <v>64</v>
      </c>
      <c r="N3816" s="2" t="s">
        <v>23</v>
      </c>
      <c r="O3816">
        <f t="shared" si="118"/>
        <v>10.659999999999997</v>
      </c>
      <c r="P3816">
        <f t="shared" si="119"/>
        <v>56.845999999999975</v>
      </c>
    </row>
    <row r="3817" spans="1:16" x14ac:dyDescent="0.35">
      <c r="A3817" s="9" t="s">
        <v>348</v>
      </c>
      <c r="B3817" s="2">
        <v>163.16</v>
      </c>
      <c r="C3817" s="2">
        <v>165.185</v>
      </c>
      <c r="D3817" s="2">
        <v>160.76</v>
      </c>
      <c r="E3817" s="2">
        <v>163.57</v>
      </c>
      <c r="F3817" s="2">
        <v>97146832</v>
      </c>
      <c r="G3817" s="2" t="s">
        <v>573</v>
      </c>
      <c r="H3817" s="2" t="s">
        <v>574</v>
      </c>
      <c r="I3817" s="2" t="s">
        <v>575</v>
      </c>
      <c r="J3817" s="3">
        <v>0.65800000000000003</v>
      </c>
      <c r="K3817" s="2" t="s">
        <v>338</v>
      </c>
      <c r="L3817" s="2">
        <v>2024</v>
      </c>
      <c r="M3817" s="2" t="s">
        <v>64</v>
      </c>
      <c r="N3817" s="2" t="s">
        <v>21</v>
      </c>
      <c r="O3817">
        <f t="shared" si="118"/>
        <v>4.4250000000000114</v>
      </c>
      <c r="P3817">
        <f t="shared" si="119"/>
        <v>57.503999999999976</v>
      </c>
    </row>
    <row r="3818" spans="1:16" x14ac:dyDescent="0.35">
      <c r="A3818" s="9" t="s">
        <v>349</v>
      </c>
      <c r="B3818" s="2">
        <v>170.02</v>
      </c>
      <c r="C3818" s="2">
        <v>174.72</v>
      </c>
      <c r="D3818" s="2">
        <v>165.9</v>
      </c>
      <c r="E3818" s="2">
        <v>173.8</v>
      </c>
      <c r="F3818" s="2">
        <v>108214358</v>
      </c>
      <c r="G3818" s="2" t="s">
        <v>573</v>
      </c>
      <c r="H3818" s="2" t="s">
        <v>574</v>
      </c>
      <c r="I3818" s="2" t="s">
        <v>575</v>
      </c>
      <c r="J3818" s="3">
        <v>6.2539999999999996</v>
      </c>
      <c r="K3818" s="2" t="s">
        <v>338</v>
      </c>
      <c r="L3818" s="2">
        <v>2024</v>
      </c>
      <c r="M3818" s="2" t="s">
        <v>64</v>
      </c>
      <c r="N3818" s="2" t="s">
        <v>21</v>
      </c>
      <c r="O3818">
        <f t="shared" si="118"/>
        <v>8.8199999999999932</v>
      </c>
      <c r="P3818">
        <f t="shared" si="119"/>
        <v>63.757999999999974</v>
      </c>
    </row>
    <row r="3819" spans="1:16" x14ac:dyDescent="0.35">
      <c r="A3819" s="9" t="s">
        <v>350</v>
      </c>
      <c r="B3819" s="2">
        <v>172.36</v>
      </c>
      <c r="C3819" s="2">
        <v>172.82</v>
      </c>
      <c r="D3819" s="2">
        <v>167.42</v>
      </c>
      <c r="E3819" s="2">
        <v>171.32</v>
      </c>
      <c r="F3819" s="2">
        <v>77271428</v>
      </c>
      <c r="G3819" s="2" t="s">
        <v>573</v>
      </c>
      <c r="H3819" s="2" t="s">
        <v>574</v>
      </c>
      <c r="I3819" s="2" t="s">
        <v>575</v>
      </c>
      <c r="J3819" s="4">
        <v>-1.427</v>
      </c>
      <c r="K3819" s="2" t="s">
        <v>338</v>
      </c>
      <c r="L3819" s="2">
        <v>2024</v>
      </c>
      <c r="M3819" s="2" t="s">
        <v>64</v>
      </c>
      <c r="N3819" s="2" t="s">
        <v>23</v>
      </c>
      <c r="O3819">
        <f t="shared" si="118"/>
        <v>5.4000000000000057</v>
      </c>
      <c r="P3819">
        <f t="shared" si="119"/>
        <v>62.330999999999975</v>
      </c>
    </row>
    <row r="3820" spans="1:16" x14ac:dyDescent="0.35">
      <c r="A3820" s="9" t="s">
        <v>351</v>
      </c>
      <c r="B3820" s="2">
        <v>173</v>
      </c>
      <c r="C3820" s="2">
        <v>176.25</v>
      </c>
      <c r="D3820" s="2">
        <v>170.82</v>
      </c>
      <c r="E3820" s="2">
        <v>175.66</v>
      </c>
      <c r="F3820" s="2">
        <v>83846726</v>
      </c>
      <c r="G3820" s="2" t="s">
        <v>573</v>
      </c>
      <c r="H3820" s="2" t="s">
        <v>574</v>
      </c>
      <c r="I3820" s="2" t="s">
        <v>575</v>
      </c>
      <c r="J3820" s="3">
        <v>2.5329999999999999</v>
      </c>
      <c r="K3820" s="2" t="s">
        <v>338</v>
      </c>
      <c r="L3820" s="2">
        <v>2024</v>
      </c>
      <c r="M3820" s="2" t="s">
        <v>64</v>
      </c>
      <c r="N3820" s="2" t="s">
        <v>21</v>
      </c>
      <c r="O3820">
        <f t="shared" si="118"/>
        <v>5.4300000000000068</v>
      </c>
      <c r="P3820">
        <f t="shared" si="119"/>
        <v>64.863999999999976</v>
      </c>
    </row>
    <row r="3821" spans="1:16" x14ac:dyDescent="0.35">
      <c r="A3821" s="9" t="s">
        <v>352</v>
      </c>
      <c r="B3821" s="2">
        <v>176.39</v>
      </c>
      <c r="C3821" s="2">
        <v>178.18</v>
      </c>
      <c r="D3821" s="2">
        <v>171.8</v>
      </c>
      <c r="E3821" s="2">
        <v>172.82</v>
      </c>
      <c r="F3821" s="2">
        <v>73178014</v>
      </c>
      <c r="G3821" s="2" t="s">
        <v>573</v>
      </c>
      <c r="H3821" s="2" t="s">
        <v>574</v>
      </c>
      <c r="I3821" s="2" t="s">
        <v>575</v>
      </c>
      <c r="J3821" s="4">
        <v>-1.617</v>
      </c>
      <c r="K3821" s="2" t="s">
        <v>338</v>
      </c>
      <c r="L3821" s="2">
        <v>2024</v>
      </c>
      <c r="M3821" s="2" t="s">
        <v>64</v>
      </c>
      <c r="N3821" s="2" t="s">
        <v>23</v>
      </c>
      <c r="O3821">
        <f t="shared" si="118"/>
        <v>6.3799999999999955</v>
      </c>
      <c r="P3821">
        <f t="shared" si="119"/>
        <v>63.246999999999979</v>
      </c>
    </row>
    <row r="3822" spans="1:16" x14ac:dyDescent="0.35">
      <c r="A3822" s="9" t="s">
        <v>353</v>
      </c>
      <c r="B3822" s="2">
        <v>166.69</v>
      </c>
      <c r="C3822" s="2">
        <v>171.2</v>
      </c>
      <c r="D3822" s="2">
        <v>166.3</v>
      </c>
      <c r="E3822" s="2">
        <v>170.83</v>
      </c>
      <c r="F3822" s="2">
        <v>75580637</v>
      </c>
      <c r="G3822" s="2" t="s">
        <v>573</v>
      </c>
      <c r="H3822" s="2" t="s">
        <v>574</v>
      </c>
      <c r="I3822" s="2" t="s">
        <v>575</v>
      </c>
      <c r="J3822" s="4">
        <v>-1.151</v>
      </c>
      <c r="K3822" s="2" t="s">
        <v>338</v>
      </c>
      <c r="L3822" s="2">
        <v>2024</v>
      </c>
      <c r="M3822" s="2" t="s">
        <v>64</v>
      </c>
      <c r="N3822" s="2" t="s">
        <v>23</v>
      </c>
      <c r="O3822">
        <f t="shared" si="118"/>
        <v>4.8999999999999773</v>
      </c>
      <c r="P3822">
        <f t="shared" si="119"/>
        <v>62.095999999999975</v>
      </c>
    </row>
    <row r="3823" spans="1:16" x14ac:dyDescent="0.35">
      <c r="A3823" s="9" t="s">
        <v>354</v>
      </c>
      <c r="B3823" s="2">
        <v>168.76</v>
      </c>
      <c r="C3823" s="2">
        <v>175.24</v>
      </c>
      <c r="D3823" s="2">
        <v>168.73</v>
      </c>
      <c r="E3823" s="2">
        <v>172.63</v>
      </c>
      <c r="F3823" s="2">
        <v>74228615</v>
      </c>
      <c r="G3823" s="2" t="s">
        <v>573</v>
      </c>
      <c r="H3823" s="2" t="s">
        <v>574</v>
      </c>
      <c r="I3823" s="2" t="s">
        <v>575</v>
      </c>
      <c r="J3823" s="3">
        <v>1.054</v>
      </c>
      <c r="K3823" s="2" t="s">
        <v>338</v>
      </c>
      <c r="L3823" s="2">
        <v>2024</v>
      </c>
      <c r="M3823" s="2" t="s">
        <v>64</v>
      </c>
      <c r="N3823" s="2" t="s">
        <v>21</v>
      </c>
      <c r="O3823">
        <f t="shared" si="118"/>
        <v>6.5100000000000193</v>
      </c>
      <c r="P3823">
        <f t="shared" si="119"/>
        <v>63.149999999999977</v>
      </c>
    </row>
    <row r="3824" spans="1:16" x14ac:dyDescent="0.35">
      <c r="A3824" s="9" t="s">
        <v>355</v>
      </c>
      <c r="B3824" s="2">
        <v>178.58</v>
      </c>
      <c r="C3824" s="2">
        <v>184.25</v>
      </c>
      <c r="D3824" s="2">
        <v>177.38</v>
      </c>
      <c r="E3824" s="2">
        <v>177.67</v>
      </c>
      <c r="F3824" s="2">
        <v>113186227</v>
      </c>
      <c r="G3824" s="2" t="s">
        <v>573</v>
      </c>
      <c r="H3824" s="2" t="s">
        <v>574</v>
      </c>
      <c r="I3824" s="2" t="s">
        <v>575</v>
      </c>
      <c r="J3824" s="3">
        <v>2.92</v>
      </c>
      <c r="K3824" s="2" t="s">
        <v>338</v>
      </c>
      <c r="L3824" s="2">
        <v>2024</v>
      </c>
      <c r="M3824" s="2" t="s">
        <v>64</v>
      </c>
      <c r="N3824" s="2" t="s">
        <v>21</v>
      </c>
      <c r="O3824">
        <f t="shared" si="118"/>
        <v>6.8700000000000045</v>
      </c>
      <c r="P3824">
        <f t="shared" si="119"/>
        <v>66.069999999999979</v>
      </c>
    </row>
    <row r="3825" spans="1:16" x14ac:dyDescent="0.35">
      <c r="A3825" s="9" t="s">
        <v>356</v>
      </c>
      <c r="B3825" s="2">
        <v>181.41</v>
      </c>
      <c r="C3825" s="2">
        <v>181.91</v>
      </c>
      <c r="D3825" s="2">
        <v>176</v>
      </c>
      <c r="E3825" s="2">
        <v>179.83</v>
      </c>
      <c r="F3825" s="2">
        <v>81804043</v>
      </c>
      <c r="G3825" s="2" t="s">
        <v>573</v>
      </c>
      <c r="H3825" s="2" t="s">
        <v>574</v>
      </c>
      <c r="I3825" s="2" t="s">
        <v>575</v>
      </c>
      <c r="J3825" s="3">
        <v>1.216</v>
      </c>
      <c r="K3825" s="2" t="s">
        <v>338</v>
      </c>
      <c r="L3825" s="2">
        <v>2024</v>
      </c>
      <c r="M3825" s="2" t="s">
        <v>64</v>
      </c>
      <c r="N3825" s="2" t="s">
        <v>21</v>
      </c>
      <c r="O3825">
        <f t="shared" si="118"/>
        <v>5.9099999999999966</v>
      </c>
      <c r="P3825">
        <f t="shared" si="119"/>
        <v>67.285999999999973</v>
      </c>
    </row>
    <row r="3826" spans="1:16" x14ac:dyDescent="0.35">
      <c r="A3826" s="9" t="s">
        <v>357</v>
      </c>
      <c r="B3826" s="2">
        <v>177.45</v>
      </c>
      <c r="C3826" s="2">
        <v>179.57</v>
      </c>
      <c r="D3826" s="2">
        <v>175.3</v>
      </c>
      <c r="E3826" s="2">
        <v>175.79</v>
      </c>
      <c r="F3826" s="2">
        <v>77654838</v>
      </c>
      <c r="G3826" s="2" t="s">
        <v>573</v>
      </c>
      <c r="H3826" s="2" t="s">
        <v>574</v>
      </c>
      <c r="I3826" s="2" t="s">
        <v>575</v>
      </c>
      <c r="J3826" s="4">
        <v>-2.2469999999999999</v>
      </c>
      <c r="K3826" s="2" t="s">
        <v>338</v>
      </c>
      <c r="L3826" s="2">
        <v>2024</v>
      </c>
      <c r="M3826" s="2" t="s">
        <v>64</v>
      </c>
      <c r="N3826" s="2" t="s">
        <v>23</v>
      </c>
      <c r="O3826">
        <f t="shared" si="118"/>
        <v>4.2699999999999818</v>
      </c>
      <c r="P3826">
        <f t="shared" si="119"/>
        <v>65.038999999999973</v>
      </c>
    </row>
    <row r="3827" spans="1:16" x14ac:dyDescent="0.35">
      <c r="A3827" s="9" t="s">
        <v>358</v>
      </c>
      <c r="B3827" s="2">
        <v>176.17</v>
      </c>
      <c r="C3827" s="2">
        <v>176.75</v>
      </c>
      <c r="D3827" s="2">
        <v>170.21</v>
      </c>
      <c r="E3827" s="2">
        <v>175.22</v>
      </c>
      <c r="F3827" s="2">
        <v>81562127</v>
      </c>
      <c r="G3827" s="2" t="s">
        <v>573</v>
      </c>
      <c r="H3827" s="2" t="s">
        <v>574</v>
      </c>
      <c r="I3827" s="2" t="s">
        <v>575</v>
      </c>
      <c r="J3827" s="4">
        <v>-0.32400000000000001</v>
      </c>
      <c r="K3827" s="2" t="s">
        <v>359</v>
      </c>
      <c r="L3827" s="2">
        <v>2024</v>
      </c>
      <c r="M3827" s="2" t="s">
        <v>89</v>
      </c>
      <c r="N3827" s="2" t="s">
        <v>23</v>
      </c>
      <c r="O3827">
        <f t="shared" si="118"/>
        <v>6.539999999999992</v>
      </c>
      <c r="P3827">
        <f t="shared" si="119"/>
        <v>64.714999999999975</v>
      </c>
    </row>
    <row r="3828" spans="1:16" x14ac:dyDescent="0.35">
      <c r="A3828" s="9" t="s">
        <v>360</v>
      </c>
      <c r="B3828" s="2">
        <v>164.75</v>
      </c>
      <c r="C3828" s="2">
        <v>167.69</v>
      </c>
      <c r="D3828" s="2">
        <v>163.43</v>
      </c>
      <c r="E3828" s="2">
        <v>166.63</v>
      </c>
      <c r="F3828" s="2">
        <v>116650594</v>
      </c>
      <c r="G3828" s="2" t="s">
        <v>573</v>
      </c>
      <c r="H3828" s="2" t="s">
        <v>574</v>
      </c>
      <c r="I3828" s="2" t="s">
        <v>575</v>
      </c>
      <c r="J3828" s="4">
        <v>-4.9020000000000001</v>
      </c>
      <c r="K3828" s="2" t="s">
        <v>359</v>
      </c>
      <c r="L3828" s="2">
        <v>2024</v>
      </c>
      <c r="M3828" s="2" t="s">
        <v>89</v>
      </c>
      <c r="N3828" s="2" t="s">
        <v>23</v>
      </c>
      <c r="O3828">
        <f t="shared" si="118"/>
        <v>4.2599999999999909</v>
      </c>
      <c r="P3828">
        <f t="shared" si="119"/>
        <v>59.812999999999974</v>
      </c>
    </row>
    <row r="3829" spans="1:16" x14ac:dyDescent="0.35">
      <c r="A3829" s="9" t="s">
        <v>361</v>
      </c>
      <c r="B3829" s="2">
        <v>164.02</v>
      </c>
      <c r="C3829" s="2">
        <v>168.82</v>
      </c>
      <c r="D3829" s="2">
        <v>163.28</v>
      </c>
      <c r="E3829" s="2">
        <v>168.38</v>
      </c>
      <c r="F3829" s="2">
        <v>82950141</v>
      </c>
      <c r="G3829" s="2" t="s">
        <v>573</v>
      </c>
      <c r="H3829" s="2" t="s">
        <v>574</v>
      </c>
      <c r="I3829" s="2" t="s">
        <v>575</v>
      </c>
      <c r="J3829" s="3">
        <v>1.05</v>
      </c>
      <c r="K3829" s="2" t="s">
        <v>359</v>
      </c>
      <c r="L3829" s="2">
        <v>2024</v>
      </c>
      <c r="M3829" s="2" t="s">
        <v>89</v>
      </c>
      <c r="N3829" s="2" t="s">
        <v>21</v>
      </c>
      <c r="O3829">
        <f t="shared" si="118"/>
        <v>5.539999999999992</v>
      </c>
      <c r="P3829">
        <f t="shared" si="119"/>
        <v>60.862999999999971</v>
      </c>
    </row>
    <row r="3830" spans="1:16" x14ac:dyDescent="0.35">
      <c r="A3830" s="9" t="s">
        <v>362</v>
      </c>
      <c r="B3830" s="2">
        <v>170.07</v>
      </c>
      <c r="C3830" s="2">
        <v>177.19</v>
      </c>
      <c r="D3830" s="2">
        <v>168.01</v>
      </c>
      <c r="E3830" s="2">
        <v>171.11</v>
      </c>
      <c r="F3830" s="2">
        <v>123161960</v>
      </c>
      <c r="G3830" s="2" t="s">
        <v>573</v>
      </c>
      <c r="H3830" s="2" t="s">
        <v>574</v>
      </c>
      <c r="I3830" s="2" t="s">
        <v>575</v>
      </c>
      <c r="J3830" s="3">
        <v>1.621</v>
      </c>
      <c r="K3830" s="2" t="s">
        <v>359</v>
      </c>
      <c r="L3830" s="2">
        <v>2024</v>
      </c>
      <c r="M3830" s="2" t="s">
        <v>89</v>
      </c>
      <c r="N3830" s="2" t="s">
        <v>21</v>
      </c>
      <c r="O3830">
        <f t="shared" si="118"/>
        <v>9.1800000000000068</v>
      </c>
      <c r="P3830">
        <f t="shared" si="119"/>
        <v>62.483999999999973</v>
      </c>
    </row>
    <row r="3831" spans="1:16" x14ac:dyDescent="0.35">
      <c r="A3831" s="9" t="s">
        <v>363</v>
      </c>
      <c r="B3831" s="2">
        <v>169.08</v>
      </c>
      <c r="C3831" s="2">
        <v>170.86</v>
      </c>
      <c r="D3831" s="2">
        <v>160.51</v>
      </c>
      <c r="E3831" s="2">
        <v>164.9</v>
      </c>
      <c r="F3831" s="2">
        <v>143157603</v>
      </c>
      <c r="G3831" s="2" t="s">
        <v>573</v>
      </c>
      <c r="H3831" s="2" t="s">
        <v>574</v>
      </c>
      <c r="I3831" s="2" t="s">
        <v>575</v>
      </c>
      <c r="J3831" s="4">
        <v>-3.629</v>
      </c>
      <c r="K3831" s="2" t="s">
        <v>359</v>
      </c>
      <c r="L3831" s="2">
        <v>2024</v>
      </c>
      <c r="M3831" s="2" t="s">
        <v>89</v>
      </c>
      <c r="N3831" s="2" t="s">
        <v>23</v>
      </c>
      <c r="O3831">
        <f t="shared" si="118"/>
        <v>10.350000000000023</v>
      </c>
      <c r="P3831">
        <f t="shared" si="119"/>
        <v>58.854999999999976</v>
      </c>
    </row>
    <row r="3832" spans="1:16" x14ac:dyDescent="0.35">
      <c r="A3832" s="9" t="s">
        <v>364</v>
      </c>
      <c r="B3832" s="2">
        <v>169.34</v>
      </c>
      <c r="C3832" s="2">
        <v>174.5</v>
      </c>
      <c r="D3832" s="2">
        <v>167.79</v>
      </c>
      <c r="E3832" s="2">
        <v>172.98</v>
      </c>
      <c r="F3832" s="2">
        <v>104423320</v>
      </c>
      <c r="G3832" s="2" t="s">
        <v>573</v>
      </c>
      <c r="H3832" s="2" t="s">
        <v>574</v>
      </c>
      <c r="I3832" s="2" t="s">
        <v>575</v>
      </c>
      <c r="J3832" s="3">
        <v>4.9000000000000004</v>
      </c>
      <c r="K3832" s="2" t="s">
        <v>359</v>
      </c>
      <c r="L3832" s="2">
        <v>2024</v>
      </c>
      <c r="M3832" s="2" t="s">
        <v>89</v>
      </c>
      <c r="N3832" s="2" t="s">
        <v>21</v>
      </c>
      <c r="O3832">
        <f t="shared" si="118"/>
        <v>6.710000000000008</v>
      </c>
      <c r="P3832">
        <f t="shared" si="119"/>
        <v>63.754999999999974</v>
      </c>
    </row>
    <row r="3833" spans="1:16" x14ac:dyDescent="0.35">
      <c r="A3833" s="9" t="s">
        <v>365</v>
      </c>
      <c r="B3833" s="2">
        <v>172.91</v>
      </c>
      <c r="C3833" s="2">
        <v>179.22</v>
      </c>
      <c r="D3833" s="2">
        <v>171.92</v>
      </c>
      <c r="E3833" s="2">
        <v>176.88</v>
      </c>
      <c r="F3833" s="2">
        <v>103232675</v>
      </c>
      <c r="G3833" s="2" t="s">
        <v>573</v>
      </c>
      <c r="H3833" s="2" t="s">
        <v>574</v>
      </c>
      <c r="I3833" s="2" t="s">
        <v>575</v>
      </c>
      <c r="J3833" s="3">
        <v>2.2549999999999999</v>
      </c>
      <c r="K3833" s="2" t="s">
        <v>359</v>
      </c>
      <c r="L3833" s="2">
        <v>2024</v>
      </c>
      <c r="M3833" s="2" t="s">
        <v>89</v>
      </c>
      <c r="N3833" s="2" t="s">
        <v>21</v>
      </c>
      <c r="O3833">
        <f t="shared" si="118"/>
        <v>7.3000000000000114</v>
      </c>
      <c r="P3833">
        <f t="shared" si="119"/>
        <v>66.009999999999977</v>
      </c>
    </row>
    <row r="3834" spans="1:16" x14ac:dyDescent="0.35">
      <c r="A3834" s="9" t="s">
        <v>366</v>
      </c>
      <c r="B3834" s="2">
        <v>173.04</v>
      </c>
      <c r="C3834" s="2">
        <v>174.93</v>
      </c>
      <c r="D3834" s="2">
        <v>170.01</v>
      </c>
      <c r="E3834" s="2">
        <v>171.76</v>
      </c>
      <c r="F3834" s="2">
        <v>84532407</v>
      </c>
      <c r="G3834" s="2" t="s">
        <v>573</v>
      </c>
      <c r="H3834" s="2" t="s">
        <v>574</v>
      </c>
      <c r="I3834" s="2" t="s">
        <v>575</v>
      </c>
      <c r="J3834" s="4">
        <v>-2.895</v>
      </c>
      <c r="K3834" s="2" t="s">
        <v>359</v>
      </c>
      <c r="L3834" s="2">
        <v>2024</v>
      </c>
      <c r="M3834" s="2" t="s">
        <v>89</v>
      </c>
      <c r="N3834" s="2" t="s">
        <v>23</v>
      </c>
      <c r="O3834">
        <f t="shared" si="118"/>
        <v>4.9200000000000159</v>
      </c>
      <c r="P3834">
        <f t="shared" si="119"/>
        <v>63.114999999999974</v>
      </c>
    </row>
    <row r="3835" spans="1:16" x14ac:dyDescent="0.35">
      <c r="A3835" s="9" t="s">
        <v>367</v>
      </c>
      <c r="B3835" s="2">
        <v>172.55</v>
      </c>
      <c r="C3835" s="2">
        <v>175.88</v>
      </c>
      <c r="D3835" s="2">
        <v>168.51</v>
      </c>
      <c r="E3835" s="2">
        <v>174.6</v>
      </c>
      <c r="F3835" s="2">
        <v>94515987</v>
      </c>
      <c r="G3835" s="2" t="s">
        <v>573</v>
      </c>
      <c r="H3835" s="2" t="s">
        <v>574</v>
      </c>
      <c r="I3835" s="2" t="s">
        <v>575</v>
      </c>
      <c r="J3835" s="3">
        <v>1.653</v>
      </c>
      <c r="K3835" s="2" t="s">
        <v>359</v>
      </c>
      <c r="L3835" s="2">
        <v>2024</v>
      </c>
      <c r="M3835" s="2" t="s">
        <v>89</v>
      </c>
      <c r="N3835" s="2" t="s">
        <v>21</v>
      </c>
      <c r="O3835">
        <f t="shared" si="118"/>
        <v>7.3700000000000045</v>
      </c>
      <c r="P3835">
        <f t="shared" si="119"/>
        <v>64.767999999999972</v>
      </c>
    </row>
    <row r="3836" spans="1:16" x14ac:dyDescent="0.35">
      <c r="A3836" s="9" t="s">
        <v>368</v>
      </c>
      <c r="B3836" s="2">
        <v>172.34</v>
      </c>
      <c r="C3836" s="2">
        <v>173.81</v>
      </c>
      <c r="D3836" s="2">
        <v>170.364</v>
      </c>
      <c r="E3836" s="2">
        <v>171.05</v>
      </c>
      <c r="F3836" s="2">
        <v>64722669</v>
      </c>
      <c r="G3836" s="2" t="s">
        <v>573</v>
      </c>
      <c r="H3836" s="2" t="s">
        <v>574</v>
      </c>
      <c r="I3836" s="2" t="s">
        <v>575</v>
      </c>
      <c r="J3836" s="4">
        <v>-2.0329999999999999</v>
      </c>
      <c r="K3836" s="2" t="s">
        <v>359</v>
      </c>
      <c r="L3836" s="2">
        <v>2024</v>
      </c>
      <c r="M3836" s="2" t="s">
        <v>89</v>
      </c>
      <c r="N3836" s="2" t="s">
        <v>23</v>
      </c>
      <c r="O3836">
        <f t="shared" si="118"/>
        <v>3.445999999999998</v>
      </c>
      <c r="P3836">
        <f t="shared" si="119"/>
        <v>62.734999999999971</v>
      </c>
    </row>
    <row r="3837" spans="1:16" x14ac:dyDescent="0.35">
      <c r="A3837" s="9" t="s">
        <v>369</v>
      </c>
      <c r="B3837" s="2">
        <v>170.24</v>
      </c>
      <c r="C3837" s="2">
        <v>170.69</v>
      </c>
      <c r="D3837" s="2">
        <v>161.38</v>
      </c>
      <c r="E3837" s="2">
        <v>161.47999999999999</v>
      </c>
      <c r="F3837" s="2">
        <v>100245310</v>
      </c>
      <c r="G3837" s="2" t="s">
        <v>573</v>
      </c>
      <c r="H3837" s="2" t="s">
        <v>574</v>
      </c>
      <c r="I3837" s="2" t="s">
        <v>575</v>
      </c>
      <c r="J3837" s="4">
        <v>-5.5949999999999998</v>
      </c>
      <c r="K3837" s="2" t="s">
        <v>359</v>
      </c>
      <c r="L3837" s="2">
        <v>2024</v>
      </c>
      <c r="M3837" s="2" t="s">
        <v>89</v>
      </c>
      <c r="N3837" s="2" t="s">
        <v>23</v>
      </c>
      <c r="O3837">
        <f t="shared" si="118"/>
        <v>9.3100000000000023</v>
      </c>
      <c r="P3837">
        <f t="shared" si="119"/>
        <v>57.139999999999972</v>
      </c>
    </row>
    <row r="3838" spans="1:16" x14ac:dyDescent="0.35">
      <c r="A3838" s="9" t="s">
        <v>370</v>
      </c>
      <c r="B3838" s="2">
        <v>156.74199999999999</v>
      </c>
      <c r="C3838" s="2">
        <v>158.19</v>
      </c>
      <c r="D3838" s="2">
        <v>153.75</v>
      </c>
      <c r="E3838" s="2">
        <v>157.11000000000001</v>
      </c>
      <c r="F3838" s="2">
        <v>96999956</v>
      </c>
      <c r="G3838" s="2" t="s">
        <v>573</v>
      </c>
      <c r="H3838" s="2" t="s">
        <v>574</v>
      </c>
      <c r="I3838" s="2" t="s">
        <v>575</v>
      </c>
      <c r="J3838" s="4">
        <v>-2.706</v>
      </c>
      <c r="K3838" s="2" t="s">
        <v>359</v>
      </c>
      <c r="L3838" s="2">
        <v>2024</v>
      </c>
      <c r="M3838" s="2" t="s">
        <v>89</v>
      </c>
      <c r="N3838" s="2" t="s">
        <v>23</v>
      </c>
      <c r="O3838">
        <f t="shared" si="118"/>
        <v>4.4399999999999977</v>
      </c>
      <c r="P3838">
        <f t="shared" si="119"/>
        <v>54.433999999999969</v>
      </c>
    </row>
    <row r="3839" spans="1:16" x14ac:dyDescent="0.35">
      <c r="A3839" s="9" t="s">
        <v>371</v>
      </c>
      <c r="B3839" s="2">
        <v>157.63999999999999</v>
      </c>
      <c r="C3839" s="2">
        <v>158.33000000000001</v>
      </c>
      <c r="D3839" s="2">
        <v>153.78</v>
      </c>
      <c r="E3839" s="2">
        <v>155.44999999999999</v>
      </c>
      <c r="F3839" s="2">
        <v>82439718</v>
      </c>
      <c r="G3839" s="2" t="s">
        <v>573</v>
      </c>
      <c r="H3839" s="2" t="s">
        <v>574</v>
      </c>
      <c r="I3839" s="2" t="s">
        <v>575</v>
      </c>
      <c r="J3839" s="4">
        <v>-1.0569999999999999</v>
      </c>
      <c r="K3839" s="2" t="s">
        <v>359</v>
      </c>
      <c r="L3839" s="2">
        <v>2024</v>
      </c>
      <c r="M3839" s="2" t="s">
        <v>89</v>
      </c>
      <c r="N3839" s="2" t="s">
        <v>23</v>
      </c>
      <c r="O3839">
        <f t="shared" si="118"/>
        <v>4.5500000000000114</v>
      </c>
      <c r="P3839">
        <f t="shared" si="119"/>
        <v>53.376999999999967</v>
      </c>
    </row>
    <row r="3840" spans="1:16" x14ac:dyDescent="0.35">
      <c r="A3840" s="9" t="s">
        <v>372</v>
      </c>
      <c r="B3840" s="2">
        <v>151.25</v>
      </c>
      <c r="C3840" s="2">
        <v>152.19999999999999</v>
      </c>
      <c r="D3840" s="2">
        <v>148.69999999999999</v>
      </c>
      <c r="E3840" s="2">
        <v>149.93</v>
      </c>
      <c r="F3840" s="2">
        <v>96098830</v>
      </c>
      <c r="G3840" s="2" t="s">
        <v>573</v>
      </c>
      <c r="H3840" s="2" t="s">
        <v>574</v>
      </c>
      <c r="I3840" s="2" t="s">
        <v>575</v>
      </c>
      <c r="J3840" s="4">
        <v>-3.5510000000000002</v>
      </c>
      <c r="K3840" s="2" t="s">
        <v>359</v>
      </c>
      <c r="L3840" s="2">
        <v>2024</v>
      </c>
      <c r="M3840" s="2" t="s">
        <v>89</v>
      </c>
      <c r="N3840" s="2" t="s">
        <v>23</v>
      </c>
      <c r="O3840">
        <f t="shared" si="118"/>
        <v>3.5</v>
      </c>
      <c r="P3840">
        <f t="shared" si="119"/>
        <v>49.825999999999965</v>
      </c>
    </row>
    <row r="3841" spans="1:16" x14ac:dyDescent="0.35">
      <c r="A3841" s="9" t="s">
        <v>373</v>
      </c>
      <c r="B3841" s="2">
        <v>148.97</v>
      </c>
      <c r="C3841" s="2">
        <v>150.94</v>
      </c>
      <c r="D3841" s="2">
        <v>146.22</v>
      </c>
      <c r="E3841" s="2">
        <v>147.01</v>
      </c>
      <c r="F3841" s="2">
        <v>86868117</v>
      </c>
      <c r="G3841" s="2" t="s">
        <v>573</v>
      </c>
      <c r="H3841" s="2" t="s">
        <v>574</v>
      </c>
      <c r="I3841" s="2" t="s">
        <v>575</v>
      </c>
      <c r="J3841" s="4">
        <v>-1.948</v>
      </c>
      <c r="K3841" s="2" t="s">
        <v>359</v>
      </c>
      <c r="L3841" s="2">
        <v>2024</v>
      </c>
      <c r="M3841" s="2" t="s">
        <v>89</v>
      </c>
      <c r="N3841" s="2" t="s">
        <v>23</v>
      </c>
      <c r="O3841">
        <f t="shared" si="118"/>
        <v>4.7199999999999989</v>
      </c>
      <c r="P3841">
        <f t="shared" si="119"/>
        <v>47.877999999999965</v>
      </c>
    </row>
    <row r="3842" spans="1:16" x14ac:dyDescent="0.35">
      <c r="A3842" s="9" t="s">
        <v>374</v>
      </c>
      <c r="B3842" s="2">
        <v>140.56</v>
      </c>
      <c r="C3842" s="2">
        <v>144.44</v>
      </c>
      <c r="D3842" s="2">
        <v>138.803</v>
      </c>
      <c r="E3842" s="2">
        <v>142.05000000000001</v>
      </c>
      <c r="F3842" s="2">
        <v>107097564</v>
      </c>
      <c r="G3842" s="2" t="s">
        <v>573</v>
      </c>
      <c r="H3842" s="2" t="s">
        <v>574</v>
      </c>
      <c r="I3842" s="2" t="s">
        <v>575</v>
      </c>
      <c r="J3842" s="4">
        <v>-3.3740000000000001</v>
      </c>
      <c r="K3842" s="2" t="s">
        <v>359</v>
      </c>
      <c r="L3842" s="2">
        <v>2024</v>
      </c>
      <c r="M3842" s="2" t="s">
        <v>89</v>
      </c>
      <c r="N3842" s="2" t="s">
        <v>23</v>
      </c>
      <c r="O3842">
        <f t="shared" si="118"/>
        <v>5.6370000000000005</v>
      </c>
      <c r="P3842">
        <f t="shared" si="119"/>
        <v>44.503999999999962</v>
      </c>
    </row>
    <row r="3843" spans="1:16" x14ac:dyDescent="0.35">
      <c r="A3843" s="9" t="s">
        <v>375</v>
      </c>
      <c r="B3843" s="2">
        <v>143.33000000000001</v>
      </c>
      <c r="C3843" s="2">
        <v>147.26</v>
      </c>
      <c r="D3843" s="2">
        <v>141.11000000000001</v>
      </c>
      <c r="E3843" s="2">
        <v>144.68</v>
      </c>
      <c r="F3843" s="2">
        <v>124545104</v>
      </c>
      <c r="G3843" s="2" t="s">
        <v>573</v>
      </c>
      <c r="H3843" s="2" t="s">
        <v>574</v>
      </c>
      <c r="I3843" s="2" t="s">
        <v>575</v>
      </c>
      <c r="J3843" s="3">
        <v>1.851</v>
      </c>
      <c r="K3843" s="2" t="s">
        <v>359</v>
      </c>
      <c r="L3843" s="2">
        <v>2024</v>
      </c>
      <c r="M3843" s="2" t="s">
        <v>89</v>
      </c>
      <c r="N3843" s="2" t="s">
        <v>21</v>
      </c>
      <c r="O3843">
        <f t="shared" ref="O3843:O3906" si="120">C3843-D3843</f>
        <v>6.1499999999999773</v>
      </c>
      <c r="P3843">
        <f t="shared" si="119"/>
        <v>46.354999999999961</v>
      </c>
    </row>
    <row r="3844" spans="1:16" x14ac:dyDescent="0.35">
      <c r="A3844" s="9" t="s">
        <v>376</v>
      </c>
      <c r="B3844" s="2">
        <v>162.84</v>
      </c>
      <c r="C3844" s="2">
        <v>167.97</v>
      </c>
      <c r="D3844" s="2">
        <v>157.51</v>
      </c>
      <c r="E3844" s="2">
        <v>162.13</v>
      </c>
      <c r="F3844" s="2">
        <v>181178020</v>
      </c>
      <c r="G3844" s="2" t="s">
        <v>573</v>
      </c>
      <c r="H3844" s="2" t="s">
        <v>574</v>
      </c>
      <c r="I3844" s="2" t="s">
        <v>575</v>
      </c>
      <c r="J3844" s="3">
        <v>12.061</v>
      </c>
      <c r="K3844" s="2" t="s">
        <v>359</v>
      </c>
      <c r="L3844" s="2">
        <v>2024</v>
      </c>
      <c r="M3844" s="2" t="s">
        <v>89</v>
      </c>
      <c r="N3844" s="2" t="s">
        <v>21</v>
      </c>
      <c r="O3844">
        <f t="shared" si="120"/>
        <v>10.460000000000008</v>
      </c>
      <c r="P3844">
        <f t="shared" ref="P3844:P3907" si="121">IF(G3844=G3843, P3843+J3844, J3844)</f>
        <v>58.415999999999961</v>
      </c>
    </row>
    <row r="3845" spans="1:16" x14ac:dyDescent="0.35">
      <c r="A3845" s="9" t="s">
        <v>377</v>
      </c>
      <c r="B3845" s="2">
        <v>158.96</v>
      </c>
      <c r="C3845" s="2">
        <v>170.88</v>
      </c>
      <c r="D3845" s="2">
        <v>158.36000000000001</v>
      </c>
      <c r="E3845" s="2">
        <v>170.18</v>
      </c>
      <c r="F3845" s="2">
        <v>126427521</v>
      </c>
      <c r="G3845" s="2" t="s">
        <v>573</v>
      </c>
      <c r="H3845" s="2" t="s">
        <v>574</v>
      </c>
      <c r="I3845" s="2" t="s">
        <v>575</v>
      </c>
      <c r="J3845" s="3">
        <v>4.9649999999999999</v>
      </c>
      <c r="K3845" s="2" t="s">
        <v>359</v>
      </c>
      <c r="L3845" s="2">
        <v>2024</v>
      </c>
      <c r="M3845" s="2" t="s">
        <v>89</v>
      </c>
      <c r="N3845" s="2" t="s">
        <v>21</v>
      </c>
      <c r="O3845">
        <f t="shared" si="120"/>
        <v>12.519999999999982</v>
      </c>
      <c r="P3845">
        <f t="shared" si="121"/>
        <v>63.380999999999958</v>
      </c>
    </row>
    <row r="3846" spans="1:16" x14ac:dyDescent="0.35">
      <c r="A3846" s="9" t="s">
        <v>378</v>
      </c>
      <c r="B3846" s="2">
        <v>168.85</v>
      </c>
      <c r="C3846" s="2">
        <v>172.12</v>
      </c>
      <c r="D3846" s="2">
        <v>166.37</v>
      </c>
      <c r="E3846" s="2">
        <v>168.29</v>
      </c>
      <c r="F3846" s="2">
        <v>109815725</v>
      </c>
      <c r="G3846" s="2" t="s">
        <v>573</v>
      </c>
      <c r="H3846" s="2" t="s">
        <v>574</v>
      </c>
      <c r="I3846" s="2" t="s">
        <v>575</v>
      </c>
      <c r="J3846" s="4">
        <v>-1.111</v>
      </c>
      <c r="K3846" s="2" t="s">
        <v>359</v>
      </c>
      <c r="L3846" s="2">
        <v>2024</v>
      </c>
      <c r="M3846" s="2" t="s">
        <v>89</v>
      </c>
      <c r="N3846" s="2" t="s">
        <v>23</v>
      </c>
      <c r="O3846">
        <f t="shared" si="120"/>
        <v>5.75</v>
      </c>
      <c r="P3846">
        <f t="shared" si="121"/>
        <v>62.26999999999996</v>
      </c>
    </row>
    <row r="3847" spans="1:16" x14ac:dyDescent="0.35">
      <c r="A3847" s="9" t="s">
        <v>379</v>
      </c>
      <c r="B3847" s="2">
        <v>188.42</v>
      </c>
      <c r="C3847" s="2">
        <v>198.87</v>
      </c>
      <c r="D3847" s="2">
        <v>184.54</v>
      </c>
      <c r="E3847" s="2">
        <v>194.05</v>
      </c>
      <c r="F3847" s="2">
        <v>243869678</v>
      </c>
      <c r="G3847" s="2" t="s">
        <v>573</v>
      </c>
      <c r="H3847" s="2" t="s">
        <v>574</v>
      </c>
      <c r="I3847" s="2" t="s">
        <v>575</v>
      </c>
      <c r="J3847" s="3">
        <v>15.307</v>
      </c>
      <c r="K3847" s="2" t="s">
        <v>359</v>
      </c>
      <c r="L3847" s="2">
        <v>2024</v>
      </c>
      <c r="M3847" s="2" t="s">
        <v>89</v>
      </c>
      <c r="N3847" s="2" t="s">
        <v>21</v>
      </c>
      <c r="O3847">
        <f t="shared" si="120"/>
        <v>14.330000000000013</v>
      </c>
      <c r="P3847">
        <f t="shared" si="121"/>
        <v>77.576999999999956</v>
      </c>
    </row>
    <row r="3848" spans="1:16" x14ac:dyDescent="0.35">
      <c r="A3848" s="9" t="s">
        <v>380</v>
      </c>
      <c r="B3848" s="2">
        <v>186.98</v>
      </c>
      <c r="C3848" s="2">
        <v>190.95</v>
      </c>
      <c r="D3848" s="2">
        <v>182.84</v>
      </c>
      <c r="E3848" s="2">
        <v>183.28</v>
      </c>
      <c r="F3848" s="2">
        <v>127031787</v>
      </c>
      <c r="G3848" s="2" t="s">
        <v>573</v>
      </c>
      <c r="H3848" s="2" t="s">
        <v>574</v>
      </c>
      <c r="I3848" s="2" t="s">
        <v>575</v>
      </c>
      <c r="J3848" s="4">
        <v>-5.55</v>
      </c>
      <c r="K3848" s="2" t="s">
        <v>359</v>
      </c>
      <c r="L3848" s="2">
        <v>2024</v>
      </c>
      <c r="M3848" s="2" t="s">
        <v>89</v>
      </c>
      <c r="N3848" s="2" t="s">
        <v>23</v>
      </c>
      <c r="O3848">
        <f t="shared" si="120"/>
        <v>8.1099999999999852</v>
      </c>
      <c r="P3848">
        <f t="shared" si="121"/>
        <v>72.026999999999958</v>
      </c>
    </row>
    <row r="3849" spans="1:16" x14ac:dyDescent="0.35">
      <c r="A3849" s="9" t="s">
        <v>381</v>
      </c>
      <c r="B3849" s="2">
        <v>182</v>
      </c>
      <c r="C3849" s="2">
        <v>185.86</v>
      </c>
      <c r="D3849" s="2">
        <v>179.01</v>
      </c>
      <c r="E3849" s="2">
        <v>179.99</v>
      </c>
      <c r="F3849" s="2">
        <v>92829719</v>
      </c>
      <c r="G3849" s="2" t="s">
        <v>573</v>
      </c>
      <c r="H3849" s="2" t="s">
        <v>574</v>
      </c>
      <c r="I3849" s="2" t="s">
        <v>575</v>
      </c>
      <c r="J3849" s="4">
        <v>-1.7949999999999999</v>
      </c>
      <c r="K3849" s="2" t="s">
        <v>382</v>
      </c>
      <c r="L3849" s="2">
        <v>2024</v>
      </c>
      <c r="M3849" s="2" t="s">
        <v>110</v>
      </c>
      <c r="N3849" s="2" t="s">
        <v>23</v>
      </c>
      <c r="O3849">
        <f t="shared" si="120"/>
        <v>6.8500000000000227</v>
      </c>
      <c r="P3849">
        <f t="shared" si="121"/>
        <v>70.231999999999957</v>
      </c>
    </row>
    <row r="3850" spans="1:16" x14ac:dyDescent="0.35">
      <c r="A3850" s="9" t="s">
        <v>383</v>
      </c>
      <c r="B3850" s="2">
        <v>182.86</v>
      </c>
      <c r="C3850" s="2">
        <v>184.6</v>
      </c>
      <c r="D3850" s="2">
        <v>176.02</v>
      </c>
      <c r="E3850" s="2">
        <v>180.01</v>
      </c>
      <c r="F3850" s="2">
        <v>89148041</v>
      </c>
      <c r="G3850" s="2" t="s">
        <v>573</v>
      </c>
      <c r="H3850" s="2" t="s">
        <v>574</v>
      </c>
      <c r="I3850" s="2" t="s">
        <v>575</v>
      </c>
      <c r="J3850" s="3">
        <v>1.0999999999999999E-2</v>
      </c>
      <c r="K3850" s="2" t="s">
        <v>382</v>
      </c>
      <c r="L3850" s="2">
        <v>2024</v>
      </c>
      <c r="M3850" s="2" t="s">
        <v>110</v>
      </c>
      <c r="N3850" s="2" t="s">
        <v>21</v>
      </c>
      <c r="O3850">
        <f t="shared" si="120"/>
        <v>8.5799999999999841</v>
      </c>
      <c r="P3850">
        <f t="shared" si="121"/>
        <v>70.242999999999952</v>
      </c>
    </row>
    <row r="3851" spans="1:16" x14ac:dyDescent="0.35">
      <c r="A3851" s="9" t="s">
        <v>384</v>
      </c>
      <c r="B3851" s="2">
        <v>182.1</v>
      </c>
      <c r="C3851" s="2">
        <v>184.78</v>
      </c>
      <c r="D3851" s="2">
        <v>178.42</v>
      </c>
      <c r="E3851" s="2">
        <v>181.19</v>
      </c>
      <c r="F3851" s="2">
        <v>75491539</v>
      </c>
      <c r="G3851" s="2" t="s">
        <v>573</v>
      </c>
      <c r="H3851" s="2" t="s">
        <v>574</v>
      </c>
      <c r="I3851" s="2" t="s">
        <v>575</v>
      </c>
      <c r="J3851" s="3">
        <v>0.65600000000000003</v>
      </c>
      <c r="K3851" s="2" t="s">
        <v>382</v>
      </c>
      <c r="L3851" s="2">
        <v>2024</v>
      </c>
      <c r="M3851" s="2" t="s">
        <v>110</v>
      </c>
      <c r="N3851" s="2" t="s">
        <v>21</v>
      </c>
      <c r="O3851">
        <f t="shared" si="120"/>
        <v>6.3600000000000136</v>
      </c>
      <c r="P3851">
        <f t="shared" si="121"/>
        <v>70.898999999999958</v>
      </c>
    </row>
    <row r="3852" spans="1:16" x14ac:dyDescent="0.35">
      <c r="A3852" s="9" t="s">
        <v>385</v>
      </c>
      <c r="B3852" s="2">
        <v>183.8</v>
      </c>
      <c r="C3852" s="2">
        <v>187.56</v>
      </c>
      <c r="D3852" s="2">
        <v>182.2</v>
      </c>
      <c r="E3852" s="2">
        <v>184.76</v>
      </c>
      <c r="F3852" s="2">
        <v>84390253</v>
      </c>
      <c r="G3852" s="2" t="s">
        <v>573</v>
      </c>
      <c r="H3852" s="2" t="s">
        <v>574</v>
      </c>
      <c r="I3852" s="2" t="s">
        <v>575</v>
      </c>
      <c r="J3852" s="3">
        <v>1.97</v>
      </c>
      <c r="K3852" s="2" t="s">
        <v>382</v>
      </c>
      <c r="L3852" s="2">
        <v>2024</v>
      </c>
      <c r="M3852" s="2" t="s">
        <v>110</v>
      </c>
      <c r="N3852" s="2" t="s">
        <v>21</v>
      </c>
      <c r="O3852">
        <f t="shared" si="120"/>
        <v>5.3600000000000136</v>
      </c>
      <c r="P3852">
        <f t="shared" si="121"/>
        <v>72.868999999999957</v>
      </c>
    </row>
    <row r="3853" spans="1:16" x14ac:dyDescent="0.35">
      <c r="A3853" s="9" t="s">
        <v>386</v>
      </c>
      <c r="B3853" s="2">
        <v>182.4</v>
      </c>
      <c r="C3853" s="2">
        <v>183.26</v>
      </c>
      <c r="D3853" s="2">
        <v>177.4</v>
      </c>
      <c r="E3853" s="2">
        <v>177.81</v>
      </c>
      <c r="F3853" s="2">
        <v>75045854</v>
      </c>
      <c r="G3853" s="2" t="s">
        <v>573</v>
      </c>
      <c r="H3853" s="2" t="s">
        <v>574</v>
      </c>
      <c r="I3853" s="2" t="s">
        <v>575</v>
      </c>
      <c r="J3853" s="4">
        <v>-3.762</v>
      </c>
      <c r="K3853" s="2" t="s">
        <v>382</v>
      </c>
      <c r="L3853" s="2">
        <v>2024</v>
      </c>
      <c r="M3853" s="2" t="s">
        <v>110</v>
      </c>
      <c r="N3853" s="2" t="s">
        <v>23</v>
      </c>
      <c r="O3853">
        <f t="shared" si="120"/>
        <v>5.8599999999999852</v>
      </c>
      <c r="P3853">
        <f t="shared" si="121"/>
        <v>69.106999999999957</v>
      </c>
    </row>
    <row r="3854" spans="1:16" x14ac:dyDescent="0.35">
      <c r="A3854" s="9" t="s">
        <v>387</v>
      </c>
      <c r="B3854" s="2">
        <v>171.59</v>
      </c>
      <c r="C3854" s="2">
        <v>176.06</v>
      </c>
      <c r="D3854" s="2">
        <v>170.15</v>
      </c>
      <c r="E3854" s="2">
        <v>174.72</v>
      </c>
      <c r="F3854" s="2">
        <v>79969488</v>
      </c>
      <c r="G3854" s="2" t="s">
        <v>573</v>
      </c>
      <c r="H3854" s="2" t="s">
        <v>574</v>
      </c>
      <c r="I3854" s="2" t="s">
        <v>575</v>
      </c>
      <c r="J3854" s="4">
        <v>-1.738</v>
      </c>
      <c r="K3854" s="2" t="s">
        <v>382</v>
      </c>
      <c r="L3854" s="2">
        <v>2024</v>
      </c>
      <c r="M3854" s="2" t="s">
        <v>110</v>
      </c>
      <c r="N3854" s="2" t="s">
        <v>23</v>
      </c>
      <c r="O3854">
        <f t="shared" si="120"/>
        <v>5.9099999999999966</v>
      </c>
      <c r="P3854">
        <f t="shared" si="121"/>
        <v>67.368999999999957</v>
      </c>
    </row>
    <row r="3855" spans="1:16" x14ac:dyDescent="0.35">
      <c r="A3855" s="9" t="s">
        <v>388</v>
      </c>
      <c r="B3855" s="2">
        <v>175.01</v>
      </c>
      <c r="C3855" s="2">
        <v>175.62</v>
      </c>
      <c r="D3855" s="2">
        <v>171.37</v>
      </c>
      <c r="E3855" s="2">
        <v>171.97</v>
      </c>
      <c r="F3855" s="2">
        <v>65950292</v>
      </c>
      <c r="G3855" s="2" t="s">
        <v>573</v>
      </c>
      <c r="H3855" s="2" t="s">
        <v>574</v>
      </c>
      <c r="I3855" s="2" t="s">
        <v>575</v>
      </c>
      <c r="J3855" s="4">
        <v>-1.5740000000000001</v>
      </c>
      <c r="K3855" s="2" t="s">
        <v>382</v>
      </c>
      <c r="L3855" s="2">
        <v>2024</v>
      </c>
      <c r="M3855" s="2" t="s">
        <v>110</v>
      </c>
      <c r="N3855" s="2" t="s">
        <v>23</v>
      </c>
      <c r="O3855">
        <f t="shared" si="120"/>
        <v>4.25</v>
      </c>
      <c r="P3855">
        <f t="shared" si="121"/>
        <v>65.794999999999959</v>
      </c>
    </row>
    <row r="3856" spans="1:16" x14ac:dyDescent="0.35">
      <c r="A3856" s="9" t="s">
        <v>389</v>
      </c>
      <c r="B3856" s="2">
        <v>173.05</v>
      </c>
      <c r="C3856" s="2">
        <v>173.06</v>
      </c>
      <c r="D3856" s="2">
        <v>167.75</v>
      </c>
      <c r="E3856" s="2">
        <v>168.47</v>
      </c>
      <c r="F3856" s="2">
        <v>72627178</v>
      </c>
      <c r="G3856" s="2" t="s">
        <v>573</v>
      </c>
      <c r="H3856" s="2" t="s">
        <v>574</v>
      </c>
      <c r="I3856" s="2" t="s">
        <v>575</v>
      </c>
      <c r="J3856" s="4">
        <v>-2.0350000000000001</v>
      </c>
      <c r="K3856" s="2" t="s">
        <v>382</v>
      </c>
      <c r="L3856" s="2">
        <v>2024</v>
      </c>
      <c r="M3856" s="2" t="s">
        <v>110</v>
      </c>
      <c r="N3856" s="2" t="s">
        <v>23</v>
      </c>
      <c r="O3856">
        <f t="shared" si="120"/>
        <v>5.3100000000000023</v>
      </c>
      <c r="P3856">
        <f t="shared" si="121"/>
        <v>63.759999999999962</v>
      </c>
    </row>
    <row r="3857" spans="1:16" x14ac:dyDescent="0.35">
      <c r="A3857" s="9" t="s">
        <v>390</v>
      </c>
      <c r="B3857" s="2">
        <v>170</v>
      </c>
      <c r="C3857" s="2">
        <v>175.4</v>
      </c>
      <c r="D3857" s="2">
        <v>169</v>
      </c>
      <c r="E3857" s="2">
        <v>171.89</v>
      </c>
      <c r="F3857" s="2">
        <v>67018903</v>
      </c>
      <c r="G3857" s="2" t="s">
        <v>573</v>
      </c>
      <c r="H3857" s="2" t="s">
        <v>574</v>
      </c>
      <c r="I3857" s="2" t="s">
        <v>575</v>
      </c>
      <c r="J3857" s="3">
        <v>2.0299999999999998</v>
      </c>
      <c r="K3857" s="2" t="s">
        <v>382</v>
      </c>
      <c r="L3857" s="2">
        <v>2024</v>
      </c>
      <c r="M3857" s="2" t="s">
        <v>110</v>
      </c>
      <c r="N3857" s="2" t="s">
        <v>21</v>
      </c>
      <c r="O3857">
        <f t="shared" si="120"/>
        <v>6.4000000000000057</v>
      </c>
      <c r="P3857">
        <f t="shared" si="121"/>
        <v>65.789999999999964</v>
      </c>
    </row>
    <row r="3858" spans="1:16" x14ac:dyDescent="0.35">
      <c r="A3858" s="9" t="s">
        <v>391</v>
      </c>
      <c r="B3858" s="2">
        <v>174.49600000000001</v>
      </c>
      <c r="C3858" s="2">
        <v>179.49</v>
      </c>
      <c r="D3858" s="2">
        <v>174.07</v>
      </c>
      <c r="E3858" s="2">
        <v>177.55</v>
      </c>
      <c r="F3858" s="2">
        <v>86407422</v>
      </c>
      <c r="G3858" s="2" t="s">
        <v>573</v>
      </c>
      <c r="H3858" s="2" t="s">
        <v>574</v>
      </c>
      <c r="I3858" s="2" t="s">
        <v>575</v>
      </c>
      <c r="J3858" s="3">
        <v>3.2930000000000001</v>
      </c>
      <c r="K3858" s="2" t="s">
        <v>382</v>
      </c>
      <c r="L3858" s="2">
        <v>2024</v>
      </c>
      <c r="M3858" s="2" t="s">
        <v>110</v>
      </c>
      <c r="N3858" s="2" t="s">
        <v>21</v>
      </c>
      <c r="O3858">
        <f t="shared" si="120"/>
        <v>5.4200000000000159</v>
      </c>
      <c r="P3858">
        <f t="shared" si="121"/>
        <v>69.08299999999997</v>
      </c>
    </row>
    <row r="3859" spans="1:16" x14ac:dyDescent="0.35">
      <c r="A3859" s="9" t="s">
        <v>392</v>
      </c>
      <c r="B3859" s="2">
        <v>179.9</v>
      </c>
      <c r="C3859" s="2">
        <v>180</v>
      </c>
      <c r="D3859" s="2">
        <v>173.11</v>
      </c>
      <c r="E3859" s="2">
        <v>173.99</v>
      </c>
      <c r="F3859" s="2">
        <v>79662993</v>
      </c>
      <c r="G3859" s="2" t="s">
        <v>573</v>
      </c>
      <c r="H3859" s="2" t="s">
        <v>574</v>
      </c>
      <c r="I3859" s="2" t="s">
        <v>575</v>
      </c>
      <c r="J3859" s="4">
        <v>-2.0049999999999999</v>
      </c>
      <c r="K3859" s="2" t="s">
        <v>382</v>
      </c>
      <c r="L3859" s="2">
        <v>2024</v>
      </c>
      <c r="M3859" s="2" t="s">
        <v>110</v>
      </c>
      <c r="N3859" s="2" t="s">
        <v>23</v>
      </c>
      <c r="O3859">
        <f t="shared" si="120"/>
        <v>6.8899999999999864</v>
      </c>
      <c r="P3859">
        <f t="shared" si="121"/>
        <v>67.077999999999975</v>
      </c>
    </row>
    <row r="3860" spans="1:16" x14ac:dyDescent="0.35">
      <c r="A3860" s="9" t="s">
        <v>393</v>
      </c>
      <c r="B3860" s="2">
        <v>174.1</v>
      </c>
      <c r="C3860" s="2">
        <v>175.79</v>
      </c>
      <c r="D3860" s="2">
        <v>171.43</v>
      </c>
      <c r="E3860" s="2">
        <v>174.84</v>
      </c>
      <c r="F3860" s="2">
        <v>59812220</v>
      </c>
      <c r="G3860" s="2" t="s">
        <v>573</v>
      </c>
      <c r="H3860" s="2" t="s">
        <v>574</v>
      </c>
      <c r="I3860" s="2" t="s">
        <v>575</v>
      </c>
      <c r="J3860" s="3">
        <v>0.48899999999999999</v>
      </c>
      <c r="K3860" s="2" t="s">
        <v>382</v>
      </c>
      <c r="L3860" s="2">
        <v>2024</v>
      </c>
      <c r="M3860" s="2" t="s">
        <v>110</v>
      </c>
      <c r="N3860" s="2" t="s">
        <v>21</v>
      </c>
      <c r="O3860">
        <f t="shared" si="120"/>
        <v>4.3599999999999852</v>
      </c>
      <c r="P3860">
        <f t="shared" si="121"/>
        <v>67.566999999999979</v>
      </c>
    </row>
    <row r="3861" spans="1:16" x14ac:dyDescent="0.35">
      <c r="A3861" s="9" t="s">
        <v>394</v>
      </c>
      <c r="B3861" s="2">
        <v>173.55</v>
      </c>
      <c r="C3861" s="2">
        <v>179.63</v>
      </c>
      <c r="D3861" s="2">
        <v>172.75</v>
      </c>
      <c r="E3861" s="2">
        <v>177.46</v>
      </c>
      <c r="F3861" s="2">
        <v>77445845</v>
      </c>
      <c r="G3861" s="2" t="s">
        <v>573</v>
      </c>
      <c r="H3861" s="2" t="s">
        <v>574</v>
      </c>
      <c r="I3861" s="2" t="s">
        <v>575</v>
      </c>
      <c r="J3861" s="3">
        <v>1.4990000000000001</v>
      </c>
      <c r="K3861" s="2" t="s">
        <v>382</v>
      </c>
      <c r="L3861" s="2">
        <v>2024</v>
      </c>
      <c r="M3861" s="2" t="s">
        <v>110</v>
      </c>
      <c r="N3861" s="2" t="s">
        <v>21</v>
      </c>
      <c r="O3861">
        <f t="shared" si="120"/>
        <v>6.8799999999999955</v>
      </c>
      <c r="P3861">
        <f t="shared" si="121"/>
        <v>69.065999999999974</v>
      </c>
    </row>
    <row r="3862" spans="1:16" x14ac:dyDescent="0.35">
      <c r="A3862" s="9" t="s">
        <v>395</v>
      </c>
      <c r="B3862" s="2">
        <v>177.56</v>
      </c>
      <c r="C3862" s="2">
        <v>177.75399999999999</v>
      </c>
      <c r="D3862" s="2">
        <v>173.52</v>
      </c>
      <c r="E3862" s="2">
        <v>174.95</v>
      </c>
      <c r="F3862" s="2">
        <v>61727425</v>
      </c>
      <c r="G3862" s="2" t="s">
        <v>573</v>
      </c>
      <c r="H3862" s="2" t="s">
        <v>574</v>
      </c>
      <c r="I3862" s="2" t="s">
        <v>575</v>
      </c>
      <c r="J3862" s="4">
        <v>-1.4139999999999999</v>
      </c>
      <c r="K3862" s="2" t="s">
        <v>382</v>
      </c>
      <c r="L3862" s="2">
        <v>2024</v>
      </c>
      <c r="M3862" s="2" t="s">
        <v>110</v>
      </c>
      <c r="N3862" s="2" t="s">
        <v>23</v>
      </c>
      <c r="O3862">
        <f t="shared" si="120"/>
        <v>4.2339999999999804</v>
      </c>
      <c r="P3862">
        <f t="shared" si="121"/>
        <v>67.651999999999973</v>
      </c>
    </row>
    <row r="3863" spans="1:16" x14ac:dyDescent="0.35">
      <c r="A3863" s="9" t="s">
        <v>396</v>
      </c>
      <c r="B3863" s="2">
        <v>175.51</v>
      </c>
      <c r="C3863" s="2">
        <v>186.875</v>
      </c>
      <c r="D3863" s="2">
        <v>174.71</v>
      </c>
      <c r="E3863" s="2">
        <v>186.6</v>
      </c>
      <c r="F3863" s="2">
        <v>115266512</v>
      </c>
      <c r="G3863" s="2" t="s">
        <v>573</v>
      </c>
      <c r="H3863" s="2" t="s">
        <v>574</v>
      </c>
      <c r="I3863" s="2" t="s">
        <v>575</v>
      </c>
      <c r="J3863" s="3">
        <v>6.6589999999999998</v>
      </c>
      <c r="K3863" s="2" t="s">
        <v>382</v>
      </c>
      <c r="L3863" s="2">
        <v>2024</v>
      </c>
      <c r="M3863" s="2" t="s">
        <v>110</v>
      </c>
      <c r="N3863" s="2" t="s">
        <v>21</v>
      </c>
      <c r="O3863">
        <f t="shared" si="120"/>
        <v>12.164999999999992</v>
      </c>
      <c r="P3863">
        <f t="shared" si="121"/>
        <v>74.310999999999979</v>
      </c>
    </row>
    <row r="3864" spans="1:16" x14ac:dyDescent="0.35">
      <c r="A3864" s="9" t="s">
        <v>397</v>
      </c>
      <c r="B3864" s="2">
        <v>182.85</v>
      </c>
      <c r="C3864" s="2">
        <v>183.8</v>
      </c>
      <c r="D3864" s="2">
        <v>178.12</v>
      </c>
      <c r="E3864" s="2">
        <v>180.11</v>
      </c>
      <c r="F3864" s="2">
        <v>88313477</v>
      </c>
      <c r="G3864" s="2" t="s">
        <v>573</v>
      </c>
      <c r="H3864" s="2" t="s">
        <v>574</v>
      </c>
      <c r="I3864" s="2" t="s">
        <v>575</v>
      </c>
      <c r="J3864" s="4">
        <v>-3.4780000000000002</v>
      </c>
      <c r="K3864" s="2" t="s">
        <v>382</v>
      </c>
      <c r="L3864" s="2">
        <v>2024</v>
      </c>
      <c r="M3864" s="2" t="s">
        <v>110</v>
      </c>
      <c r="N3864" s="2" t="s">
        <v>23</v>
      </c>
      <c r="O3864">
        <f t="shared" si="120"/>
        <v>5.6800000000000068</v>
      </c>
      <c r="P3864">
        <f t="shared" si="121"/>
        <v>70.832999999999984</v>
      </c>
    </row>
    <row r="3865" spans="1:16" x14ac:dyDescent="0.35">
      <c r="A3865" s="9" t="s">
        <v>398</v>
      </c>
      <c r="B3865" s="2">
        <v>181.8</v>
      </c>
      <c r="C3865" s="2">
        <v>181.9</v>
      </c>
      <c r="D3865" s="2">
        <v>173.26</v>
      </c>
      <c r="E3865" s="2">
        <v>173.74</v>
      </c>
      <c r="F3865" s="2">
        <v>71975496</v>
      </c>
      <c r="G3865" s="2" t="s">
        <v>573</v>
      </c>
      <c r="H3865" s="2" t="s">
        <v>574</v>
      </c>
      <c r="I3865" s="2" t="s">
        <v>575</v>
      </c>
      <c r="J3865" s="4">
        <v>-3.5369999999999999</v>
      </c>
      <c r="K3865" s="2" t="s">
        <v>382</v>
      </c>
      <c r="L3865" s="2">
        <v>2024</v>
      </c>
      <c r="M3865" s="2" t="s">
        <v>110</v>
      </c>
      <c r="N3865" s="2" t="s">
        <v>23</v>
      </c>
      <c r="O3865">
        <f t="shared" si="120"/>
        <v>8.6400000000000148</v>
      </c>
      <c r="P3865">
        <f t="shared" si="121"/>
        <v>67.295999999999978</v>
      </c>
    </row>
    <row r="3866" spans="1:16" x14ac:dyDescent="0.35">
      <c r="A3866" s="9" t="s">
        <v>399</v>
      </c>
      <c r="B3866" s="2">
        <v>174.83500000000001</v>
      </c>
      <c r="C3866" s="2">
        <v>180.08</v>
      </c>
      <c r="D3866" s="2">
        <v>173.73</v>
      </c>
      <c r="E3866" s="2">
        <v>179.24</v>
      </c>
      <c r="F3866" s="2">
        <v>65584478</v>
      </c>
      <c r="G3866" s="2" t="s">
        <v>573</v>
      </c>
      <c r="H3866" s="2" t="s">
        <v>574</v>
      </c>
      <c r="I3866" s="2" t="s">
        <v>575</v>
      </c>
      <c r="J3866" s="3">
        <v>3.1659999999999999</v>
      </c>
      <c r="K3866" s="2" t="s">
        <v>382</v>
      </c>
      <c r="L3866" s="2">
        <v>2024</v>
      </c>
      <c r="M3866" s="2" t="s">
        <v>110</v>
      </c>
      <c r="N3866" s="2" t="s">
        <v>21</v>
      </c>
      <c r="O3866">
        <f t="shared" si="120"/>
        <v>6.3500000000000227</v>
      </c>
      <c r="P3866">
        <f t="shared" si="121"/>
        <v>70.461999999999975</v>
      </c>
    </row>
    <row r="3867" spans="1:16" x14ac:dyDescent="0.35">
      <c r="A3867" s="9" t="s">
        <v>400</v>
      </c>
      <c r="B3867" s="2">
        <v>176.4</v>
      </c>
      <c r="C3867" s="2">
        <v>178.25</v>
      </c>
      <c r="D3867" s="2">
        <v>173.16</v>
      </c>
      <c r="E3867" s="2">
        <v>176.75</v>
      </c>
      <c r="F3867" s="2">
        <v>59736620</v>
      </c>
      <c r="G3867" s="2" t="s">
        <v>573</v>
      </c>
      <c r="H3867" s="2" t="s">
        <v>574</v>
      </c>
      <c r="I3867" s="2" t="s">
        <v>575</v>
      </c>
      <c r="J3867" s="4">
        <v>-1.389</v>
      </c>
      <c r="K3867" s="2" t="s">
        <v>382</v>
      </c>
      <c r="L3867" s="2">
        <v>2024</v>
      </c>
      <c r="M3867" s="2" t="s">
        <v>110</v>
      </c>
      <c r="N3867" s="2" t="s">
        <v>23</v>
      </c>
      <c r="O3867">
        <f t="shared" si="120"/>
        <v>5.0900000000000034</v>
      </c>
      <c r="P3867">
        <f t="shared" si="121"/>
        <v>69.072999999999979</v>
      </c>
    </row>
    <row r="3868" spans="1:16" x14ac:dyDescent="0.35">
      <c r="A3868" s="9" t="s">
        <v>401</v>
      </c>
      <c r="B3868" s="2">
        <v>174.19</v>
      </c>
      <c r="C3868" s="2">
        <v>178.15</v>
      </c>
      <c r="D3868" s="2">
        <v>173.93</v>
      </c>
      <c r="E3868" s="2">
        <v>176.19</v>
      </c>
      <c r="F3868" s="2">
        <v>54782649</v>
      </c>
      <c r="G3868" s="2" t="s">
        <v>573</v>
      </c>
      <c r="H3868" s="2" t="s">
        <v>574</v>
      </c>
      <c r="I3868" s="2" t="s">
        <v>575</v>
      </c>
      <c r="J3868" s="4">
        <v>-0.317</v>
      </c>
      <c r="K3868" s="2" t="s">
        <v>382</v>
      </c>
      <c r="L3868" s="2">
        <v>2024</v>
      </c>
      <c r="M3868" s="2" t="s">
        <v>110</v>
      </c>
      <c r="N3868" s="2" t="s">
        <v>23</v>
      </c>
      <c r="O3868">
        <f t="shared" si="120"/>
        <v>4.2199999999999989</v>
      </c>
      <c r="P3868">
        <f t="shared" si="121"/>
        <v>68.755999999999986</v>
      </c>
    </row>
    <row r="3869" spans="1:16" x14ac:dyDescent="0.35">
      <c r="A3869" s="9" t="s">
        <v>402</v>
      </c>
      <c r="B3869" s="2">
        <v>178.57499999999999</v>
      </c>
      <c r="C3869" s="2">
        <v>182.67</v>
      </c>
      <c r="D3869" s="2">
        <v>175.38</v>
      </c>
      <c r="E3869" s="2">
        <v>178.79</v>
      </c>
      <c r="F3869" s="2">
        <v>77784755</v>
      </c>
      <c r="G3869" s="2" t="s">
        <v>573</v>
      </c>
      <c r="H3869" s="2" t="s">
        <v>574</v>
      </c>
      <c r="I3869" s="2" t="s">
        <v>575</v>
      </c>
      <c r="J3869" s="3">
        <v>1.476</v>
      </c>
      <c r="K3869" s="2" t="s">
        <v>382</v>
      </c>
      <c r="L3869" s="2">
        <v>2024</v>
      </c>
      <c r="M3869" s="2" t="s">
        <v>110</v>
      </c>
      <c r="N3869" s="2" t="s">
        <v>21</v>
      </c>
      <c r="O3869">
        <f t="shared" si="120"/>
        <v>7.289999999999992</v>
      </c>
      <c r="P3869">
        <f t="shared" si="121"/>
        <v>70.231999999999985</v>
      </c>
    </row>
    <row r="3870" spans="1:16" x14ac:dyDescent="0.35">
      <c r="A3870" s="9" t="s">
        <v>403</v>
      </c>
      <c r="B3870" s="2">
        <v>178.5</v>
      </c>
      <c r="C3870" s="2">
        <v>180.32</v>
      </c>
      <c r="D3870" s="2">
        <v>173.82</v>
      </c>
      <c r="E3870" s="2">
        <v>178.08</v>
      </c>
      <c r="F3870" s="2">
        <v>67314602</v>
      </c>
      <c r="G3870" s="2" t="s">
        <v>573</v>
      </c>
      <c r="H3870" s="2" t="s">
        <v>574</v>
      </c>
      <c r="I3870" s="2" t="s">
        <v>575</v>
      </c>
      <c r="J3870" s="4">
        <v>-0.39700000000000002</v>
      </c>
      <c r="K3870" s="2" t="s">
        <v>382</v>
      </c>
      <c r="L3870" s="2">
        <v>2024</v>
      </c>
      <c r="M3870" s="2" t="s">
        <v>110</v>
      </c>
      <c r="N3870" s="2" t="s">
        <v>23</v>
      </c>
      <c r="O3870">
        <f t="shared" si="120"/>
        <v>6.5</v>
      </c>
      <c r="P3870">
        <f t="shared" si="121"/>
        <v>69.83499999999998</v>
      </c>
    </row>
    <row r="3871" spans="1:16" x14ac:dyDescent="0.35">
      <c r="A3871" s="9" t="s">
        <v>404</v>
      </c>
      <c r="B3871" s="2">
        <v>178.13</v>
      </c>
      <c r="C3871" s="2">
        <v>182.63900000000001</v>
      </c>
      <c r="D3871" s="2">
        <v>174.49</v>
      </c>
      <c r="E3871" s="2">
        <v>176.29</v>
      </c>
      <c r="F3871" s="2">
        <v>68568920</v>
      </c>
      <c r="G3871" s="2" t="s">
        <v>573</v>
      </c>
      <c r="H3871" s="2" t="s">
        <v>574</v>
      </c>
      <c r="I3871" s="2" t="s">
        <v>575</v>
      </c>
      <c r="J3871" s="4">
        <v>-1.0049999999999999</v>
      </c>
      <c r="K3871" s="2" t="s">
        <v>405</v>
      </c>
      <c r="L3871" s="2">
        <v>2024</v>
      </c>
      <c r="M3871" s="2" t="s">
        <v>135</v>
      </c>
      <c r="N3871" s="2" t="s">
        <v>23</v>
      </c>
      <c r="O3871">
        <f t="shared" si="120"/>
        <v>8.1490000000000009</v>
      </c>
      <c r="P3871">
        <f t="shared" si="121"/>
        <v>68.829999999999984</v>
      </c>
    </row>
    <row r="3872" spans="1:16" x14ac:dyDescent="0.35">
      <c r="A3872" s="9" t="s">
        <v>406</v>
      </c>
      <c r="B3872" s="2">
        <v>174.77500000000001</v>
      </c>
      <c r="C3872" s="2">
        <v>177.755</v>
      </c>
      <c r="D3872" s="2">
        <v>174</v>
      </c>
      <c r="E3872" s="2">
        <v>174.77</v>
      </c>
      <c r="F3872" s="2">
        <v>60056340</v>
      </c>
      <c r="G3872" s="2" t="s">
        <v>573</v>
      </c>
      <c r="H3872" s="2" t="s">
        <v>574</v>
      </c>
      <c r="I3872" s="2" t="s">
        <v>575</v>
      </c>
      <c r="J3872" s="4">
        <v>-0.86199999999999999</v>
      </c>
      <c r="K3872" s="2" t="s">
        <v>405</v>
      </c>
      <c r="L3872" s="2">
        <v>2024</v>
      </c>
      <c r="M3872" s="2" t="s">
        <v>135</v>
      </c>
      <c r="N3872" s="2" t="s">
        <v>23</v>
      </c>
      <c r="O3872">
        <f t="shared" si="120"/>
        <v>3.7549999999999955</v>
      </c>
      <c r="P3872">
        <f t="shared" si="121"/>
        <v>67.967999999999989</v>
      </c>
    </row>
    <row r="3873" spans="1:16" x14ac:dyDescent="0.35">
      <c r="A3873" s="9" t="s">
        <v>407</v>
      </c>
      <c r="B3873" s="2">
        <v>175.35</v>
      </c>
      <c r="C3873" s="2">
        <v>176.15</v>
      </c>
      <c r="D3873" s="2">
        <v>172.13</v>
      </c>
      <c r="E3873" s="2">
        <v>175</v>
      </c>
      <c r="F3873" s="2">
        <v>57953756</v>
      </c>
      <c r="G3873" s="2" t="s">
        <v>573</v>
      </c>
      <c r="H3873" s="2" t="s">
        <v>574</v>
      </c>
      <c r="I3873" s="2" t="s">
        <v>575</v>
      </c>
      <c r="J3873" s="3">
        <v>0.13200000000000001</v>
      </c>
      <c r="K3873" s="2" t="s">
        <v>405</v>
      </c>
      <c r="L3873" s="2">
        <v>2024</v>
      </c>
      <c r="M3873" s="2" t="s">
        <v>135</v>
      </c>
      <c r="N3873" s="2" t="s">
        <v>21</v>
      </c>
      <c r="O3873">
        <f t="shared" si="120"/>
        <v>4.0200000000000102</v>
      </c>
      <c r="P3873">
        <f t="shared" si="121"/>
        <v>68.099999999999994</v>
      </c>
    </row>
    <row r="3874" spans="1:16" x14ac:dyDescent="0.35">
      <c r="A3874" s="9" t="s">
        <v>408</v>
      </c>
      <c r="B3874" s="2">
        <v>174.6</v>
      </c>
      <c r="C3874" s="2">
        <v>179.73</v>
      </c>
      <c r="D3874" s="2">
        <v>172.73</v>
      </c>
      <c r="E3874" s="2">
        <v>177.94</v>
      </c>
      <c r="F3874" s="2">
        <v>69887024</v>
      </c>
      <c r="G3874" s="2" t="s">
        <v>573</v>
      </c>
      <c r="H3874" s="2" t="s">
        <v>574</v>
      </c>
      <c r="I3874" s="2" t="s">
        <v>575</v>
      </c>
      <c r="J3874" s="3">
        <v>1.68</v>
      </c>
      <c r="K3874" s="2" t="s">
        <v>405</v>
      </c>
      <c r="L3874" s="2">
        <v>2024</v>
      </c>
      <c r="M3874" s="2" t="s">
        <v>135</v>
      </c>
      <c r="N3874" s="2" t="s">
        <v>21</v>
      </c>
      <c r="O3874">
        <f t="shared" si="120"/>
        <v>7</v>
      </c>
      <c r="P3874">
        <f t="shared" si="121"/>
        <v>69.78</v>
      </c>
    </row>
    <row r="3875" spans="1:16" x14ac:dyDescent="0.35">
      <c r="A3875" s="9" t="s">
        <v>409</v>
      </c>
      <c r="B3875" s="2">
        <v>176.13</v>
      </c>
      <c r="C3875" s="2">
        <v>179.35</v>
      </c>
      <c r="D3875" s="2">
        <v>175.58</v>
      </c>
      <c r="E3875" s="2">
        <v>177.48</v>
      </c>
      <c r="F3875" s="2">
        <v>56244932</v>
      </c>
      <c r="G3875" s="2" t="s">
        <v>573</v>
      </c>
      <c r="H3875" s="2" t="s">
        <v>574</v>
      </c>
      <c r="I3875" s="2" t="s">
        <v>575</v>
      </c>
      <c r="J3875" s="4">
        <v>-0.25900000000000001</v>
      </c>
      <c r="K3875" s="2" t="s">
        <v>405</v>
      </c>
      <c r="L3875" s="2">
        <v>2024</v>
      </c>
      <c r="M3875" s="2" t="s">
        <v>135</v>
      </c>
      <c r="N3875" s="2" t="s">
        <v>23</v>
      </c>
      <c r="O3875">
        <f t="shared" si="120"/>
        <v>3.7699999999999818</v>
      </c>
      <c r="P3875">
        <f t="shared" si="121"/>
        <v>69.521000000000001</v>
      </c>
    </row>
    <row r="3876" spans="1:16" x14ac:dyDescent="0.35">
      <c r="A3876" s="9" t="s">
        <v>410</v>
      </c>
      <c r="B3876" s="2">
        <v>176.06</v>
      </c>
      <c r="C3876" s="2">
        <v>178.57</v>
      </c>
      <c r="D3876" s="2">
        <v>173.17</v>
      </c>
      <c r="E3876" s="2">
        <v>173.79</v>
      </c>
      <c r="F3876" s="2">
        <v>50869682</v>
      </c>
      <c r="G3876" s="2" t="s">
        <v>573</v>
      </c>
      <c r="H3876" s="2" t="s">
        <v>574</v>
      </c>
      <c r="I3876" s="2" t="s">
        <v>575</v>
      </c>
      <c r="J3876" s="4">
        <v>-2.0790000000000002</v>
      </c>
      <c r="K3876" s="2" t="s">
        <v>405</v>
      </c>
      <c r="L3876" s="2">
        <v>2024</v>
      </c>
      <c r="M3876" s="2" t="s">
        <v>135</v>
      </c>
      <c r="N3876" s="2" t="s">
        <v>23</v>
      </c>
      <c r="O3876">
        <f t="shared" si="120"/>
        <v>5.4000000000000057</v>
      </c>
      <c r="P3876">
        <f t="shared" si="121"/>
        <v>67.442000000000007</v>
      </c>
    </row>
    <row r="3877" spans="1:16" x14ac:dyDescent="0.35">
      <c r="A3877" s="9" t="s">
        <v>411</v>
      </c>
      <c r="B3877" s="2">
        <v>173.92</v>
      </c>
      <c r="C3877" s="2">
        <v>174.75</v>
      </c>
      <c r="D3877" s="2">
        <v>167.41</v>
      </c>
      <c r="E3877" s="2">
        <v>170.66</v>
      </c>
      <c r="F3877" s="2">
        <v>64761928</v>
      </c>
      <c r="G3877" s="2" t="s">
        <v>573</v>
      </c>
      <c r="H3877" s="2" t="s">
        <v>574</v>
      </c>
      <c r="I3877" s="2" t="s">
        <v>575</v>
      </c>
      <c r="J3877" s="4">
        <v>-1.8009999999999999</v>
      </c>
      <c r="K3877" s="2" t="s">
        <v>405</v>
      </c>
      <c r="L3877" s="2">
        <v>2024</v>
      </c>
      <c r="M3877" s="2" t="s">
        <v>135</v>
      </c>
      <c r="N3877" s="2" t="s">
        <v>23</v>
      </c>
      <c r="O3877">
        <f t="shared" si="120"/>
        <v>7.3400000000000034</v>
      </c>
      <c r="P3877">
        <f t="shared" si="121"/>
        <v>65.641000000000005</v>
      </c>
    </row>
    <row r="3878" spans="1:16" x14ac:dyDescent="0.35">
      <c r="A3878" s="9" t="s">
        <v>412</v>
      </c>
      <c r="B3878" s="2">
        <v>171.12</v>
      </c>
      <c r="C3878" s="2">
        <v>180.55</v>
      </c>
      <c r="D3878" s="2">
        <v>169.8</v>
      </c>
      <c r="E3878" s="2">
        <v>177.29</v>
      </c>
      <c r="F3878" s="2">
        <v>90389446</v>
      </c>
      <c r="G3878" s="2" t="s">
        <v>573</v>
      </c>
      <c r="H3878" s="2" t="s">
        <v>574</v>
      </c>
      <c r="I3878" s="2" t="s">
        <v>575</v>
      </c>
      <c r="J3878" s="3">
        <v>3.8849999999999998</v>
      </c>
      <c r="K3878" s="2" t="s">
        <v>405</v>
      </c>
      <c r="L3878" s="2">
        <v>2024</v>
      </c>
      <c r="M3878" s="2" t="s">
        <v>135</v>
      </c>
      <c r="N3878" s="2" t="s">
        <v>21</v>
      </c>
      <c r="O3878">
        <f t="shared" si="120"/>
        <v>10.75</v>
      </c>
      <c r="P3878">
        <f t="shared" si="121"/>
        <v>69.52600000000001</v>
      </c>
    </row>
    <row r="3879" spans="1:16" x14ac:dyDescent="0.35">
      <c r="A3879" s="9" t="s">
        <v>413</v>
      </c>
      <c r="B3879" s="2">
        <v>188.39</v>
      </c>
      <c r="C3879" s="2">
        <v>191.08</v>
      </c>
      <c r="D3879" s="2">
        <v>181.23</v>
      </c>
      <c r="E3879" s="2">
        <v>182.47</v>
      </c>
      <c r="F3879" s="2">
        <v>118984122</v>
      </c>
      <c r="G3879" s="2" t="s">
        <v>573</v>
      </c>
      <c r="H3879" s="2" t="s">
        <v>574</v>
      </c>
      <c r="I3879" s="2" t="s">
        <v>575</v>
      </c>
      <c r="J3879" s="3">
        <v>2.9220000000000002</v>
      </c>
      <c r="K3879" s="2" t="s">
        <v>405</v>
      </c>
      <c r="L3879" s="2">
        <v>2024</v>
      </c>
      <c r="M3879" s="2" t="s">
        <v>135</v>
      </c>
      <c r="N3879" s="2" t="s">
        <v>21</v>
      </c>
      <c r="O3879">
        <f t="shared" si="120"/>
        <v>9.8500000000000227</v>
      </c>
      <c r="P3879">
        <f t="shared" si="121"/>
        <v>72.448000000000008</v>
      </c>
    </row>
    <row r="3880" spans="1:16" x14ac:dyDescent="0.35">
      <c r="A3880" s="9" t="s">
        <v>414</v>
      </c>
      <c r="B3880" s="2">
        <v>185.8</v>
      </c>
      <c r="C3880" s="2">
        <v>186</v>
      </c>
      <c r="D3880" s="2">
        <v>176.92</v>
      </c>
      <c r="E3880" s="2">
        <v>178.01</v>
      </c>
      <c r="F3880" s="2">
        <v>82038194</v>
      </c>
      <c r="G3880" s="2" t="s">
        <v>573</v>
      </c>
      <c r="H3880" s="2" t="s">
        <v>574</v>
      </c>
      <c r="I3880" s="2" t="s">
        <v>575</v>
      </c>
      <c r="J3880" s="4">
        <v>-2.444</v>
      </c>
      <c r="K3880" s="2" t="s">
        <v>405</v>
      </c>
      <c r="L3880" s="2">
        <v>2024</v>
      </c>
      <c r="M3880" s="2" t="s">
        <v>135</v>
      </c>
      <c r="N3880" s="2" t="s">
        <v>23</v>
      </c>
      <c r="O3880">
        <f t="shared" si="120"/>
        <v>9.0800000000000125</v>
      </c>
      <c r="P3880">
        <f t="shared" si="121"/>
        <v>70.004000000000005</v>
      </c>
    </row>
    <row r="3881" spans="1:16" x14ac:dyDescent="0.35">
      <c r="A3881" s="9" t="s">
        <v>415</v>
      </c>
      <c r="B3881" s="2">
        <v>177.92</v>
      </c>
      <c r="C3881" s="2">
        <v>188.81</v>
      </c>
      <c r="D3881" s="2">
        <v>177</v>
      </c>
      <c r="E3881" s="2">
        <v>187.44</v>
      </c>
      <c r="F3881" s="2">
        <v>109786083</v>
      </c>
      <c r="G3881" s="2" t="s">
        <v>573</v>
      </c>
      <c r="H3881" s="2" t="s">
        <v>574</v>
      </c>
      <c r="I3881" s="2" t="s">
        <v>575</v>
      </c>
      <c r="J3881" s="3">
        <v>5.2969999999999997</v>
      </c>
      <c r="K3881" s="2" t="s">
        <v>405</v>
      </c>
      <c r="L3881" s="2">
        <v>2024</v>
      </c>
      <c r="M3881" s="2" t="s">
        <v>135</v>
      </c>
      <c r="N3881" s="2" t="s">
        <v>21</v>
      </c>
      <c r="O3881">
        <f t="shared" si="120"/>
        <v>11.810000000000002</v>
      </c>
      <c r="P3881">
        <f t="shared" si="121"/>
        <v>75.301000000000002</v>
      </c>
    </row>
    <row r="3882" spans="1:16" x14ac:dyDescent="0.35">
      <c r="A3882" s="9" t="s">
        <v>416</v>
      </c>
      <c r="B3882" s="2">
        <v>186.56</v>
      </c>
      <c r="C3882" s="2">
        <v>187.2</v>
      </c>
      <c r="D3882" s="2">
        <v>182.37</v>
      </c>
      <c r="E3882" s="2">
        <v>184.86</v>
      </c>
      <c r="F3882" s="2">
        <v>68982265</v>
      </c>
      <c r="G3882" s="2" t="s">
        <v>573</v>
      </c>
      <c r="H3882" s="2" t="s">
        <v>574</v>
      </c>
      <c r="I3882" s="2" t="s">
        <v>575</v>
      </c>
      <c r="J3882" s="4">
        <v>-1.3759999999999999</v>
      </c>
      <c r="K3882" s="2" t="s">
        <v>405</v>
      </c>
      <c r="L3882" s="2">
        <v>2024</v>
      </c>
      <c r="M3882" s="2" t="s">
        <v>135</v>
      </c>
      <c r="N3882" s="2" t="s">
        <v>23</v>
      </c>
      <c r="O3882">
        <f t="shared" si="120"/>
        <v>4.8299999999999841</v>
      </c>
      <c r="P3882">
        <f t="shared" si="121"/>
        <v>73.924999999999997</v>
      </c>
    </row>
    <row r="3883" spans="1:16" x14ac:dyDescent="0.35">
      <c r="A3883" s="9" t="s">
        <v>417</v>
      </c>
      <c r="B3883" s="2">
        <v>184.68</v>
      </c>
      <c r="C3883" s="2">
        <v>185.21</v>
      </c>
      <c r="D3883" s="2">
        <v>179.66</v>
      </c>
      <c r="E3883" s="2">
        <v>181.57</v>
      </c>
      <c r="F3883" s="2">
        <v>55893139</v>
      </c>
      <c r="G3883" s="2" t="s">
        <v>573</v>
      </c>
      <c r="H3883" s="2" t="s">
        <v>574</v>
      </c>
      <c r="I3883" s="2" t="s">
        <v>575</v>
      </c>
      <c r="J3883" s="4">
        <v>-1.78</v>
      </c>
      <c r="K3883" s="2" t="s">
        <v>405</v>
      </c>
      <c r="L3883" s="2">
        <v>2024</v>
      </c>
      <c r="M3883" s="2" t="s">
        <v>135</v>
      </c>
      <c r="N3883" s="2" t="s">
        <v>23</v>
      </c>
      <c r="O3883">
        <f t="shared" si="120"/>
        <v>5.5500000000000114</v>
      </c>
      <c r="P3883">
        <f t="shared" si="121"/>
        <v>72.144999999999996</v>
      </c>
    </row>
    <row r="3884" spans="1:16" x14ac:dyDescent="0.35">
      <c r="A3884" s="9" t="s">
        <v>418</v>
      </c>
      <c r="B3884" s="2">
        <v>182.3</v>
      </c>
      <c r="C3884" s="2">
        <v>183.95</v>
      </c>
      <c r="D3884" s="2">
        <v>180.69</v>
      </c>
      <c r="E3884" s="2">
        <v>183.01</v>
      </c>
      <c r="F3884" s="2">
        <v>63029482</v>
      </c>
      <c r="G3884" s="2" t="s">
        <v>573</v>
      </c>
      <c r="H3884" s="2" t="s">
        <v>574</v>
      </c>
      <c r="I3884" s="2" t="s">
        <v>575</v>
      </c>
      <c r="J3884" s="3">
        <v>0.79300000000000004</v>
      </c>
      <c r="K3884" s="2" t="s">
        <v>405</v>
      </c>
      <c r="L3884" s="2">
        <v>2024</v>
      </c>
      <c r="M3884" s="2" t="s">
        <v>135</v>
      </c>
      <c r="N3884" s="2" t="s">
        <v>21</v>
      </c>
      <c r="O3884">
        <f t="shared" si="120"/>
        <v>3.2599999999999909</v>
      </c>
      <c r="P3884">
        <f t="shared" si="121"/>
        <v>72.938000000000002</v>
      </c>
    </row>
    <row r="3885" spans="1:16" x14ac:dyDescent="0.35">
      <c r="A3885" s="9" t="s">
        <v>419</v>
      </c>
      <c r="B3885" s="2">
        <v>184.97</v>
      </c>
      <c r="C3885" s="2">
        <v>188.8</v>
      </c>
      <c r="D3885" s="2">
        <v>182.55</v>
      </c>
      <c r="E3885" s="2">
        <v>182.58</v>
      </c>
      <c r="F3885" s="2">
        <v>61992070</v>
      </c>
      <c r="G3885" s="2" t="s">
        <v>573</v>
      </c>
      <c r="H3885" s="2" t="s">
        <v>574</v>
      </c>
      <c r="I3885" s="2" t="s">
        <v>575</v>
      </c>
      <c r="J3885" s="4">
        <v>-0.23499999999999999</v>
      </c>
      <c r="K3885" s="2" t="s">
        <v>405</v>
      </c>
      <c r="L3885" s="2">
        <v>2024</v>
      </c>
      <c r="M3885" s="2" t="s">
        <v>135</v>
      </c>
      <c r="N3885" s="2" t="s">
        <v>23</v>
      </c>
      <c r="O3885">
        <f t="shared" si="120"/>
        <v>6.25</v>
      </c>
      <c r="P3885">
        <f t="shared" si="121"/>
        <v>72.703000000000003</v>
      </c>
    </row>
    <row r="3886" spans="1:16" x14ac:dyDescent="0.35">
      <c r="A3886" s="9" t="s">
        <v>420</v>
      </c>
      <c r="B3886" s="2">
        <v>184.4</v>
      </c>
      <c r="C3886" s="2">
        <v>187.97</v>
      </c>
      <c r="D3886" s="2">
        <v>182.01</v>
      </c>
      <c r="E3886" s="2">
        <v>187.35</v>
      </c>
      <c r="F3886" s="2">
        <v>63678265</v>
      </c>
      <c r="G3886" s="2" t="s">
        <v>573</v>
      </c>
      <c r="H3886" s="2" t="s">
        <v>574</v>
      </c>
      <c r="I3886" s="2" t="s">
        <v>575</v>
      </c>
      <c r="J3886" s="3">
        <v>2.613</v>
      </c>
      <c r="K3886" s="2" t="s">
        <v>405</v>
      </c>
      <c r="L3886" s="2">
        <v>2024</v>
      </c>
      <c r="M3886" s="2" t="s">
        <v>135</v>
      </c>
      <c r="N3886" s="2" t="s">
        <v>21</v>
      </c>
      <c r="O3886">
        <f t="shared" si="120"/>
        <v>5.960000000000008</v>
      </c>
      <c r="P3886">
        <f t="shared" si="121"/>
        <v>75.316000000000003</v>
      </c>
    </row>
    <row r="3887" spans="1:16" x14ac:dyDescent="0.35">
      <c r="A3887" s="9" t="s">
        <v>421</v>
      </c>
      <c r="B3887" s="2">
        <v>186.54</v>
      </c>
      <c r="C3887" s="2">
        <v>197.755</v>
      </c>
      <c r="D3887" s="2">
        <v>186.36</v>
      </c>
      <c r="E3887" s="2">
        <v>196.37</v>
      </c>
      <c r="F3887" s="2">
        <v>95737066</v>
      </c>
      <c r="G3887" s="2" t="s">
        <v>573</v>
      </c>
      <c r="H3887" s="2" t="s">
        <v>574</v>
      </c>
      <c r="I3887" s="2" t="s">
        <v>575</v>
      </c>
      <c r="J3887" s="3">
        <v>4.8150000000000004</v>
      </c>
      <c r="K3887" s="2" t="s">
        <v>405</v>
      </c>
      <c r="L3887" s="2">
        <v>2024</v>
      </c>
      <c r="M3887" s="2" t="s">
        <v>135</v>
      </c>
      <c r="N3887" s="2" t="s">
        <v>21</v>
      </c>
      <c r="O3887">
        <f t="shared" si="120"/>
        <v>11.394999999999982</v>
      </c>
      <c r="P3887">
        <f t="shared" si="121"/>
        <v>80.131</v>
      </c>
    </row>
    <row r="3888" spans="1:16" x14ac:dyDescent="0.35">
      <c r="A3888" s="9" t="s">
        <v>422</v>
      </c>
      <c r="B3888" s="2">
        <v>195.17</v>
      </c>
      <c r="C3888" s="2">
        <v>198.72</v>
      </c>
      <c r="D3888" s="2">
        <v>194.05</v>
      </c>
      <c r="E3888" s="2">
        <v>197.42</v>
      </c>
      <c r="F3888" s="2">
        <v>72746521</v>
      </c>
      <c r="G3888" s="2" t="s">
        <v>573</v>
      </c>
      <c r="H3888" s="2" t="s">
        <v>574</v>
      </c>
      <c r="I3888" s="2" t="s">
        <v>575</v>
      </c>
      <c r="J3888" s="3">
        <v>0.53500000000000003</v>
      </c>
      <c r="K3888" s="2" t="s">
        <v>405</v>
      </c>
      <c r="L3888" s="2">
        <v>2024</v>
      </c>
      <c r="M3888" s="2" t="s">
        <v>135</v>
      </c>
      <c r="N3888" s="2" t="s">
        <v>21</v>
      </c>
      <c r="O3888">
        <f t="shared" si="120"/>
        <v>4.6699999999999875</v>
      </c>
      <c r="P3888">
        <f t="shared" si="121"/>
        <v>80.665999999999997</v>
      </c>
    </row>
    <row r="3889" spans="1:16" x14ac:dyDescent="0.35">
      <c r="A3889" s="9" t="s">
        <v>423</v>
      </c>
      <c r="B3889" s="2">
        <v>199.55</v>
      </c>
      <c r="C3889" s="2">
        <v>203.2</v>
      </c>
      <c r="D3889" s="2">
        <v>195.26</v>
      </c>
      <c r="E3889" s="2">
        <v>197.88</v>
      </c>
      <c r="F3889" s="2">
        <v>95438068</v>
      </c>
      <c r="G3889" s="2" t="s">
        <v>573</v>
      </c>
      <c r="H3889" s="2" t="s">
        <v>574</v>
      </c>
      <c r="I3889" s="2" t="s">
        <v>575</v>
      </c>
      <c r="J3889" s="3">
        <v>0.23300000000000001</v>
      </c>
      <c r="K3889" s="2" t="s">
        <v>405</v>
      </c>
      <c r="L3889" s="2">
        <v>2024</v>
      </c>
      <c r="M3889" s="2" t="s">
        <v>135</v>
      </c>
      <c r="N3889" s="2" t="s">
        <v>21</v>
      </c>
      <c r="O3889">
        <f t="shared" si="120"/>
        <v>7.9399999999999977</v>
      </c>
      <c r="P3889">
        <f t="shared" si="121"/>
        <v>80.899000000000001</v>
      </c>
    </row>
    <row r="3890" spans="1:16" x14ac:dyDescent="0.35">
      <c r="A3890" s="9" t="s">
        <v>424</v>
      </c>
      <c r="B3890" s="2">
        <v>201.02</v>
      </c>
      <c r="C3890" s="2">
        <v>213.23</v>
      </c>
      <c r="D3890" s="2">
        <v>200.85</v>
      </c>
      <c r="E3890" s="2">
        <v>209.86</v>
      </c>
      <c r="F3890" s="2">
        <v>135691395</v>
      </c>
      <c r="G3890" s="2" t="s">
        <v>573</v>
      </c>
      <c r="H3890" s="2" t="s">
        <v>574</v>
      </c>
      <c r="I3890" s="2" t="s">
        <v>575</v>
      </c>
      <c r="J3890" s="3">
        <v>6.0540000000000003</v>
      </c>
      <c r="K3890" s="2" t="s">
        <v>425</v>
      </c>
      <c r="L3890" s="2">
        <v>2024</v>
      </c>
      <c r="M3890" s="2" t="s">
        <v>158</v>
      </c>
      <c r="N3890" s="2" t="s">
        <v>21</v>
      </c>
      <c r="O3890">
        <f t="shared" si="120"/>
        <v>12.379999999999995</v>
      </c>
      <c r="P3890">
        <f t="shared" si="121"/>
        <v>86.953000000000003</v>
      </c>
    </row>
    <row r="3891" spans="1:16" x14ac:dyDescent="0.35">
      <c r="A3891" s="9" t="s">
        <v>426</v>
      </c>
      <c r="B3891" s="2">
        <v>218.89</v>
      </c>
      <c r="C3891" s="2">
        <v>231.3</v>
      </c>
      <c r="D3891" s="2">
        <v>218.06</v>
      </c>
      <c r="E3891" s="2">
        <v>231.26</v>
      </c>
      <c r="F3891" s="2">
        <v>205047920</v>
      </c>
      <c r="G3891" s="2" t="s">
        <v>573</v>
      </c>
      <c r="H3891" s="2" t="s">
        <v>574</v>
      </c>
      <c r="I3891" s="2" t="s">
        <v>575</v>
      </c>
      <c r="J3891" s="3">
        <v>10.196999999999999</v>
      </c>
      <c r="K3891" s="2" t="s">
        <v>425</v>
      </c>
      <c r="L3891" s="2">
        <v>2024</v>
      </c>
      <c r="M3891" s="2" t="s">
        <v>158</v>
      </c>
      <c r="N3891" s="2" t="s">
        <v>21</v>
      </c>
      <c r="O3891">
        <f t="shared" si="120"/>
        <v>13.240000000000009</v>
      </c>
      <c r="P3891">
        <f t="shared" si="121"/>
        <v>97.15</v>
      </c>
    </row>
    <row r="3892" spans="1:16" x14ac:dyDescent="0.35">
      <c r="A3892" s="9" t="s">
        <v>427</v>
      </c>
      <c r="B3892" s="2">
        <v>234.56</v>
      </c>
      <c r="C3892" s="2">
        <v>248.35</v>
      </c>
      <c r="D3892" s="2">
        <v>234.25</v>
      </c>
      <c r="E3892" s="2">
        <v>246.39</v>
      </c>
      <c r="F3892" s="2">
        <v>166561471</v>
      </c>
      <c r="G3892" s="2" t="s">
        <v>573</v>
      </c>
      <c r="H3892" s="2" t="s">
        <v>574</v>
      </c>
      <c r="I3892" s="2" t="s">
        <v>575</v>
      </c>
      <c r="J3892" s="3">
        <v>6.5419999999999998</v>
      </c>
      <c r="K3892" s="2" t="s">
        <v>425</v>
      </c>
      <c r="L3892" s="2">
        <v>2024</v>
      </c>
      <c r="M3892" s="2" t="s">
        <v>158</v>
      </c>
      <c r="N3892" s="2" t="s">
        <v>21</v>
      </c>
      <c r="O3892">
        <f t="shared" si="120"/>
        <v>14.099999999999994</v>
      </c>
      <c r="P3892">
        <f t="shared" si="121"/>
        <v>103.69200000000001</v>
      </c>
    </row>
    <row r="3893" spans="1:16" x14ac:dyDescent="0.35">
      <c r="A3893" s="9" t="s">
        <v>428</v>
      </c>
      <c r="B3893" s="2">
        <v>249.81</v>
      </c>
      <c r="C3893" s="2">
        <v>252.37</v>
      </c>
      <c r="D3893" s="2">
        <v>242.46</v>
      </c>
      <c r="E3893" s="2">
        <v>251.52</v>
      </c>
      <c r="F3893" s="2">
        <v>154501152</v>
      </c>
      <c r="G3893" s="2" t="s">
        <v>573</v>
      </c>
      <c r="H3893" s="2" t="s">
        <v>574</v>
      </c>
      <c r="I3893" s="2" t="s">
        <v>575</v>
      </c>
      <c r="J3893" s="3">
        <v>2.0819999999999999</v>
      </c>
      <c r="K3893" s="2" t="s">
        <v>425</v>
      </c>
      <c r="L3893" s="2">
        <v>2024</v>
      </c>
      <c r="M3893" s="2" t="s">
        <v>158</v>
      </c>
      <c r="N3893" s="2" t="s">
        <v>21</v>
      </c>
      <c r="O3893">
        <f t="shared" si="120"/>
        <v>9.9099999999999966</v>
      </c>
      <c r="P3893">
        <f t="shared" si="121"/>
        <v>105.774</v>
      </c>
    </row>
    <row r="3894" spans="1:16" x14ac:dyDescent="0.35">
      <c r="A3894" s="9" t="s">
        <v>429</v>
      </c>
      <c r="B3894" s="2">
        <v>247.71</v>
      </c>
      <c r="C3894" s="2">
        <v>259.43900000000002</v>
      </c>
      <c r="D3894" s="2">
        <v>244.57</v>
      </c>
      <c r="E3894" s="2">
        <v>252.94</v>
      </c>
      <c r="F3894" s="2">
        <v>157219580</v>
      </c>
      <c r="G3894" s="2" t="s">
        <v>573</v>
      </c>
      <c r="H3894" s="2" t="s">
        <v>574</v>
      </c>
      <c r="I3894" s="2" t="s">
        <v>575</v>
      </c>
      <c r="J3894" s="3">
        <v>0.56499999999999995</v>
      </c>
      <c r="K3894" s="2" t="s">
        <v>425</v>
      </c>
      <c r="L3894" s="2">
        <v>2024</v>
      </c>
      <c r="M3894" s="2" t="s">
        <v>158</v>
      </c>
      <c r="N3894" s="2" t="s">
        <v>21</v>
      </c>
      <c r="O3894">
        <f t="shared" si="120"/>
        <v>14.869000000000028</v>
      </c>
      <c r="P3894">
        <f t="shared" si="121"/>
        <v>106.339</v>
      </c>
    </row>
    <row r="3895" spans="1:16" x14ac:dyDescent="0.35">
      <c r="A3895" s="9" t="s">
        <v>430</v>
      </c>
      <c r="B3895" s="2">
        <v>251</v>
      </c>
      <c r="C3895" s="2">
        <v>265.61</v>
      </c>
      <c r="D3895" s="2">
        <v>250.3</v>
      </c>
      <c r="E3895" s="2">
        <v>262.33</v>
      </c>
      <c r="F3895" s="2">
        <v>160742516</v>
      </c>
      <c r="G3895" s="2" t="s">
        <v>573</v>
      </c>
      <c r="H3895" s="2" t="s">
        <v>574</v>
      </c>
      <c r="I3895" s="2" t="s">
        <v>575</v>
      </c>
      <c r="J3895" s="3">
        <v>3.7120000000000002</v>
      </c>
      <c r="K3895" s="2" t="s">
        <v>425</v>
      </c>
      <c r="L3895" s="2">
        <v>2024</v>
      </c>
      <c r="M3895" s="2" t="s">
        <v>158</v>
      </c>
      <c r="N3895" s="2" t="s">
        <v>21</v>
      </c>
      <c r="O3895">
        <f t="shared" si="120"/>
        <v>15.310000000000002</v>
      </c>
      <c r="P3895">
        <f t="shared" si="121"/>
        <v>110.051</v>
      </c>
    </row>
    <row r="3896" spans="1:16" x14ac:dyDescent="0.35">
      <c r="A3896" s="9" t="s">
        <v>431</v>
      </c>
      <c r="B3896" s="2">
        <v>262.8</v>
      </c>
      <c r="C3896" s="2">
        <v>267.58999999999997</v>
      </c>
      <c r="D3896" s="2">
        <v>257.86</v>
      </c>
      <c r="E3896" s="2">
        <v>263.26</v>
      </c>
      <c r="F3896" s="2">
        <v>128519430</v>
      </c>
      <c r="G3896" s="2" t="s">
        <v>573</v>
      </c>
      <c r="H3896" s="2" t="s">
        <v>574</v>
      </c>
      <c r="I3896" s="2" t="s">
        <v>575</v>
      </c>
      <c r="J3896" s="3">
        <v>0.35499999999999998</v>
      </c>
      <c r="K3896" s="2" t="s">
        <v>425</v>
      </c>
      <c r="L3896" s="2">
        <v>2024</v>
      </c>
      <c r="M3896" s="2" t="s">
        <v>158</v>
      </c>
      <c r="N3896" s="2" t="s">
        <v>21</v>
      </c>
      <c r="O3896">
        <f t="shared" si="120"/>
        <v>9.7299999999999613</v>
      </c>
      <c r="P3896">
        <f t="shared" si="121"/>
        <v>110.40600000000001</v>
      </c>
    </row>
    <row r="3897" spans="1:16" x14ac:dyDescent="0.35">
      <c r="A3897" s="9" t="s">
        <v>432</v>
      </c>
      <c r="B3897" s="2">
        <v>263.3</v>
      </c>
      <c r="C3897" s="2">
        <v>271</v>
      </c>
      <c r="D3897" s="2">
        <v>239.65</v>
      </c>
      <c r="E3897" s="2">
        <v>241.03</v>
      </c>
      <c r="F3897" s="2">
        <v>221707273</v>
      </c>
      <c r="G3897" s="2" t="s">
        <v>573</v>
      </c>
      <c r="H3897" s="2" t="s">
        <v>574</v>
      </c>
      <c r="I3897" s="2" t="s">
        <v>575</v>
      </c>
      <c r="J3897" s="4">
        <v>-8.4440000000000008</v>
      </c>
      <c r="K3897" s="2" t="s">
        <v>425</v>
      </c>
      <c r="L3897" s="2">
        <v>2024</v>
      </c>
      <c r="M3897" s="2" t="s">
        <v>158</v>
      </c>
      <c r="N3897" s="2" t="s">
        <v>23</v>
      </c>
      <c r="O3897">
        <f t="shared" si="120"/>
        <v>31.349999999999994</v>
      </c>
      <c r="P3897">
        <f t="shared" si="121"/>
        <v>101.962</v>
      </c>
    </row>
    <row r="3898" spans="1:16" x14ac:dyDescent="0.35">
      <c r="A3898" s="9" t="s">
        <v>433</v>
      </c>
      <c r="B3898" s="2">
        <v>235.8</v>
      </c>
      <c r="C3898" s="2">
        <v>251.84</v>
      </c>
      <c r="D3898" s="2">
        <v>233.09100000000001</v>
      </c>
      <c r="E3898" s="2">
        <v>248.23</v>
      </c>
      <c r="F3898" s="2">
        <v>155955773</v>
      </c>
      <c r="G3898" s="2" t="s">
        <v>573</v>
      </c>
      <c r="H3898" s="2" t="s">
        <v>574</v>
      </c>
      <c r="I3898" s="2" t="s">
        <v>575</v>
      </c>
      <c r="J3898" s="3">
        <v>2.9870000000000001</v>
      </c>
      <c r="K3898" s="2" t="s">
        <v>425</v>
      </c>
      <c r="L3898" s="2">
        <v>2024</v>
      </c>
      <c r="M3898" s="2" t="s">
        <v>158</v>
      </c>
      <c r="N3898" s="2" t="s">
        <v>21</v>
      </c>
      <c r="O3898">
        <f t="shared" si="120"/>
        <v>18.748999999999995</v>
      </c>
      <c r="P3898">
        <f t="shared" si="121"/>
        <v>104.949</v>
      </c>
    </row>
    <row r="3899" spans="1:16" x14ac:dyDescent="0.35">
      <c r="A3899" s="9" t="s">
        <v>434</v>
      </c>
      <c r="B3899" s="2">
        <v>255.97</v>
      </c>
      <c r="C3899" s="2">
        <v>265.60000000000002</v>
      </c>
      <c r="D3899" s="2">
        <v>251.73</v>
      </c>
      <c r="E3899" s="2">
        <v>252.64</v>
      </c>
      <c r="F3899" s="2">
        <v>146912920</v>
      </c>
      <c r="G3899" s="2" t="s">
        <v>573</v>
      </c>
      <c r="H3899" s="2" t="s">
        <v>574</v>
      </c>
      <c r="I3899" s="2" t="s">
        <v>575</v>
      </c>
      <c r="J3899" s="3">
        <v>1.7769999999999999</v>
      </c>
      <c r="K3899" s="2" t="s">
        <v>425</v>
      </c>
      <c r="L3899" s="2">
        <v>2024</v>
      </c>
      <c r="M3899" s="2" t="s">
        <v>158</v>
      </c>
      <c r="N3899" s="2" t="s">
        <v>21</v>
      </c>
      <c r="O3899">
        <f t="shared" si="120"/>
        <v>13.870000000000033</v>
      </c>
      <c r="P3899">
        <f t="shared" si="121"/>
        <v>106.726</v>
      </c>
    </row>
    <row r="3900" spans="1:16" x14ac:dyDescent="0.35">
      <c r="A3900" s="9" t="s">
        <v>435</v>
      </c>
      <c r="B3900" s="2">
        <v>255.31</v>
      </c>
      <c r="C3900" s="2">
        <v>258.62</v>
      </c>
      <c r="D3900" s="2">
        <v>245.8</v>
      </c>
      <c r="E3900" s="2">
        <v>256.56</v>
      </c>
      <c r="F3900" s="2">
        <v>126332470</v>
      </c>
      <c r="G3900" s="2" t="s">
        <v>573</v>
      </c>
      <c r="H3900" s="2" t="s">
        <v>574</v>
      </c>
      <c r="I3900" s="2" t="s">
        <v>575</v>
      </c>
      <c r="J3900" s="3">
        <v>1.552</v>
      </c>
      <c r="K3900" s="2" t="s">
        <v>425</v>
      </c>
      <c r="L3900" s="2">
        <v>2024</v>
      </c>
      <c r="M3900" s="2" t="s">
        <v>158</v>
      </c>
      <c r="N3900" s="2" t="s">
        <v>21</v>
      </c>
      <c r="O3900">
        <f t="shared" si="120"/>
        <v>12.819999999999993</v>
      </c>
      <c r="P3900">
        <f t="shared" si="121"/>
        <v>108.27800000000001</v>
      </c>
    </row>
    <row r="3901" spans="1:16" x14ac:dyDescent="0.35">
      <c r="A3901" s="9" t="s">
        <v>436</v>
      </c>
      <c r="B3901" s="2">
        <v>252.73</v>
      </c>
      <c r="C3901" s="2">
        <v>258.47000000000003</v>
      </c>
      <c r="D3901" s="2">
        <v>246.18199999999999</v>
      </c>
      <c r="E3901" s="2">
        <v>248.5</v>
      </c>
      <c r="F3901" s="2">
        <v>115584810</v>
      </c>
      <c r="G3901" s="2" t="s">
        <v>573</v>
      </c>
      <c r="H3901" s="2" t="s">
        <v>574</v>
      </c>
      <c r="I3901" s="2" t="s">
        <v>575</v>
      </c>
      <c r="J3901" s="4">
        <v>-3.1419999999999999</v>
      </c>
      <c r="K3901" s="2" t="s">
        <v>425</v>
      </c>
      <c r="L3901" s="2">
        <v>2024</v>
      </c>
      <c r="M3901" s="2" t="s">
        <v>158</v>
      </c>
      <c r="N3901" s="2" t="s">
        <v>23</v>
      </c>
      <c r="O3901">
        <f t="shared" si="120"/>
        <v>12.288000000000039</v>
      </c>
      <c r="P3901">
        <f t="shared" si="121"/>
        <v>105.13600000000001</v>
      </c>
    </row>
    <row r="3902" spans="1:16" x14ac:dyDescent="0.35">
      <c r="A3902" s="9" t="s">
        <v>437</v>
      </c>
      <c r="B3902" s="2">
        <v>251.09</v>
      </c>
      <c r="C3902" s="2">
        <v>257.14</v>
      </c>
      <c r="D3902" s="2">
        <v>247.2</v>
      </c>
      <c r="E3902" s="2">
        <v>249.23</v>
      </c>
      <c r="F3902" s="2">
        <v>110869037</v>
      </c>
      <c r="G3902" s="2" t="s">
        <v>573</v>
      </c>
      <c r="H3902" s="2" t="s">
        <v>574</v>
      </c>
      <c r="I3902" s="2" t="s">
        <v>575</v>
      </c>
      <c r="J3902" s="3">
        <v>0.29399999999999998</v>
      </c>
      <c r="K3902" s="2" t="s">
        <v>425</v>
      </c>
      <c r="L3902" s="2">
        <v>2024</v>
      </c>
      <c r="M3902" s="2" t="s">
        <v>158</v>
      </c>
      <c r="N3902" s="2" t="s">
        <v>21</v>
      </c>
      <c r="O3902">
        <f t="shared" si="120"/>
        <v>9.9399999999999977</v>
      </c>
      <c r="P3902">
        <f t="shared" si="121"/>
        <v>105.43</v>
      </c>
    </row>
    <row r="3903" spans="1:16" x14ac:dyDescent="0.35">
      <c r="A3903" s="9" t="s">
        <v>438</v>
      </c>
      <c r="B3903" s="2">
        <v>247.79</v>
      </c>
      <c r="C3903" s="2">
        <v>249.44</v>
      </c>
      <c r="D3903" s="2">
        <v>236.83</v>
      </c>
      <c r="E3903" s="2">
        <v>239.2</v>
      </c>
      <c r="F3903" s="2">
        <v>87403903</v>
      </c>
      <c r="G3903" s="2" t="s">
        <v>573</v>
      </c>
      <c r="H3903" s="2" t="s">
        <v>574</v>
      </c>
      <c r="I3903" s="2" t="s">
        <v>575</v>
      </c>
      <c r="J3903" s="4">
        <v>-4.024</v>
      </c>
      <c r="K3903" s="2" t="s">
        <v>425</v>
      </c>
      <c r="L3903" s="2">
        <v>2024</v>
      </c>
      <c r="M3903" s="2" t="s">
        <v>158</v>
      </c>
      <c r="N3903" s="2" t="s">
        <v>23</v>
      </c>
      <c r="O3903">
        <f t="shared" si="120"/>
        <v>12.609999999999985</v>
      </c>
      <c r="P3903">
        <f t="shared" si="121"/>
        <v>101.40600000000001</v>
      </c>
    </row>
    <row r="3904" spans="1:16" x14ac:dyDescent="0.35">
      <c r="A3904" s="9" t="s">
        <v>439</v>
      </c>
      <c r="B3904" s="2">
        <v>244.21</v>
      </c>
      <c r="C3904" s="2">
        <v>253.21</v>
      </c>
      <c r="D3904" s="2">
        <v>243.75</v>
      </c>
      <c r="E3904" s="2">
        <v>251.51</v>
      </c>
      <c r="F3904" s="2">
        <v>101225430</v>
      </c>
      <c r="G3904" s="2" t="s">
        <v>573</v>
      </c>
      <c r="H3904" s="2" t="s">
        <v>574</v>
      </c>
      <c r="I3904" s="2" t="s">
        <v>575</v>
      </c>
      <c r="J3904" s="3">
        <v>5.1459999999999999</v>
      </c>
      <c r="K3904" s="2" t="s">
        <v>425</v>
      </c>
      <c r="L3904" s="2">
        <v>2024</v>
      </c>
      <c r="M3904" s="2" t="s">
        <v>158</v>
      </c>
      <c r="N3904" s="2" t="s">
        <v>21</v>
      </c>
      <c r="O3904">
        <f t="shared" si="120"/>
        <v>9.460000000000008</v>
      </c>
      <c r="P3904">
        <f t="shared" si="121"/>
        <v>106.55200000000001</v>
      </c>
    </row>
    <row r="3905" spans="1:16" x14ac:dyDescent="0.35">
      <c r="A3905" s="9" t="s">
        <v>440</v>
      </c>
      <c r="B3905" s="2">
        <v>253.6</v>
      </c>
      <c r="C3905" s="2">
        <v>255.75899999999999</v>
      </c>
      <c r="D3905" s="2">
        <v>245.63</v>
      </c>
      <c r="E3905" s="2">
        <v>246.38</v>
      </c>
      <c r="F3905" s="2">
        <v>111928192</v>
      </c>
      <c r="G3905" s="2" t="s">
        <v>573</v>
      </c>
      <c r="H3905" s="2" t="s">
        <v>574</v>
      </c>
      <c r="I3905" s="2" t="s">
        <v>575</v>
      </c>
      <c r="J3905" s="4">
        <v>-2.04</v>
      </c>
      <c r="K3905" s="2" t="s">
        <v>425</v>
      </c>
      <c r="L3905" s="2">
        <v>2024</v>
      </c>
      <c r="M3905" s="2" t="s">
        <v>158</v>
      </c>
      <c r="N3905" s="2" t="s">
        <v>23</v>
      </c>
      <c r="O3905">
        <f t="shared" si="120"/>
        <v>10.128999999999991</v>
      </c>
      <c r="P3905">
        <f t="shared" si="121"/>
        <v>104.512</v>
      </c>
    </row>
    <row r="3906" spans="1:16" x14ac:dyDescent="0.35">
      <c r="A3906" s="9" t="s">
        <v>441</v>
      </c>
      <c r="B3906" s="2">
        <v>225.42</v>
      </c>
      <c r="C3906" s="2">
        <v>225.99</v>
      </c>
      <c r="D3906" s="2">
        <v>214.71</v>
      </c>
      <c r="E3906" s="2">
        <v>215.99</v>
      </c>
      <c r="F3906" s="2">
        <v>167942939</v>
      </c>
      <c r="G3906" s="2" t="s">
        <v>573</v>
      </c>
      <c r="H3906" s="2" t="s">
        <v>574</v>
      </c>
      <c r="I3906" s="2" t="s">
        <v>575</v>
      </c>
      <c r="J3906" s="4">
        <v>-12.335000000000001</v>
      </c>
      <c r="K3906" s="2" t="s">
        <v>425</v>
      </c>
      <c r="L3906" s="2">
        <v>2024</v>
      </c>
      <c r="M3906" s="2" t="s">
        <v>158</v>
      </c>
      <c r="N3906" s="2" t="s">
        <v>23</v>
      </c>
      <c r="O3906">
        <f t="shared" si="120"/>
        <v>11.280000000000001</v>
      </c>
      <c r="P3906">
        <f t="shared" si="121"/>
        <v>92.176999999999992</v>
      </c>
    </row>
    <row r="3907" spans="1:16" x14ac:dyDescent="0.35">
      <c r="A3907" s="9" t="s">
        <v>442</v>
      </c>
      <c r="B3907" s="2">
        <v>216.8</v>
      </c>
      <c r="C3907" s="2">
        <v>226</v>
      </c>
      <c r="D3907" s="2">
        <v>216.23099999999999</v>
      </c>
      <c r="E3907" s="2">
        <v>220.25</v>
      </c>
      <c r="F3907" s="2">
        <v>100636466</v>
      </c>
      <c r="G3907" s="2" t="s">
        <v>573</v>
      </c>
      <c r="H3907" s="2" t="s">
        <v>574</v>
      </c>
      <c r="I3907" s="2" t="s">
        <v>575</v>
      </c>
      <c r="J3907" s="3">
        <v>1.972</v>
      </c>
      <c r="K3907" s="2" t="s">
        <v>425</v>
      </c>
      <c r="L3907" s="2">
        <v>2024</v>
      </c>
      <c r="M3907" s="2" t="s">
        <v>158</v>
      </c>
      <c r="N3907" s="2" t="s">
        <v>21</v>
      </c>
      <c r="O3907">
        <f t="shared" ref="O3907:O3970" si="122">C3907-D3907</f>
        <v>9.7690000000000055</v>
      </c>
      <c r="P3907">
        <f t="shared" si="121"/>
        <v>94.148999999999987</v>
      </c>
    </row>
    <row r="3908" spans="1:16" x14ac:dyDescent="0.35">
      <c r="A3908" s="9" t="s">
        <v>443</v>
      </c>
      <c r="B3908" s="2">
        <v>221.19</v>
      </c>
      <c r="C3908" s="2">
        <v>222.28</v>
      </c>
      <c r="D3908" s="2">
        <v>215.33</v>
      </c>
      <c r="E3908" s="2">
        <v>219.8</v>
      </c>
      <c r="F3908" s="2">
        <v>94604145</v>
      </c>
      <c r="G3908" s="2" t="s">
        <v>573</v>
      </c>
      <c r="H3908" s="2" t="s">
        <v>574</v>
      </c>
      <c r="I3908" s="2" t="s">
        <v>575</v>
      </c>
      <c r="J3908" s="4">
        <v>-0.20399999999999999</v>
      </c>
      <c r="K3908" s="2" t="s">
        <v>425</v>
      </c>
      <c r="L3908" s="2">
        <v>2024</v>
      </c>
      <c r="M3908" s="2" t="s">
        <v>158</v>
      </c>
      <c r="N3908" s="2" t="s">
        <v>23</v>
      </c>
      <c r="O3908">
        <f t="shared" si="122"/>
        <v>6.9499999999999886</v>
      </c>
      <c r="P3908">
        <f t="shared" ref="P3908:P3971" si="123">IF(G3908=G3907, P3907+J3908, J3908)</f>
        <v>93.944999999999993</v>
      </c>
    </row>
    <row r="3909" spans="1:16" x14ac:dyDescent="0.35">
      <c r="A3909" s="9" t="s">
        <v>444</v>
      </c>
      <c r="B3909" s="2">
        <v>224.9</v>
      </c>
      <c r="C3909" s="2">
        <v>234.27</v>
      </c>
      <c r="D3909" s="2">
        <v>224.7</v>
      </c>
      <c r="E3909" s="2">
        <v>232.1</v>
      </c>
      <c r="F3909" s="2">
        <v>129201789</v>
      </c>
      <c r="G3909" s="2" t="s">
        <v>573</v>
      </c>
      <c r="H3909" s="2" t="s">
        <v>574</v>
      </c>
      <c r="I3909" s="2" t="s">
        <v>575</v>
      </c>
      <c r="J3909" s="3">
        <v>5.5960000000000001</v>
      </c>
      <c r="K3909" s="2" t="s">
        <v>425</v>
      </c>
      <c r="L3909" s="2">
        <v>2024</v>
      </c>
      <c r="M3909" s="2" t="s">
        <v>158</v>
      </c>
      <c r="N3909" s="2" t="s">
        <v>21</v>
      </c>
      <c r="O3909">
        <f t="shared" si="122"/>
        <v>9.5700000000000216</v>
      </c>
      <c r="P3909">
        <f t="shared" si="123"/>
        <v>99.540999999999997</v>
      </c>
    </row>
    <row r="3910" spans="1:16" x14ac:dyDescent="0.35">
      <c r="A3910" s="9" t="s">
        <v>445</v>
      </c>
      <c r="B3910" s="2">
        <v>232.25</v>
      </c>
      <c r="C3910" s="2">
        <v>232.41</v>
      </c>
      <c r="D3910" s="2">
        <v>220</v>
      </c>
      <c r="E3910" s="2">
        <v>222.62</v>
      </c>
      <c r="F3910" s="2">
        <v>100560334</v>
      </c>
      <c r="G3910" s="2" t="s">
        <v>573</v>
      </c>
      <c r="H3910" s="2" t="s">
        <v>574</v>
      </c>
      <c r="I3910" s="2" t="s">
        <v>575</v>
      </c>
      <c r="J3910" s="4">
        <v>-4.0839999999999996</v>
      </c>
      <c r="K3910" s="2" t="s">
        <v>425</v>
      </c>
      <c r="L3910" s="2">
        <v>2024</v>
      </c>
      <c r="M3910" s="2" t="s">
        <v>158</v>
      </c>
      <c r="N3910" s="2" t="s">
        <v>23</v>
      </c>
      <c r="O3910">
        <f t="shared" si="122"/>
        <v>12.409999999999997</v>
      </c>
      <c r="P3910">
        <f t="shared" si="123"/>
        <v>95.456999999999994</v>
      </c>
    </row>
    <row r="3911" spans="1:16" x14ac:dyDescent="0.35">
      <c r="A3911" s="9" t="s">
        <v>446</v>
      </c>
      <c r="B3911" s="2">
        <v>227.9</v>
      </c>
      <c r="C3911" s="2">
        <v>234.68</v>
      </c>
      <c r="D3911" s="2">
        <v>226.78700000000001</v>
      </c>
      <c r="E3911" s="2">
        <v>232.07</v>
      </c>
      <c r="F3911" s="2">
        <v>67497011</v>
      </c>
      <c r="G3911" s="2" t="s">
        <v>573</v>
      </c>
      <c r="H3911" s="2" t="s">
        <v>574</v>
      </c>
      <c r="I3911" s="2" t="s">
        <v>575</v>
      </c>
      <c r="J3911" s="3">
        <v>4.2450000000000001</v>
      </c>
      <c r="K3911" s="2" t="s">
        <v>425</v>
      </c>
      <c r="L3911" s="2">
        <v>2024</v>
      </c>
      <c r="M3911" s="2" t="s">
        <v>158</v>
      </c>
      <c r="N3911" s="2" t="s">
        <v>21</v>
      </c>
      <c r="O3911">
        <f t="shared" si="122"/>
        <v>7.8930000000000007</v>
      </c>
      <c r="P3911">
        <f t="shared" si="123"/>
        <v>99.701999999999998</v>
      </c>
    </row>
    <row r="3912" spans="1:16" x14ac:dyDescent="0.35">
      <c r="A3912" s="9" t="s">
        <v>447</v>
      </c>
      <c r="B3912" s="2">
        <v>227.69</v>
      </c>
      <c r="C3912" s="2">
        <v>231.86699999999999</v>
      </c>
      <c r="D3912" s="2">
        <v>214.333</v>
      </c>
      <c r="E3912" s="2">
        <v>216.86</v>
      </c>
      <c r="F3912" s="2">
        <v>83861898</v>
      </c>
      <c r="G3912" s="2" t="s">
        <v>573</v>
      </c>
      <c r="H3912" s="2" t="s">
        <v>574</v>
      </c>
      <c r="I3912" s="2" t="s">
        <v>575</v>
      </c>
      <c r="J3912" s="4">
        <v>-6.5540000000000003</v>
      </c>
      <c r="K3912" s="2" t="s">
        <v>448</v>
      </c>
      <c r="L3912" s="2">
        <v>2024</v>
      </c>
      <c r="M3912" s="2" t="s">
        <v>180</v>
      </c>
      <c r="N3912" s="2" t="s">
        <v>23</v>
      </c>
      <c r="O3912">
        <f t="shared" si="122"/>
        <v>17.533999999999992</v>
      </c>
      <c r="P3912">
        <f t="shared" si="123"/>
        <v>93.147999999999996</v>
      </c>
    </row>
    <row r="3913" spans="1:16" x14ac:dyDescent="0.35">
      <c r="A3913" s="9" t="s">
        <v>449</v>
      </c>
      <c r="B3913" s="2">
        <v>214.88</v>
      </c>
      <c r="C3913" s="2">
        <v>216.13</v>
      </c>
      <c r="D3913" s="2">
        <v>205.78</v>
      </c>
      <c r="E3913" s="2">
        <v>207.67</v>
      </c>
      <c r="F3913" s="2">
        <v>82880120</v>
      </c>
      <c r="G3913" s="2" t="s">
        <v>573</v>
      </c>
      <c r="H3913" s="2" t="s">
        <v>574</v>
      </c>
      <c r="I3913" s="2" t="s">
        <v>575</v>
      </c>
      <c r="J3913" s="4">
        <v>-4.2380000000000004</v>
      </c>
      <c r="K3913" s="2" t="s">
        <v>448</v>
      </c>
      <c r="L3913" s="2">
        <v>2024</v>
      </c>
      <c r="M3913" s="2" t="s">
        <v>180</v>
      </c>
      <c r="N3913" s="2" t="s">
        <v>23</v>
      </c>
      <c r="O3913">
        <f t="shared" si="122"/>
        <v>10.349999999999994</v>
      </c>
      <c r="P3913">
        <f t="shared" si="123"/>
        <v>88.91</v>
      </c>
    </row>
    <row r="3914" spans="1:16" x14ac:dyDescent="0.35">
      <c r="A3914" s="9" t="s">
        <v>450</v>
      </c>
      <c r="B3914" s="2">
        <v>185.22</v>
      </c>
      <c r="C3914" s="2">
        <v>203.88</v>
      </c>
      <c r="D3914" s="2">
        <v>182</v>
      </c>
      <c r="E3914" s="2">
        <v>198.88</v>
      </c>
      <c r="F3914" s="2">
        <v>100308836</v>
      </c>
      <c r="G3914" s="2" t="s">
        <v>573</v>
      </c>
      <c r="H3914" s="2" t="s">
        <v>574</v>
      </c>
      <c r="I3914" s="2" t="s">
        <v>575</v>
      </c>
      <c r="J3914" s="4">
        <v>-4.2329999999999997</v>
      </c>
      <c r="K3914" s="2" t="s">
        <v>448</v>
      </c>
      <c r="L3914" s="2">
        <v>2024</v>
      </c>
      <c r="M3914" s="2" t="s">
        <v>180</v>
      </c>
      <c r="N3914" s="2" t="s">
        <v>23</v>
      </c>
      <c r="O3914">
        <f t="shared" si="122"/>
        <v>21.879999999999995</v>
      </c>
      <c r="P3914">
        <f t="shared" si="123"/>
        <v>84.676999999999992</v>
      </c>
    </row>
    <row r="3915" spans="1:16" x14ac:dyDescent="0.35">
      <c r="A3915" s="9" t="s">
        <v>451</v>
      </c>
      <c r="B3915" s="2">
        <v>200.75</v>
      </c>
      <c r="C3915" s="2">
        <v>202.9</v>
      </c>
      <c r="D3915" s="2">
        <v>192.67</v>
      </c>
      <c r="E3915" s="2">
        <v>200.64</v>
      </c>
      <c r="F3915" s="2">
        <v>73783942</v>
      </c>
      <c r="G3915" s="2" t="s">
        <v>573</v>
      </c>
      <c r="H3915" s="2" t="s">
        <v>574</v>
      </c>
      <c r="I3915" s="2" t="s">
        <v>575</v>
      </c>
      <c r="J3915" s="3">
        <v>0.88500000000000001</v>
      </c>
      <c r="K3915" s="2" t="s">
        <v>448</v>
      </c>
      <c r="L3915" s="2">
        <v>2024</v>
      </c>
      <c r="M3915" s="2" t="s">
        <v>180</v>
      </c>
      <c r="N3915" s="2" t="s">
        <v>21</v>
      </c>
      <c r="O3915">
        <f t="shared" si="122"/>
        <v>10.230000000000018</v>
      </c>
      <c r="P3915">
        <f t="shared" si="123"/>
        <v>85.561999999999998</v>
      </c>
    </row>
    <row r="3916" spans="1:16" x14ac:dyDescent="0.35">
      <c r="A3916" s="9" t="s">
        <v>452</v>
      </c>
      <c r="B3916" s="2">
        <v>200.77</v>
      </c>
      <c r="C3916" s="2">
        <v>203.49</v>
      </c>
      <c r="D3916" s="2">
        <v>191.48</v>
      </c>
      <c r="E3916" s="2">
        <v>191.76</v>
      </c>
      <c r="F3916" s="2">
        <v>71159778</v>
      </c>
      <c r="G3916" s="2" t="s">
        <v>573</v>
      </c>
      <c r="H3916" s="2" t="s">
        <v>574</v>
      </c>
      <c r="I3916" s="2" t="s">
        <v>575</v>
      </c>
      <c r="J3916" s="4">
        <v>-4.4260000000000002</v>
      </c>
      <c r="K3916" s="2" t="s">
        <v>448</v>
      </c>
      <c r="L3916" s="2">
        <v>2024</v>
      </c>
      <c r="M3916" s="2" t="s">
        <v>180</v>
      </c>
      <c r="N3916" s="2" t="s">
        <v>23</v>
      </c>
      <c r="O3916">
        <f t="shared" si="122"/>
        <v>12.010000000000019</v>
      </c>
      <c r="P3916">
        <f t="shared" si="123"/>
        <v>81.135999999999996</v>
      </c>
    </row>
    <row r="3917" spans="1:16" x14ac:dyDescent="0.35">
      <c r="A3917" s="9" t="s">
        <v>453</v>
      </c>
      <c r="B3917" s="2">
        <v>195.7</v>
      </c>
      <c r="C3917" s="2">
        <v>200.7</v>
      </c>
      <c r="D3917" s="2">
        <v>192.04</v>
      </c>
      <c r="E3917" s="2">
        <v>198.84</v>
      </c>
      <c r="F3917" s="2">
        <v>65033874</v>
      </c>
      <c r="G3917" s="2" t="s">
        <v>573</v>
      </c>
      <c r="H3917" s="2" t="s">
        <v>574</v>
      </c>
      <c r="I3917" s="2" t="s">
        <v>575</v>
      </c>
      <c r="J3917" s="3">
        <v>3.6920000000000002</v>
      </c>
      <c r="K3917" s="2" t="s">
        <v>448</v>
      </c>
      <c r="L3917" s="2">
        <v>2024</v>
      </c>
      <c r="M3917" s="2" t="s">
        <v>180</v>
      </c>
      <c r="N3917" s="2" t="s">
        <v>21</v>
      </c>
      <c r="O3917">
        <f t="shared" si="122"/>
        <v>8.6599999999999966</v>
      </c>
      <c r="P3917">
        <f t="shared" si="123"/>
        <v>84.828000000000003</v>
      </c>
    </row>
    <row r="3918" spans="1:16" x14ac:dyDescent="0.35">
      <c r="A3918" s="9" t="s">
        <v>454</v>
      </c>
      <c r="B3918" s="2">
        <v>197.05</v>
      </c>
      <c r="C3918" s="2">
        <v>200.88</v>
      </c>
      <c r="D3918" s="2">
        <v>195.11</v>
      </c>
      <c r="E3918" s="2">
        <v>200</v>
      </c>
      <c r="F3918" s="2">
        <v>58648274</v>
      </c>
      <c r="G3918" s="2" t="s">
        <v>573</v>
      </c>
      <c r="H3918" s="2" t="s">
        <v>574</v>
      </c>
      <c r="I3918" s="2" t="s">
        <v>575</v>
      </c>
      <c r="J3918" s="3">
        <v>0.58299999999999996</v>
      </c>
      <c r="K3918" s="2" t="s">
        <v>448</v>
      </c>
      <c r="L3918" s="2">
        <v>2024</v>
      </c>
      <c r="M3918" s="2" t="s">
        <v>180</v>
      </c>
      <c r="N3918" s="2" t="s">
        <v>21</v>
      </c>
      <c r="O3918">
        <f t="shared" si="122"/>
        <v>5.7699999999999818</v>
      </c>
      <c r="P3918">
        <f t="shared" si="123"/>
        <v>85.411000000000001</v>
      </c>
    </row>
    <row r="3919" spans="1:16" x14ac:dyDescent="0.35">
      <c r="A3919" s="9" t="s">
        <v>455</v>
      </c>
      <c r="B3919" s="2">
        <v>199.02</v>
      </c>
      <c r="C3919" s="2">
        <v>199.26</v>
      </c>
      <c r="D3919" s="2">
        <v>194.67</v>
      </c>
      <c r="E3919" s="2">
        <v>197.49</v>
      </c>
      <c r="F3919" s="2">
        <v>64044903</v>
      </c>
      <c r="G3919" s="2" t="s">
        <v>573</v>
      </c>
      <c r="H3919" s="2" t="s">
        <v>574</v>
      </c>
      <c r="I3919" s="2" t="s">
        <v>575</v>
      </c>
      <c r="J3919" s="4">
        <v>-1.2549999999999999</v>
      </c>
      <c r="K3919" s="2" t="s">
        <v>448</v>
      </c>
      <c r="L3919" s="2">
        <v>2024</v>
      </c>
      <c r="M3919" s="2" t="s">
        <v>180</v>
      </c>
      <c r="N3919" s="2" t="s">
        <v>23</v>
      </c>
      <c r="O3919">
        <f t="shared" si="122"/>
        <v>4.5900000000000034</v>
      </c>
      <c r="P3919">
        <f t="shared" si="123"/>
        <v>84.156000000000006</v>
      </c>
    </row>
    <row r="3920" spans="1:16" x14ac:dyDescent="0.35">
      <c r="A3920" s="9" t="s">
        <v>456</v>
      </c>
      <c r="B3920" s="2">
        <v>198.47</v>
      </c>
      <c r="C3920" s="2">
        <v>208.49</v>
      </c>
      <c r="D3920" s="2">
        <v>197.06</v>
      </c>
      <c r="E3920" s="2">
        <v>207.83</v>
      </c>
      <c r="F3920" s="2">
        <v>76247387</v>
      </c>
      <c r="G3920" s="2" t="s">
        <v>573</v>
      </c>
      <c r="H3920" s="2" t="s">
        <v>574</v>
      </c>
      <c r="I3920" s="2" t="s">
        <v>575</v>
      </c>
      <c r="J3920" s="3">
        <v>5.2359999999999998</v>
      </c>
      <c r="K3920" s="2" t="s">
        <v>448</v>
      </c>
      <c r="L3920" s="2">
        <v>2024</v>
      </c>
      <c r="M3920" s="2" t="s">
        <v>180</v>
      </c>
      <c r="N3920" s="2" t="s">
        <v>21</v>
      </c>
      <c r="O3920">
        <f t="shared" si="122"/>
        <v>11.430000000000007</v>
      </c>
      <c r="P3920">
        <f t="shared" si="123"/>
        <v>89.39200000000001</v>
      </c>
    </row>
    <row r="3921" spans="1:16" x14ac:dyDescent="0.35">
      <c r="A3921" s="9" t="s">
        <v>457</v>
      </c>
      <c r="B3921" s="2">
        <v>207.39</v>
      </c>
      <c r="C3921" s="2">
        <v>208.44</v>
      </c>
      <c r="D3921" s="2">
        <v>198.75</v>
      </c>
      <c r="E3921" s="2">
        <v>201.38</v>
      </c>
      <c r="F3921" s="2">
        <v>70250014</v>
      </c>
      <c r="G3921" s="2" t="s">
        <v>573</v>
      </c>
      <c r="H3921" s="2" t="s">
        <v>574</v>
      </c>
      <c r="I3921" s="2" t="s">
        <v>575</v>
      </c>
      <c r="J3921" s="4">
        <v>-3.1030000000000002</v>
      </c>
      <c r="K3921" s="2" t="s">
        <v>448</v>
      </c>
      <c r="L3921" s="2">
        <v>2024</v>
      </c>
      <c r="M3921" s="2" t="s">
        <v>180</v>
      </c>
      <c r="N3921" s="2" t="s">
        <v>23</v>
      </c>
      <c r="O3921">
        <f t="shared" si="122"/>
        <v>9.6899999999999977</v>
      </c>
      <c r="P3921">
        <f t="shared" si="123"/>
        <v>86.289000000000016</v>
      </c>
    </row>
    <row r="3922" spans="1:16" x14ac:dyDescent="0.35">
      <c r="A3922" s="9" t="s">
        <v>458</v>
      </c>
      <c r="B3922" s="2">
        <v>205.02</v>
      </c>
      <c r="C3922" s="2">
        <v>215.88</v>
      </c>
      <c r="D3922" s="2">
        <v>204.82</v>
      </c>
      <c r="E3922" s="2">
        <v>214.14</v>
      </c>
      <c r="F3922" s="2">
        <v>89848530</v>
      </c>
      <c r="G3922" s="2" t="s">
        <v>573</v>
      </c>
      <c r="H3922" s="2" t="s">
        <v>574</v>
      </c>
      <c r="I3922" s="2" t="s">
        <v>575</v>
      </c>
      <c r="J3922" s="3">
        <v>6.3360000000000003</v>
      </c>
      <c r="K3922" s="2" t="s">
        <v>448</v>
      </c>
      <c r="L3922" s="2">
        <v>2024</v>
      </c>
      <c r="M3922" s="2" t="s">
        <v>180</v>
      </c>
      <c r="N3922" s="2" t="s">
        <v>21</v>
      </c>
      <c r="O3922">
        <f t="shared" si="122"/>
        <v>11.060000000000002</v>
      </c>
      <c r="P3922">
        <f t="shared" si="123"/>
        <v>92.625000000000014</v>
      </c>
    </row>
    <row r="3923" spans="1:16" x14ac:dyDescent="0.35">
      <c r="A3923" s="9" t="s">
        <v>459</v>
      </c>
      <c r="B3923" s="2">
        <v>211.15</v>
      </c>
      <c r="C3923" s="2">
        <v>219.8</v>
      </c>
      <c r="D3923" s="2">
        <v>210.8</v>
      </c>
      <c r="E3923" s="2">
        <v>216.12</v>
      </c>
      <c r="F3923" s="2">
        <v>88765122</v>
      </c>
      <c r="G3923" s="2" t="s">
        <v>573</v>
      </c>
      <c r="H3923" s="2" t="s">
        <v>574</v>
      </c>
      <c r="I3923" s="2" t="s">
        <v>575</v>
      </c>
      <c r="J3923" s="3">
        <v>0.92500000000000004</v>
      </c>
      <c r="K3923" s="2" t="s">
        <v>448</v>
      </c>
      <c r="L3923" s="2">
        <v>2024</v>
      </c>
      <c r="M3923" s="2" t="s">
        <v>180</v>
      </c>
      <c r="N3923" s="2" t="s">
        <v>21</v>
      </c>
      <c r="O3923">
        <f t="shared" si="122"/>
        <v>9</v>
      </c>
      <c r="P3923">
        <f t="shared" si="123"/>
        <v>93.550000000000011</v>
      </c>
    </row>
    <row r="3924" spans="1:16" x14ac:dyDescent="0.35">
      <c r="A3924" s="9" t="s">
        <v>460</v>
      </c>
      <c r="B3924" s="2">
        <v>217.07</v>
      </c>
      <c r="C3924" s="2">
        <v>222.98</v>
      </c>
      <c r="D3924" s="2">
        <v>214.09</v>
      </c>
      <c r="E3924" s="2">
        <v>222.72</v>
      </c>
      <c r="F3924" s="2">
        <v>76435222</v>
      </c>
      <c r="G3924" s="2" t="s">
        <v>573</v>
      </c>
      <c r="H3924" s="2" t="s">
        <v>574</v>
      </c>
      <c r="I3924" s="2" t="s">
        <v>575</v>
      </c>
      <c r="J3924" s="3">
        <v>3.0539999999999998</v>
      </c>
      <c r="K3924" s="2" t="s">
        <v>448</v>
      </c>
      <c r="L3924" s="2">
        <v>2024</v>
      </c>
      <c r="M3924" s="2" t="s">
        <v>180</v>
      </c>
      <c r="N3924" s="2" t="s">
        <v>21</v>
      </c>
      <c r="O3924">
        <f t="shared" si="122"/>
        <v>8.8899999999999864</v>
      </c>
      <c r="P3924">
        <f t="shared" si="123"/>
        <v>96.604000000000013</v>
      </c>
    </row>
    <row r="3925" spans="1:16" x14ac:dyDescent="0.35">
      <c r="A3925" s="9" t="s">
        <v>461</v>
      </c>
      <c r="B3925" s="2">
        <v>224.88</v>
      </c>
      <c r="C3925" s="2">
        <v>228.22</v>
      </c>
      <c r="D3925" s="2">
        <v>219.56</v>
      </c>
      <c r="E3925" s="2">
        <v>221.1</v>
      </c>
      <c r="F3925" s="2">
        <v>74001182</v>
      </c>
      <c r="G3925" s="2" t="s">
        <v>573</v>
      </c>
      <c r="H3925" s="2" t="s">
        <v>574</v>
      </c>
      <c r="I3925" s="2" t="s">
        <v>575</v>
      </c>
      <c r="J3925" s="4">
        <v>-0.72699999999999998</v>
      </c>
      <c r="K3925" s="2" t="s">
        <v>448</v>
      </c>
      <c r="L3925" s="2">
        <v>2024</v>
      </c>
      <c r="M3925" s="2" t="s">
        <v>180</v>
      </c>
      <c r="N3925" s="2" t="s">
        <v>23</v>
      </c>
      <c r="O3925">
        <f t="shared" si="122"/>
        <v>8.6599999999999966</v>
      </c>
      <c r="P3925">
        <f t="shared" si="123"/>
        <v>95.87700000000001</v>
      </c>
    </row>
    <row r="3926" spans="1:16" x14ac:dyDescent="0.35">
      <c r="A3926" s="9" t="s">
        <v>462</v>
      </c>
      <c r="B3926" s="2">
        <v>222.67</v>
      </c>
      <c r="C3926" s="2">
        <v>224.65899999999999</v>
      </c>
      <c r="D3926" s="2">
        <v>218.86</v>
      </c>
      <c r="E3926" s="2">
        <v>223.27</v>
      </c>
      <c r="F3926" s="2">
        <v>70145964</v>
      </c>
      <c r="G3926" s="2" t="s">
        <v>573</v>
      </c>
      <c r="H3926" s="2" t="s">
        <v>574</v>
      </c>
      <c r="I3926" s="2" t="s">
        <v>575</v>
      </c>
      <c r="J3926" s="3">
        <v>0.98099999999999998</v>
      </c>
      <c r="K3926" s="2" t="s">
        <v>448</v>
      </c>
      <c r="L3926" s="2">
        <v>2024</v>
      </c>
      <c r="M3926" s="2" t="s">
        <v>180</v>
      </c>
      <c r="N3926" s="2" t="s">
        <v>21</v>
      </c>
      <c r="O3926">
        <f t="shared" si="122"/>
        <v>5.7989999999999782</v>
      </c>
      <c r="P3926">
        <f t="shared" si="123"/>
        <v>96.858000000000004</v>
      </c>
    </row>
    <row r="3927" spans="1:16" x14ac:dyDescent="0.35">
      <c r="A3927" s="9" t="s">
        <v>463</v>
      </c>
      <c r="B3927" s="2">
        <v>223.82</v>
      </c>
      <c r="C3927" s="2">
        <v>224.8</v>
      </c>
      <c r="D3927" s="2">
        <v>210.32</v>
      </c>
      <c r="E3927" s="2">
        <v>210.66</v>
      </c>
      <c r="F3927" s="2">
        <v>79514482</v>
      </c>
      <c r="G3927" s="2" t="s">
        <v>573</v>
      </c>
      <c r="H3927" s="2" t="s">
        <v>574</v>
      </c>
      <c r="I3927" s="2" t="s">
        <v>575</v>
      </c>
      <c r="J3927" s="4">
        <v>-5.6479999999999997</v>
      </c>
      <c r="K3927" s="2" t="s">
        <v>448</v>
      </c>
      <c r="L3927" s="2">
        <v>2024</v>
      </c>
      <c r="M3927" s="2" t="s">
        <v>180</v>
      </c>
      <c r="N3927" s="2" t="s">
        <v>23</v>
      </c>
      <c r="O3927">
        <f t="shared" si="122"/>
        <v>14.480000000000018</v>
      </c>
      <c r="P3927">
        <f t="shared" si="123"/>
        <v>91.210000000000008</v>
      </c>
    </row>
    <row r="3928" spans="1:16" x14ac:dyDescent="0.35">
      <c r="A3928" s="9" t="s">
        <v>464</v>
      </c>
      <c r="B3928" s="2">
        <v>214.45500000000001</v>
      </c>
      <c r="C3928" s="2">
        <v>221.48</v>
      </c>
      <c r="D3928" s="2">
        <v>214.21</v>
      </c>
      <c r="E3928" s="2">
        <v>220.32</v>
      </c>
      <c r="F3928" s="2">
        <v>81525207</v>
      </c>
      <c r="G3928" s="2" t="s">
        <v>573</v>
      </c>
      <c r="H3928" s="2" t="s">
        <v>574</v>
      </c>
      <c r="I3928" s="2" t="s">
        <v>575</v>
      </c>
      <c r="J3928" s="3">
        <v>4.5860000000000003</v>
      </c>
      <c r="K3928" s="2" t="s">
        <v>448</v>
      </c>
      <c r="L3928" s="2">
        <v>2024</v>
      </c>
      <c r="M3928" s="2" t="s">
        <v>180</v>
      </c>
      <c r="N3928" s="2" t="s">
        <v>21</v>
      </c>
      <c r="O3928">
        <f t="shared" si="122"/>
        <v>7.2699999999999818</v>
      </c>
      <c r="P3928">
        <f t="shared" si="123"/>
        <v>95.796000000000006</v>
      </c>
    </row>
    <row r="3929" spans="1:16" x14ac:dyDescent="0.35">
      <c r="A3929" s="9" t="s">
        <v>465</v>
      </c>
      <c r="B3929" s="2">
        <v>218.75</v>
      </c>
      <c r="C3929" s="2">
        <v>219.09</v>
      </c>
      <c r="D3929" s="2">
        <v>211.01</v>
      </c>
      <c r="E3929" s="2">
        <v>213.21</v>
      </c>
      <c r="F3929" s="2">
        <v>59301187</v>
      </c>
      <c r="G3929" s="2" t="s">
        <v>573</v>
      </c>
      <c r="H3929" s="2" t="s">
        <v>574</v>
      </c>
      <c r="I3929" s="2" t="s">
        <v>575</v>
      </c>
      <c r="J3929" s="4">
        <v>-3.2269999999999999</v>
      </c>
      <c r="K3929" s="2" t="s">
        <v>448</v>
      </c>
      <c r="L3929" s="2">
        <v>2024</v>
      </c>
      <c r="M3929" s="2" t="s">
        <v>180</v>
      </c>
      <c r="N3929" s="2" t="s">
        <v>23</v>
      </c>
      <c r="O3929">
        <f t="shared" si="122"/>
        <v>8.0800000000000125</v>
      </c>
      <c r="P3929">
        <f t="shared" si="123"/>
        <v>92.569000000000003</v>
      </c>
    </row>
    <row r="3930" spans="1:16" x14ac:dyDescent="0.35">
      <c r="A3930" s="9" t="s">
        <v>466</v>
      </c>
      <c r="B3930" s="2">
        <v>213.25</v>
      </c>
      <c r="C3930" s="2">
        <v>215.66</v>
      </c>
      <c r="D3930" s="2">
        <v>206.94</v>
      </c>
      <c r="E3930" s="2">
        <v>209.21</v>
      </c>
      <c r="F3930" s="2">
        <v>62821390</v>
      </c>
      <c r="G3930" s="2" t="s">
        <v>573</v>
      </c>
      <c r="H3930" s="2" t="s">
        <v>574</v>
      </c>
      <c r="I3930" s="2" t="s">
        <v>575</v>
      </c>
      <c r="J3930" s="4">
        <v>-1.8759999999999999</v>
      </c>
      <c r="K3930" s="2" t="s">
        <v>448</v>
      </c>
      <c r="L3930" s="2">
        <v>2024</v>
      </c>
      <c r="M3930" s="2" t="s">
        <v>180</v>
      </c>
      <c r="N3930" s="2" t="s">
        <v>23</v>
      </c>
      <c r="O3930">
        <f t="shared" si="122"/>
        <v>8.7199999999999989</v>
      </c>
      <c r="P3930">
        <f t="shared" si="123"/>
        <v>90.692999999999998</v>
      </c>
    </row>
    <row r="3931" spans="1:16" x14ac:dyDescent="0.35">
      <c r="A3931" s="9" t="s">
        <v>467</v>
      </c>
      <c r="B3931" s="2">
        <v>209.72</v>
      </c>
      <c r="C3931" s="2">
        <v>211.84</v>
      </c>
      <c r="D3931" s="2">
        <v>202.59</v>
      </c>
      <c r="E3931" s="2">
        <v>205.75</v>
      </c>
      <c r="F3931" s="2">
        <v>64116350</v>
      </c>
      <c r="G3931" s="2" t="s">
        <v>573</v>
      </c>
      <c r="H3931" s="2" t="s">
        <v>574</v>
      </c>
      <c r="I3931" s="2" t="s">
        <v>575</v>
      </c>
      <c r="J3931" s="4">
        <v>-1.6539999999999999</v>
      </c>
      <c r="K3931" s="2" t="s">
        <v>448</v>
      </c>
      <c r="L3931" s="2">
        <v>2024</v>
      </c>
      <c r="M3931" s="2" t="s">
        <v>180</v>
      </c>
      <c r="N3931" s="2" t="s">
        <v>23</v>
      </c>
      <c r="O3931">
        <f t="shared" si="122"/>
        <v>9.25</v>
      </c>
      <c r="P3931">
        <f t="shared" si="123"/>
        <v>89.039000000000001</v>
      </c>
    </row>
    <row r="3932" spans="1:16" x14ac:dyDescent="0.35">
      <c r="A3932" s="9" t="s">
        <v>468</v>
      </c>
      <c r="B3932" s="2">
        <v>209.8</v>
      </c>
      <c r="C3932" s="2">
        <v>214.89</v>
      </c>
      <c r="D3932" s="2">
        <v>205.97</v>
      </c>
      <c r="E3932" s="2">
        <v>206.28</v>
      </c>
      <c r="F3932" s="2">
        <v>62308818</v>
      </c>
      <c r="G3932" s="2" t="s">
        <v>573</v>
      </c>
      <c r="H3932" s="2" t="s">
        <v>574</v>
      </c>
      <c r="I3932" s="2" t="s">
        <v>575</v>
      </c>
      <c r="J3932" s="3">
        <v>0.25800000000000001</v>
      </c>
      <c r="K3932" s="2" t="s">
        <v>448</v>
      </c>
      <c r="L3932" s="2">
        <v>2024</v>
      </c>
      <c r="M3932" s="2" t="s">
        <v>180</v>
      </c>
      <c r="N3932" s="2" t="s">
        <v>21</v>
      </c>
      <c r="O3932">
        <f t="shared" si="122"/>
        <v>8.9199999999999875</v>
      </c>
      <c r="P3932">
        <f t="shared" si="123"/>
        <v>89.296999999999997</v>
      </c>
    </row>
    <row r="3933" spans="1:16" x14ac:dyDescent="0.35">
      <c r="A3933" s="9" t="s">
        <v>469</v>
      </c>
      <c r="B3933" s="2">
        <v>208.63</v>
      </c>
      <c r="C3933" s="2">
        <v>214.57</v>
      </c>
      <c r="D3933" s="2">
        <v>207.03</v>
      </c>
      <c r="E3933" s="2">
        <v>214.11</v>
      </c>
      <c r="F3933" s="2">
        <v>63370608</v>
      </c>
      <c r="G3933" s="2" t="s">
        <v>573</v>
      </c>
      <c r="H3933" s="2" t="s">
        <v>574</v>
      </c>
      <c r="I3933" s="2" t="s">
        <v>575</v>
      </c>
      <c r="J3933" s="3">
        <v>3.7959999999999998</v>
      </c>
      <c r="K3933" s="2" t="s">
        <v>448</v>
      </c>
      <c r="L3933" s="2">
        <v>2024</v>
      </c>
      <c r="M3933" s="2" t="s">
        <v>180</v>
      </c>
      <c r="N3933" s="2" t="s">
        <v>21</v>
      </c>
      <c r="O3933">
        <f t="shared" si="122"/>
        <v>7.539999999999992</v>
      </c>
      <c r="P3933">
        <f t="shared" si="123"/>
        <v>93.093000000000004</v>
      </c>
    </row>
    <row r="3934" spans="1:16" x14ac:dyDescent="0.35">
      <c r="A3934" s="9" t="s">
        <v>470</v>
      </c>
      <c r="B3934" s="2">
        <v>215.26</v>
      </c>
      <c r="C3934" s="2">
        <v>219.904</v>
      </c>
      <c r="D3934" s="2">
        <v>209.64</v>
      </c>
      <c r="E3934" s="2">
        <v>210.6</v>
      </c>
      <c r="F3934" s="2">
        <v>76714222</v>
      </c>
      <c r="G3934" s="2" t="s">
        <v>573</v>
      </c>
      <c r="H3934" s="2" t="s">
        <v>574</v>
      </c>
      <c r="I3934" s="2" t="s">
        <v>575</v>
      </c>
      <c r="J3934" s="4">
        <v>-1.639</v>
      </c>
      <c r="K3934" s="2" t="s">
        <v>471</v>
      </c>
      <c r="L3934" s="2">
        <v>2024</v>
      </c>
      <c r="M3934" s="2" t="s">
        <v>205</v>
      </c>
      <c r="N3934" s="2" t="s">
        <v>23</v>
      </c>
      <c r="O3934">
        <f t="shared" si="122"/>
        <v>10.26400000000001</v>
      </c>
      <c r="P3934">
        <f t="shared" si="123"/>
        <v>91.454000000000008</v>
      </c>
    </row>
    <row r="3935" spans="1:16" x14ac:dyDescent="0.35">
      <c r="A3935" s="9" t="s">
        <v>472</v>
      </c>
      <c r="B3935" s="2">
        <v>210.59</v>
      </c>
      <c r="C3935" s="2">
        <v>222.22</v>
      </c>
      <c r="D3935" s="2">
        <v>210.57</v>
      </c>
      <c r="E3935" s="2">
        <v>219.41</v>
      </c>
      <c r="F3935" s="2">
        <v>80651767</v>
      </c>
      <c r="G3935" s="2" t="s">
        <v>573</v>
      </c>
      <c r="H3935" s="2" t="s">
        <v>574</v>
      </c>
      <c r="I3935" s="2" t="s">
        <v>575</v>
      </c>
      <c r="J3935" s="3">
        <v>4.1829999999999998</v>
      </c>
      <c r="K3935" s="2" t="s">
        <v>471</v>
      </c>
      <c r="L3935" s="2">
        <v>2024</v>
      </c>
      <c r="M3935" s="2" t="s">
        <v>205</v>
      </c>
      <c r="N3935" s="2" t="s">
        <v>21</v>
      </c>
      <c r="O3935">
        <f t="shared" si="122"/>
        <v>11.650000000000006</v>
      </c>
      <c r="P3935">
        <f t="shared" si="123"/>
        <v>95.637</v>
      </c>
    </row>
    <row r="3936" spans="1:16" x14ac:dyDescent="0.35">
      <c r="A3936" s="9" t="s">
        <v>473</v>
      </c>
      <c r="B3936" s="2">
        <v>223.49</v>
      </c>
      <c r="C3936" s="2">
        <v>235</v>
      </c>
      <c r="D3936" s="2">
        <v>222.25</v>
      </c>
      <c r="E3936" s="2">
        <v>230.17</v>
      </c>
      <c r="F3936" s="2">
        <v>119355013</v>
      </c>
      <c r="G3936" s="2" t="s">
        <v>573</v>
      </c>
      <c r="H3936" s="2" t="s">
        <v>574</v>
      </c>
      <c r="I3936" s="2" t="s">
        <v>575</v>
      </c>
      <c r="J3936" s="3">
        <v>4.9039999999999999</v>
      </c>
      <c r="K3936" s="2" t="s">
        <v>471</v>
      </c>
      <c r="L3936" s="2">
        <v>2024</v>
      </c>
      <c r="M3936" s="2" t="s">
        <v>205</v>
      </c>
      <c r="N3936" s="2" t="s">
        <v>21</v>
      </c>
      <c r="O3936">
        <f t="shared" si="122"/>
        <v>12.75</v>
      </c>
      <c r="P3936">
        <f t="shared" si="123"/>
        <v>100.541</v>
      </c>
    </row>
    <row r="3937" spans="1:16" x14ac:dyDescent="0.35">
      <c r="A3937" s="9" t="s">
        <v>474</v>
      </c>
      <c r="B3937" s="2">
        <v>232.6</v>
      </c>
      <c r="C3937" s="2">
        <v>233.6</v>
      </c>
      <c r="D3937" s="2">
        <v>210.51</v>
      </c>
      <c r="E3937" s="2">
        <v>210.73</v>
      </c>
      <c r="F3937" s="2">
        <v>112177004</v>
      </c>
      <c r="G3937" s="2" t="s">
        <v>573</v>
      </c>
      <c r="H3937" s="2" t="s">
        <v>574</v>
      </c>
      <c r="I3937" s="2" t="s">
        <v>575</v>
      </c>
      <c r="J3937" s="4">
        <v>-8.4459999999999997</v>
      </c>
      <c r="K3937" s="2" t="s">
        <v>471</v>
      </c>
      <c r="L3937" s="2">
        <v>2024</v>
      </c>
      <c r="M3937" s="2" t="s">
        <v>205</v>
      </c>
      <c r="N3937" s="2" t="s">
        <v>23</v>
      </c>
      <c r="O3937">
        <f t="shared" si="122"/>
        <v>23.090000000000003</v>
      </c>
      <c r="P3937">
        <f t="shared" si="123"/>
        <v>92.094999999999999</v>
      </c>
    </row>
    <row r="3938" spans="1:16" x14ac:dyDescent="0.35">
      <c r="A3938" s="9" t="s">
        <v>475</v>
      </c>
      <c r="B3938" s="2">
        <v>216.2</v>
      </c>
      <c r="C3938" s="2">
        <v>219.87</v>
      </c>
      <c r="D3938" s="2">
        <v>213.67</v>
      </c>
      <c r="E3938" s="2">
        <v>216.27</v>
      </c>
      <c r="F3938" s="2">
        <v>67443518</v>
      </c>
      <c r="G3938" s="2" t="s">
        <v>573</v>
      </c>
      <c r="H3938" s="2" t="s">
        <v>574</v>
      </c>
      <c r="I3938" s="2" t="s">
        <v>575</v>
      </c>
      <c r="J3938" s="3">
        <v>2.629</v>
      </c>
      <c r="K3938" s="2" t="s">
        <v>471</v>
      </c>
      <c r="L3938" s="2">
        <v>2024</v>
      </c>
      <c r="M3938" s="2" t="s">
        <v>205</v>
      </c>
      <c r="N3938" s="2" t="s">
        <v>21</v>
      </c>
      <c r="O3938">
        <f t="shared" si="122"/>
        <v>6.2000000000000171</v>
      </c>
      <c r="P3938">
        <f t="shared" si="123"/>
        <v>94.724000000000004</v>
      </c>
    </row>
    <row r="3939" spans="1:16" x14ac:dyDescent="0.35">
      <c r="A3939" s="9" t="s">
        <v>476</v>
      </c>
      <c r="B3939" s="2">
        <v>220.07</v>
      </c>
      <c r="C3939" s="2">
        <v>226.4</v>
      </c>
      <c r="D3939" s="2">
        <v>218.63800000000001</v>
      </c>
      <c r="E3939" s="2">
        <v>226.17</v>
      </c>
      <c r="F3939" s="2">
        <v>78891136</v>
      </c>
      <c r="G3939" s="2" t="s">
        <v>573</v>
      </c>
      <c r="H3939" s="2" t="s">
        <v>574</v>
      </c>
      <c r="I3939" s="2" t="s">
        <v>575</v>
      </c>
      <c r="J3939" s="3">
        <v>4.5780000000000003</v>
      </c>
      <c r="K3939" s="2" t="s">
        <v>471</v>
      </c>
      <c r="L3939" s="2">
        <v>2024</v>
      </c>
      <c r="M3939" s="2" t="s">
        <v>205</v>
      </c>
      <c r="N3939" s="2" t="s">
        <v>21</v>
      </c>
      <c r="O3939">
        <f t="shared" si="122"/>
        <v>7.7620000000000005</v>
      </c>
      <c r="P3939">
        <f t="shared" si="123"/>
        <v>99.302000000000007</v>
      </c>
    </row>
    <row r="3940" spans="1:16" x14ac:dyDescent="0.35">
      <c r="A3940" s="9" t="s">
        <v>477</v>
      </c>
      <c r="B3940" s="2">
        <v>224.55</v>
      </c>
      <c r="C3940" s="2">
        <v>228.47</v>
      </c>
      <c r="D3940" s="2">
        <v>216.8</v>
      </c>
      <c r="E3940" s="2">
        <v>228.13</v>
      </c>
      <c r="F3940" s="2">
        <v>83548633</v>
      </c>
      <c r="G3940" s="2" t="s">
        <v>573</v>
      </c>
      <c r="H3940" s="2" t="s">
        <v>574</v>
      </c>
      <c r="I3940" s="2" t="s">
        <v>575</v>
      </c>
      <c r="J3940" s="3">
        <v>0.86699999999999999</v>
      </c>
      <c r="K3940" s="2" t="s">
        <v>471</v>
      </c>
      <c r="L3940" s="2">
        <v>2024</v>
      </c>
      <c r="M3940" s="2" t="s">
        <v>205</v>
      </c>
      <c r="N3940" s="2" t="s">
        <v>21</v>
      </c>
      <c r="O3940">
        <f t="shared" si="122"/>
        <v>11.669999999999987</v>
      </c>
      <c r="P3940">
        <f t="shared" si="123"/>
        <v>100.16900000000001</v>
      </c>
    </row>
    <row r="3941" spans="1:16" x14ac:dyDescent="0.35">
      <c r="A3941" s="9" t="s">
        <v>478</v>
      </c>
      <c r="B3941" s="2">
        <v>224.66</v>
      </c>
      <c r="C3941" s="2">
        <v>231.45</v>
      </c>
      <c r="D3941" s="2">
        <v>223.83</v>
      </c>
      <c r="E3941" s="2">
        <v>229.81</v>
      </c>
      <c r="F3941" s="2">
        <v>72020042</v>
      </c>
      <c r="G3941" s="2" t="s">
        <v>573</v>
      </c>
      <c r="H3941" s="2" t="s">
        <v>574</v>
      </c>
      <c r="I3941" s="2" t="s">
        <v>575</v>
      </c>
      <c r="J3941" s="3">
        <v>0.73599999999999999</v>
      </c>
      <c r="K3941" s="2" t="s">
        <v>471</v>
      </c>
      <c r="L3941" s="2">
        <v>2024</v>
      </c>
      <c r="M3941" s="2" t="s">
        <v>205</v>
      </c>
      <c r="N3941" s="2" t="s">
        <v>21</v>
      </c>
      <c r="O3941">
        <f t="shared" si="122"/>
        <v>7.6199999999999761</v>
      </c>
      <c r="P3941">
        <f t="shared" si="123"/>
        <v>100.90500000000002</v>
      </c>
    </row>
    <row r="3942" spans="1:16" x14ac:dyDescent="0.35">
      <c r="A3942" s="9" t="s">
        <v>479</v>
      </c>
      <c r="B3942" s="2">
        <v>228</v>
      </c>
      <c r="C3942" s="2">
        <v>232.67</v>
      </c>
      <c r="D3942" s="2">
        <v>226.32</v>
      </c>
      <c r="E3942" s="2">
        <v>230.29</v>
      </c>
      <c r="F3942" s="2">
        <v>59515114</v>
      </c>
      <c r="G3942" s="2" t="s">
        <v>573</v>
      </c>
      <c r="H3942" s="2" t="s">
        <v>574</v>
      </c>
      <c r="I3942" s="2" t="s">
        <v>575</v>
      </c>
      <c r="J3942" s="3">
        <v>0.20899999999999999</v>
      </c>
      <c r="K3942" s="2" t="s">
        <v>471</v>
      </c>
      <c r="L3942" s="2">
        <v>2024</v>
      </c>
      <c r="M3942" s="2" t="s">
        <v>205</v>
      </c>
      <c r="N3942" s="2" t="s">
        <v>21</v>
      </c>
      <c r="O3942">
        <f t="shared" si="122"/>
        <v>6.3499999999999943</v>
      </c>
      <c r="P3942">
        <f t="shared" si="123"/>
        <v>101.11400000000002</v>
      </c>
    </row>
    <row r="3943" spans="1:16" x14ac:dyDescent="0.35">
      <c r="A3943" s="9" t="s">
        <v>480</v>
      </c>
      <c r="B3943" s="2">
        <v>229.3</v>
      </c>
      <c r="C3943" s="2">
        <v>229.96</v>
      </c>
      <c r="D3943" s="2">
        <v>223.53</v>
      </c>
      <c r="E3943" s="2">
        <v>226.78</v>
      </c>
      <c r="F3943" s="2">
        <v>54322995</v>
      </c>
      <c r="G3943" s="2" t="s">
        <v>573</v>
      </c>
      <c r="H3943" s="2" t="s">
        <v>574</v>
      </c>
      <c r="I3943" s="2" t="s">
        <v>575</v>
      </c>
      <c r="J3943" s="4">
        <v>-1.524</v>
      </c>
      <c r="K3943" s="2" t="s">
        <v>471</v>
      </c>
      <c r="L3943" s="2">
        <v>2024</v>
      </c>
      <c r="M3943" s="2" t="s">
        <v>205</v>
      </c>
      <c r="N3943" s="2" t="s">
        <v>23</v>
      </c>
      <c r="O3943">
        <f t="shared" si="122"/>
        <v>6.4300000000000068</v>
      </c>
      <c r="P3943">
        <f t="shared" si="123"/>
        <v>99.590000000000018</v>
      </c>
    </row>
    <row r="3944" spans="1:16" x14ac:dyDescent="0.35">
      <c r="A3944" s="9" t="s">
        <v>481</v>
      </c>
      <c r="B3944" s="2">
        <v>229.45</v>
      </c>
      <c r="C3944" s="2">
        <v>234.57</v>
      </c>
      <c r="D3944" s="2">
        <v>226.553</v>
      </c>
      <c r="E3944" s="2">
        <v>227.87</v>
      </c>
      <c r="F3944" s="2">
        <v>66761636</v>
      </c>
      <c r="G3944" s="2" t="s">
        <v>573</v>
      </c>
      <c r="H3944" s="2" t="s">
        <v>574</v>
      </c>
      <c r="I3944" s="2" t="s">
        <v>575</v>
      </c>
      <c r="J3944" s="3">
        <v>0.48099999999999998</v>
      </c>
      <c r="K3944" s="2" t="s">
        <v>471</v>
      </c>
      <c r="L3944" s="2">
        <v>2024</v>
      </c>
      <c r="M3944" s="2" t="s">
        <v>205</v>
      </c>
      <c r="N3944" s="2" t="s">
        <v>21</v>
      </c>
      <c r="O3944">
        <f t="shared" si="122"/>
        <v>8.0169999999999959</v>
      </c>
      <c r="P3944">
        <f t="shared" si="123"/>
        <v>100.07100000000001</v>
      </c>
    </row>
    <row r="3945" spans="1:16" x14ac:dyDescent="0.35">
      <c r="A3945" s="9" t="s">
        <v>482</v>
      </c>
      <c r="B3945" s="2">
        <v>230.09</v>
      </c>
      <c r="C3945" s="2">
        <v>235.68</v>
      </c>
      <c r="D3945" s="2">
        <v>226.88</v>
      </c>
      <c r="E3945" s="2">
        <v>227.2</v>
      </c>
      <c r="F3945" s="2">
        <v>78010204</v>
      </c>
      <c r="G3945" s="2" t="s">
        <v>573</v>
      </c>
      <c r="H3945" s="2" t="s">
        <v>574</v>
      </c>
      <c r="I3945" s="2" t="s">
        <v>575</v>
      </c>
      <c r="J3945" s="4">
        <v>-0.29399999999999998</v>
      </c>
      <c r="K3945" s="2" t="s">
        <v>471</v>
      </c>
      <c r="L3945" s="2">
        <v>2024</v>
      </c>
      <c r="M3945" s="2" t="s">
        <v>205</v>
      </c>
      <c r="N3945" s="2" t="s">
        <v>23</v>
      </c>
      <c r="O3945">
        <f t="shared" si="122"/>
        <v>8.8000000000000114</v>
      </c>
      <c r="P3945">
        <f t="shared" si="123"/>
        <v>99.777000000000015</v>
      </c>
    </row>
    <row r="3946" spans="1:16" x14ac:dyDescent="0.35">
      <c r="A3946" s="9" t="s">
        <v>483</v>
      </c>
      <c r="B3946" s="2">
        <v>234</v>
      </c>
      <c r="C3946" s="2">
        <v>244.24</v>
      </c>
      <c r="D3946" s="2">
        <v>232.13</v>
      </c>
      <c r="E3946" s="2">
        <v>243.92</v>
      </c>
      <c r="F3946" s="2">
        <v>102694576</v>
      </c>
      <c r="G3946" s="2" t="s">
        <v>573</v>
      </c>
      <c r="H3946" s="2" t="s">
        <v>574</v>
      </c>
      <c r="I3946" s="2" t="s">
        <v>575</v>
      </c>
      <c r="J3946" s="3">
        <v>7.359</v>
      </c>
      <c r="K3946" s="2" t="s">
        <v>471</v>
      </c>
      <c r="L3946" s="2">
        <v>2024</v>
      </c>
      <c r="M3946" s="2" t="s">
        <v>205</v>
      </c>
      <c r="N3946" s="2" t="s">
        <v>21</v>
      </c>
      <c r="O3946">
        <f t="shared" si="122"/>
        <v>12.110000000000014</v>
      </c>
      <c r="P3946">
        <f t="shared" si="123"/>
        <v>107.13600000000001</v>
      </c>
    </row>
    <row r="3947" spans="1:16" x14ac:dyDescent="0.35">
      <c r="A3947" s="9" t="s">
        <v>484</v>
      </c>
      <c r="B3947" s="2">
        <v>241.52</v>
      </c>
      <c r="C3947" s="2">
        <v>243.99</v>
      </c>
      <c r="D3947" s="2">
        <v>235.92</v>
      </c>
      <c r="E3947" s="2">
        <v>238.25</v>
      </c>
      <c r="F3947" s="2">
        <v>99879070</v>
      </c>
      <c r="G3947" s="2" t="s">
        <v>573</v>
      </c>
      <c r="H3947" s="2" t="s">
        <v>574</v>
      </c>
      <c r="I3947" s="2" t="s">
        <v>575</v>
      </c>
      <c r="J3947" s="4">
        <v>-2.3250000000000002</v>
      </c>
      <c r="K3947" s="2" t="s">
        <v>471</v>
      </c>
      <c r="L3947" s="2">
        <v>2024</v>
      </c>
      <c r="M3947" s="2" t="s">
        <v>205</v>
      </c>
      <c r="N3947" s="2" t="s">
        <v>23</v>
      </c>
      <c r="O3947">
        <f t="shared" si="122"/>
        <v>8.0700000000000216</v>
      </c>
      <c r="P3947">
        <f t="shared" si="123"/>
        <v>104.81100000000001</v>
      </c>
    </row>
    <row r="3948" spans="1:16" x14ac:dyDescent="0.35">
      <c r="A3948" s="9" t="s">
        <v>485</v>
      </c>
      <c r="B3948" s="2">
        <v>242.61</v>
      </c>
      <c r="C3948" s="2">
        <v>250</v>
      </c>
      <c r="D3948" s="2">
        <v>241.92</v>
      </c>
      <c r="E3948" s="2">
        <v>250</v>
      </c>
      <c r="F3948" s="2">
        <v>86927194</v>
      </c>
      <c r="G3948" s="2" t="s">
        <v>573</v>
      </c>
      <c r="H3948" s="2" t="s">
        <v>574</v>
      </c>
      <c r="I3948" s="2" t="s">
        <v>575</v>
      </c>
      <c r="J3948" s="3">
        <v>4.9320000000000004</v>
      </c>
      <c r="K3948" s="2" t="s">
        <v>471</v>
      </c>
      <c r="L3948" s="2">
        <v>2024</v>
      </c>
      <c r="M3948" s="2" t="s">
        <v>205</v>
      </c>
      <c r="N3948" s="2" t="s">
        <v>21</v>
      </c>
      <c r="O3948">
        <f t="shared" si="122"/>
        <v>8.0800000000000125</v>
      </c>
      <c r="P3948">
        <f t="shared" si="123"/>
        <v>109.74300000000001</v>
      </c>
    </row>
    <row r="3949" spans="1:16" x14ac:dyDescent="0.35">
      <c r="A3949" s="9" t="s">
        <v>486</v>
      </c>
      <c r="B3949" s="2">
        <v>254.08</v>
      </c>
      <c r="C3949" s="2">
        <v>257.19</v>
      </c>
      <c r="D3949" s="2">
        <v>249.05</v>
      </c>
      <c r="E3949" s="2">
        <v>254.27</v>
      </c>
      <c r="F3949" s="2">
        <v>88490999</v>
      </c>
      <c r="G3949" s="2" t="s">
        <v>573</v>
      </c>
      <c r="H3949" s="2" t="s">
        <v>574</v>
      </c>
      <c r="I3949" s="2" t="s">
        <v>575</v>
      </c>
      <c r="J3949" s="3">
        <v>1.708</v>
      </c>
      <c r="K3949" s="2" t="s">
        <v>471</v>
      </c>
      <c r="L3949" s="2">
        <v>2024</v>
      </c>
      <c r="M3949" s="2" t="s">
        <v>205</v>
      </c>
      <c r="N3949" s="2" t="s">
        <v>21</v>
      </c>
      <c r="O3949">
        <f t="shared" si="122"/>
        <v>8.1399999999999864</v>
      </c>
      <c r="P3949">
        <f t="shared" si="123"/>
        <v>111.45100000000001</v>
      </c>
    </row>
    <row r="3950" spans="1:16" x14ac:dyDescent="0.35">
      <c r="A3950" s="9" t="s">
        <v>487</v>
      </c>
      <c r="B3950" s="2">
        <v>252.54</v>
      </c>
      <c r="C3950" s="2">
        <v>257.05</v>
      </c>
      <c r="D3950" s="2">
        <v>252.28</v>
      </c>
      <c r="E3950" s="2">
        <v>257.02</v>
      </c>
      <c r="F3950" s="2">
        <v>65034318</v>
      </c>
      <c r="G3950" s="2" t="s">
        <v>573</v>
      </c>
      <c r="H3950" s="2" t="s">
        <v>574</v>
      </c>
      <c r="I3950" s="2" t="s">
        <v>575</v>
      </c>
      <c r="J3950" s="3">
        <v>1.0820000000000001</v>
      </c>
      <c r="K3950" s="2" t="s">
        <v>471</v>
      </c>
      <c r="L3950" s="2">
        <v>2024</v>
      </c>
      <c r="M3950" s="2" t="s">
        <v>205</v>
      </c>
      <c r="N3950" s="2" t="s">
        <v>21</v>
      </c>
      <c r="O3950">
        <f t="shared" si="122"/>
        <v>4.7700000000000102</v>
      </c>
      <c r="P3950">
        <f t="shared" si="123"/>
        <v>112.533</v>
      </c>
    </row>
    <row r="3951" spans="1:16" x14ac:dyDescent="0.35">
      <c r="A3951" s="9" t="s">
        <v>488</v>
      </c>
      <c r="B3951" s="2">
        <v>260.60000000000002</v>
      </c>
      <c r="C3951" s="2">
        <v>261.75</v>
      </c>
      <c r="D3951" s="2">
        <v>251.53</v>
      </c>
      <c r="E3951" s="2">
        <v>254.22</v>
      </c>
      <c r="F3951" s="2">
        <v>67142193</v>
      </c>
      <c r="G3951" s="2" t="s">
        <v>573</v>
      </c>
      <c r="H3951" s="2" t="s">
        <v>574</v>
      </c>
      <c r="I3951" s="2" t="s">
        <v>575</v>
      </c>
      <c r="J3951" s="4">
        <v>-1.089</v>
      </c>
      <c r="K3951" s="2" t="s">
        <v>471</v>
      </c>
      <c r="L3951" s="2">
        <v>2024</v>
      </c>
      <c r="M3951" s="2" t="s">
        <v>205</v>
      </c>
      <c r="N3951" s="2" t="s">
        <v>23</v>
      </c>
      <c r="O3951">
        <f t="shared" si="122"/>
        <v>10.219999999999999</v>
      </c>
      <c r="P3951">
        <f t="shared" si="123"/>
        <v>111.444</v>
      </c>
    </row>
    <row r="3952" spans="1:16" x14ac:dyDescent="0.35">
      <c r="A3952" s="9" t="s">
        <v>489</v>
      </c>
      <c r="B3952" s="2">
        <v>257.375</v>
      </c>
      <c r="C3952" s="2">
        <v>260.7</v>
      </c>
      <c r="D3952" s="2">
        <v>254.12</v>
      </c>
      <c r="E3952" s="2">
        <v>260.45999999999998</v>
      </c>
      <c r="F3952" s="2">
        <v>70988067</v>
      </c>
      <c r="G3952" s="2" t="s">
        <v>573</v>
      </c>
      <c r="H3952" s="2" t="s">
        <v>574</v>
      </c>
      <c r="I3952" s="2" t="s">
        <v>575</v>
      </c>
      <c r="J3952" s="3">
        <v>2.4550000000000001</v>
      </c>
      <c r="K3952" s="2" t="s">
        <v>471</v>
      </c>
      <c r="L3952" s="2">
        <v>2024</v>
      </c>
      <c r="M3952" s="2" t="s">
        <v>205</v>
      </c>
      <c r="N3952" s="2" t="s">
        <v>21</v>
      </c>
      <c r="O3952">
        <f t="shared" si="122"/>
        <v>6.5799999999999841</v>
      </c>
      <c r="P3952">
        <f t="shared" si="123"/>
        <v>113.899</v>
      </c>
    </row>
    <row r="3953" spans="1:16" x14ac:dyDescent="0.35">
      <c r="A3953" s="9" t="s">
        <v>490</v>
      </c>
      <c r="B3953" s="2">
        <v>259.04000000000002</v>
      </c>
      <c r="C3953" s="2">
        <v>264.86</v>
      </c>
      <c r="D3953" s="2">
        <v>255.77</v>
      </c>
      <c r="E3953" s="2">
        <v>261.63</v>
      </c>
      <c r="F3953" s="2">
        <v>80873381</v>
      </c>
      <c r="G3953" s="2" t="s">
        <v>573</v>
      </c>
      <c r="H3953" s="2" t="s">
        <v>574</v>
      </c>
      <c r="I3953" s="2" t="s">
        <v>575</v>
      </c>
      <c r="J3953" s="3">
        <v>0.44900000000000001</v>
      </c>
      <c r="K3953" s="2" t="s">
        <v>471</v>
      </c>
      <c r="L3953" s="2">
        <v>2024</v>
      </c>
      <c r="M3953" s="2" t="s">
        <v>205</v>
      </c>
      <c r="N3953" s="2" t="s">
        <v>21</v>
      </c>
      <c r="O3953">
        <f t="shared" si="122"/>
        <v>9.0900000000000034</v>
      </c>
      <c r="P3953">
        <f t="shared" si="123"/>
        <v>114.348</v>
      </c>
    </row>
    <row r="3954" spans="1:16" x14ac:dyDescent="0.35">
      <c r="A3954" s="9" t="s">
        <v>491</v>
      </c>
      <c r="B3954" s="2">
        <v>262.67</v>
      </c>
      <c r="C3954" s="2">
        <v>263.98</v>
      </c>
      <c r="D3954" s="2">
        <v>248.53</v>
      </c>
      <c r="E3954" s="2">
        <v>258.02</v>
      </c>
      <c r="F3954" s="2">
        <v>87397613</v>
      </c>
      <c r="G3954" s="2" t="s">
        <v>573</v>
      </c>
      <c r="H3954" s="2" t="s">
        <v>574</v>
      </c>
      <c r="I3954" s="2" t="s">
        <v>575</v>
      </c>
      <c r="J3954" s="4">
        <v>-1.38</v>
      </c>
      <c r="K3954" s="2" t="s">
        <v>492</v>
      </c>
      <c r="L3954" s="2">
        <v>2024</v>
      </c>
      <c r="M3954" s="2" t="s">
        <v>227</v>
      </c>
      <c r="N3954" s="2" t="s">
        <v>23</v>
      </c>
      <c r="O3954">
        <f t="shared" si="122"/>
        <v>15.450000000000017</v>
      </c>
      <c r="P3954">
        <f t="shared" si="123"/>
        <v>112.968</v>
      </c>
    </row>
    <row r="3955" spans="1:16" x14ac:dyDescent="0.35">
      <c r="A3955" s="9" t="s">
        <v>493</v>
      </c>
      <c r="B3955" s="2">
        <v>247.55</v>
      </c>
      <c r="C3955" s="2">
        <v>251.15899999999999</v>
      </c>
      <c r="D3955" s="2">
        <v>241.5</v>
      </c>
      <c r="E3955" s="2">
        <v>249.02</v>
      </c>
      <c r="F3955" s="2">
        <v>93983930</v>
      </c>
      <c r="G3955" s="2" t="s">
        <v>573</v>
      </c>
      <c r="H3955" s="2" t="s">
        <v>574</v>
      </c>
      <c r="I3955" s="2" t="s">
        <v>575</v>
      </c>
      <c r="J3955" s="4">
        <v>-3.488</v>
      </c>
      <c r="K3955" s="2" t="s">
        <v>492</v>
      </c>
      <c r="L3955" s="2">
        <v>2024</v>
      </c>
      <c r="M3955" s="2" t="s">
        <v>227</v>
      </c>
      <c r="N3955" s="2" t="s">
        <v>23</v>
      </c>
      <c r="O3955">
        <f t="shared" si="122"/>
        <v>9.6589999999999918</v>
      </c>
      <c r="P3955">
        <f t="shared" si="123"/>
        <v>109.48</v>
      </c>
    </row>
    <row r="3956" spans="1:16" x14ac:dyDescent="0.35">
      <c r="A3956" s="9" t="s">
        <v>494</v>
      </c>
      <c r="B3956" s="2">
        <v>244.48</v>
      </c>
      <c r="C3956" s="2">
        <v>249.79</v>
      </c>
      <c r="D3956" s="2">
        <v>237.81</v>
      </c>
      <c r="E3956" s="2">
        <v>240.66</v>
      </c>
      <c r="F3956" s="2">
        <v>80729240</v>
      </c>
      <c r="G3956" s="2" t="s">
        <v>573</v>
      </c>
      <c r="H3956" s="2" t="s">
        <v>574</v>
      </c>
      <c r="I3956" s="2" t="s">
        <v>575</v>
      </c>
      <c r="J3956" s="4">
        <v>-3.3570000000000002</v>
      </c>
      <c r="K3956" s="2" t="s">
        <v>492</v>
      </c>
      <c r="L3956" s="2">
        <v>2024</v>
      </c>
      <c r="M3956" s="2" t="s">
        <v>227</v>
      </c>
      <c r="N3956" s="2" t="s">
        <v>23</v>
      </c>
      <c r="O3956">
        <f t="shared" si="122"/>
        <v>11.97999999999999</v>
      </c>
      <c r="P3956">
        <f t="shared" si="123"/>
        <v>106.123</v>
      </c>
    </row>
    <row r="3957" spans="1:16" x14ac:dyDescent="0.35">
      <c r="A3957" s="9" t="s">
        <v>495</v>
      </c>
      <c r="B3957" s="2">
        <v>246.69</v>
      </c>
      <c r="C3957" s="2">
        <v>250.96</v>
      </c>
      <c r="D3957" s="2">
        <v>244.58</v>
      </c>
      <c r="E3957" s="2">
        <v>250.08</v>
      </c>
      <c r="F3957" s="2">
        <v>86726285</v>
      </c>
      <c r="G3957" s="2" t="s">
        <v>573</v>
      </c>
      <c r="H3957" s="2" t="s">
        <v>574</v>
      </c>
      <c r="I3957" s="2" t="s">
        <v>575</v>
      </c>
      <c r="J3957" s="3">
        <v>3.9140000000000001</v>
      </c>
      <c r="K3957" s="2" t="s">
        <v>492</v>
      </c>
      <c r="L3957" s="2">
        <v>2024</v>
      </c>
      <c r="M3957" s="2" t="s">
        <v>227</v>
      </c>
      <c r="N3957" s="2" t="s">
        <v>21</v>
      </c>
      <c r="O3957">
        <f t="shared" si="122"/>
        <v>6.3799999999999955</v>
      </c>
      <c r="P3957">
        <f t="shared" si="123"/>
        <v>110.03700000000001</v>
      </c>
    </row>
    <row r="3958" spans="1:16" x14ac:dyDescent="0.35">
      <c r="A3958" s="9" t="s">
        <v>496</v>
      </c>
      <c r="B3958" s="2">
        <v>249</v>
      </c>
      <c r="C3958" s="2">
        <v>249.83</v>
      </c>
      <c r="D3958" s="2">
        <v>240.7</v>
      </c>
      <c r="E3958" s="2">
        <v>240.83</v>
      </c>
      <c r="F3958" s="2">
        <v>68113270</v>
      </c>
      <c r="G3958" s="2" t="s">
        <v>573</v>
      </c>
      <c r="H3958" s="2" t="s">
        <v>574</v>
      </c>
      <c r="I3958" s="2" t="s">
        <v>575</v>
      </c>
      <c r="J3958" s="4">
        <v>-3.6989999999999998</v>
      </c>
      <c r="K3958" s="2" t="s">
        <v>492</v>
      </c>
      <c r="L3958" s="2">
        <v>2024</v>
      </c>
      <c r="M3958" s="2" t="s">
        <v>227</v>
      </c>
      <c r="N3958" s="2" t="s">
        <v>23</v>
      </c>
      <c r="O3958">
        <f t="shared" si="122"/>
        <v>9.1300000000000239</v>
      </c>
      <c r="P3958">
        <f t="shared" si="123"/>
        <v>106.33800000000001</v>
      </c>
    </row>
    <row r="3959" spans="1:16" x14ac:dyDescent="0.35">
      <c r="A3959" s="9" t="s">
        <v>497</v>
      </c>
      <c r="B3959" s="2">
        <v>243.56</v>
      </c>
      <c r="C3959" s="2">
        <v>246.21</v>
      </c>
      <c r="D3959" s="2">
        <v>240.56</v>
      </c>
      <c r="E3959" s="2">
        <v>244.5</v>
      </c>
      <c r="F3959" s="2">
        <v>56303160</v>
      </c>
      <c r="G3959" s="2" t="s">
        <v>573</v>
      </c>
      <c r="H3959" s="2" t="s">
        <v>574</v>
      </c>
      <c r="I3959" s="2" t="s">
        <v>575</v>
      </c>
      <c r="J3959" s="3">
        <v>1.524</v>
      </c>
      <c r="K3959" s="2" t="s">
        <v>492</v>
      </c>
      <c r="L3959" s="2">
        <v>2024</v>
      </c>
      <c r="M3959" s="2" t="s">
        <v>227</v>
      </c>
      <c r="N3959" s="2" t="s">
        <v>21</v>
      </c>
      <c r="O3959">
        <f t="shared" si="122"/>
        <v>5.6500000000000057</v>
      </c>
      <c r="P3959">
        <f t="shared" si="123"/>
        <v>107.86200000000001</v>
      </c>
    </row>
    <row r="3960" spans="1:16" x14ac:dyDescent="0.35">
      <c r="A3960" s="9" t="s">
        <v>498</v>
      </c>
      <c r="B3960" s="2">
        <v>243.82</v>
      </c>
      <c r="C3960" s="2">
        <v>247.43</v>
      </c>
      <c r="D3960" s="2">
        <v>239.51</v>
      </c>
      <c r="E3960" s="2">
        <v>241.05</v>
      </c>
      <c r="F3960" s="2">
        <v>66289529</v>
      </c>
      <c r="G3960" s="2" t="s">
        <v>573</v>
      </c>
      <c r="H3960" s="2" t="s">
        <v>574</v>
      </c>
      <c r="I3960" s="2" t="s">
        <v>575</v>
      </c>
      <c r="J3960" s="4">
        <v>-1.411</v>
      </c>
      <c r="K3960" s="2" t="s">
        <v>492</v>
      </c>
      <c r="L3960" s="2">
        <v>2024</v>
      </c>
      <c r="M3960" s="2" t="s">
        <v>227</v>
      </c>
      <c r="N3960" s="2" t="s">
        <v>23</v>
      </c>
      <c r="O3960">
        <f t="shared" si="122"/>
        <v>7.9200000000000159</v>
      </c>
      <c r="P3960">
        <f t="shared" si="123"/>
        <v>106.45100000000001</v>
      </c>
    </row>
    <row r="3961" spans="1:16" x14ac:dyDescent="0.35">
      <c r="A3961" s="9" t="s">
        <v>499</v>
      </c>
      <c r="B3961" s="2">
        <v>241.81</v>
      </c>
      <c r="C3961" s="2">
        <v>242.79</v>
      </c>
      <c r="D3961" s="2">
        <v>232.34</v>
      </c>
      <c r="E3961" s="2">
        <v>238.77</v>
      </c>
      <c r="F3961" s="2">
        <v>83087063</v>
      </c>
      <c r="G3961" s="2" t="s">
        <v>573</v>
      </c>
      <c r="H3961" s="2" t="s">
        <v>574</v>
      </c>
      <c r="I3961" s="2" t="s">
        <v>575</v>
      </c>
      <c r="J3961" s="4">
        <v>-0.94599999999999995</v>
      </c>
      <c r="K3961" s="2" t="s">
        <v>492</v>
      </c>
      <c r="L3961" s="2">
        <v>2024</v>
      </c>
      <c r="M3961" s="2" t="s">
        <v>227</v>
      </c>
      <c r="N3961" s="2" t="s">
        <v>23</v>
      </c>
      <c r="O3961">
        <f t="shared" si="122"/>
        <v>10.449999999999989</v>
      </c>
      <c r="P3961">
        <f t="shared" si="123"/>
        <v>105.50500000000001</v>
      </c>
    </row>
    <row r="3962" spans="1:16" x14ac:dyDescent="0.35">
      <c r="A3962" s="9" t="s">
        <v>500</v>
      </c>
      <c r="B3962" s="2">
        <v>220.13</v>
      </c>
      <c r="C3962" s="2">
        <v>223.34</v>
      </c>
      <c r="D3962" s="2">
        <v>214.38</v>
      </c>
      <c r="E3962" s="2">
        <v>217.8</v>
      </c>
      <c r="F3962" s="2">
        <v>142628874</v>
      </c>
      <c r="G3962" s="2" t="s">
        <v>573</v>
      </c>
      <c r="H3962" s="2" t="s">
        <v>574</v>
      </c>
      <c r="I3962" s="2" t="s">
        <v>575</v>
      </c>
      <c r="J3962" s="4">
        <v>-8.7829999999999995</v>
      </c>
      <c r="K3962" s="2" t="s">
        <v>492</v>
      </c>
      <c r="L3962" s="2">
        <v>2024</v>
      </c>
      <c r="M3962" s="2" t="s">
        <v>227</v>
      </c>
      <c r="N3962" s="2" t="s">
        <v>23</v>
      </c>
      <c r="O3962">
        <f t="shared" si="122"/>
        <v>8.960000000000008</v>
      </c>
      <c r="P3962">
        <f t="shared" si="123"/>
        <v>96.722000000000008</v>
      </c>
    </row>
    <row r="3963" spans="1:16" x14ac:dyDescent="0.35">
      <c r="A3963" s="9" t="s">
        <v>501</v>
      </c>
      <c r="B3963" s="2">
        <v>220.13</v>
      </c>
      <c r="C3963" s="2">
        <v>221.91</v>
      </c>
      <c r="D3963" s="2">
        <v>213.74</v>
      </c>
      <c r="E3963" s="2">
        <v>219.16</v>
      </c>
      <c r="F3963" s="2">
        <v>86291923</v>
      </c>
      <c r="G3963" s="2" t="s">
        <v>573</v>
      </c>
      <c r="H3963" s="2" t="s">
        <v>574</v>
      </c>
      <c r="I3963" s="2" t="s">
        <v>575</v>
      </c>
      <c r="J3963" s="3">
        <v>0.624</v>
      </c>
      <c r="K3963" s="2" t="s">
        <v>492</v>
      </c>
      <c r="L3963" s="2">
        <v>2024</v>
      </c>
      <c r="M3963" s="2" t="s">
        <v>227</v>
      </c>
      <c r="N3963" s="2" t="s">
        <v>21</v>
      </c>
      <c r="O3963">
        <f t="shared" si="122"/>
        <v>8.1699999999999875</v>
      </c>
      <c r="P3963">
        <f t="shared" si="123"/>
        <v>97.346000000000004</v>
      </c>
    </row>
    <row r="3964" spans="1:16" x14ac:dyDescent="0.35">
      <c r="A3964" s="9" t="s">
        <v>502</v>
      </c>
      <c r="B3964" s="2">
        <v>220.01</v>
      </c>
      <c r="C3964" s="2">
        <v>224.26</v>
      </c>
      <c r="D3964" s="2">
        <v>217.12</v>
      </c>
      <c r="E3964" s="2">
        <v>219.57</v>
      </c>
      <c r="F3964" s="2">
        <v>62988787</v>
      </c>
      <c r="G3964" s="2" t="s">
        <v>573</v>
      </c>
      <c r="H3964" s="2" t="s">
        <v>574</v>
      </c>
      <c r="I3964" s="2" t="s">
        <v>575</v>
      </c>
      <c r="J3964" s="3">
        <v>0.187</v>
      </c>
      <c r="K3964" s="2" t="s">
        <v>492</v>
      </c>
      <c r="L3964" s="2">
        <v>2024</v>
      </c>
      <c r="M3964" s="2" t="s">
        <v>227</v>
      </c>
      <c r="N3964" s="2" t="s">
        <v>21</v>
      </c>
      <c r="O3964">
        <f t="shared" si="122"/>
        <v>7.1399999999999864</v>
      </c>
      <c r="P3964">
        <f t="shared" si="123"/>
        <v>97.533000000000001</v>
      </c>
    </row>
    <row r="3965" spans="1:16" x14ac:dyDescent="0.35">
      <c r="A3965" s="9" t="s">
        <v>503</v>
      </c>
      <c r="B3965" s="2">
        <v>221.4</v>
      </c>
      <c r="C3965" s="2">
        <v>222.82</v>
      </c>
      <c r="D3965" s="2">
        <v>218.93</v>
      </c>
      <c r="E3965" s="2">
        <v>221.33</v>
      </c>
      <c r="F3965" s="2">
        <v>49632824</v>
      </c>
      <c r="G3965" s="2" t="s">
        <v>573</v>
      </c>
      <c r="H3965" s="2" t="s">
        <v>574</v>
      </c>
      <c r="I3965" s="2" t="s">
        <v>575</v>
      </c>
      <c r="J3965" s="3">
        <v>0.80200000000000005</v>
      </c>
      <c r="K3965" s="2" t="s">
        <v>492</v>
      </c>
      <c r="L3965" s="2">
        <v>2024</v>
      </c>
      <c r="M3965" s="2" t="s">
        <v>227</v>
      </c>
      <c r="N3965" s="2" t="s">
        <v>21</v>
      </c>
      <c r="O3965">
        <f t="shared" si="122"/>
        <v>3.8899999999999864</v>
      </c>
      <c r="P3965">
        <f t="shared" si="123"/>
        <v>98.335000000000008</v>
      </c>
    </row>
    <row r="3966" spans="1:16" x14ac:dyDescent="0.35">
      <c r="A3966" s="9" t="s">
        <v>504</v>
      </c>
      <c r="B3966" s="2">
        <v>221.59</v>
      </c>
      <c r="C3966" s="2">
        <v>222.08</v>
      </c>
      <c r="D3966" s="2">
        <v>217.9</v>
      </c>
      <c r="E3966" s="2">
        <v>220.89</v>
      </c>
      <c r="F3966" s="2">
        <v>50791784</v>
      </c>
      <c r="G3966" s="2" t="s">
        <v>573</v>
      </c>
      <c r="H3966" s="2" t="s">
        <v>574</v>
      </c>
      <c r="I3966" s="2" t="s">
        <v>575</v>
      </c>
      <c r="J3966" s="4">
        <v>-0.19900000000000001</v>
      </c>
      <c r="K3966" s="2" t="s">
        <v>492</v>
      </c>
      <c r="L3966" s="2">
        <v>2024</v>
      </c>
      <c r="M3966" s="2" t="s">
        <v>227</v>
      </c>
      <c r="N3966" s="2" t="s">
        <v>23</v>
      </c>
      <c r="O3966">
        <f t="shared" si="122"/>
        <v>4.1800000000000068</v>
      </c>
      <c r="P3966">
        <f t="shared" si="123"/>
        <v>98.13600000000001</v>
      </c>
    </row>
    <row r="3967" spans="1:16" x14ac:dyDescent="0.35">
      <c r="A3967" s="9" t="s">
        <v>505</v>
      </c>
      <c r="B3967" s="2">
        <v>220.71</v>
      </c>
      <c r="C3967" s="2">
        <v>222.28</v>
      </c>
      <c r="D3967" s="2">
        <v>219.23</v>
      </c>
      <c r="E3967" s="2">
        <v>220.7</v>
      </c>
      <c r="F3967" s="2">
        <v>49611867</v>
      </c>
      <c r="G3967" s="2" t="s">
        <v>573</v>
      </c>
      <c r="H3967" s="2" t="s">
        <v>574</v>
      </c>
      <c r="I3967" s="2" t="s">
        <v>575</v>
      </c>
      <c r="J3967" s="4">
        <v>-8.5999999999999993E-2</v>
      </c>
      <c r="K3967" s="2" t="s">
        <v>492</v>
      </c>
      <c r="L3967" s="2">
        <v>2024</v>
      </c>
      <c r="M3967" s="2" t="s">
        <v>227</v>
      </c>
      <c r="N3967" s="2" t="s">
        <v>23</v>
      </c>
      <c r="O3967">
        <f t="shared" si="122"/>
        <v>3.0500000000000114</v>
      </c>
      <c r="P3967">
        <f t="shared" si="123"/>
        <v>98.050000000000011</v>
      </c>
    </row>
    <row r="3968" spans="1:16" x14ac:dyDescent="0.35">
      <c r="A3968" s="9" t="s">
        <v>506</v>
      </c>
      <c r="B3968" s="2">
        <v>218.9</v>
      </c>
      <c r="C3968" s="2">
        <v>220.48</v>
      </c>
      <c r="D3968" s="2">
        <v>215.726</v>
      </c>
      <c r="E3968" s="2">
        <v>218.85</v>
      </c>
      <c r="F3968" s="2">
        <v>47328988</v>
      </c>
      <c r="G3968" s="2" t="s">
        <v>573</v>
      </c>
      <c r="H3968" s="2" t="s">
        <v>574</v>
      </c>
      <c r="I3968" s="2" t="s">
        <v>575</v>
      </c>
      <c r="J3968" s="4">
        <v>-0.83799999999999997</v>
      </c>
      <c r="K3968" s="2" t="s">
        <v>492</v>
      </c>
      <c r="L3968" s="2">
        <v>2024</v>
      </c>
      <c r="M3968" s="2" t="s">
        <v>227</v>
      </c>
      <c r="N3968" s="2" t="s">
        <v>23</v>
      </c>
      <c r="O3968">
        <f t="shared" si="122"/>
        <v>4.7539999999999907</v>
      </c>
      <c r="P3968">
        <f t="shared" si="123"/>
        <v>97.212000000000018</v>
      </c>
    </row>
    <row r="3969" spans="1:16" x14ac:dyDescent="0.35">
      <c r="A3969" s="9" t="s">
        <v>507</v>
      </c>
      <c r="B3969" s="2">
        <v>217.31</v>
      </c>
      <c r="C3969" s="2">
        <v>218.22</v>
      </c>
      <c r="D3969" s="2">
        <v>215.26</v>
      </c>
      <c r="E3969" s="2">
        <v>217.97</v>
      </c>
      <c r="F3969" s="2">
        <v>43268741</v>
      </c>
      <c r="G3969" s="2" t="s">
        <v>573</v>
      </c>
      <c r="H3969" s="2" t="s">
        <v>574</v>
      </c>
      <c r="I3969" s="2" t="s">
        <v>575</v>
      </c>
      <c r="J3969" s="4">
        <v>-0.40200000000000002</v>
      </c>
      <c r="K3969" s="2" t="s">
        <v>492</v>
      </c>
      <c r="L3969" s="2">
        <v>2024</v>
      </c>
      <c r="M3969" s="2" t="s">
        <v>227</v>
      </c>
      <c r="N3969" s="2" t="s">
        <v>23</v>
      </c>
      <c r="O3969">
        <f t="shared" si="122"/>
        <v>2.960000000000008</v>
      </c>
      <c r="P3969">
        <f t="shared" si="123"/>
        <v>96.810000000000016</v>
      </c>
    </row>
    <row r="3970" spans="1:16" x14ac:dyDescent="0.35">
      <c r="A3970" s="9" t="s">
        <v>508</v>
      </c>
      <c r="B3970" s="2">
        <v>217.125</v>
      </c>
      <c r="C3970" s="2">
        <v>218.72</v>
      </c>
      <c r="D3970" s="2">
        <v>212.11</v>
      </c>
      <c r="E3970" s="2">
        <v>213.65</v>
      </c>
      <c r="F3970" s="2">
        <v>80938892</v>
      </c>
      <c r="G3970" s="2" t="s">
        <v>573</v>
      </c>
      <c r="H3970" s="2" t="s">
        <v>574</v>
      </c>
      <c r="I3970" s="2" t="s">
        <v>575</v>
      </c>
      <c r="J3970" s="4">
        <v>-1.982</v>
      </c>
      <c r="K3970" s="2" t="s">
        <v>492</v>
      </c>
      <c r="L3970" s="2">
        <v>2024</v>
      </c>
      <c r="M3970" s="2" t="s">
        <v>227</v>
      </c>
      <c r="N3970" s="2" t="s">
        <v>23</v>
      </c>
      <c r="O3970">
        <f t="shared" si="122"/>
        <v>6.6099999999999852</v>
      </c>
      <c r="P3970">
        <f t="shared" si="123"/>
        <v>94.828000000000017</v>
      </c>
    </row>
    <row r="3971" spans="1:16" x14ac:dyDescent="0.35">
      <c r="A3971" s="9" t="s">
        <v>509</v>
      </c>
      <c r="B3971" s="2">
        <v>244.68</v>
      </c>
      <c r="C3971" s="2">
        <v>262.12</v>
      </c>
      <c r="D3971" s="2">
        <v>242.65</v>
      </c>
      <c r="E3971" s="2">
        <v>260.48</v>
      </c>
      <c r="F3971" s="2">
        <v>204491903</v>
      </c>
      <c r="G3971" s="2" t="s">
        <v>573</v>
      </c>
      <c r="H3971" s="2" t="s">
        <v>574</v>
      </c>
      <c r="I3971" s="2" t="s">
        <v>575</v>
      </c>
      <c r="J3971" s="3">
        <v>21.919</v>
      </c>
      <c r="K3971" s="2" t="s">
        <v>492</v>
      </c>
      <c r="L3971" s="2">
        <v>2024</v>
      </c>
      <c r="M3971" s="2" t="s">
        <v>227</v>
      </c>
      <c r="N3971" s="2" t="s">
        <v>21</v>
      </c>
      <c r="O3971">
        <f t="shared" ref="O3971:O4034" si="124">C3971-D3971</f>
        <v>19.47</v>
      </c>
      <c r="P3971">
        <f t="shared" si="123"/>
        <v>116.74700000000001</v>
      </c>
    </row>
    <row r="3972" spans="1:16" x14ac:dyDescent="0.35">
      <c r="A3972" s="9" t="s">
        <v>510</v>
      </c>
      <c r="B3972" s="2">
        <v>256.01</v>
      </c>
      <c r="C3972" s="2">
        <v>269.49</v>
      </c>
      <c r="D3972" s="2">
        <v>255.32</v>
      </c>
      <c r="E3972" s="2">
        <v>269.19</v>
      </c>
      <c r="F3972" s="2">
        <v>161611931</v>
      </c>
      <c r="G3972" s="2" t="s">
        <v>573</v>
      </c>
      <c r="H3972" s="2" t="s">
        <v>574</v>
      </c>
      <c r="I3972" s="2" t="s">
        <v>575</v>
      </c>
      <c r="J3972" s="3">
        <v>3.3439999999999999</v>
      </c>
      <c r="K3972" s="2" t="s">
        <v>492</v>
      </c>
      <c r="L3972" s="2">
        <v>2024</v>
      </c>
      <c r="M3972" s="2" t="s">
        <v>227</v>
      </c>
      <c r="N3972" s="2" t="s">
        <v>21</v>
      </c>
      <c r="O3972">
        <f t="shared" si="124"/>
        <v>14.170000000000016</v>
      </c>
      <c r="P3972">
        <f t="shared" ref="P3972:P4035" si="125">IF(G3972=G3971, P3971+J3972, J3972)</f>
        <v>120.09100000000001</v>
      </c>
    </row>
    <row r="3973" spans="1:16" x14ac:dyDescent="0.35">
      <c r="A3973" s="9" t="s">
        <v>511</v>
      </c>
      <c r="B3973" s="2">
        <v>270</v>
      </c>
      <c r="C3973" s="2">
        <v>273.536</v>
      </c>
      <c r="D3973" s="2">
        <v>262.24</v>
      </c>
      <c r="E3973" s="2">
        <v>262.51</v>
      </c>
      <c r="F3973" s="2">
        <v>107653603</v>
      </c>
      <c r="G3973" s="2" t="s">
        <v>573</v>
      </c>
      <c r="H3973" s="2" t="s">
        <v>574</v>
      </c>
      <c r="I3973" s="2" t="s">
        <v>575</v>
      </c>
      <c r="J3973" s="4">
        <v>-2.4820000000000002</v>
      </c>
      <c r="K3973" s="2" t="s">
        <v>492</v>
      </c>
      <c r="L3973" s="2">
        <v>2024</v>
      </c>
      <c r="M3973" s="2" t="s">
        <v>227</v>
      </c>
      <c r="N3973" s="2" t="s">
        <v>23</v>
      </c>
      <c r="O3973">
        <f t="shared" si="124"/>
        <v>11.295999999999992</v>
      </c>
      <c r="P3973">
        <f t="shared" si="125"/>
        <v>117.60900000000001</v>
      </c>
    </row>
    <row r="3974" spans="1:16" x14ac:dyDescent="0.35">
      <c r="A3974" s="9" t="s">
        <v>512</v>
      </c>
      <c r="B3974" s="2">
        <v>264.51</v>
      </c>
      <c r="C3974" s="2">
        <v>264.98</v>
      </c>
      <c r="D3974" s="2">
        <v>255.51</v>
      </c>
      <c r="E3974" s="2">
        <v>259.52</v>
      </c>
      <c r="F3974" s="2">
        <v>80521751</v>
      </c>
      <c r="G3974" s="2" t="s">
        <v>573</v>
      </c>
      <c r="H3974" s="2" t="s">
        <v>574</v>
      </c>
      <c r="I3974" s="2" t="s">
        <v>575</v>
      </c>
      <c r="J3974" s="4">
        <v>-1.139</v>
      </c>
      <c r="K3974" s="2" t="s">
        <v>492</v>
      </c>
      <c r="L3974" s="2">
        <v>2024</v>
      </c>
      <c r="M3974" s="2" t="s">
        <v>227</v>
      </c>
      <c r="N3974" s="2" t="s">
        <v>23</v>
      </c>
      <c r="O3974">
        <f t="shared" si="124"/>
        <v>9.4700000000000273</v>
      </c>
      <c r="P3974">
        <f t="shared" si="125"/>
        <v>116.47000000000001</v>
      </c>
    </row>
    <row r="3975" spans="1:16" x14ac:dyDescent="0.35">
      <c r="A3975" s="9" t="s">
        <v>513</v>
      </c>
      <c r="B3975" s="2">
        <v>258.03500000000003</v>
      </c>
      <c r="C3975" s="2">
        <v>263.35000000000002</v>
      </c>
      <c r="D3975" s="2">
        <v>255.82</v>
      </c>
      <c r="E3975" s="2">
        <v>257.55</v>
      </c>
      <c r="F3975" s="2">
        <v>53993576</v>
      </c>
      <c r="G3975" s="2" t="s">
        <v>573</v>
      </c>
      <c r="H3975" s="2" t="s">
        <v>574</v>
      </c>
      <c r="I3975" s="2" t="s">
        <v>575</v>
      </c>
      <c r="J3975" s="4">
        <v>-0.75900000000000001</v>
      </c>
      <c r="K3975" s="2" t="s">
        <v>492</v>
      </c>
      <c r="L3975" s="2">
        <v>2024</v>
      </c>
      <c r="M3975" s="2" t="s">
        <v>227</v>
      </c>
      <c r="N3975" s="2" t="s">
        <v>23</v>
      </c>
      <c r="O3975">
        <f t="shared" si="124"/>
        <v>7.5300000000000296</v>
      </c>
      <c r="P3975">
        <f t="shared" si="125"/>
        <v>115.71100000000001</v>
      </c>
    </row>
    <row r="3976" spans="1:16" x14ac:dyDescent="0.35">
      <c r="A3976" s="9" t="s">
        <v>514</v>
      </c>
      <c r="B3976" s="2">
        <v>257.99</v>
      </c>
      <c r="C3976" s="2">
        <v>259.75</v>
      </c>
      <c r="D3976" s="2">
        <v>249.25</v>
      </c>
      <c r="E3976" s="2">
        <v>249.85</v>
      </c>
      <c r="F3976" s="2">
        <v>66575292</v>
      </c>
      <c r="G3976" s="2" t="s">
        <v>573</v>
      </c>
      <c r="H3976" s="2" t="s">
        <v>574</v>
      </c>
      <c r="I3976" s="2" t="s">
        <v>575</v>
      </c>
      <c r="J3976" s="4">
        <v>-2.99</v>
      </c>
      <c r="K3976" s="2" t="s">
        <v>492</v>
      </c>
      <c r="L3976" s="2">
        <v>2024</v>
      </c>
      <c r="M3976" s="2" t="s">
        <v>227</v>
      </c>
      <c r="N3976" s="2" t="s">
        <v>23</v>
      </c>
      <c r="O3976">
        <f t="shared" si="124"/>
        <v>10.5</v>
      </c>
      <c r="P3976">
        <f t="shared" si="125"/>
        <v>112.72100000000002</v>
      </c>
    </row>
    <row r="3977" spans="1:16" x14ac:dyDescent="0.35">
      <c r="A3977" s="9" t="s">
        <v>515</v>
      </c>
      <c r="B3977" s="2">
        <v>252.04300000000001</v>
      </c>
      <c r="C3977" s="2">
        <v>254</v>
      </c>
      <c r="D3977" s="2">
        <v>246.63</v>
      </c>
      <c r="E3977" s="2">
        <v>248.98</v>
      </c>
      <c r="F3977" s="2">
        <v>57544757</v>
      </c>
      <c r="G3977" s="2" t="s">
        <v>573</v>
      </c>
      <c r="H3977" s="2" t="s">
        <v>574</v>
      </c>
      <c r="I3977" s="2" t="s">
        <v>575</v>
      </c>
      <c r="J3977" s="4">
        <v>-0.34799999999999998</v>
      </c>
      <c r="K3977" s="2" t="s">
        <v>516</v>
      </c>
      <c r="L3977" s="2">
        <v>2024</v>
      </c>
      <c r="M3977" s="2" t="s">
        <v>251</v>
      </c>
      <c r="N3977" s="2" t="s">
        <v>23</v>
      </c>
      <c r="O3977">
        <f t="shared" si="124"/>
        <v>7.3700000000000045</v>
      </c>
      <c r="P3977">
        <f t="shared" si="125"/>
        <v>112.37300000000002</v>
      </c>
    </row>
    <row r="3978" spans="1:16" x14ac:dyDescent="0.35">
      <c r="A3978" s="9" t="s">
        <v>517</v>
      </c>
      <c r="B3978" s="2">
        <v>244.56</v>
      </c>
      <c r="C3978" s="2">
        <v>248.9</v>
      </c>
      <c r="D3978" s="2">
        <v>238.88</v>
      </c>
      <c r="E3978" s="2">
        <v>242.84</v>
      </c>
      <c r="F3978" s="2">
        <v>68802354</v>
      </c>
      <c r="G3978" s="2" t="s">
        <v>573</v>
      </c>
      <c r="H3978" s="2" t="s">
        <v>574</v>
      </c>
      <c r="I3978" s="2" t="s">
        <v>575</v>
      </c>
      <c r="J3978" s="4">
        <v>-2.4660000000000002</v>
      </c>
      <c r="K3978" s="2" t="s">
        <v>516</v>
      </c>
      <c r="L3978" s="2">
        <v>2024</v>
      </c>
      <c r="M3978" s="2" t="s">
        <v>251</v>
      </c>
      <c r="N3978" s="2" t="s">
        <v>23</v>
      </c>
      <c r="O3978">
        <f t="shared" si="124"/>
        <v>10.02000000000001</v>
      </c>
      <c r="P3978">
        <f t="shared" si="125"/>
        <v>109.90700000000002</v>
      </c>
    </row>
    <row r="3979" spans="1:16" x14ac:dyDescent="0.35">
      <c r="A3979" s="9" t="s">
        <v>518</v>
      </c>
      <c r="B3979" s="2">
        <v>247.34</v>
      </c>
      <c r="C3979" s="2">
        <v>255.28</v>
      </c>
      <c r="D3979" s="2">
        <v>246.21</v>
      </c>
      <c r="E3979" s="2">
        <v>251.44</v>
      </c>
      <c r="F3979" s="2">
        <v>69282505</v>
      </c>
      <c r="G3979" s="2" t="s">
        <v>573</v>
      </c>
      <c r="H3979" s="2" t="s">
        <v>574</v>
      </c>
      <c r="I3979" s="2" t="s">
        <v>575</v>
      </c>
      <c r="J3979" s="3">
        <v>3.5409999999999999</v>
      </c>
      <c r="K3979" s="2" t="s">
        <v>516</v>
      </c>
      <c r="L3979" s="2">
        <v>2024</v>
      </c>
      <c r="M3979" s="2" t="s">
        <v>251</v>
      </c>
      <c r="N3979" s="2" t="s">
        <v>21</v>
      </c>
      <c r="O3979">
        <f t="shared" si="124"/>
        <v>9.0699999999999932</v>
      </c>
      <c r="P3979">
        <f t="shared" si="125"/>
        <v>113.44800000000002</v>
      </c>
    </row>
    <row r="3980" spans="1:16" x14ac:dyDescent="0.35">
      <c r="A3980" s="9" t="s">
        <v>519</v>
      </c>
      <c r="B3980" s="2">
        <v>284.67</v>
      </c>
      <c r="C3980" s="2">
        <v>289.58999999999997</v>
      </c>
      <c r="D3980" s="2">
        <v>275.62</v>
      </c>
      <c r="E3980" s="2">
        <v>288.52999999999997</v>
      </c>
      <c r="F3980" s="2">
        <v>165228710</v>
      </c>
      <c r="G3980" s="2" t="s">
        <v>573</v>
      </c>
      <c r="H3980" s="2" t="s">
        <v>574</v>
      </c>
      <c r="I3980" s="2" t="s">
        <v>575</v>
      </c>
      <c r="J3980" s="3">
        <v>14.750999999999999</v>
      </c>
      <c r="K3980" s="2" t="s">
        <v>516</v>
      </c>
      <c r="L3980" s="2">
        <v>2024</v>
      </c>
      <c r="M3980" s="2" t="s">
        <v>251</v>
      </c>
      <c r="N3980" s="2" t="s">
        <v>21</v>
      </c>
      <c r="O3980">
        <f t="shared" si="124"/>
        <v>13.96999999999997</v>
      </c>
      <c r="P3980">
        <f t="shared" si="125"/>
        <v>128.19900000000001</v>
      </c>
    </row>
    <row r="3981" spans="1:16" x14ac:dyDescent="0.35">
      <c r="A3981" s="9" t="s">
        <v>520</v>
      </c>
      <c r="B3981" s="2">
        <v>288.89</v>
      </c>
      <c r="C3981" s="2">
        <v>299.75</v>
      </c>
      <c r="D3981" s="2">
        <v>285.52</v>
      </c>
      <c r="E3981" s="2">
        <v>296.91000000000003</v>
      </c>
      <c r="F3981" s="2">
        <v>117309232</v>
      </c>
      <c r="G3981" s="2" t="s">
        <v>573</v>
      </c>
      <c r="H3981" s="2" t="s">
        <v>574</v>
      </c>
      <c r="I3981" s="2" t="s">
        <v>575</v>
      </c>
      <c r="J3981" s="3">
        <v>2.9039999999999999</v>
      </c>
      <c r="K3981" s="2" t="s">
        <v>516</v>
      </c>
      <c r="L3981" s="2">
        <v>2024</v>
      </c>
      <c r="M3981" s="2" t="s">
        <v>251</v>
      </c>
      <c r="N3981" s="2" t="s">
        <v>21</v>
      </c>
      <c r="O3981">
        <f t="shared" si="124"/>
        <v>14.230000000000018</v>
      </c>
      <c r="P3981">
        <f t="shared" si="125"/>
        <v>131.10300000000001</v>
      </c>
    </row>
    <row r="3982" spans="1:16" x14ac:dyDescent="0.35">
      <c r="A3982" s="9" t="s">
        <v>521</v>
      </c>
      <c r="B3982" s="2">
        <v>299.14</v>
      </c>
      <c r="C3982" s="2">
        <v>328.71</v>
      </c>
      <c r="D3982" s="2">
        <v>297.66000000000003</v>
      </c>
      <c r="E3982" s="2">
        <v>321.22000000000003</v>
      </c>
      <c r="F3982" s="2">
        <v>204782763</v>
      </c>
      <c r="G3982" s="2" t="s">
        <v>573</v>
      </c>
      <c r="H3982" s="2" t="s">
        <v>574</v>
      </c>
      <c r="I3982" s="2" t="s">
        <v>575</v>
      </c>
      <c r="J3982" s="3">
        <v>8.1880000000000006</v>
      </c>
      <c r="K3982" s="2" t="s">
        <v>516</v>
      </c>
      <c r="L3982" s="2">
        <v>2024</v>
      </c>
      <c r="M3982" s="2" t="s">
        <v>251</v>
      </c>
      <c r="N3982" s="2" t="s">
        <v>21</v>
      </c>
      <c r="O3982">
        <f t="shared" si="124"/>
        <v>31.049999999999955</v>
      </c>
      <c r="P3982">
        <f t="shared" si="125"/>
        <v>139.291</v>
      </c>
    </row>
    <row r="3983" spans="1:16" x14ac:dyDescent="0.35">
      <c r="A3983" s="9" t="s">
        <v>522</v>
      </c>
      <c r="B3983" s="2">
        <v>346.3</v>
      </c>
      <c r="C3983" s="2">
        <v>358.64</v>
      </c>
      <c r="D3983" s="2">
        <v>336</v>
      </c>
      <c r="E3983" s="2">
        <v>350</v>
      </c>
      <c r="F3983" s="2">
        <v>210521625</v>
      </c>
      <c r="G3983" s="2" t="s">
        <v>573</v>
      </c>
      <c r="H3983" s="2" t="s">
        <v>574</v>
      </c>
      <c r="I3983" s="2" t="s">
        <v>575</v>
      </c>
      <c r="J3983" s="3">
        <v>8.9600000000000009</v>
      </c>
      <c r="K3983" s="2" t="s">
        <v>516</v>
      </c>
      <c r="L3983" s="2">
        <v>2024</v>
      </c>
      <c r="M3983" s="2" t="s">
        <v>251</v>
      </c>
      <c r="N3983" s="2" t="s">
        <v>21</v>
      </c>
      <c r="O3983">
        <f t="shared" si="124"/>
        <v>22.639999999999986</v>
      </c>
      <c r="P3983">
        <f t="shared" si="125"/>
        <v>148.251</v>
      </c>
    </row>
    <row r="3984" spans="1:16" x14ac:dyDescent="0.35">
      <c r="A3984" s="9" t="s">
        <v>523</v>
      </c>
      <c r="B3984" s="2">
        <v>342.74</v>
      </c>
      <c r="C3984" s="2">
        <v>345.84</v>
      </c>
      <c r="D3984" s="2">
        <v>323.31</v>
      </c>
      <c r="E3984" s="2">
        <v>328.49</v>
      </c>
      <c r="F3984" s="2">
        <v>155726016</v>
      </c>
      <c r="G3984" s="2" t="s">
        <v>573</v>
      </c>
      <c r="H3984" s="2" t="s">
        <v>574</v>
      </c>
      <c r="I3984" s="2" t="s">
        <v>575</v>
      </c>
      <c r="J3984" s="4">
        <v>-6.1459999999999999</v>
      </c>
      <c r="K3984" s="2" t="s">
        <v>516</v>
      </c>
      <c r="L3984" s="2">
        <v>2024</v>
      </c>
      <c r="M3984" s="2" t="s">
        <v>251</v>
      </c>
      <c r="N3984" s="2" t="s">
        <v>23</v>
      </c>
      <c r="O3984">
        <f t="shared" si="124"/>
        <v>22.529999999999973</v>
      </c>
      <c r="P3984">
        <f t="shared" si="125"/>
        <v>142.10500000000002</v>
      </c>
    </row>
    <row r="3985" spans="1:16" x14ac:dyDescent="0.35">
      <c r="A3985" s="9" t="s">
        <v>524</v>
      </c>
      <c r="B3985" s="2">
        <v>335.85</v>
      </c>
      <c r="C3985" s="2">
        <v>344.6</v>
      </c>
      <c r="D3985" s="2">
        <v>322.5</v>
      </c>
      <c r="E3985" s="2">
        <v>330.24</v>
      </c>
      <c r="F3985" s="2">
        <v>125405599</v>
      </c>
      <c r="G3985" s="2" t="s">
        <v>573</v>
      </c>
      <c r="H3985" s="2" t="s">
        <v>574</v>
      </c>
      <c r="I3985" s="2" t="s">
        <v>575</v>
      </c>
      <c r="J3985" s="3">
        <v>0.53300000000000003</v>
      </c>
      <c r="K3985" s="2" t="s">
        <v>516</v>
      </c>
      <c r="L3985" s="2">
        <v>2024</v>
      </c>
      <c r="M3985" s="2" t="s">
        <v>251</v>
      </c>
      <c r="N3985" s="2" t="s">
        <v>21</v>
      </c>
      <c r="O3985">
        <f t="shared" si="124"/>
        <v>22.100000000000023</v>
      </c>
      <c r="P3985">
        <f t="shared" si="125"/>
        <v>142.63800000000001</v>
      </c>
    </row>
    <row r="3986" spans="1:16" x14ac:dyDescent="0.35">
      <c r="A3986" s="9" t="s">
        <v>525</v>
      </c>
      <c r="B3986" s="2">
        <v>327.69</v>
      </c>
      <c r="C3986" s="2">
        <v>329.98</v>
      </c>
      <c r="D3986" s="2">
        <v>310.37</v>
      </c>
      <c r="E3986" s="2">
        <v>311.18</v>
      </c>
      <c r="F3986" s="2">
        <v>120726109</v>
      </c>
      <c r="G3986" s="2" t="s">
        <v>573</v>
      </c>
      <c r="H3986" s="2" t="s">
        <v>574</v>
      </c>
      <c r="I3986" s="2" t="s">
        <v>575</v>
      </c>
      <c r="J3986" s="4">
        <v>-5.7720000000000002</v>
      </c>
      <c r="K3986" s="2" t="s">
        <v>516</v>
      </c>
      <c r="L3986" s="2">
        <v>2024</v>
      </c>
      <c r="M3986" s="2" t="s">
        <v>251</v>
      </c>
      <c r="N3986" s="2" t="s">
        <v>23</v>
      </c>
      <c r="O3986">
        <f t="shared" si="124"/>
        <v>19.610000000000014</v>
      </c>
      <c r="P3986">
        <f t="shared" si="125"/>
        <v>136.86600000000001</v>
      </c>
    </row>
    <row r="3987" spans="1:16" x14ac:dyDescent="0.35">
      <c r="A3987" s="9" t="s">
        <v>526</v>
      </c>
      <c r="B3987" s="2">
        <v>310.57</v>
      </c>
      <c r="C3987" s="2">
        <v>324.68</v>
      </c>
      <c r="D3987" s="2">
        <v>309.22000000000003</v>
      </c>
      <c r="E3987" s="2">
        <v>320.72000000000003</v>
      </c>
      <c r="F3987" s="2">
        <v>114440286</v>
      </c>
      <c r="G3987" s="2" t="s">
        <v>573</v>
      </c>
      <c r="H3987" s="2" t="s">
        <v>574</v>
      </c>
      <c r="I3987" s="2" t="s">
        <v>575</v>
      </c>
      <c r="J3987" s="3">
        <v>3.0659999999999998</v>
      </c>
      <c r="K3987" s="2" t="s">
        <v>516</v>
      </c>
      <c r="L3987" s="2">
        <v>2024</v>
      </c>
      <c r="M3987" s="2" t="s">
        <v>251</v>
      </c>
      <c r="N3987" s="2" t="s">
        <v>21</v>
      </c>
      <c r="O3987">
        <f t="shared" si="124"/>
        <v>15.45999999999998</v>
      </c>
      <c r="P3987">
        <f t="shared" si="125"/>
        <v>139.93200000000002</v>
      </c>
    </row>
    <row r="3988" spans="1:16" x14ac:dyDescent="0.35">
      <c r="A3988" s="9" t="s">
        <v>527</v>
      </c>
      <c r="B3988" s="2">
        <v>340.73</v>
      </c>
      <c r="C3988" s="2">
        <v>348.55</v>
      </c>
      <c r="D3988" s="2">
        <v>330.01</v>
      </c>
      <c r="E3988" s="2">
        <v>338.74</v>
      </c>
      <c r="F3988" s="2">
        <v>126547455</v>
      </c>
      <c r="G3988" s="2" t="s">
        <v>573</v>
      </c>
      <c r="H3988" s="2" t="s">
        <v>574</v>
      </c>
      <c r="I3988" s="2" t="s">
        <v>575</v>
      </c>
      <c r="J3988" s="3">
        <v>5.6189999999999998</v>
      </c>
      <c r="K3988" s="2" t="s">
        <v>516</v>
      </c>
      <c r="L3988" s="2">
        <v>2024</v>
      </c>
      <c r="M3988" s="2" t="s">
        <v>251</v>
      </c>
      <c r="N3988" s="2" t="s">
        <v>21</v>
      </c>
      <c r="O3988">
        <f t="shared" si="124"/>
        <v>18.54000000000002</v>
      </c>
      <c r="P3988">
        <f t="shared" si="125"/>
        <v>145.55100000000002</v>
      </c>
    </row>
    <row r="3989" spans="1:16" x14ac:dyDescent="0.35">
      <c r="A3989" s="9" t="s">
        <v>528</v>
      </c>
      <c r="B3989" s="2">
        <v>335.76</v>
      </c>
      <c r="C3989" s="2">
        <v>347.38</v>
      </c>
      <c r="D3989" s="2">
        <v>332.75</v>
      </c>
      <c r="E3989" s="2">
        <v>346</v>
      </c>
      <c r="F3989" s="2">
        <v>88852452</v>
      </c>
      <c r="G3989" s="2" t="s">
        <v>573</v>
      </c>
      <c r="H3989" s="2" t="s">
        <v>574</v>
      </c>
      <c r="I3989" s="2" t="s">
        <v>575</v>
      </c>
      <c r="J3989" s="3">
        <v>2.1429999999999998</v>
      </c>
      <c r="K3989" s="2" t="s">
        <v>516</v>
      </c>
      <c r="L3989" s="2">
        <v>2024</v>
      </c>
      <c r="M3989" s="2" t="s">
        <v>251</v>
      </c>
      <c r="N3989" s="2" t="s">
        <v>21</v>
      </c>
      <c r="O3989">
        <f t="shared" si="124"/>
        <v>14.629999999999995</v>
      </c>
      <c r="P3989">
        <f t="shared" si="125"/>
        <v>147.69400000000002</v>
      </c>
    </row>
    <row r="3990" spans="1:16" x14ac:dyDescent="0.35">
      <c r="A3990" s="9" t="s">
        <v>529</v>
      </c>
      <c r="B3990" s="2">
        <v>345</v>
      </c>
      <c r="C3990" s="2">
        <v>346.6</v>
      </c>
      <c r="D3990" s="2">
        <v>334.3</v>
      </c>
      <c r="E3990" s="2">
        <v>342.03</v>
      </c>
      <c r="F3990" s="2">
        <v>66340650</v>
      </c>
      <c r="G3990" s="2" t="s">
        <v>573</v>
      </c>
      <c r="H3990" s="2" t="s">
        <v>574</v>
      </c>
      <c r="I3990" s="2" t="s">
        <v>575</v>
      </c>
      <c r="J3990" s="4">
        <v>-1.147</v>
      </c>
      <c r="K3990" s="2" t="s">
        <v>516</v>
      </c>
      <c r="L3990" s="2">
        <v>2024</v>
      </c>
      <c r="M3990" s="2" t="s">
        <v>251</v>
      </c>
      <c r="N3990" s="2" t="s">
        <v>23</v>
      </c>
      <c r="O3990">
        <f t="shared" si="124"/>
        <v>12.300000000000011</v>
      </c>
      <c r="P3990">
        <f t="shared" si="125"/>
        <v>146.54700000000003</v>
      </c>
    </row>
    <row r="3991" spans="1:16" x14ac:dyDescent="0.35">
      <c r="A3991" s="9" t="s">
        <v>530</v>
      </c>
      <c r="B3991" s="2">
        <v>343.81</v>
      </c>
      <c r="C3991" s="2">
        <v>347.99</v>
      </c>
      <c r="D3991" s="2">
        <v>335.28</v>
      </c>
      <c r="E3991" s="2">
        <v>339.64</v>
      </c>
      <c r="F3991" s="2">
        <v>58011719</v>
      </c>
      <c r="G3991" s="2" t="s">
        <v>573</v>
      </c>
      <c r="H3991" s="2" t="s">
        <v>574</v>
      </c>
      <c r="I3991" s="2" t="s">
        <v>575</v>
      </c>
      <c r="J3991" s="4">
        <v>-0.69899999999999995</v>
      </c>
      <c r="K3991" s="2" t="s">
        <v>516</v>
      </c>
      <c r="L3991" s="2">
        <v>2024</v>
      </c>
      <c r="M3991" s="2" t="s">
        <v>251</v>
      </c>
      <c r="N3991" s="2" t="s">
        <v>23</v>
      </c>
      <c r="O3991">
        <f t="shared" si="124"/>
        <v>12.710000000000036</v>
      </c>
      <c r="P3991">
        <f t="shared" si="125"/>
        <v>145.84800000000001</v>
      </c>
    </row>
    <row r="3992" spans="1:16" x14ac:dyDescent="0.35">
      <c r="A3992" s="9" t="s">
        <v>531</v>
      </c>
      <c r="B3992" s="2">
        <v>341.08499999999998</v>
      </c>
      <c r="C3992" s="2">
        <v>361.53</v>
      </c>
      <c r="D3992" s="2">
        <v>337.7</v>
      </c>
      <c r="E3992" s="2">
        <v>352.56</v>
      </c>
      <c r="F3992" s="2">
        <v>89140722</v>
      </c>
      <c r="G3992" s="2" t="s">
        <v>573</v>
      </c>
      <c r="H3992" s="2" t="s">
        <v>574</v>
      </c>
      <c r="I3992" s="2" t="s">
        <v>575</v>
      </c>
      <c r="J3992" s="3">
        <v>3.8039999999999998</v>
      </c>
      <c r="K3992" s="2" t="s">
        <v>516</v>
      </c>
      <c r="L3992" s="2">
        <v>2024</v>
      </c>
      <c r="M3992" s="2" t="s">
        <v>251</v>
      </c>
      <c r="N3992" s="2" t="s">
        <v>21</v>
      </c>
      <c r="O3992">
        <f t="shared" si="124"/>
        <v>23.829999999999984</v>
      </c>
      <c r="P3992">
        <f t="shared" si="125"/>
        <v>149.65200000000002</v>
      </c>
    </row>
    <row r="3993" spans="1:16" x14ac:dyDescent="0.35">
      <c r="A3993" s="9" t="s">
        <v>532</v>
      </c>
      <c r="B3993" s="2">
        <v>360.14</v>
      </c>
      <c r="C3993" s="2">
        <v>361.93</v>
      </c>
      <c r="D3993" s="2">
        <v>338.2</v>
      </c>
      <c r="E3993" s="2">
        <v>338.59</v>
      </c>
      <c r="F3993" s="2">
        <v>95890899</v>
      </c>
      <c r="G3993" s="2" t="s">
        <v>573</v>
      </c>
      <c r="H3993" s="2" t="s">
        <v>574</v>
      </c>
      <c r="I3993" s="2" t="s">
        <v>575</v>
      </c>
      <c r="J3993" s="4">
        <v>-3.9620000000000002</v>
      </c>
      <c r="K3993" s="2" t="s">
        <v>516</v>
      </c>
      <c r="L3993" s="2">
        <v>2024</v>
      </c>
      <c r="M3993" s="2" t="s">
        <v>251</v>
      </c>
      <c r="N3993" s="2" t="s">
        <v>23</v>
      </c>
      <c r="O3993">
        <f t="shared" si="124"/>
        <v>23.730000000000018</v>
      </c>
      <c r="P3993">
        <f t="shared" si="125"/>
        <v>145.69000000000003</v>
      </c>
    </row>
    <row r="3994" spans="1:16" x14ac:dyDescent="0.35">
      <c r="A3994" s="9" t="s">
        <v>533</v>
      </c>
      <c r="B3994" s="2">
        <v>341</v>
      </c>
      <c r="C3994" s="2">
        <v>346.96</v>
      </c>
      <c r="D3994" s="2">
        <v>335.66</v>
      </c>
      <c r="E3994" s="2">
        <v>338.23</v>
      </c>
      <c r="F3994" s="2">
        <v>62295857</v>
      </c>
      <c r="G3994" s="2" t="s">
        <v>573</v>
      </c>
      <c r="H3994" s="2" t="s">
        <v>574</v>
      </c>
      <c r="I3994" s="2" t="s">
        <v>575</v>
      </c>
      <c r="J3994" s="4">
        <v>-0.106</v>
      </c>
      <c r="K3994" s="2" t="s">
        <v>516</v>
      </c>
      <c r="L3994" s="2">
        <v>2024</v>
      </c>
      <c r="M3994" s="2" t="s">
        <v>251</v>
      </c>
      <c r="N3994" s="2" t="s">
        <v>23</v>
      </c>
      <c r="O3994">
        <f t="shared" si="124"/>
        <v>11.299999999999955</v>
      </c>
      <c r="P3994">
        <f t="shared" si="125"/>
        <v>145.58400000000003</v>
      </c>
    </row>
    <row r="3995" spans="1:16" x14ac:dyDescent="0.35">
      <c r="A3995" s="9" t="s">
        <v>534</v>
      </c>
      <c r="B3995" s="2">
        <v>341.8</v>
      </c>
      <c r="C3995" s="2">
        <v>342.55</v>
      </c>
      <c r="D3995" s="2">
        <v>326.58999999999997</v>
      </c>
      <c r="E3995" s="2">
        <v>332.89</v>
      </c>
      <c r="F3995" s="2">
        <v>57896439</v>
      </c>
      <c r="G3995" s="2" t="s">
        <v>573</v>
      </c>
      <c r="H3995" s="2" t="s">
        <v>574</v>
      </c>
      <c r="I3995" s="2" t="s">
        <v>575</v>
      </c>
      <c r="J3995" s="4">
        <v>-1.579</v>
      </c>
      <c r="K3995" s="2" t="s">
        <v>516</v>
      </c>
      <c r="L3995" s="2">
        <v>2024</v>
      </c>
      <c r="M3995" s="2" t="s">
        <v>251</v>
      </c>
      <c r="N3995" s="2" t="s">
        <v>23</v>
      </c>
      <c r="O3995">
        <f t="shared" si="124"/>
        <v>15.960000000000036</v>
      </c>
      <c r="P3995">
        <f t="shared" si="125"/>
        <v>144.00500000000002</v>
      </c>
    </row>
    <row r="3996" spans="1:16" x14ac:dyDescent="0.35">
      <c r="A3996" s="9" t="s">
        <v>535</v>
      </c>
      <c r="B3996" s="2">
        <v>336.08</v>
      </c>
      <c r="C3996" s="2">
        <v>345.45</v>
      </c>
      <c r="D3996" s="2">
        <v>334.65</v>
      </c>
      <c r="E3996" s="2">
        <v>345.16</v>
      </c>
      <c r="F3996" s="2">
        <v>37167621</v>
      </c>
      <c r="G3996" s="2" t="s">
        <v>573</v>
      </c>
      <c r="H3996" s="2" t="s">
        <v>574</v>
      </c>
      <c r="I3996" s="2" t="s">
        <v>575</v>
      </c>
      <c r="J3996" s="3">
        <v>3.6859999999999999</v>
      </c>
      <c r="K3996" s="2" t="s">
        <v>516</v>
      </c>
      <c r="L3996" s="2">
        <v>2024</v>
      </c>
      <c r="M3996" s="2" t="s">
        <v>251</v>
      </c>
      <c r="N3996" s="2" t="s">
        <v>21</v>
      </c>
      <c r="O3996">
        <f t="shared" si="124"/>
        <v>10.800000000000011</v>
      </c>
      <c r="P3996">
        <f t="shared" si="125"/>
        <v>147.69100000000003</v>
      </c>
    </row>
    <row r="3997" spans="1:16" x14ac:dyDescent="0.35">
      <c r="A3997" s="9" t="s">
        <v>536</v>
      </c>
      <c r="B3997" s="2">
        <v>352.38</v>
      </c>
      <c r="C3997" s="2">
        <v>360</v>
      </c>
      <c r="D3997" s="2">
        <v>351.15</v>
      </c>
      <c r="E3997" s="2">
        <v>357.09</v>
      </c>
      <c r="F3997" s="2">
        <v>77986478</v>
      </c>
      <c r="G3997" s="2" t="s">
        <v>573</v>
      </c>
      <c r="H3997" s="2" t="s">
        <v>574</v>
      </c>
      <c r="I3997" s="2" t="s">
        <v>575</v>
      </c>
      <c r="J3997" s="3">
        <v>3.456</v>
      </c>
      <c r="K3997" s="2" t="s">
        <v>537</v>
      </c>
      <c r="L3997" s="2">
        <v>2024</v>
      </c>
      <c r="M3997" s="2" t="s">
        <v>274</v>
      </c>
      <c r="N3997" s="2" t="s">
        <v>21</v>
      </c>
      <c r="O3997">
        <f t="shared" si="124"/>
        <v>8.8500000000000227</v>
      </c>
      <c r="P3997">
        <f t="shared" si="125"/>
        <v>151.14700000000002</v>
      </c>
    </row>
    <row r="3998" spans="1:16" x14ac:dyDescent="0.35">
      <c r="A3998" s="9" t="s">
        <v>538</v>
      </c>
      <c r="B3998" s="2">
        <v>351.8</v>
      </c>
      <c r="C3998" s="2">
        <v>355.69</v>
      </c>
      <c r="D3998" s="2">
        <v>348.2</v>
      </c>
      <c r="E3998" s="2">
        <v>351.42</v>
      </c>
      <c r="F3998" s="2">
        <v>58267196</v>
      </c>
      <c r="G3998" s="2" t="s">
        <v>573</v>
      </c>
      <c r="H3998" s="2" t="s">
        <v>574</v>
      </c>
      <c r="I3998" s="2" t="s">
        <v>575</v>
      </c>
      <c r="J3998" s="4">
        <v>-1.5880000000000001</v>
      </c>
      <c r="K3998" s="2" t="s">
        <v>537</v>
      </c>
      <c r="L3998" s="2">
        <v>2024</v>
      </c>
      <c r="M3998" s="2" t="s">
        <v>274</v>
      </c>
      <c r="N3998" s="2" t="s">
        <v>23</v>
      </c>
      <c r="O3998">
        <f t="shared" si="124"/>
        <v>7.4900000000000091</v>
      </c>
      <c r="P3998">
        <f t="shared" si="125"/>
        <v>149.55900000000003</v>
      </c>
    </row>
    <row r="3999" spans="1:16" x14ac:dyDescent="0.35">
      <c r="A3999" s="9" t="s">
        <v>539</v>
      </c>
      <c r="B3999" s="2">
        <v>353</v>
      </c>
      <c r="C3999" s="2">
        <v>358.1</v>
      </c>
      <c r="D3999" s="2">
        <v>348.6</v>
      </c>
      <c r="E3999" s="2">
        <v>357.93</v>
      </c>
      <c r="F3999" s="2">
        <v>50810874</v>
      </c>
      <c r="G3999" s="2" t="s">
        <v>573</v>
      </c>
      <c r="H3999" s="2" t="s">
        <v>574</v>
      </c>
      <c r="I3999" s="2" t="s">
        <v>575</v>
      </c>
      <c r="J3999" s="3">
        <v>1.8520000000000001</v>
      </c>
      <c r="K3999" s="2" t="s">
        <v>537</v>
      </c>
      <c r="L3999" s="2">
        <v>2024</v>
      </c>
      <c r="M3999" s="2" t="s">
        <v>274</v>
      </c>
      <c r="N3999" s="2" t="s">
        <v>21</v>
      </c>
      <c r="O3999">
        <f t="shared" si="124"/>
        <v>9.5</v>
      </c>
      <c r="P3999">
        <f t="shared" si="125"/>
        <v>151.41100000000003</v>
      </c>
    </row>
    <row r="4000" spans="1:16" x14ac:dyDescent="0.35">
      <c r="A4000" s="9" t="s">
        <v>540</v>
      </c>
      <c r="B4000" s="2">
        <v>359.87</v>
      </c>
      <c r="C4000" s="2">
        <v>375.43</v>
      </c>
      <c r="D4000" s="2">
        <v>359.5</v>
      </c>
      <c r="E4000" s="2">
        <v>369.49</v>
      </c>
      <c r="F4000" s="2">
        <v>81403569</v>
      </c>
      <c r="G4000" s="2" t="s">
        <v>573</v>
      </c>
      <c r="H4000" s="2" t="s">
        <v>574</v>
      </c>
      <c r="I4000" s="2" t="s">
        <v>575</v>
      </c>
      <c r="J4000" s="3">
        <v>3.23</v>
      </c>
      <c r="K4000" s="2" t="s">
        <v>537</v>
      </c>
      <c r="L4000" s="2">
        <v>2024</v>
      </c>
      <c r="M4000" s="2" t="s">
        <v>274</v>
      </c>
      <c r="N4000" s="2" t="s">
        <v>21</v>
      </c>
      <c r="O4000">
        <f t="shared" si="124"/>
        <v>15.930000000000007</v>
      </c>
      <c r="P4000">
        <f t="shared" si="125"/>
        <v>154.64100000000002</v>
      </c>
    </row>
    <row r="4001" spans="1:16" x14ac:dyDescent="0.35">
      <c r="A4001" s="9" t="s">
        <v>541</v>
      </c>
      <c r="B4001" s="2">
        <v>377.42</v>
      </c>
      <c r="C4001" s="2">
        <v>389.49</v>
      </c>
      <c r="D4001" s="2">
        <v>370.8</v>
      </c>
      <c r="E4001" s="2">
        <v>389.22</v>
      </c>
      <c r="F4001" s="2">
        <v>81455834</v>
      </c>
      <c r="G4001" s="2" t="s">
        <v>573</v>
      </c>
      <c r="H4001" s="2" t="s">
        <v>574</v>
      </c>
      <c r="I4001" s="2" t="s">
        <v>575</v>
      </c>
      <c r="J4001" s="3">
        <v>5.34</v>
      </c>
      <c r="K4001" s="2" t="s">
        <v>537</v>
      </c>
      <c r="L4001" s="2">
        <v>2024</v>
      </c>
      <c r="M4001" s="2" t="s">
        <v>274</v>
      </c>
      <c r="N4001" s="2" t="s">
        <v>21</v>
      </c>
      <c r="O4001">
        <f t="shared" si="124"/>
        <v>18.689999999999998</v>
      </c>
      <c r="P4001">
        <f t="shared" si="125"/>
        <v>159.98100000000002</v>
      </c>
    </row>
    <row r="4002" spans="1:16" x14ac:dyDescent="0.35">
      <c r="A4002" s="9" t="s">
        <v>542</v>
      </c>
      <c r="B4002" s="2">
        <v>397.61</v>
      </c>
      <c r="C4002" s="2">
        <v>404.8</v>
      </c>
      <c r="D4002" s="2">
        <v>378.01</v>
      </c>
      <c r="E4002" s="2">
        <v>389.79</v>
      </c>
      <c r="F4002" s="2">
        <v>96359173</v>
      </c>
      <c r="G4002" s="2" t="s">
        <v>573</v>
      </c>
      <c r="H4002" s="2" t="s">
        <v>574</v>
      </c>
      <c r="I4002" s="2" t="s">
        <v>575</v>
      </c>
      <c r="J4002" s="3">
        <v>0.14599999999999999</v>
      </c>
      <c r="K4002" s="2" t="s">
        <v>537</v>
      </c>
      <c r="L4002" s="2">
        <v>2024</v>
      </c>
      <c r="M4002" s="2" t="s">
        <v>274</v>
      </c>
      <c r="N4002" s="2" t="s">
        <v>21</v>
      </c>
      <c r="O4002">
        <f t="shared" si="124"/>
        <v>26.79000000000002</v>
      </c>
      <c r="P4002">
        <f t="shared" si="125"/>
        <v>160.12700000000001</v>
      </c>
    </row>
    <row r="4003" spans="1:16" x14ac:dyDescent="0.35">
      <c r="A4003" s="9" t="s">
        <v>543</v>
      </c>
      <c r="B4003" s="2">
        <v>392.68</v>
      </c>
      <c r="C4003" s="2">
        <v>409.73</v>
      </c>
      <c r="D4003" s="2">
        <v>390.85</v>
      </c>
      <c r="E4003" s="2">
        <v>400.99</v>
      </c>
      <c r="F4003" s="2">
        <v>97563578</v>
      </c>
      <c r="G4003" s="2" t="s">
        <v>573</v>
      </c>
      <c r="H4003" s="2" t="s">
        <v>574</v>
      </c>
      <c r="I4003" s="2" t="s">
        <v>575</v>
      </c>
      <c r="J4003" s="3">
        <v>2.8730000000000002</v>
      </c>
      <c r="K4003" s="2" t="s">
        <v>537</v>
      </c>
      <c r="L4003" s="2">
        <v>2024</v>
      </c>
      <c r="M4003" s="2" t="s">
        <v>274</v>
      </c>
      <c r="N4003" s="2" t="s">
        <v>21</v>
      </c>
      <c r="O4003">
        <f t="shared" si="124"/>
        <v>18.879999999999995</v>
      </c>
      <c r="P4003">
        <f t="shared" si="125"/>
        <v>163</v>
      </c>
    </row>
    <row r="4004" spans="1:16" x14ac:dyDescent="0.35">
      <c r="A4004" s="9" t="s">
        <v>544</v>
      </c>
      <c r="B4004" s="2">
        <v>409.7</v>
      </c>
      <c r="C4004" s="2">
        <v>424.88</v>
      </c>
      <c r="D4004" s="2">
        <v>402.38</v>
      </c>
      <c r="E4004" s="2">
        <v>424.77</v>
      </c>
      <c r="F4004" s="2">
        <v>104287559</v>
      </c>
      <c r="G4004" s="2" t="s">
        <v>573</v>
      </c>
      <c r="H4004" s="2" t="s">
        <v>574</v>
      </c>
      <c r="I4004" s="2" t="s">
        <v>575</v>
      </c>
      <c r="J4004" s="3">
        <v>5.93</v>
      </c>
      <c r="K4004" s="2" t="s">
        <v>537</v>
      </c>
      <c r="L4004" s="2">
        <v>2024</v>
      </c>
      <c r="M4004" s="2" t="s">
        <v>274</v>
      </c>
      <c r="N4004" s="2" t="s">
        <v>21</v>
      </c>
      <c r="O4004">
        <f t="shared" si="124"/>
        <v>22.5</v>
      </c>
      <c r="P4004">
        <f t="shared" si="125"/>
        <v>168.93</v>
      </c>
    </row>
    <row r="4005" spans="1:16" x14ac:dyDescent="0.35">
      <c r="A4005" s="9" t="s">
        <v>545</v>
      </c>
      <c r="B4005" s="2">
        <v>424.84</v>
      </c>
      <c r="C4005" s="2">
        <v>429.3</v>
      </c>
      <c r="D4005" s="2">
        <v>415</v>
      </c>
      <c r="E4005" s="2">
        <v>418.1</v>
      </c>
      <c r="F4005" s="2">
        <v>87752225</v>
      </c>
      <c r="G4005" s="2" t="s">
        <v>573</v>
      </c>
      <c r="H4005" s="2" t="s">
        <v>574</v>
      </c>
      <c r="I4005" s="2" t="s">
        <v>575</v>
      </c>
      <c r="J4005" s="4">
        <v>-1.57</v>
      </c>
      <c r="K4005" s="2" t="s">
        <v>537</v>
      </c>
      <c r="L4005" s="2">
        <v>2024</v>
      </c>
      <c r="M4005" s="2" t="s">
        <v>274</v>
      </c>
      <c r="N4005" s="2" t="s">
        <v>23</v>
      </c>
      <c r="O4005">
        <f t="shared" si="124"/>
        <v>14.300000000000011</v>
      </c>
      <c r="P4005">
        <f t="shared" si="125"/>
        <v>167.36</v>
      </c>
    </row>
    <row r="4006" spans="1:16" x14ac:dyDescent="0.35">
      <c r="A4006" s="9" t="s">
        <v>546</v>
      </c>
      <c r="B4006" s="2">
        <v>420</v>
      </c>
      <c r="C4006" s="2">
        <v>436.3</v>
      </c>
      <c r="D4006" s="2">
        <v>415.71</v>
      </c>
      <c r="E4006" s="2">
        <v>436.23</v>
      </c>
      <c r="F4006" s="2">
        <v>89000158</v>
      </c>
      <c r="G4006" s="2" t="s">
        <v>573</v>
      </c>
      <c r="H4006" s="2" t="s">
        <v>574</v>
      </c>
      <c r="I4006" s="2" t="s">
        <v>575</v>
      </c>
      <c r="J4006" s="3">
        <v>4.3360000000000003</v>
      </c>
      <c r="K4006" s="2" t="s">
        <v>537</v>
      </c>
      <c r="L4006" s="2">
        <v>2024</v>
      </c>
      <c r="M4006" s="2" t="s">
        <v>274</v>
      </c>
      <c r="N4006" s="2" t="s">
        <v>21</v>
      </c>
      <c r="O4006">
        <f t="shared" si="124"/>
        <v>20.590000000000032</v>
      </c>
      <c r="P4006">
        <f t="shared" si="125"/>
        <v>171.69600000000003</v>
      </c>
    </row>
    <row r="4007" spans="1:16" x14ac:dyDescent="0.35">
      <c r="A4007" s="9" t="s">
        <v>547</v>
      </c>
      <c r="B4007" s="2">
        <v>441.09</v>
      </c>
      <c r="C4007" s="2">
        <v>463.19</v>
      </c>
      <c r="D4007" s="2">
        <v>436.15</v>
      </c>
      <c r="E4007" s="2">
        <v>463.02</v>
      </c>
      <c r="F4007" s="2">
        <v>114083811</v>
      </c>
      <c r="G4007" s="2" t="s">
        <v>573</v>
      </c>
      <c r="H4007" s="2" t="s">
        <v>574</v>
      </c>
      <c r="I4007" s="2" t="s">
        <v>575</v>
      </c>
      <c r="J4007" s="3">
        <v>6.141</v>
      </c>
      <c r="K4007" s="2" t="s">
        <v>537</v>
      </c>
      <c r="L4007" s="2">
        <v>2024</v>
      </c>
      <c r="M4007" s="2" t="s">
        <v>274</v>
      </c>
      <c r="N4007" s="2" t="s">
        <v>21</v>
      </c>
      <c r="O4007">
        <f t="shared" si="124"/>
        <v>27.04000000000002</v>
      </c>
      <c r="P4007">
        <f t="shared" si="125"/>
        <v>177.83700000000002</v>
      </c>
    </row>
    <row r="4008" spans="1:16" x14ac:dyDescent="0.35">
      <c r="A4008" s="9" t="s">
        <v>548</v>
      </c>
      <c r="B4008" s="2">
        <v>475.9</v>
      </c>
      <c r="C4008" s="2">
        <v>483.99</v>
      </c>
      <c r="D4008" s="2">
        <v>457.51</v>
      </c>
      <c r="E4008" s="2">
        <v>479.86</v>
      </c>
      <c r="F4008" s="2">
        <v>131222978</v>
      </c>
      <c r="G4008" s="2" t="s">
        <v>573</v>
      </c>
      <c r="H4008" s="2" t="s">
        <v>574</v>
      </c>
      <c r="I4008" s="2" t="s">
        <v>575</v>
      </c>
      <c r="J4008" s="3">
        <v>3.637</v>
      </c>
      <c r="K4008" s="2" t="s">
        <v>537</v>
      </c>
      <c r="L4008" s="2">
        <v>2024</v>
      </c>
      <c r="M4008" s="2" t="s">
        <v>274</v>
      </c>
      <c r="N4008" s="2" t="s">
        <v>21</v>
      </c>
      <c r="O4008">
        <f t="shared" si="124"/>
        <v>26.480000000000018</v>
      </c>
      <c r="P4008">
        <f t="shared" si="125"/>
        <v>181.47400000000002</v>
      </c>
    </row>
    <row r="4009" spans="1:16" x14ac:dyDescent="0.35">
      <c r="A4009" s="9" t="s">
        <v>549</v>
      </c>
      <c r="B4009" s="2">
        <v>466.495</v>
      </c>
      <c r="C4009" s="2">
        <v>488.54</v>
      </c>
      <c r="D4009" s="2">
        <v>427.01</v>
      </c>
      <c r="E4009" s="2">
        <v>440.13</v>
      </c>
      <c r="F4009" s="2">
        <v>149340788</v>
      </c>
      <c r="G4009" s="2" t="s">
        <v>573</v>
      </c>
      <c r="H4009" s="2" t="s">
        <v>574</v>
      </c>
      <c r="I4009" s="2" t="s">
        <v>575</v>
      </c>
      <c r="J4009" s="4">
        <v>-8.2789999999999999</v>
      </c>
      <c r="K4009" s="2" t="s">
        <v>537</v>
      </c>
      <c r="L4009" s="2">
        <v>2024</v>
      </c>
      <c r="M4009" s="2" t="s">
        <v>274</v>
      </c>
      <c r="N4009" s="2" t="s">
        <v>23</v>
      </c>
      <c r="O4009">
        <f t="shared" si="124"/>
        <v>61.53000000000003</v>
      </c>
      <c r="P4009">
        <f t="shared" si="125"/>
        <v>173.19500000000002</v>
      </c>
    </row>
    <row r="4010" spans="1:16" x14ac:dyDescent="0.35">
      <c r="A4010" s="9" t="s">
        <v>550</v>
      </c>
      <c r="B4010" s="2">
        <v>451.88</v>
      </c>
      <c r="C4010" s="2">
        <v>456.36</v>
      </c>
      <c r="D4010" s="2">
        <v>420.02</v>
      </c>
      <c r="E4010" s="2">
        <v>436.17</v>
      </c>
      <c r="F4010" s="2">
        <v>118566146</v>
      </c>
      <c r="G4010" s="2" t="s">
        <v>573</v>
      </c>
      <c r="H4010" s="2" t="s">
        <v>574</v>
      </c>
      <c r="I4010" s="2" t="s">
        <v>575</v>
      </c>
      <c r="J4010" s="4">
        <v>-0.9</v>
      </c>
      <c r="K4010" s="2" t="s">
        <v>537</v>
      </c>
      <c r="L4010" s="2">
        <v>2024</v>
      </c>
      <c r="M4010" s="2" t="s">
        <v>274</v>
      </c>
      <c r="N4010" s="2" t="s">
        <v>23</v>
      </c>
      <c r="O4010">
        <f t="shared" si="124"/>
        <v>36.340000000000032</v>
      </c>
      <c r="P4010">
        <f t="shared" si="125"/>
        <v>172.29500000000002</v>
      </c>
    </row>
    <row r="4011" spans="1:16" x14ac:dyDescent="0.35">
      <c r="A4011" s="9" t="s">
        <v>551</v>
      </c>
      <c r="B4011" s="2">
        <v>425.505</v>
      </c>
      <c r="C4011" s="2">
        <v>447.08</v>
      </c>
      <c r="D4011" s="2">
        <v>417.64</v>
      </c>
      <c r="E4011" s="2">
        <v>421.06</v>
      </c>
      <c r="F4011" s="2">
        <v>132216176</v>
      </c>
      <c r="G4011" s="2" t="s">
        <v>573</v>
      </c>
      <c r="H4011" s="2" t="s">
        <v>574</v>
      </c>
      <c r="I4011" s="2" t="s">
        <v>575</v>
      </c>
      <c r="J4011" s="4">
        <v>-3.464</v>
      </c>
      <c r="K4011" s="2" t="s">
        <v>537</v>
      </c>
      <c r="L4011" s="2">
        <v>2024</v>
      </c>
      <c r="M4011" s="2" t="s">
        <v>274</v>
      </c>
      <c r="N4011" s="2" t="s">
        <v>23</v>
      </c>
      <c r="O4011">
        <f t="shared" si="124"/>
        <v>29.439999999999998</v>
      </c>
      <c r="P4011">
        <f t="shared" si="125"/>
        <v>168.83100000000002</v>
      </c>
    </row>
    <row r="4012" spans="1:16" x14ac:dyDescent="0.35">
      <c r="A4012" s="9" t="s">
        <v>552</v>
      </c>
      <c r="B4012" s="2">
        <v>431</v>
      </c>
      <c r="C4012" s="2">
        <v>434.51</v>
      </c>
      <c r="D4012" s="2">
        <v>415.411</v>
      </c>
      <c r="E4012" s="2">
        <v>430.6</v>
      </c>
      <c r="F4012" s="2">
        <v>72698055</v>
      </c>
      <c r="G4012" s="2" t="s">
        <v>573</v>
      </c>
      <c r="H4012" s="2" t="s">
        <v>574</v>
      </c>
      <c r="I4012" s="2" t="s">
        <v>575</v>
      </c>
      <c r="J4012" s="3">
        <v>2.266</v>
      </c>
      <c r="K4012" s="2" t="s">
        <v>537</v>
      </c>
      <c r="L4012" s="2">
        <v>2024</v>
      </c>
      <c r="M4012" s="2" t="s">
        <v>274</v>
      </c>
      <c r="N4012" s="2" t="s">
        <v>21</v>
      </c>
      <c r="O4012">
        <f t="shared" si="124"/>
        <v>19.09899999999999</v>
      </c>
      <c r="P4012">
        <f t="shared" si="125"/>
        <v>171.09700000000001</v>
      </c>
    </row>
    <row r="4013" spans="1:16" x14ac:dyDescent="0.35">
      <c r="A4013" s="9" t="s">
        <v>553</v>
      </c>
      <c r="B4013" s="2">
        <v>435.9</v>
      </c>
      <c r="C4013" s="2">
        <v>462.78</v>
      </c>
      <c r="D4013" s="2">
        <v>435.14</v>
      </c>
      <c r="E4013" s="2">
        <v>462.28</v>
      </c>
      <c r="F4013" s="2">
        <v>59551750</v>
      </c>
      <c r="G4013" s="2" t="s">
        <v>573</v>
      </c>
      <c r="H4013" s="2" t="s">
        <v>574</v>
      </c>
      <c r="I4013" s="2" t="s">
        <v>575</v>
      </c>
      <c r="J4013" s="3">
        <v>7.3570000000000002</v>
      </c>
      <c r="K4013" s="2" t="s">
        <v>537</v>
      </c>
      <c r="L4013" s="2">
        <v>2024</v>
      </c>
      <c r="M4013" s="2" t="s">
        <v>274</v>
      </c>
      <c r="N4013" s="2" t="s">
        <v>21</v>
      </c>
      <c r="O4013">
        <f t="shared" si="124"/>
        <v>27.639999999999986</v>
      </c>
      <c r="P4013">
        <f t="shared" si="125"/>
        <v>178.45400000000001</v>
      </c>
    </row>
    <row r="4014" spans="1:16" x14ac:dyDescent="0.35">
      <c r="A4014" s="9" t="s">
        <v>554</v>
      </c>
      <c r="B4014" s="2">
        <v>465.16</v>
      </c>
      <c r="C4014" s="2">
        <v>465.33</v>
      </c>
      <c r="D4014" s="2">
        <v>451.02</v>
      </c>
      <c r="E4014" s="2">
        <v>454.13</v>
      </c>
      <c r="F4014" s="2">
        <v>76651210</v>
      </c>
      <c r="G4014" s="2" t="s">
        <v>573</v>
      </c>
      <c r="H4014" s="2" t="s">
        <v>574</v>
      </c>
      <c r="I4014" s="2" t="s">
        <v>575</v>
      </c>
      <c r="J4014" s="4">
        <v>-1.7629999999999999</v>
      </c>
      <c r="K4014" s="2" t="s">
        <v>537</v>
      </c>
      <c r="L4014" s="2">
        <v>2024</v>
      </c>
      <c r="M4014" s="2" t="s">
        <v>274</v>
      </c>
      <c r="N4014" s="2" t="s">
        <v>23</v>
      </c>
      <c r="O4014">
        <f t="shared" si="124"/>
        <v>14.310000000000002</v>
      </c>
      <c r="P4014">
        <f t="shared" si="125"/>
        <v>176.691</v>
      </c>
    </row>
    <row r="4015" spans="1:16" x14ac:dyDescent="0.35">
      <c r="A4015" s="9" t="s">
        <v>555</v>
      </c>
      <c r="B4015" s="2">
        <v>449.52</v>
      </c>
      <c r="C4015" s="2">
        <v>450</v>
      </c>
      <c r="D4015" s="2">
        <v>426.5</v>
      </c>
      <c r="E4015" s="2">
        <v>431.66</v>
      </c>
      <c r="F4015" s="2">
        <v>82666821</v>
      </c>
      <c r="G4015" s="2" t="s">
        <v>573</v>
      </c>
      <c r="H4015" s="2" t="s">
        <v>574</v>
      </c>
      <c r="I4015" s="2" t="s">
        <v>575</v>
      </c>
      <c r="J4015" s="4">
        <v>-4.9480000000000004</v>
      </c>
      <c r="K4015" s="2" t="s">
        <v>537</v>
      </c>
      <c r="L4015" s="2">
        <v>2024</v>
      </c>
      <c r="M4015" s="2" t="s">
        <v>274</v>
      </c>
      <c r="N4015" s="2" t="s">
        <v>23</v>
      </c>
      <c r="O4015">
        <f t="shared" si="124"/>
        <v>23.5</v>
      </c>
      <c r="P4015">
        <f t="shared" si="125"/>
        <v>171.74299999999999</v>
      </c>
    </row>
    <row r="4016" spans="1:16" x14ac:dyDescent="0.35">
      <c r="A4016" s="9" t="s">
        <v>556</v>
      </c>
      <c r="B4016" s="2">
        <v>419.4</v>
      </c>
      <c r="C4016" s="2">
        <v>427</v>
      </c>
      <c r="D4016" s="2">
        <v>415.75</v>
      </c>
      <c r="E4016" s="2">
        <v>417.41</v>
      </c>
      <c r="F4016" s="2">
        <v>64941012</v>
      </c>
      <c r="G4016" s="2" t="s">
        <v>573</v>
      </c>
      <c r="H4016" s="2" t="s">
        <v>574</v>
      </c>
      <c r="I4016" s="2" t="s">
        <v>575</v>
      </c>
      <c r="J4016" s="4">
        <v>-3.3010000000000002</v>
      </c>
      <c r="K4016" s="2" t="s">
        <v>537</v>
      </c>
      <c r="L4016" s="2">
        <v>2024</v>
      </c>
      <c r="M4016" s="2" t="s">
        <v>274</v>
      </c>
      <c r="N4016" s="2" t="s">
        <v>23</v>
      </c>
      <c r="O4016">
        <f t="shared" si="124"/>
        <v>11.25</v>
      </c>
      <c r="P4016">
        <f t="shared" si="125"/>
        <v>168.44200000000001</v>
      </c>
    </row>
    <row r="4017" spans="1:16" x14ac:dyDescent="0.35">
      <c r="A4017" s="9" t="s">
        <v>557</v>
      </c>
      <c r="B4017" s="2">
        <v>423.79</v>
      </c>
      <c r="C4017" s="2">
        <v>427.93</v>
      </c>
      <c r="D4017" s="2">
        <v>402.54</v>
      </c>
      <c r="E4017" s="2">
        <v>403.84</v>
      </c>
      <c r="F4017" s="2">
        <v>76825121</v>
      </c>
      <c r="G4017" s="2" t="s">
        <v>573</v>
      </c>
      <c r="H4017" s="2" t="s">
        <v>574</v>
      </c>
      <c r="I4017" s="2" t="s">
        <v>575</v>
      </c>
      <c r="J4017" s="4">
        <v>-3.2509999999999999</v>
      </c>
      <c r="K4017" s="2" t="s">
        <v>537</v>
      </c>
      <c r="L4017" s="2">
        <v>2024</v>
      </c>
      <c r="M4017" s="2" t="s">
        <v>274</v>
      </c>
      <c r="N4017" s="2" t="s">
        <v>23</v>
      </c>
      <c r="O4017">
        <f t="shared" si="124"/>
        <v>25.389999999999986</v>
      </c>
      <c r="P4017">
        <f t="shared" si="125"/>
        <v>165.191</v>
      </c>
    </row>
    <row r="4018" spans="1:16" x14ac:dyDescent="0.35">
      <c r="A4018" s="9" t="s">
        <v>14</v>
      </c>
      <c r="B4018" s="2">
        <v>46.802999999999997</v>
      </c>
      <c r="C4018" s="2">
        <v>47.183</v>
      </c>
      <c r="D4018" s="2">
        <v>46.652000000000001</v>
      </c>
      <c r="E4018" s="2">
        <v>47.148000000000003</v>
      </c>
      <c r="F4018" s="2">
        <v>17512791</v>
      </c>
      <c r="G4018" s="2" t="s">
        <v>576</v>
      </c>
      <c r="H4018" s="2" t="s">
        <v>577</v>
      </c>
      <c r="I4018" s="2" t="s">
        <v>578</v>
      </c>
      <c r="J4018" s="2"/>
      <c r="K4018" s="2" t="s">
        <v>18</v>
      </c>
      <c r="L4018" s="2">
        <v>2023</v>
      </c>
      <c r="M4018" s="2" t="s">
        <v>19</v>
      </c>
      <c r="N4018" s="2"/>
      <c r="O4018">
        <f t="shared" si="124"/>
        <v>0.53099999999999881</v>
      </c>
      <c r="P4018">
        <f t="shared" si="125"/>
        <v>0</v>
      </c>
    </row>
    <row r="4019" spans="1:16" x14ac:dyDescent="0.35">
      <c r="A4019" s="9" t="s">
        <v>20</v>
      </c>
      <c r="B4019" s="2">
        <v>47.088000000000001</v>
      </c>
      <c r="C4019" s="2">
        <v>47.295000000000002</v>
      </c>
      <c r="D4019" s="2">
        <v>46.645000000000003</v>
      </c>
      <c r="E4019" s="2">
        <v>47.2</v>
      </c>
      <c r="F4019" s="2">
        <v>13542364</v>
      </c>
      <c r="G4019" s="2" t="s">
        <v>576</v>
      </c>
      <c r="H4019" s="2" t="s">
        <v>577</v>
      </c>
      <c r="I4019" s="2" t="s">
        <v>578</v>
      </c>
      <c r="J4019" s="3">
        <v>0.111</v>
      </c>
      <c r="K4019" s="2" t="s">
        <v>18</v>
      </c>
      <c r="L4019" s="2">
        <v>2023</v>
      </c>
      <c r="M4019" s="2" t="s">
        <v>19</v>
      </c>
      <c r="N4019" s="2" t="s">
        <v>21</v>
      </c>
      <c r="O4019">
        <f t="shared" si="124"/>
        <v>0.64999999999999858</v>
      </c>
      <c r="P4019">
        <f t="shared" si="125"/>
        <v>0.111</v>
      </c>
    </row>
    <row r="4020" spans="1:16" x14ac:dyDescent="0.35">
      <c r="A4020" s="9" t="s">
        <v>22</v>
      </c>
      <c r="B4020" s="2">
        <v>47.100999999999999</v>
      </c>
      <c r="C4020" s="2">
        <v>47.322000000000003</v>
      </c>
      <c r="D4020" s="2">
        <v>46.835999999999999</v>
      </c>
      <c r="E4020" s="2">
        <v>47.039000000000001</v>
      </c>
      <c r="F4020" s="2">
        <v>13476893</v>
      </c>
      <c r="G4020" s="2" t="s">
        <v>576</v>
      </c>
      <c r="H4020" s="2" t="s">
        <v>577</v>
      </c>
      <c r="I4020" s="2" t="s">
        <v>578</v>
      </c>
      <c r="J4020" s="4">
        <v>-0.34100000000000003</v>
      </c>
      <c r="K4020" s="2" t="s">
        <v>18</v>
      </c>
      <c r="L4020" s="2">
        <v>2023</v>
      </c>
      <c r="M4020" s="2" t="s">
        <v>19</v>
      </c>
      <c r="N4020" s="2" t="s">
        <v>23</v>
      </c>
      <c r="O4020">
        <f t="shared" si="124"/>
        <v>0.48600000000000421</v>
      </c>
      <c r="P4020">
        <f t="shared" si="125"/>
        <v>-0.23000000000000004</v>
      </c>
    </row>
    <row r="4021" spans="1:16" x14ac:dyDescent="0.35">
      <c r="A4021" s="9" t="s">
        <v>24</v>
      </c>
      <c r="B4021" s="2">
        <v>47.475999999999999</v>
      </c>
      <c r="C4021" s="2">
        <v>48.444000000000003</v>
      </c>
      <c r="D4021" s="2">
        <v>47.356999999999999</v>
      </c>
      <c r="E4021" s="2">
        <v>48.192</v>
      </c>
      <c r="F4021" s="2">
        <v>21555651</v>
      </c>
      <c r="G4021" s="2" t="s">
        <v>576</v>
      </c>
      <c r="H4021" s="2" t="s">
        <v>577</v>
      </c>
      <c r="I4021" s="2" t="s">
        <v>578</v>
      </c>
      <c r="J4021" s="3">
        <v>2.4510000000000001</v>
      </c>
      <c r="K4021" s="2" t="s">
        <v>18</v>
      </c>
      <c r="L4021" s="2">
        <v>2023</v>
      </c>
      <c r="M4021" s="2" t="s">
        <v>19</v>
      </c>
      <c r="N4021" s="2" t="s">
        <v>21</v>
      </c>
      <c r="O4021">
        <f t="shared" si="124"/>
        <v>1.0870000000000033</v>
      </c>
      <c r="P4021">
        <f t="shared" si="125"/>
        <v>2.2210000000000001</v>
      </c>
    </row>
    <row r="4022" spans="1:16" x14ac:dyDescent="0.35">
      <c r="A4022" s="9" t="s">
        <v>25</v>
      </c>
      <c r="B4022" s="2">
        <v>48.040999999999997</v>
      </c>
      <c r="C4022" s="2">
        <v>48.545999999999999</v>
      </c>
      <c r="D4022" s="2">
        <v>47.540999999999997</v>
      </c>
      <c r="E4022" s="2">
        <v>47.591000000000001</v>
      </c>
      <c r="F4022" s="2">
        <v>18027457</v>
      </c>
      <c r="G4022" s="2" t="s">
        <v>576</v>
      </c>
      <c r="H4022" s="2" t="s">
        <v>577</v>
      </c>
      <c r="I4022" s="2" t="s">
        <v>578</v>
      </c>
      <c r="J4022" s="4">
        <v>-1.246</v>
      </c>
      <c r="K4022" s="2" t="s">
        <v>18</v>
      </c>
      <c r="L4022" s="2">
        <v>2023</v>
      </c>
      <c r="M4022" s="2" t="s">
        <v>19</v>
      </c>
      <c r="N4022" s="2" t="s">
        <v>23</v>
      </c>
      <c r="O4022">
        <f t="shared" si="124"/>
        <v>1.0050000000000026</v>
      </c>
      <c r="P4022">
        <f t="shared" si="125"/>
        <v>0.97500000000000009</v>
      </c>
    </row>
    <row r="4023" spans="1:16" x14ac:dyDescent="0.35">
      <c r="A4023" s="9" t="s">
        <v>26</v>
      </c>
      <c r="B4023" s="2">
        <v>47.588000000000001</v>
      </c>
      <c r="C4023" s="2">
        <v>47.755000000000003</v>
      </c>
      <c r="D4023" s="2">
        <v>47.19</v>
      </c>
      <c r="E4023" s="2">
        <v>47.561</v>
      </c>
      <c r="F4023" s="2">
        <v>12153243</v>
      </c>
      <c r="G4023" s="2" t="s">
        <v>576</v>
      </c>
      <c r="H4023" s="2" t="s">
        <v>577</v>
      </c>
      <c r="I4023" s="2" t="s">
        <v>578</v>
      </c>
      <c r="J4023" s="4">
        <v>-6.2E-2</v>
      </c>
      <c r="K4023" s="2" t="s">
        <v>18</v>
      </c>
      <c r="L4023" s="2">
        <v>2023</v>
      </c>
      <c r="M4023" s="2" t="s">
        <v>19</v>
      </c>
      <c r="N4023" s="2" t="s">
        <v>23</v>
      </c>
      <c r="O4023">
        <f t="shared" si="124"/>
        <v>0.56500000000000483</v>
      </c>
      <c r="P4023">
        <f t="shared" si="125"/>
        <v>0.91300000000000003</v>
      </c>
    </row>
    <row r="4024" spans="1:16" x14ac:dyDescent="0.35">
      <c r="A4024" s="9" t="s">
        <v>27</v>
      </c>
      <c r="B4024" s="2">
        <v>47.85</v>
      </c>
      <c r="C4024" s="2">
        <v>47.994</v>
      </c>
      <c r="D4024" s="2">
        <v>47.518999999999998</v>
      </c>
      <c r="E4024" s="2">
        <v>47.978000000000002</v>
      </c>
      <c r="F4024" s="2">
        <v>15060867</v>
      </c>
      <c r="G4024" s="2" t="s">
        <v>576</v>
      </c>
      <c r="H4024" s="2" t="s">
        <v>577</v>
      </c>
      <c r="I4024" s="2" t="s">
        <v>578</v>
      </c>
      <c r="J4024" s="3">
        <v>0.876</v>
      </c>
      <c r="K4024" s="2" t="s">
        <v>18</v>
      </c>
      <c r="L4024" s="2">
        <v>2023</v>
      </c>
      <c r="M4024" s="2" t="s">
        <v>19</v>
      </c>
      <c r="N4024" s="2" t="s">
        <v>21</v>
      </c>
      <c r="O4024">
        <f t="shared" si="124"/>
        <v>0.47500000000000142</v>
      </c>
      <c r="P4024">
        <f t="shared" si="125"/>
        <v>1.7890000000000001</v>
      </c>
    </row>
    <row r="4025" spans="1:16" x14ac:dyDescent="0.35">
      <c r="A4025" s="9" t="s">
        <v>28</v>
      </c>
      <c r="B4025" s="2">
        <v>48.07</v>
      </c>
      <c r="C4025" s="2">
        <v>48.073</v>
      </c>
      <c r="D4025" s="2">
        <v>47.406999999999996</v>
      </c>
      <c r="E4025" s="2">
        <v>47.545000000000002</v>
      </c>
      <c r="F4025" s="2">
        <v>12663023</v>
      </c>
      <c r="G4025" s="2" t="s">
        <v>576</v>
      </c>
      <c r="H4025" s="2" t="s">
        <v>577</v>
      </c>
      <c r="I4025" s="2" t="s">
        <v>578</v>
      </c>
      <c r="J4025" s="4">
        <v>-0.90300000000000002</v>
      </c>
      <c r="K4025" s="2" t="s">
        <v>18</v>
      </c>
      <c r="L4025" s="2">
        <v>2023</v>
      </c>
      <c r="M4025" s="2" t="s">
        <v>19</v>
      </c>
      <c r="N4025" s="2" t="s">
        <v>23</v>
      </c>
      <c r="O4025">
        <f t="shared" si="124"/>
        <v>0.66600000000000392</v>
      </c>
      <c r="P4025">
        <f t="shared" si="125"/>
        <v>0.88600000000000012</v>
      </c>
    </row>
    <row r="4026" spans="1:16" x14ac:dyDescent="0.35">
      <c r="A4026" s="9" t="s">
        <v>29</v>
      </c>
      <c r="B4026" s="2">
        <v>47.781999999999996</v>
      </c>
      <c r="C4026" s="2">
        <v>47.877000000000002</v>
      </c>
      <c r="D4026" s="2">
        <v>47.232999999999997</v>
      </c>
      <c r="E4026" s="2">
        <v>47.701999999999998</v>
      </c>
      <c r="F4026" s="2">
        <v>13909153</v>
      </c>
      <c r="G4026" s="2" t="s">
        <v>576</v>
      </c>
      <c r="H4026" s="2" t="s">
        <v>577</v>
      </c>
      <c r="I4026" s="2" t="s">
        <v>578</v>
      </c>
      <c r="J4026" s="3">
        <v>0.33100000000000002</v>
      </c>
      <c r="K4026" s="2" t="s">
        <v>18</v>
      </c>
      <c r="L4026" s="2">
        <v>2023</v>
      </c>
      <c r="M4026" s="2" t="s">
        <v>19</v>
      </c>
      <c r="N4026" s="2" t="s">
        <v>21</v>
      </c>
      <c r="O4026">
        <f t="shared" si="124"/>
        <v>0.64400000000000546</v>
      </c>
      <c r="P4026">
        <f t="shared" si="125"/>
        <v>1.2170000000000001</v>
      </c>
    </row>
    <row r="4027" spans="1:16" x14ac:dyDescent="0.35">
      <c r="A4027" s="9" t="s">
        <v>30</v>
      </c>
      <c r="B4027" s="2">
        <v>47.701999999999998</v>
      </c>
      <c r="C4027" s="2">
        <v>47.84</v>
      </c>
      <c r="D4027" s="2">
        <v>47.343000000000004</v>
      </c>
      <c r="E4027" s="2">
        <v>47.414000000000001</v>
      </c>
      <c r="F4027" s="2">
        <v>15353092</v>
      </c>
      <c r="G4027" s="2" t="s">
        <v>576</v>
      </c>
      <c r="H4027" s="2" t="s">
        <v>577</v>
      </c>
      <c r="I4027" s="2" t="s">
        <v>578</v>
      </c>
      <c r="J4027" s="4">
        <v>-0.60399999999999998</v>
      </c>
      <c r="K4027" s="2" t="s">
        <v>18</v>
      </c>
      <c r="L4027" s="2">
        <v>2023</v>
      </c>
      <c r="M4027" s="2" t="s">
        <v>19</v>
      </c>
      <c r="N4027" s="2" t="s">
        <v>23</v>
      </c>
      <c r="O4027">
        <f t="shared" si="124"/>
        <v>0.49699999999999989</v>
      </c>
      <c r="P4027">
        <f t="shared" si="125"/>
        <v>0.6130000000000001</v>
      </c>
    </row>
    <row r="4028" spans="1:16" x14ac:dyDescent="0.35">
      <c r="A4028" s="9" t="s">
        <v>31</v>
      </c>
      <c r="B4028" s="2">
        <v>47.344000000000001</v>
      </c>
      <c r="C4028" s="2">
        <v>47.360999999999997</v>
      </c>
      <c r="D4028" s="2">
        <v>46.122</v>
      </c>
      <c r="E4028" s="2">
        <v>46.241</v>
      </c>
      <c r="F4028" s="2">
        <v>23020271</v>
      </c>
      <c r="G4028" s="2" t="s">
        <v>576</v>
      </c>
      <c r="H4028" s="2" t="s">
        <v>577</v>
      </c>
      <c r="I4028" s="2" t="s">
        <v>578</v>
      </c>
      <c r="J4028" s="4">
        <v>-2.4729999999999999</v>
      </c>
      <c r="K4028" s="2" t="s">
        <v>18</v>
      </c>
      <c r="L4028" s="2">
        <v>2023</v>
      </c>
      <c r="M4028" s="2" t="s">
        <v>19</v>
      </c>
      <c r="N4028" s="2" t="s">
        <v>23</v>
      </c>
      <c r="O4028">
        <f t="shared" si="124"/>
        <v>1.2389999999999972</v>
      </c>
      <c r="P4028">
        <f t="shared" si="125"/>
        <v>-1.8599999999999999</v>
      </c>
    </row>
    <row r="4029" spans="1:16" x14ac:dyDescent="0.35">
      <c r="A4029" s="9" t="s">
        <v>32</v>
      </c>
      <c r="B4029" s="2">
        <v>46.421999999999997</v>
      </c>
      <c r="C4029" s="2">
        <v>46.466000000000001</v>
      </c>
      <c r="D4029" s="2">
        <v>45.567999999999998</v>
      </c>
      <c r="E4029" s="2">
        <v>45.581000000000003</v>
      </c>
      <c r="F4029" s="2">
        <v>17606615</v>
      </c>
      <c r="G4029" s="2" t="s">
        <v>576</v>
      </c>
      <c r="H4029" s="2" t="s">
        <v>577</v>
      </c>
      <c r="I4029" s="2" t="s">
        <v>578</v>
      </c>
      <c r="J4029" s="4">
        <v>-1.427</v>
      </c>
      <c r="K4029" s="2" t="s">
        <v>18</v>
      </c>
      <c r="L4029" s="2">
        <v>2023</v>
      </c>
      <c r="M4029" s="2" t="s">
        <v>19</v>
      </c>
      <c r="N4029" s="2" t="s">
        <v>23</v>
      </c>
      <c r="O4029">
        <f t="shared" si="124"/>
        <v>0.89800000000000324</v>
      </c>
      <c r="P4029">
        <f t="shared" si="125"/>
        <v>-3.2869999999999999</v>
      </c>
    </row>
    <row r="4030" spans="1:16" x14ac:dyDescent="0.35">
      <c r="A4030" s="9" t="s">
        <v>33</v>
      </c>
      <c r="B4030" s="2">
        <v>45.768999999999998</v>
      </c>
      <c r="C4030" s="2">
        <v>46.220999999999997</v>
      </c>
      <c r="D4030" s="2">
        <v>45.365000000000002</v>
      </c>
      <c r="E4030" s="2">
        <v>46.143000000000001</v>
      </c>
      <c r="F4030" s="2">
        <v>29993596</v>
      </c>
      <c r="G4030" s="2" t="s">
        <v>576</v>
      </c>
      <c r="H4030" s="2" t="s">
        <v>577</v>
      </c>
      <c r="I4030" s="2" t="s">
        <v>578</v>
      </c>
      <c r="J4030" s="3">
        <v>1.232</v>
      </c>
      <c r="K4030" s="2" t="s">
        <v>18</v>
      </c>
      <c r="L4030" s="2">
        <v>2023</v>
      </c>
      <c r="M4030" s="2" t="s">
        <v>19</v>
      </c>
      <c r="N4030" s="2" t="s">
        <v>21</v>
      </c>
      <c r="O4030">
        <f t="shared" si="124"/>
        <v>0.85599999999999454</v>
      </c>
      <c r="P4030">
        <f t="shared" si="125"/>
        <v>-2.0549999999999997</v>
      </c>
    </row>
    <row r="4031" spans="1:16" x14ac:dyDescent="0.35">
      <c r="A4031" s="9" t="s">
        <v>34</v>
      </c>
      <c r="B4031" s="2">
        <v>46.116999999999997</v>
      </c>
      <c r="C4031" s="2">
        <v>46.954000000000001</v>
      </c>
      <c r="D4031" s="2">
        <v>46.030999999999999</v>
      </c>
      <c r="E4031" s="2">
        <v>46.832000000000001</v>
      </c>
      <c r="F4031" s="2">
        <v>13350384</v>
      </c>
      <c r="G4031" s="2" t="s">
        <v>576</v>
      </c>
      <c r="H4031" s="2" t="s">
        <v>577</v>
      </c>
      <c r="I4031" s="2" t="s">
        <v>578</v>
      </c>
      <c r="J4031" s="3">
        <v>1.494</v>
      </c>
      <c r="K4031" s="2" t="s">
        <v>18</v>
      </c>
      <c r="L4031" s="2">
        <v>2023</v>
      </c>
      <c r="M4031" s="2" t="s">
        <v>19</v>
      </c>
      <c r="N4031" s="2" t="s">
        <v>21</v>
      </c>
      <c r="O4031">
        <f t="shared" si="124"/>
        <v>0.92300000000000182</v>
      </c>
      <c r="P4031">
        <f t="shared" si="125"/>
        <v>-0.56099999999999972</v>
      </c>
    </row>
    <row r="4032" spans="1:16" x14ac:dyDescent="0.35">
      <c r="A4032" s="9" t="s">
        <v>35</v>
      </c>
      <c r="B4032" s="2">
        <v>52.491999999999997</v>
      </c>
      <c r="C4032" s="2">
        <v>52.491999999999997</v>
      </c>
      <c r="D4032" s="2">
        <v>46.293999999999997</v>
      </c>
      <c r="E4032" s="2">
        <v>46.957000000000001</v>
      </c>
      <c r="F4032" s="2">
        <v>13877846</v>
      </c>
      <c r="G4032" s="2" t="s">
        <v>576</v>
      </c>
      <c r="H4032" s="2" t="s">
        <v>577</v>
      </c>
      <c r="I4032" s="2" t="s">
        <v>578</v>
      </c>
      <c r="J4032" s="3">
        <v>0.26600000000000001</v>
      </c>
      <c r="K4032" s="2" t="s">
        <v>18</v>
      </c>
      <c r="L4032" s="2">
        <v>2023</v>
      </c>
      <c r="M4032" s="2" t="s">
        <v>19</v>
      </c>
      <c r="N4032" s="2" t="s">
        <v>21</v>
      </c>
      <c r="O4032">
        <f t="shared" si="124"/>
        <v>6.1980000000000004</v>
      </c>
      <c r="P4032">
        <f t="shared" si="125"/>
        <v>-0.29499999999999971</v>
      </c>
    </row>
    <row r="4033" spans="1:16" x14ac:dyDescent="0.35">
      <c r="A4033" s="9" t="s">
        <v>36</v>
      </c>
      <c r="B4033" s="2">
        <v>46.701000000000001</v>
      </c>
      <c r="C4033" s="2">
        <v>46.896000000000001</v>
      </c>
      <c r="D4033" s="2">
        <v>46.094000000000001</v>
      </c>
      <c r="E4033" s="2">
        <v>46.734000000000002</v>
      </c>
      <c r="F4033" s="2">
        <v>12682270</v>
      </c>
      <c r="G4033" s="2" t="s">
        <v>576</v>
      </c>
      <c r="H4033" s="2" t="s">
        <v>577</v>
      </c>
      <c r="I4033" s="2" t="s">
        <v>578</v>
      </c>
      <c r="J4033" s="4">
        <v>-0.47499999999999998</v>
      </c>
      <c r="K4033" s="2" t="s">
        <v>18</v>
      </c>
      <c r="L4033" s="2">
        <v>2023</v>
      </c>
      <c r="M4033" s="2" t="s">
        <v>19</v>
      </c>
      <c r="N4033" s="2" t="s">
        <v>23</v>
      </c>
      <c r="O4033">
        <f t="shared" si="124"/>
        <v>0.8019999999999996</v>
      </c>
      <c r="P4033">
        <f t="shared" si="125"/>
        <v>-0.76999999999999968</v>
      </c>
    </row>
    <row r="4034" spans="1:16" x14ac:dyDescent="0.35">
      <c r="A4034" s="9" t="s">
        <v>37</v>
      </c>
      <c r="B4034" s="2">
        <v>46.96</v>
      </c>
      <c r="C4034" s="2">
        <v>47.197000000000003</v>
      </c>
      <c r="D4034" s="2">
        <v>46.542999999999999</v>
      </c>
      <c r="E4034" s="2">
        <v>46.691000000000003</v>
      </c>
      <c r="F4034" s="2">
        <v>16060381</v>
      </c>
      <c r="G4034" s="2" t="s">
        <v>576</v>
      </c>
      <c r="H4034" s="2" t="s">
        <v>577</v>
      </c>
      <c r="I4034" s="2" t="s">
        <v>578</v>
      </c>
      <c r="J4034" s="4">
        <v>-9.0999999999999998E-2</v>
      </c>
      <c r="K4034" s="2" t="s">
        <v>18</v>
      </c>
      <c r="L4034" s="2">
        <v>2023</v>
      </c>
      <c r="M4034" s="2" t="s">
        <v>19</v>
      </c>
      <c r="N4034" s="2" t="s">
        <v>23</v>
      </c>
      <c r="O4034">
        <f t="shared" si="124"/>
        <v>0.65400000000000347</v>
      </c>
      <c r="P4034">
        <f t="shared" si="125"/>
        <v>-0.86099999999999965</v>
      </c>
    </row>
    <row r="4035" spans="1:16" x14ac:dyDescent="0.35">
      <c r="A4035" s="9" t="s">
        <v>38</v>
      </c>
      <c r="B4035" s="2">
        <v>46.819000000000003</v>
      </c>
      <c r="C4035" s="2">
        <v>47.433</v>
      </c>
      <c r="D4035" s="2">
        <v>46.54</v>
      </c>
      <c r="E4035" s="2">
        <v>47.048999999999999</v>
      </c>
      <c r="F4035" s="2">
        <v>18693592</v>
      </c>
      <c r="G4035" s="2" t="s">
        <v>576</v>
      </c>
      <c r="H4035" s="2" t="s">
        <v>577</v>
      </c>
      <c r="I4035" s="2" t="s">
        <v>578</v>
      </c>
      <c r="J4035" s="3">
        <v>0.76600000000000001</v>
      </c>
      <c r="K4035" s="2" t="s">
        <v>18</v>
      </c>
      <c r="L4035" s="2">
        <v>2023</v>
      </c>
      <c r="M4035" s="2" t="s">
        <v>19</v>
      </c>
      <c r="N4035" s="2" t="s">
        <v>21</v>
      </c>
      <c r="O4035">
        <f t="shared" ref="O4035:O4098" si="126">C4035-D4035</f>
        <v>0.89300000000000068</v>
      </c>
      <c r="P4035">
        <f t="shared" si="125"/>
        <v>-9.499999999999964E-2</v>
      </c>
    </row>
    <row r="4036" spans="1:16" x14ac:dyDescent="0.35">
      <c r="A4036" s="9" t="s">
        <v>39</v>
      </c>
      <c r="B4036" s="2">
        <v>46.661999999999999</v>
      </c>
      <c r="C4036" s="2">
        <v>46.77</v>
      </c>
      <c r="D4036" s="2">
        <v>46.383000000000003</v>
      </c>
      <c r="E4036" s="2">
        <v>46.670999999999999</v>
      </c>
      <c r="F4036" s="2">
        <v>16139949</v>
      </c>
      <c r="G4036" s="2" t="s">
        <v>576</v>
      </c>
      <c r="H4036" s="2" t="s">
        <v>577</v>
      </c>
      <c r="I4036" s="2" t="s">
        <v>578</v>
      </c>
      <c r="J4036" s="4">
        <v>-0.80300000000000005</v>
      </c>
      <c r="K4036" s="2" t="s">
        <v>18</v>
      </c>
      <c r="L4036" s="2">
        <v>2023</v>
      </c>
      <c r="M4036" s="2" t="s">
        <v>19</v>
      </c>
      <c r="N4036" s="2" t="s">
        <v>23</v>
      </c>
      <c r="O4036">
        <f t="shared" si="126"/>
        <v>0.38700000000000045</v>
      </c>
      <c r="P4036">
        <f t="shared" ref="P4036:P4099" si="127">IF(G4036=G4035, P4035+J4036, J4036)</f>
        <v>-0.89799999999999969</v>
      </c>
    </row>
    <row r="4037" spans="1:16" x14ac:dyDescent="0.35">
      <c r="A4037" s="9" t="s">
        <v>40</v>
      </c>
      <c r="B4037" s="2">
        <v>46.726999999999997</v>
      </c>
      <c r="C4037" s="2">
        <v>47.24</v>
      </c>
      <c r="D4037" s="2">
        <v>46.511000000000003</v>
      </c>
      <c r="E4037" s="2">
        <v>47.235999999999997</v>
      </c>
      <c r="F4037" s="2">
        <v>14318588</v>
      </c>
      <c r="G4037" s="2" t="s">
        <v>576</v>
      </c>
      <c r="H4037" s="2" t="s">
        <v>577</v>
      </c>
      <c r="I4037" s="2" t="s">
        <v>578</v>
      </c>
      <c r="J4037" s="3">
        <v>1.2110000000000001</v>
      </c>
      <c r="K4037" s="2" t="s">
        <v>18</v>
      </c>
      <c r="L4037" s="2">
        <v>2023</v>
      </c>
      <c r="M4037" s="2" t="s">
        <v>19</v>
      </c>
      <c r="N4037" s="2" t="s">
        <v>21</v>
      </c>
      <c r="O4037">
        <f t="shared" si="126"/>
        <v>0.7289999999999992</v>
      </c>
      <c r="P4037">
        <f t="shared" si="127"/>
        <v>0.31300000000000039</v>
      </c>
    </row>
    <row r="4038" spans="1:16" x14ac:dyDescent="0.35">
      <c r="A4038" s="9" t="s">
        <v>41</v>
      </c>
      <c r="B4038" s="2">
        <v>47.167000000000002</v>
      </c>
      <c r="C4038" s="2">
        <v>47.807000000000002</v>
      </c>
      <c r="D4038" s="2">
        <v>46.851999999999997</v>
      </c>
      <c r="E4038" s="2">
        <v>47.499000000000002</v>
      </c>
      <c r="F4038" s="2">
        <v>13045163</v>
      </c>
      <c r="G4038" s="2" t="s">
        <v>576</v>
      </c>
      <c r="H4038" s="2" t="s">
        <v>577</v>
      </c>
      <c r="I4038" s="2" t="s">
        <v>578</v>
      </c>
      <c r="J4038" s="3">
        <v>0.55600000000000005</v>
      </c>
      <c r="K4038" s="2" t="s">
        <v>42</v>
      </c>
      <c r="L4038" s="2">
        <v>2023</v>
      </c>
      <c r="M4038" s="2" t="s">
        <v>43</v>
      </c>
      <c r="N4038" s="2" t="s">
        <v>21</v>
      </c>
      <c r="O4038">
        <f t="shared" si="126"/>
        <v>0.9550000000000054</v>
      </c>
      <c r="P4038">
        <f t="shared" si="127"/>
        <v>0.86900000000000044</v>
      </c>
    </row>
    <row r="4039" spans="1:16" x14ac:dyDescent="0.35">
      <c r="A4039" s="9" t="s">
        <v>44</v>
      </c>
      <c r="B4039" s="2">
        <v>47.414000000000001</v>
      </c>
      <c r="C4039" s="2">
        <v>47.561</v>
      </c>
      <c r="D4039" s="2">
        <v>46.929000000000002</v>
      </c>
      <c r="E4039" s="2">
        <v>47.154000000000003</v>
      </c>
      <c r="F4039" s="2">
        <v>18078376</v>
      </c>
      <c r="G4039" s="2" t="s">
        <v>576</v>
      </c>
      <c r="H4039" s="2" t="s">
        <v>577</v>
      </c>
      <c r="I4039" s="2" t="s">
        <v>578</v>
      </c>
      <c r="J4039" s="4">
        <v>-0.72599999999999998</v>
      </c>
      <c r="K4039" s="2" t="s">
        <v>42</v>
      </c>
      <c r="L4039" s="2">
        <v>2023</v>
      </c>
      <c r="M4039" s="2" t="s">
        <v>43</v>
      </c>
      <c r="N4039" s="2" t="s">
        <v>23</v>
      </c>
      <c r="O4039">
        <f t="shared" si="126"/>
        <v>0.6319999999999979</v>
      </c>
      <c r="P4039">
        <f t="shared" si="127"/>
        <v>0.14300000000000046</v>
      </c>
    </row>
    <row r="4040" spans="1:16" x14ac:dyDescent="0.35">
      <c r="A4040" s="9" t="s">
        <v>45</v>
      </c>
      <c r="B4040" s="2">
        <v>47.069000000000003</v>
      </c>
      <c r="C4040" s="2">
        <v>47.265000000000001</v>
      </c>
      <c r="D4040" s="2">
        <v>46.247999999999998</v>
      </c>
      <c r="E4040" s="2">
        <v>46.527000000000001</v>
      </c>
      <c r="F4040" s="2">
        <v>17417172</v>
      </c>
      <c r="G4040" s="2" t="s">
        <v>576</v>
      </c>
      <c r="H4040" s="2" t="s">
        <v>577</v>
      </c>
      <c r="I4040" s="2" t="s">
        <v>578</v>
      </c>
      <c r="J4040" s="4">
        <v>-1.33</v>
      </c>
      <c r="K4040" s="2" t="s">
        <v>42</v>
      </c>
      <c r="L4040" s="2">
        <v>2023</v>
      </c>
      <c r="M4040" s="2" t="s">
        <v>43</v>
      </c>
      <c r="N4040" s="2" t="s">
        <v>23</v>
      </c>
      <c r="O4040">
        <f t="shared" si="126"/>
        <v>1.017000000000003</v>
      </c>
      <c r="P4040">
        <f t="shared" si="127"/>
        <v>-1.1869999999999996</v>
      </c>
    </row>
    <row r="4041" spans="1:16" x14ac:dyDescent="0.35">
      <c r="A4041" s="9" t="s">
        <v>46</v>
      </c>
      <c r="B4041" s="2">
        <v>46.563000000000002</v>
      </c>
      <c r="C4041" s="2">
        <v>46.655000000000001</v>
      </c>
      <c r="D4041" s="2">
        <v>45.975000000000001</v>
      </c>
      <c r="E4041" s="2">
        <v>46.189</v>
      </c>
      <c r="F4041" s="2">
        <v>17720134</v>
      </c>
      <c r="G4041" s="2" t="s">
        <v>576</v>
      </c>
      <c r="H4041" s="2" t="s">
        <v>577</v>
      </c>
      <c r="I4041" s="2" t="s">
        <v>578</v>
      </c>
      <c r="J4041" s="4">
        <v>-0.72699999999999998</v>
      </c>
      <c r="K4041" s="2" t="s">
        <v>42</v>
      </c>
      <c r="L4041" s="2">
        <v>2023</v>
      </c>
      <c r="M4041" s="2" t="s">
        <v>43</v>
      </c>
      <c r="N4041" s="2" t="s">
        <v>23</v>
      </c>
      <c r="O4041">
        <f t="shared" si="126"/>
        <v>0.67999999999999972</v>
      </c>
      <c r="P4041">
        <f t="shared" si="127"/>
        <v>-1.9139999999999997</v>
      </c>
    </row>
    <row r="4042" spans="1:16" x14ac:dyDescent="0.35">
      <c r="A4042" s="9" t="s">
        <v>47</v>
      </c>
      <c r="B4042" s="2">
        <v>45.89</v>
      </c>
      <c r="C4042" s="2">
        <v>46.392000000000003</v>
      </c>
      <c r="D4042" s="2">
        <v>45.536000000000001</v>
      </c>
      <c r="E4042" s="2">
        <v>46.287999999999997</v>
      </c>
      <c r="F4042" s="2">
        <v>16590599</v>
      </c>
      <c r="G4042" s="2" t="s">
        <v>576</v>
      </c>
      <c r="H4042" s="2" t="s">
        <v>577</v>
      </c>
      <c r="I4042" s="2" t="s">
        <v>578</v>
      </c>
      <c r="J4042" s="3">
        <v>0.214</v>
      </c>
      <c r="K4042" s="2" t="s">
        <v>42</v>
      </c>
      <c r="L4042" s="2">
        <v>2023</v>
      </c>
      <c r="M4042" s="2" t="s">
        <v>43</v>
      </c>
      <c r="N4042" s="2" t="s">
        <v>21</v>
      </c>
      <c r="O4042">
        <f t="shared" si="126"/>
        <v>0.85600000000000165</v>
      </c>
      <c r="P4042">
        <f t="shared" si="127"/>
        <v>-1.6999999999999997</v>
      </c>
    </row>
    <row r="4043" spans="1:16" x14ac:dyDescent="0.35">
      <c r="A4043" s="9" t="s">
        <v>48</v>
      </c>
      <c r="B4043" s="2">
        <v>46.073999999999998</v>
      </c>
      <c r="C4043" s="2">
        <v>46.326999999999998</v>
      </c>
      <c r="D4043" s="2">
        <v>45.960999999999999</v>
      </c>
      <c r="E4043" s="2">
        <v>46.037999999999997</v>
      </c>
      <c r="F4043" s="2">
        <v>11869497</v>
      </c>
      <c r="G4043" s="2" t="s">
        <v>576</v>
      </c>
      <c r="H4043" s="2" t="s">
        <v>577</v>
      </c>
      <c r="I4043" s="2" t="s">
        <v>578</v>
      </c>
      <c r="J4043" s="4">
        <v>-0.53900000000000003</v>
      </c>
      <c r="K4043" s="2" t="s">
        <v>42</v>
      </c>
      <c r="L4043" s="2">
        <v>2023</v>
      </c>
      <c r="M4043" s="2" t="s">
        <v>43</v>
      </c>
      <c r="N4043" s="2" t="s">
        <v>23</v>
      </c>
      <c r="O4043">
        <f t="shared" si="126"/>
        <v>0.36599999999999966</v>
      </c>
      <c r="P4043">
        <f t="shared" si="127"/>
        <v>-2.2389999999999999</v>
      </c>
    </row>
    <row r="4044" spans="1:16" x14ac:dyDescent="0.35">
      <c r="A4044" s="9" t="s">
        <v>49</v>
      </c>
      <c r="B4044" s="2">
        <v>46.250999999999998</v>
      </c>
      <c r="C4044" s="2">
        <v>46.603000000000002</v>
      </c>
      <c r="D4044" s="2">
        <v>46.152000000000001</v>
      </c>
      <c r="E4044" s="2">
        <v>46.465000000000003</v>
      </c>
      <c r="F4044" s="2">
        <v>13264214</v>
      </c>
      <c r="G4044" s="2" t="s">
        <v>576</v>
      </c>
      <c r="H4044" s="2" t="s">
        <v>577</v>
      </c>
      <c r="I4044" s="2" t="s">
        <v>578</v>
      </c>
      <c r="J4044" s="3">
        <v>0.92700000000000005</v>
      </c>
      <c r="K4044" s="2" t="s">
        <v>42</v>
      </c>
      <c r="L4044" s="2">
        <v>2023</v>
      </c>
      <c r="M4044" s="2" t="s">
        <v>43</v>
      </c>
      <c r="N4044" s="2" t="s">
        <v>21</v>
      </c>
      <c r="O4044">
        <f t="shared" si="126"/>
        <v>0.45100000000000051</v>
      </c>
      <c r="P4044">
        <f t="shared" si="127"/>
        <v>-1.3119999999999998</v>
      </c>
    </row>
    <row r="4045" spans="1:16" x14ac:dyDescent="0.35">
      <c r="A4045" s="9" t="s">
        <v>50</v>
      </c>
      <c r="B4045" s="2">
        <v>46.98</v>
      </c>
      <c r="C4045" s="2">
        <v>47.259</v>
      </c>
      <c r="D4045" s="2">
        <v>46.677999999999997</v>
      </c>
      <c r="E4045" s="2">
        <v>47.186999999999998</v>
      </c>
      <c r="F4045" s="2">
        <v>15231676</v>
      </c>
      <c r="G4045" s="2" t="s">
        <v>576</v>
      </c>
      <c r="H4045" s="2" t="s">
        <v>577</v>
      </c>
      <c r="I4045" s="2" t="s">
        <v>578</v>
      </c>
      <c r="J4045" s="3">
        <v>1.554</v>
      </c>
      <c r="K4045" s="2" t="s">
        <v>42</v>
      </c>
      <c r="L4045" s="2">
        <v>2023</v>
      </c>
      <c r="M4045" s="2" t="s">
        <v>43</v>
      </c>
      <c r="N4045" s="2" t="s">
        <v>21</v>
      </c>
      <c r="O4045">
        <f t="shared" si="126"/>
        <v>0.58100000000000307</v>
      </c>
      <c r="P4045">
        <f t="shared" si="127"/>
        <v>0.24200000000000021</v>
      </c>
    </row>
    <row r="4046" spans="1:16" x14ac:dyDescent="0.35">
      <c r="A4046" s="9" t="s">
        <v>51</v>
      </c>
      <c r="B4046" s="2">
        <v>47.512</v>
      </c>
      <c r="C4046" s="2">
        <v>47.975000000000001</v>
      </c>
      <c r="D4046" s="2">
        <v>47.445999999999998</v>
      </c>
      <c r="E4046" s="2">
        <v>47.905999999999999</v>
      </c>
      <c r="F4046" s="2">
        <v>16260192</v>
      </c>
      <c r="G4046" s="2" t="s">
        <v>576</v>
      </c>
      <c r="H4046" s="2" t="s">
        <v>577</v>
      </c>
      <c r="I4046" s="2" t="s">
        <v>578</v>
      </c>
      <c r="J4046" s="3">
        <v>1.524</v>
      </c>
      <c r="K4046" s="2" t="s">
        <v>42</v>
      </c>
      <c r="L4046" s="2">
        <v>2023</v>
      </c>
      <c r="M4046" s="2" t="s">
        <v>43</v>
      </c>
      <c r="N4046" s="2" t="s">
        <v>21</v>
      </c>
      <c r="O4046">
        <f t="shared" si="126"/>
        <v>0.52900000000000347</v>
      </c>
      <c r="P4046">
        <f t="shared" si="127"/>
        <v>1.7660000000000002</v>
      </c>
    </row>
    <row r="4047" spans="1:16" x14ac:dyDescent="0.35">
      <c r="A4047" s="9" t="s">
        <v>52</v>
      </c>
      <c r="B4047" s="2">
        <v>47.847000000000001</v>
      </c>
      <c r="C4047" s="2">
        <v>48.307000000000002</v>
      </c>
      <c r="D4047" s="2">
        <v>47.463000000000001</v>
      </c>
      <c r="E4047" s="2">
        <v>47.768000000000001</v>
      </c>
      <c r="F4047" s="2">
        <v>14042865</v>
      </c>
      <c r="G4047" s="2" t="s">
        <v>576</v>
      </c>
      <c r="H4047" s="2" t="s">
        <v>577</v>
      </c>
      <c r="I4047" s="2" t="s">
        <v>578</v>
      </c>
      <c r="J4047" s="4">
        <v>-0.28699999999999998</v>
      </c>
      <c r="K4047" s="2" t="s">
        <v>42</v>
      </c>
      <c r="L4047" s="2">
        <v>2023</v>
      </c>
      <c r="M4047" s="2" t="s">
        <v>43</v>
      </c>
      <c r="N4047" s="2" t="s">
        <v>23</v>
      </c>
      <c r="O4047">
        <f t="shared" si="126"/>
        <v>0.84400000000000119</v>
      </c>
      <c r="P4047">
        <f t="shared" si="127"/>
        <v>1.4790000000000003</v>
      </c>
    </row>
    <row r="4048" spans="1:16" x14ac:dyDescent="0.35">
      <c r="A4048" s="9" t="s">
        <v>53</v>
      </c>
      <c r="B4048" s="2">
        <v>47.594000000000001</v>
      </c>
      <c r="C4048" s="2">
        <v>48.133000000000003</v>
      </c>
      <c r="D4048" s="2">
        <v>47.463000000000001</v>
      </c>
      <c r="E4048" s="2">
        <v>48.122999999999998</v>
      </c>
      <c r="F4048" s="2">
        <v>14901933</v>
      </c>
      <c r="G4048" s="2" t="s">
        <v>576</v>
      </c>
      <c r="H4048" s="2" t="s">
        <v>577</v>
      </c>
      <c r="I4048" s="2" t="s">
        <v>578</v>
      </c>
      <c r="J4048" s="3">
        <v>0.74299999999999999</v>
      </c>
      <c r="K4048" s="2" t="s">
        <v>42</v>
      </c>
      <c r="L4048" s="2">
        <v>2023</v>
      </c>
      <c r="M4048" s="2" t="s">
        <v>43</v>
      </c>
      <c r="N4048" s="2" t="s">
        <v>21</v>
      </c>
      <c r="O4048">
        <f t="shared" si="126"/>
        <v>0.67000000000000171</v>
      </c>
      <c r="P4048">
        <f t="shared" si="127"/>
        <v>2.2220000000000004</v>
      </c>
    </row>
    <row r="4049" spans="1:16" x14ac:dyDescent="0.35">
      <c r="A4049" s="9" t="s">
        <v>54</v>
      </c>
      <c r="B4049" s="2">
        <v>47.765000000000001</v>
      </c>
      <c r="C4049" s="2">
        <v>47.932000000000002</v>
      </c>
      <c r="D4049" s="2">
        <v>47.338000000000001</v>
      </c>
      <c r="E4049" s="2">
        <v>47.366999999999997</v>
      </c>
      <c r="F4049" s="2">
        <v>16560964</v>
      </c>
      <c r="G4049" s="2" t="s">
        <v>576</v>
      </c>
      <c r="H4049" s="2" t="s">
        <v>577</v>
      </c>
      <c r="I4049" s="2" t="s">
        <v>578</v>
      </c>
      <c r="J4049" s="4">
        <v>-1.57</v>
      </c>
      <c r="K4049" s="2" t="s">
        <v>42</v>
      </c>
      <c r="L4049" s="2">
        <v>2023</v>
      </c>
      <c r="M4049" s="2" t="s">
        <v>43</v>
      </c>
      <c r="N4049" s="2" t="s">
        <v>23</v>
      </c>
      <c r="O4049">
        <f t="shared" si="126"/>
        <v>0.59400000000000119</v>
      </c>
      <c r="P4049">
        <f t="shared" si="127"/>
        <v>0.65200000000000036</v>
      </c>
    </row>
    <row r="4050" spans="1:16" x14ac:dyDescent="0.35">
      <c r="A4050" s="9" t="s">
        <v>55</v>
      </c>
      <c r="B4050" s="2">
        <v>47.643000000000001</v>
      </c>
      <c r="C4050" s="2">
        <v>48.161999999999999</v>
      </c>
      <c r="D4050" s="2">
        <v>47.466000000000001</v>
      </c>
      <c r="E4050" s="2">
        <v>48.08</v>
      </c>
      <c r="F4050" s="2">
        <v>25148644</v>
      </c>
      <c r="G4050" s="2" t="s">
        <v>576</v>
      </c>
      <c r="H4050" s="2" t="s">
        <v>577</v>
      </c>
      <c r="I4050" s="2" t="s">
        <v>578</v>
      </c>
      <c r="J4050" s="3">
        <v>1.504</v>
      </c>
      <c r="K4050" s="2" t="s">
        <v>42</v>
      </c>
      <c r="L4050" s="2">
        <v>2023</v>
      </c>
      <c r="M4050" s="2" t="s">
        <v>43</v>
      </c>
      <c r="N4050" s="2" t="s">
        <v>21</v>
      </c>
      <c r="O4050">
        <f t="shared" si="126"/>
        <v>0.69599999999999795</v>
      </c>
      <c r="P4050">
        <f t="shared" si="127"/>
        <v>2.1560000000000006</v>
      </c>
    </row>
    <row r="4051" spans="1:16" x14ac:dyDescent="0.35">
      <c r="A4051" s="9" t="s">
        <v>56</v>
      </c>
      <c r="B4051" s="2">
        <v>46.911000000000001</v>
      </c>
      <c r="C4051" s="2">
        <v>48.704000000000001</v>
      </c>
      <c r="D4051" s="2">
        <v>46.670999999999999</v>
      </c>
      <c r="E4051" s="2">
        <v>48.372</v>
      </c>
      <c r="F4051" s="2">
        <v>55223496</v>
      </c>
      <c r="G4051" s="2" t="s">
        <v>576</v>
      </c>
      <c r="H4051" s="2" t="s">
        <v>577</v>
      </c>
      <c r="I4051" s="2" t="s">
        <v>578</v>
      </c>
      <c r="J4051" s="3">
        <v>0.60899999999999999</v>
      </c>
      <c r="K4051" s="2" t="s">
        <v>42</v>
      </c>
      <c r="L4051" s="2">
        <v>2023</v>
      </c>
      <c r="M4051" s="2" t="s">
        <v>43</v>
      </c>
      <c r="N4051" s="2" t="s">
        <v>21</v>
      </c>
      <c r="O4051">
        <f t="shared" si="126"/>
        <v>2.0330000000000013</v>
      </c>
      <c r="P4051">
        <f t="shared" si="127"/>
        <v>2.7650000000000006</v>
      </c>
    </row>
    <row r="4052" spans="1:16" x14ac:dyDescent="0.35">
      <c r="A4052" s="9" t="s">
        <v>57</v>
      </c>
      <c r="B4052" s="2">
        <v>48.188000000000002</v>
      </c>
      <c r="C4052" s="2">
        <v>48.451000000000001</v>
      </c>
      <c r="D4052" s="2">
        <v>46.872</v>
      </c>
      <c r="E4052" s="2">
        <v>47.356999999999999</v>
      </c>
      <c r="F4052" s="2">
        <v>30299159</v>
      </c>
      <c r="G4052" s="2" t="s">
        <v>576</v>
      </c>
      <c r="H4052" s="2" t="s">
        <v>577</v>
      </c>
      <c r="I4052" s="2" t="s">
        <v>578</v>
      </c>
      <c r="J4052" s="4">
        <v>-2.0979999999999999</v>
      </c>
      <c r="K4052" s="2" t="s">
        <v>42</v>
      </c>
      <c r="L4052" s="2">
        <v>2023</v>
      </c>
      <c r="M4052" s="2" t="s">
        <v>43</v>
      </c>
      <c r="N4052" s="2" t="s">
        <v>23</v>
      </c>
      <c r="O4052">
        <f t="shared" si="126"/>
        <v>1.5790000000000006</v>
      </c>
      <c r="P4052">
        <f t="shared" si="127"/>
        <v>0.6670000000000007</v>
      </c>
    </row>
    <row r="4053" spans="1:16" x14ac:dyDescent="0.35">
      <c r="A4053" s="9" t="s">
        <v>58</v>
      </c>
      <c r="B4053" s="2">
        <v>47.401000000000003</v>
      </c>
      <c r="C4053" s="2">
        <v>47.401000000000003</v>
      </c>
      <c r="D4053" s="2">
        <v>46.198999999999998</v>
      </c>
      <c r="E4053" s="2">
        <v>46.652000000000001</v>
      </c>
      <c r="F4053" s="2">
        <v>22357143</v>
      </c>
      <c r="G4053" s="2" t="s">
        <v>576</v>
      </c>
      <c r="H4053" s="2" t="s">
        <v>577</v>
      </c>
      <c r="I4053" s="2" t="s">
        <v>578</v>
      </c>
      <c r="J4053" s="4">
        <v>-1.49</v>
      </c>
      <c r="K4053" s="2" t="s">
        <v>42</v>
      </c>
      <c r="L4053" s="2">
        <v>2023</v>
      </c>
      <c r="M4053" s="2" t="s">
        <v>43</v>
      </c>
      <c r="N4053" s="2" t="s">
        <v>23</v>
      </c>
      <c r="O4053">
        <f t="shared" si="126"/>
        <v>1.2020000000000053</v>
      </c>
      <c r="P4053">
        <f t="shared" si="127"/>
        <v>-0.82299999999999929</v>
      </c>
    </row>
    <row r="4054" spans="1:16" x14ac:dyDescent="0.35">
      <c r="A4054" s="9" t="s">
        <v>59</v>
      </c>
      <c r="B4054" s="2">
        <v>46.241</v>
      </c>
      <c r="C4054" s="2">
        <v>46.865000000000002</v>
      </c>
      <c r="D4054" s="2">
        <v>45.811</v>
      </c>
      <c r="E4054" s="2">
        <v>46.776000000000003</v>
      </c>
      <c r="F4054" s="2">
        <v>20938160</v>
      </c>
      <c r="G4054" s="2" t="s">
        <v>576</v>
      </c>
      <c r="H4054" s="2" t="s">
        <v>577</v>
      </c>
      <c r="I4054" s="2" t="s">
        <v>578</v>
      </c>
      <c r="J4054" s="3">
        <v>0.26700000000000002</v>
      </c>
      <c r="K4054" s="2" t="s">
        <v>42</v>
      </c>
      <c r="L4054" s="2">
        <v>2023</v>
      </c>
      <c r="M4054" s="2" t="s">
        <v>43</v>
      </c>
      <c r="N4054" s="2" t="s">
        <v>21</v>
      </c>
      <c r="O4054">
        <f t="shared" si="126"/>
        <v>1.054000000000002</v>
      </c>
      <c r="P4054">
        <f t="shared" si="127"/>
        <v>-0.55599999999999927</v>
      </c>
    </row>
    <row r="4055" spans="1:16" x14ac:dyDescent="0.35">
      <c r="A4055" s="9" t="s">
        <v>60</v>
      </c>
      <c r="B4055" s="2">
        <v>46.854999999999997</v>
      </c>
      <c r="C4055" s="2">
        <v>46.98</v>
      </c>
      <c r="D4055" s="2">
        <v>46.182000000000002</v>
      </c>
      <c r="E4055" s="2">
        <v>46.439</v>
      </c>
      <c r="F4055" s="2">
        <v>16901215</v>
      </c>
      <c r="G4055" s="2" t="s">
        <v>576</v>
      </c>
      <c r="H4055" s="2" t="s">
        <v>577</v>
      </c>
      <c r="I4055" s="2" t="s">
        <v>578</v>
      </c>
      <c r="J4055" s="4">
        <v>-0.72199999999999998</v>
      </c>
      <c r="K4055" s="2" t="s">
        <v>42</v>
      </c>
      <c r="L4055" s="2">
        <v>2023</v>
      </c>
      <c r="M4055" s="2" t="s">
        <v>43</v>
      </c>
      <c r="N4055" s="2" t="s">
        <v>23</v>
      </c>
      <c r="O4055">
        <f t="shared" si="126"/>
        <v>0.79799999999999471</v>
      </c>
      <c r="P4055">
        <f t="shared" si="127"/>
        <v>-1.2779999999999991</v>
      </c>
    </row>
    <row r="4056" spans="1:16" x14ac:dyDescent="0.35">
      <c r="A4056" s="9" t="s">
        <v>61</v>
      </c>
      <c r="B4056" s="2">
        <v>46.293999999999997</v>
      </c>
      <c r="C4056" s="2">
        <v>46.835999999999999</v>
      </c>
      <c r="D4056" s="2">
        <v>46.277999999999999</v>
      </c>
      <c r="E4056" s="2">
        <v>46.664999999999999</v>
      </c>
      <c r="F4056" s="2">
        <v>18329483</v>
      </c>
      <c r="G4056" s="2" t="s">
        <v>576</v>
      </c>
      <c r="H4056" s="2" t="s">
        <v>577</v>
      </c>
      <c r="I4056" s="2" t="s">
        <v>578</v>
      </c>
      <c r="J4056" s="3">
        <v>0.48699999999999999</v>
      </c>
      <c r="K4056" s="2" t="s">
        <v>42</v>
      </c>
      <c r="L4056" s="2">
        <v>2023</v>
      </c>
      <c r="M4056" s="2" t="s">
        <v>43</v>
      </c>
      <c r="N4056" s="2" t="s">
        <v>21</v>
      </c>
      <c r="O4056">
        <f t="shared" si="126"/>
        <v>0.55799999999999983</v>
      </c>
      <c r="P4056">
        <f t="shared" si="127"/>
        <v>-0.79099999999999915</v>
      </c>
    </row>
    <row r="4057" spans="1:16" x14ac:dyDescent="0.35">
      <c r="A4057" s="9" t="s">
        <v>62</v>
      </c>
      <c r="B4057" s="2">
        <v>46.313000000000002</v>
      </c>
      <c r="C4057" s="2">
        <v>46.386000000000003</v>
      </c>
      <c r="D4057" s="2">
        <v>45.759</v>
      </c>
      <c r="E4057" s="2">
        <v>46.015000000000001</v>
      </c>
      <c r="F4057" s="2">
        <v>14396483</v>
      </c>
      <c r="G4057" s="2" t="s">
        <v>576</v>
      </c>
      <c r="H4057" s="2" t="s">
        <v>577</v>
      </c>
      <c r="I4057" s="2" t="s">
        <v>578</v>
      </c>
      <c r="J4057" s="4">
        <v>-1.393</v>
      </c>
      <c r="K4057" s="2" t="s">
        <v>63</v>
      </c>
      <c r="L4057" s="2">
        <v>2023</v>
      </c>
      <c r="M4057" s="2" t="s">
        <v>64</v>
      </c>
      <c r="N4057" s="2" t="s">
        <v>23</v>
      </c>
      <c r="O4057">
        <f t="shared" si="126"/>
        <v>0.62700000000000244</v>
      </c>
      <c r="P4057">
        <f t="shared" si="127"/>
        <v>-2.1839999999999993</v>
      </c>
    </row>
    <row r="4058" spans="1:16" x14ac:dyDescent="0.35">
      <c r="A4058" s="9" t="s">
        <v>65</v>
      </c>
      <c r="B4058" s="2">
        <v>45.912999999999997</v>
      </c>
      <c r="C4058" s="2">
        <v>46.209000000000003</v>
      </c>
      <c r="D4058" s="2">
        <v>45.802</v>
      </c>
      <c r="E4058" s="2">
        <v>46.128999999999998</v>
      </c>
      <c r="F4058" s="2">
        <v>15014111</v>
      </c>
      <c r="G4058" s="2" t="s">
        <v>576</v>
      </c>
      <c r="H4058" s="2" t="s">
        <v>577</v>
      </c>
      <c r="I4058" s="2" t="s">
        <v>578</v>
      </c>
      <c r="J4058" s="3">
        <v>0.249</v>
      </c>
      <c r="K4058" s="2" t="s">
        <v>63</v>
      </c>
      <c r="L4058" s="2">
        <v>2023</v>
      </c>
      <c r="M4058" s="2" t="s">
        <v>64</v>
      </c>
      <c r="N4058" s="2" t="s">
        <v>21</v>
      </c>
      <c r="O4058">
        <f t="shared" si="126"/>
        <v>0.40700000000000358</v>
      </c>
      <c r="P4058">
        <f t="shared" si="127"/>
        <v>-1.9349999999999992</v>
      </c>
    </row>
    <row r="4059" spans="1:16" x14ac:dyDescent="0.35">
      <c r="A4059" s="9" t="s">
        <v>66</v>
      </c>
      <c r="B4059" s="2">
        <v>46.307000000000002</v>
      </c>
      <c r="C4059" s="2">
        <v>46.356000000000002</v>
      </c>
      <c r="D4059" s="2">
        <v>45.89</v>
      </c>
      <c r="E4059" s="2">
        <v>46.186</v>
      </c>
      <c r="F4059" s="2">
        <v>17146276</v>
      </c>
      <c r="G4059" s="2" t="s">
        <v>576</v>
      </c>
      <c r="H4059" s="2" t="s">
        <v>577</v>
      </c>
      <c r="I4059" s="2" t="s">
        <v>578</v>
      </c>
      <c r="J4059" s="3">
        <v>0.122</v>
      </c>
      <c r="K4059" s="2" t="s">
        <v>63</v>
      </c>
      <c r="L4059" s="2">
        <v>2023</v>
      </c>
      <c r="M4059" s="2" t="s">
        <v>64</v>
      </c>
      <c r="N4059" s="2" t="s">
        <v>21</v>
      </c>
      <c r="O4059">
        <f t="shared" si="126"/>
        <v>0.46600000000000108</v>
      </c>
      <c r="P4059">
        <f t="shared" si="127"/>
        <v>-1.8129999999999993</v>
      </c>
    </row>
    <row r="4060" spans="1:16" x14ac:dyDescent="0.35">
      <c r="A4060" s="9" t="s">
        <v>67</v>
      </c>
      <c r="B4060" s="2">
        <v>46.128999999999998</v>
      </c>
      <c r="C4060" s="2">
        <v>46.287999999999997</v>
      </c>
      <c r="D4060" s="2">
        <v>45.972000000000001</v>
      </c>
      <c r="E4060" s="2">
        <v>46.179000000000002</v>
      </c>
      <c r="F4060" s="2">
        <v>16975875</v>
      </c>
      <c r="G4060" s="2" t="s">
        <v>576</v>
      </c>
      <c r="H4060" s="2" t="s">
        <v>577</v>
      </c>
      <c r="I4060" s="2" t="s">
        <v>578</v>
      </c>
      <c r="J4060" s="4">
        <v>-1.4999999999999999E-2</v>
      </c>
      <c r="K4060" s="2" t="s">
        <v>63</v>
      </c>
      <c r="L4060" s="2">
        <v>2023</v>
      </c>
      <c r="M4060" s="2" t="s">
        <v>64</v>
      </c>
      <c r="N4060" s="2" t="s">
        <v>23</v>
      </c>
      <c r="O4060">
        <f t="shared" si="126"/>
        <v>0.3159999999999954</v>
      </c>
      <c r="P4060">
        <f t="shared" si="127"/>
        <v>-1.8279999999999992</v>
      </c>
    </row>
    <row r="4061" spans="1:16" x14ac:dyDescent="0.35">
      <c r="A4061" s="9" t="s">
        <v>68</v>
      </c>
      <c r="B4061" s="2">
        <v>46.353000000000002</v>
      </c>
      <c r="C4061" s="2">
        <v>46.517000000000003</v>
      </c>
      <c r="D4061" s="2">
        <v>45.567999999999998</v>
      </c>
      <c r="E4061" s="2">
        <v>45.72</v>
      </c>
      <c r="F4061" s="2">
        <v>17652722</v>
      </c>
      <c r="G4061" s="2" t="s">
        <v>576</v>
      </c>
      <c r="H4061" s="2" t="s">
        <v>577</v>
      </c>
      <c r="I4061" s="2" t="s">
        <v>578</v>
      </c>
      <c r="J4061" s="4">
        <v>-0.995</v>
      </c>
      <c r="K4061" s="2" t="s">
        <v>63</v>
      </c>
      <c r="L4061" s="2">
        <v>2023</v>
      </c>
      <c r="M4061" s="2" t="s">
        <v>64</v>
      </c>
      <c r="N4061" s="2" t="s">
        <v>23</v>
      </c>
      <c r="O4061">
        <f t="shared" si="126"/>
        <v>0.94900000000000517</v>
      </c>
      <c r="P4061">
        <f t="shared" si="127"/>
        <v>-2.8229999999999991</v>
      </c>
    </row>
    <row r="4062" spans="1:16" x14ac:dyDescent="0.35">
      <c r="A4062" s="9" t="s">
        <v>69</v>
      </c>
      <c r="B4062" s="2">
        <v>45.493000000000002</v>
      </c>
      <c r="C4062" s="2">
        <v>45.610999999999997</v>
      </c>
      <c r="D4062" s="2">
        <v>45.073</v>
      </c>
      <c r="E4062" s="2">
        <v>45.341999999999999</v>
      </c>
      <c r="F4062" s="2">
        <v>19381909</v>
      </c>
      <c r="G4062" s="2" t="s">
        <v>576</v>
      </c>
      <c r="H4062" s="2" t="s">
        <v>577</v>
      </c>
      <c r="I4062" s="2" t="s">
        <v>578</v>
      </c>
      <c r="J4062" s="4">
        <v>-0.82599999999999996</v>
      </c>
      <c r="K4062" s="2" t="s">
        <v>63</v>
      </c>
      <c r="L4062" s="2">
        <v>2023</v>
      </c>
      <c r="M4062" s="2" t="s">
        <v>64</v>
      </c>
      <c r="N4062" s="2" t="s">
        <v>23</v>
      </c>
      <c r="O4062">
        <f t="shared" si="126"/>
        <v>0.5379999999999967</v>
      </c>
      <c r="P4062">
        <f t="shared" si="127"/>
        <v>-3.6489999999999991</v>
      </c>
    </row>
    <row r="4063" spans="1:16" x14ac:dyDescent="0.35">
      <c r="A4063" s="9" t="s">
        <v>70</v>
      </c>
      <c r="B4063" s="2">
        <v>45.581000000000003</v>
      </c>
      <c r="C4063" s="2">
        <v>45.631</v>
      </c>
      <c r="D4063" s="2">
        <v>44.954000000000001</v>
      </c>
      <c r="E4063" s="2">
        <v>45.036000000000001</v>
      </c>
      <c r="F4063" s="2">
        <v>15650821</v>
      </c>
      <c r="G4063" s="2" t="s">
        <v>576</v>
      </c>
      <c r="H4063" s="2" t="s">
        <v>577</v>
      </c>
      <c r="I4063" s="2" t="s">
        <v>578</v>
      </c>
      <c r="J4063" s="4">
        <v>-0.67400000000000004</v>
      </c>
      <c r="K4063" s="2" t="s">
        <v>63</v>
      </c>
      <c r="L4063" s="2">
        <v>2023</v>
      </c>
      <c r="M4063" s="2" t="s">
        <v>64</v>
      </c>
      <c r="N4063" s="2" t="s">
        <v>23</v>
      </c>
      <c r="O4063">
        <f t="shared" si="126"/>
        <v>0.6769999999999996</v>
      </c>
      <c r="P4063">
        <f t="shared" si="127"/>
        <v>-4.3229999999999995</v>
      </c>
    </row>
    <row r="4064" spans="1:16" x14ac:dyDescent="0.35">
      <c r="A4064" s="9" t="s">
        <v>71</v>
      </c>
      <c r="B4064" s="2">
        <v>44.987000000000002</v>
      </c>
      <c r="C4064" s="2">
        <v>45.401000000000003</v>
      </c>
      <c r="D4064" s="2">
        <v>44.682000000000002</v>
      </c>
      <c r="E4064" s="2">
        <v>44.970999999999997</v>
      </c>
      <c r="F4064" s="2">
        <v>20371131</v>
      </c>
      <c r="G4064" s="2" t="s">
        <v>576</v>
      </c>
      <c r="H4064" s="2" t="s">
        <v>577</v>
      </c>
      <c r="I4064" s="2" t="s">
        <v>578</v>
      </c>
      <c r="J4064" s="4">
        <v>-0.14499999999999999</v>
      </c>
      <c r="K4064" s="2" t="s">
        <v>63</v>
      </c>
      <c r="L4064" s="2">
        <v>2023</v>
      </c>
      <c r="M4064" s="2" t="s">
        <v>64</v>
      </c>
      <c r="N4064" s="2" t="s">
        <v>23</v>
      </c>
      <c r="O4064">
        <f t="shared" si="126"/>
        <v>0.71900000000000119</v>
      </c>
      <c r="P4064">
        <f t="shared" si="127"/>
        <v>-4.4679999999999991</v>
      </c>
    </row>
    <row r="4065" spans="1:16" x14ac:dyDescent="0.35">
      <c r="A4065" s="9" t="s">
        <v>72</v>
      </c>
      <c r="B4065" s="2">
        <v>44.875999999999998</v>
      </c>
      <c r="C4065" s="2">
        <v>45.472999999999999</v>
      </c>
      <c r="D4065" s="2">
        <v>44.841999999999999</v>
      </c>
      <c r="E4065" s="2">
        <v>45.101999999999997</v>
      </c>
      <c r="F4065" s="2">
        <v>28571315</v>
      </c>
      <c r="G4065" s="2" t="s">
        <v>576</v>
      </c>
      <c r="H4065" s="2" t="s">
        <v>577</v>
      </c>
      <c r="I4065" s="2" t="s">
        <v>578</v>
      </c>
      <c r="J4065" s="3">
        <v>0.29099999999999998</v>
      </c>
      <c r="K4065" s="2" t="s">
        <v>63</v>
      </c>
      <c r="L4065" s="2">
        <v>2023</v>
      </c>
      <c r="M4065" s="2" t="s">
        <v>64</v>
      </c>
      <c r="N4065" s="2" t="s">
        <v>21</v>
      </c>
      <c r="O4065">
        <f t="shared" si="126"/>
        <v>0.63100000000000023</v>
      </c>
      <c r="P4065">
        <f t="shared" si="127"/>
        <v>-4.1769999999999987</v>
      </c>
    </row>
    <row r="4066" spans="1:16" x14ac:dyDescent="0.35">
      <c r="A4066" s="9" t="s">
        <v>73</v>
      </c>
      <c r="B4066" s="2">
        <v>45.207000000000001</v>
      </c>
      <c r="C4066" s="2">
        <v>45.398000000000003</v>
      </c>
      <c r="D4066" s="2">
        <v>44.981000000000002</v>
      </c>
      <c r="E4066" s="2">
        <v>45.341999999999999</v>
      </c>
      <c r="F4066" s="2">
        <v>25932257</v>
      </c>
      <c r="G4066" s="2" t="s">
        <v>576</v>
      </c>
      <c r="H4066" s="2" t="s">
        <v>577</v>
      </c>
      <c r="I4066" s="2" t="s">
        <v>578</v>
      </c>
      <c r="J4066" s="3">
        <v>0.53300000000000003</v>
      </c>
      <c r="K4066" s="2" t="s">
        <v>63</v>
      </c>
      <c r="L4066" s="2">
        <v>2023</v>
      </c>
      <c r="M4066" s="2" t="s">
        <v>64</v>
      </c>
      <c r="N4066" s="2" t="s">
        <v>21</v>
      </c>
      <c r="O4066">
        <f t="shared" si="126"/>
        <v>0.41700000000000159</v>
      </c>
      <c r="P4066">
        <f t="shared" si="127"/>
        <v>-3.6439999999999988</v>
      </c>
    </row>
    <row r="4067" spans="1:16" x14ac:dyDescent="0.35">
      <c r="A4067" s="9" t="s">
        <v>74</v>
      </c>
      <c r="B4067" s="2">
        <v>44.944000000000003</v>
      </c>
      <c r="C4067" s="2">
        <v>45.902999999999999</v>
      </c>
      <c r="D4067" s="2">
        <v>44.886000000000003</v>
      </c>
      <c r="E4067" s="2">
        <v>45.847000000000001</v>
      </c>
      <c r="F4067" s="2">
        <v>33638997</v>
      </c>
      <c r="G4067" s="2" t="s">
        <v>576</v>
      </c>
      <c r="H4067" s="2" t="s">
        <v>577</v>
      </c>
      <c r="I4067" s="2" t="s">
        <v>578</v>
      </c>
      <c r="J4067" s="3">
        <v>1.1140000000000001</v>
      </c>
      <c r="K4067" s="2" t="s">
        <v>63</v>
      </c>
      <c r="L4067" s="2">
        <v>2023</v>
      </c>
      <c r="M4067" s="2" t="s">
        <v>64</v>
      </c>
      <c r="N4067" s="2" t="s">
        <v>21</v>
      </c>
      <c r="O4067">
        <f t="shared" si="126"/>
        <v>1.0169999999999959</v>
      </c>
      <c r="P4067">
        <f t="shared" si="127"/>
        <v>-2.5299999999999985</v>
      </c>
    </row>
    <row r="4068" spans="1:16" x14ac:dyDescent="0.35">
      <c r="A4068" s="9" t="s">
        <v>75</v>
      </c>
      <c r="B4068" s="2">
        <v>45.966000000000001</v>
      </c>
      <c r="C4068" s="2">
        <v>46.039000000000001</v>
      </c>
      <c r="D4068" s="2">
        <v>45.454999999999998</v>
      </c>
      <c r="E4068" s="2">
        <v>45.587000000000003</v>
      </c>
      <c r="F4068" s="2">
        <v>29233587</v>
      </c>
      <c r="G4068" s="2" t="s">
        <v>576</v>
      </c>
      <c r="H4068" s="2" t="s">
        <v>577</v>
      </c>
      <c r="I4068" s="2" t="s">
        <v>578</v>
      </c>
      <c r="J4068" s="4">
        <v>-0.56799999999999995</v>
      </c>
      <c r="K4068" s="2" t="s">
        <v>63</v>
      </c>
      <c r="L4068" s="2">
        <v>2023</v>
      </c>
      <c r="M4068" s="2" t="s">
        <v>64</v>
      </c>
      <c r="N4068" s="2" t="s">
        <v>23</v>
      </c>
      <c r="O4068">
        <f t="shared" si="126"/>
        <v>0.58400000000000318</v>
      </c>
      <c r="P4068">
        <f t="shared" si="127"/>
        <v>-3.0979999999999985</v>
      </c>
    </row>
    <row r="4069" spans="1:16" x14ac:dyDescent="0.35">
      <c r="A4069" s="9" t="s">
        <v>76</v>
      </c>
      <c r="B4069" s="2">
        <v>45.557000000000002</v>
      </c>
      <c r="C4069" s="2">
        <v>45.985999999999997</v>
      </c>
      <c r="D4069" s="2">
        <v>45.359000000000002</v>
      </c>
      <c r="E4069" s="2">
        <v>45.956000000000003</v>
      </c>
      <c r="F4069" s="2">
        <v>43559779</v>
      </c>
      <c r="G4069" s="2" t="s">
        <v>576</v>
      </c>
      <c r="H4069" s="2" t="s">
        <v>577</v>
      </c>
      <c r="I4069" s="2" t="s">
        <v>578</v>
      </c>
      <c r="J4069" s="3">
        <v>0.80900000000000005</v>
      </c>
      <c r="K4069" s="2" t="s">
        <v>63</v>
      </c>
      <c r="L4069" s="2">
        <v>2023</v>
      </c>
      <c r="M4069" s="2" t="s">
        <v>64</v>
      </c>
      <c r="N4069" s="2" t="s">
        <v>21</v>
      </c>
      <c r="O4069">
        <f t="shared" si="126"/>
        <v>0.62699999999999534</v>
      </c>
      <c r="P4069">
        <f t="shared" si="127"/>
        <v>-2.2889999999999984</v>
      </c>
    </row>
    <row r="4070" spans="1:16" x14ac:dyDescent="0.35">
      <c r="A4070" s="9" t="s">
        <v>77</v>
      </c>
      <c r="B4070" s="2">
        <v>46.186999999999998</v>
      </c>
      <c r="C4070" s="2">
        <v>46.786999999999999</v>
      </c>
      <c r="D4070" s="2">
        <v>46.091000000000001</v>
      </c>
      <c r="E4070" s="2">
        <v>46.451000000000001</v>
      </c>
      <c r="F4070" s="2">
        <v>34305487</v>
      </c>
      <c r="G4070" s="2" t="s">
        <v>576</v>
      </c>
      <c r="H4070" s="2" t="s">
        <v>577</v>
      </c>
      <c r="I4070" s="2" t="s">
        <v>578</v>
      </c>
      <c r="J4070" s="3">
        <v>1.0760000000000001</v>
      </c>
      <c r="K4070" s="2" t="s">
        <v>63</v>
      </c>
      <c r="L4070" s="2">
        <v>2023</v>
      </c>
      <c r="M4070" s="2" t="s">
        <v>64</v>
      </c>
      <c r="N4070" s="2" t="s">
        <v>21</v>
      </c>
      <c r="O4070">
        <f t="shared" si="126"/>
        <v>0.69599999999999795</v>
      </c>
      <c r="P4070">
        <f t="shared" si="127"/>
        <v>-1.2129999999999983</v>
      </c>
    </row>
    <row r="4071" spans="1:16" x14ac:dyDescent="0.35">
      <c r="A4071" s="9" t="s">
        <v>78</v>
      </c>
      <c r="B4071" s="2">
        <v>46.612000000000002</v>
      </c>
      <c r="C4071" s="2">
        <v>46.612000000000002</v>
      </c>
      <c r="D4071" s="2">
        <v>45.999000000000002</v>
      </c>
      <c r="E4071" s="2">
        <v>46.292000000000002</v>
      </c>
      <c r="F4071" s="2">
        <v>19224555</v>
      </c>
      <c r="G4071" s="2" t="s">
        <v>576</v>
      </c>
      <c r="H4071" s="2" t="s">
        <v>577</v>
      </c>
      <c r="I4071" s="2" t="s">
        <v>578</v>
      </c>
      <c r="J4071" s="4">
        <v>-0.34100000000000003</v>
      </c>
      <c r="K4071" s="2" t="s">
        <v>63</v>
      </c>
      <c r="L4071" s="2">
        <v>2023</v>
      </c>
      <c r="M4071" s="2" t="s">
        <v>64</v>
      </c>
      <c r="N4071" s="2" t="s">
        <v>23</v>
      </c>
      <c r="O4071">
        <f t="shared" si="126"/>
        <v>0.61299999999999955</v>
      </c>
      <c r="P4071">
        <f t="shared" si="127"/>
        <v>-1.5539999999999983</v>
      </c>
    </row>
    <row r="4072" spans="1:16" x14ac:dyDescent="0.35">
      <c r="A4072" s="9" t="s">
        <v>79</v>
      </c>
      <c r="B4072" s="2">
        <v>46.365000000000002</v>
      </c>
      <c r="C4072" s="2">
        <v>46.555999999999997</v>
      </c>
      <c r="D4072" s="2">
        <v>45.975999999999999</v>
      </c>
      <c r="E4072" s="2">
        <v>45.996000000000002</v>
      </c>
      <c r="F4072" s="2">
        <v>18754468</v>
      </c>
      <c r="G4072" s="2" t="s">
        <v>576</v>
      </c>
      <c r="H4072" s="2" t="s">
        <v>577</v>
      </c>
      <c r="I4072" s="2" t="s">
        <v>578</v>
      </c>
      <c r="J4072" s="4">
        <v>-0.64</v>
      </c>
      <c r="K4072" s="2" t="s">
        <v>63</v>
      </c>
      <c r="L4072" s="2">
        <v>2023</v>
      </c>
      <c r="M4072" s="2" t="s">
        <v>64</v>
      </c>
      <c r="N4072" s="2" t="s">
        <v>23</v>
      </c>
      <c r="O4072">
        <f t="shared" si="126"/>
        <v>0.57999999999999829</v>
      </c>
      <c r="P4072">
        <f t="shared" si="127"/>
        <v>-2.1939999999999982</v>
      </c>
    </row>
    <row r="4073" spans="1:16" x14ac:dyDescent="0.35">
      <c r="A4073" s="9" t="s">
        <v>80</v>
      </c>
      <c r="B4073" s="2">
        <v>46.22</v>
      </c>
      <c r="C4073" s="2">
        <v>46.685000000000002</v>
      </c>
      <c r="D4073" s="2">
        <v>45.985999999999997</v>
      </c>
      <c r="E4073" s="2">
        <v>46.368000000000002</v>
      </c>
      <c r="F4073" s="2">
        <v>22289081</v>
      </c>
      <c r="G4073" s="2" t="s">
        <v>576</v>
      </c>
      <c r="H4073" s="2" t="s">
        <v>577</v>
      </c>
      <c r="I4073" s="2" t="s">
        <v>578</v>
      </c>
      <c r="J4073" s="3">
        <v>0.80900000000000005</v>
      </c>
      <c r="K4073" s="2" t="s">
        <v>63</v>
      </c>
      <c r="L4073" s="2">
        <v>2023</v>
      </c>
      <c r="M4073" s="2" t="s">
        <v>64</v>
      </c>
      <c r="N4073" s="2" t="s">
        <v>21</v>
      </c>
      <c r="O4073">
        <f t="shared" si="126"/>
        <v>0.69900000000000517</v>
      </c>
      <c r="P4073">
        <f t="shared" si="127"/>
        <v>-1.384999999999998</v>
      </c>
    </row>
    <row r="4074" spans="1:16" x14ac:dyDescent="0.35">
      <c r="A4074" s="9" t="s">
        <v>81</v>
      </c>
      <c r="B4074" s="2">
        <v>46.487000000000002</v>
      </c>
      <c r="C4074" s="2">
        <v>46.968000000000004</v>
      </c>
      <c r="D4074" s="2">
        <v>46.351999999999997</v>
      </c>
      <c r="E4074" s="2">
        <v>46.747</v>
      </c>
      <c r="F4074" s="2">
        <v>23005568</v>
      </c>
      <c r="G4074" s="2" t="s">
        <v>576</v>
      </c>
      <c r="H4074" s="2" t="s">
        <v>577</v>
      </c>
      <c r="I4074" s="2" t="s">
        <v>578</v>
      </c>
      <c r="J4074" s="3">
        <v>0.81699999999999995</v>
      </c>
      <c r="K4074" s="2" t="s">
        <v>63</v>
      </c>
      <c r="L4074" s="2">
        <v>2023</v>
      </c>
      <c r="M4074" s="2" t="s">
        <v>64</v>
      </c>
      <c r="N4074" s="2" t="s">
        <v>21</v>
      </c>
      <c r="O4074">
        <f t="shared" si="126"/>
        <v>0.61600000000000676</v>
      </c>
      <c r="P4074">
        <f t="shared" si="127"/>
        <v>-0.56799999999999806</v>
      </c>
    </row>
    <row r="4075" spans="1:16" x14ac:dyDescent="0.35">
      <c r="A4075" s="9" t="s">
        <v>82</v>
      </c>
      <c r="B4075" s="2">
        <v>47.073999999999998</v>
      </c>
      <c r="C4075" s="2">
        <v>47.793999999999997</v>
      </c>
      <c r="D4075" s="2">
        <v>47.070999999999998</v>
      </c>
      <c r="E4075" s="2">
        <v>47.527999999999999</v>
      </c>
      <c r="F4075" s="2">
        <v>27072955</v>
      </c>
      <c r="G4075" s="2" t="s">
        <v>576</v>
      </c>
      <c r="H4075" s="2" t="s">
        <v>577</v>
      </c>
      <c r="I4075" s="2" t="s">
        <v>578</v>
      </c>
      <c r="J4075" s="3">
        <v>1.671</v>
      </c>
      <c r="K4075" s="2" t="s">
        <v>63</v>
      </c>
      <c r="L4075" s="2">
        <v>2023</v>
      </c>
      <c r="M4075" s="2" t="s">
        <v>64</v>
      </c>
      <c r="N4075" s="2" t="s">
        <v>21</v>
      </c>
      <c r="O4075">
        <f t="shared" si="126"/>
        <v>0.72299999999999898</v>
      </c>
      <c r="P4075">
        <f t="shared" si="127"/>
        <v>1.103000000000002</v>
      </c>
    </row>
    <row r="4076" spans="1:16" x14ac:dyDescent="0.35">
      <c r="A4076" s="9" t="s">
        <v>83</v>
      </c>
      <c r="B4076" s="2">
        <v>47.356999999999999</v>
      </c>
      <c r="C4076" s="2">
        <v>47.607999999999997</v>
      </c>
      <c r="D4076" s="2">
        <v>47.16</v>
      </c>
      <c r="E4076" s="2">
        <v>47.344000000000001</v>
      </c>
      <c r="F4076" s="2">
        <v>21519269</v>
      </c>
      <c r="G4076" s="2" t="s">
        <v>576</v>
      </c>
      <c r="H4076" s="2" t="s">
        <v>577</v>
      </c>
      <c r="I4076" s="2" t="s">
        <v>578</v>
      </c>
      <c r="J4076" s="4">
        <v>-0.38800000000000001</v>
      </c>
      <c r="K4076" s="2" t="s">
        <v>63</v>
      </c>
      <c r="L4076" s="2">
        <v>2023</v>
      </c>
      <c r="M4076" s="2" t="s">
        <v>64</v>
      </c>
      <c r="N4076" s="2" t="s">
        <v>23</v>
      </c>
      <c r="O4076">
        <f t="shared" si="126"/>
        <v>0.4480000000000004</v>
      </c>
      <c r="P4076">
        <f t="shared" si="127"/>
        <v>0.71500000000000197</v>
      </c>
    </row>
    <row r="4077" spans="1:16" x14ac:dyDescent="0.35">
      <c r="A4077" s="9" t="s">
        <v>84</v>
      </c>
      <c r="B4077" s="2">
        <v>47.594999999999999</v>
      </c>
      <c r="C4077" s="2">
        <v>47.789000000000001</v>
      </c>
      <c r="D4077" s="2">
        <v>47.290999999999997</v>
      </c>
      <c r="E4077" s="2">
        <v>47.548000000000002</v>
      </c>
      <c r="F4077" s="2">
        <v>24486420</v>
      </c>
      <c r="G4077" s="2" t="s">
        <v>576</v>
      </c>
      <c r="H4077" s="2" t="s">
        <v>577</v>
      </c>
      <c r="I4077" s="2" t="s">
        <v>578</v>
      </c>
      <c r="J4077" s="3">
        <v>0.432</v>
      </c>
      <c r="K4077" s="2" t="s">
        <v>63</v>
      </c>
      <c r="L4077" s="2">
        <v>2023</v>
      </c>
      <c r="M4077" s="2" t="s">
        <v>64</v>
      </c>
      <c r="N4077" s="2" t="s">
        <v>21</v>
      </c>
      <c r="O4077">
        <f t="shared" si="126"/>
        <v>0.49800000000000466</v>
      </c>
      <c r="P4077">
        <f t="shared" si="127"/>
        <v>1.147000000000002</v>
      </c>
    </row>
    <row r="4078" spans="1:16" x14ac:dyDescent="0.35">
      <c r="A4078" s="9" t="s">
        <v>85</v>
      </c>
      <c r="B4078" s="2">
        <v>47.966999999999999</v>
      </c>
      <c r="C4078" s="2">
        <v>48.33</v>
      </c>
      <c r="D4078" s="2">
        <v>47.808999999999997</v>
      </c>
      <c r="E4078" s="2">
        <v>48.023000000000003</v>
      </c>
      <c r="F4078" s="2">
        <v>22122042</v>
      </c>
      <c r="G4078" s="2" t="s">
        <v>576</v>
      </c>
      <c r="H4078" s="2" t="s">
        <v>577</v>
      </c>
      <c r="I4078" s="2" t="s">
        <v>578</v>
      </c>
      <c r="J4078" s="3">
        <v>0.999</v>
      </c>
      <c r="K4078" s="2" t="s">
        <v>63</v>
      </c>
      <c r="L4078" s="2">
        <v>2023</v>
      </c>
      <c r="M4078" s="2" t="s">
        <v>64</v>
      </c>
      <c r="N4078" s="2" t="s">
        <v>21</v>
      </c>
      <c r="O4078">
        <f t="shared" si="126"/>
        <v>0.5210000000000008</v>
      </c>
      <c r="P4078">
        <f t="shared" si="127"/>
        <v>2.1460000000000021</v>
      </c>
    </row>
    <row r="4079" spans="1:16" x14ac:dyDescent="0.35">
      <c r="A4079" s="9" t="s">
        <v>86</v>
      </c>
      <c r="B4079" s="2">
        <v>48.323</v>
      </c>
      <c r="C4079" s="2">
        <v>48.936</v>
      </c>
      <c r="D4079" s="2">
        <v>48.286999999999999</v>
      </c>
      <c r="E4079" s="2">
        <v>48.61</v>
      </c>
      <c r="F4079" s="2">
        <v>21099802</v>
      </c>
      <c r="G4079" s="2" t="s">
        <v>576</v>
      </c>
      <c r="H4079" s="2" t="s">
        <v>577</v>
      </c>
      <c r="I4079" s="2" t="s">
        <v>578</v>
      </c>
      <c r="J4079" s="3">
        <v>1.222</v>
      </c>
      <c r="K4079" s="2" t="s">
        <v>63</v>
      </c>
      <c r="L4079" s="2">
        <v>2023</v>
      </c>
      <c r="M4079" s="2" t="s">
        <v>64</v>
      </c>
      <c r="N4079" s="2" t="s">
        <v>21</v>
      </c>
      <c r="O4079">
        <f t="shared" si="126"/>
        <v>0.64900000000000091</v>
      </c>
      <c r="P4079">
        <f t="shared" si="127"/>
        <v>3.3680000000000021</v>
      </c>
    </row>
    <row r="4080" spans="1:16" x14ac:dyDescent="0.35">
      <c r="A4080" s="9" t="s">
        <v>87</v>
      </c>
      <c r="B4080" s="2">
        <v>48.701999999999998</v>
      </c>
      <c r="C4080" s="2">
        <v>49.103999999999999</v>
      </c>
      <c r="D4080" s="2">
        <v>48.625999999999998</v>
      </c>
      <c r="E4080" s="2">
        <v>49.018999999999998</v>
      </c>
      <c r="F4080" s="2">
        <v>19986226</v>
      </c>
      <c r="G4080" s="2" t="s">
        <v>576</v>
      </c>
      <c r="H4080" s="2" t="s">
        <v>577</v>
      </c>
      <c r="I4080" s="2" t="s">
        <v>578</v>
      </c>
      <c r="J4080" s="3">
        <v>0.84099999999999997</v>
      </c>
      <c r="K4080" s="2" t="s">
        <v>88</v>
      </c>
      <c r="L4080" s="2">
        <v>2023</v>
      </c>
      <c r="M4080" s="2" t="s">
        <v>89</v>
      </c>
      <c r="N4080" s="2" t="s">
        <v>21</v>
      </c>
      <c r="O4080">
        <f t="shared" si="126"/>
        <v>0.47800000000000153</v>
      </c>
      <c r="P4080">
        <f t="shared" si="127"/>
        <v>4.2090000000000023</v>
      </c>
    </row>
    <row r="4081" spans="1:16" x14ac:dyDescent="0.35">
      <c r="A4081" s="9" t="s">
        <v>90</v>
      </c>
      <c r="B4081" s="2">
        <v>48.966000000000001</v>
      </c>
      <c r="C4081" s="2">
        <v>49.052</v>
      </c>
      <c r="D4081" s="2">
        <v>48.468000000000004</v>
      </c>
      <c r="E4081" s="2">
        <v>48.536999999999999</v>
      </c>
      <c r="F4081" s="2">
        <v>18314878</v>
      </c>
      <c r="G4081" s="2" t="s">
        <v>576</v>
      </c>
      <c r="H4081" s="2" t="s">
        <v>577</v>
      </c>
      <c r="I4081" s="2" t="s">
        <v>578</v>
      </c>
      <c r="J4081" s="4">
        <v>-0.98199999999999998</v>
      </c>
      <c r="K4081" s="2" t="s">
        <v>88</v>
      </c>
      <c r="L4081" s="2">
        <v>2023</v>
      </c>
      <c r="M4081" s="2" t="s">
        <v>89</v>
      </c>
      <c r="N4081" s="2" t="s">
        <v>23</v>
      </c>
      <c r="O4081">
        <f t="shared" si="126"/>
        <v>0.58399999999999608</v>
      </c>
      <c r="P4081">
        <f t="shared" si="127"/>
        <v>3.2270000000000021</v>
      </c>
    </row>
    <row r="4082" spans="1:16" x14ac:dyDescent="0.35">
      <c r="A4082" s="9" t="s">
        <v>91</v>
      </c>
      <c r="B4082" s="2">
        <v>48.518000000000001</v>
      </c>
      <c r="C4082" s="2">
        <v>49.411000000000001</v>
      </c>
      <c r="D4082" s="2">
        <v>48.508000000000003</v>
      </c>
      <c r="E4082" s="2">
        <v>49.341999999999999</v>
      </c>
      <c r="F4082" s="2">
        <v>26835521</v>
      </c>
      <c r="G4082" s="2" t="s">
        <v>576</v>
      </c>
      <c r="H4082" s="2" t="s">
        <v>577</v>
      </c>
      <c r="I4082" s="2" t="s">
        <v>578</v>
      </c>
      <c r="J4082" s="3">
        <v>1.6579999999999999</v>
      </c>
      <c r="K4082" s="2" t="s">
        <v>88</v>
      </c>
      <c r="L4082" s="2">
        <v>2023</v>
      </c>
      <c r="M4082" s="2" t="s">
        <v>89</v>
      </c>
      <c r="N4082" s="2" t="s">
        <v>21</v>
      </c>
      <c r="O4082">
        <f t="shared" si="126"/>
        <v>0.90299999999999869</v>
      </c>
      <c r="P4082">
        <f t="shared" si="127"/>
        <v>4.8850000000000016</v>
      </c>
    </row>
    <row r="4083" spans="1:16" x14ac:dyDescent="0.35">
      <c r="A4083" s="9" t="s">
        <v>92</v>
      </c>
      <c r="B4083" s="2">
        <v>49.055</v>
      </c>
      <c r="C4083" s="2">
        <v>49.792999999999999</v>
      </c>
      <c r="D4083" s="2">
        <v>48.963000000000001</v>
      </c>
      <c r="E4083" s="2">
        <v>49.713999999999999</v>
      </c>
      <c r="F4083" s="2">
        <v>18090364</v>
      </c>
      <c r="G4083" s="2" t="s">
        <v>576</v>
      </c>
      <c r="H4083" s="2" t="s">
        <v>577</v>
      </c>
      <c r="I4083" s="2" t="s">
        <v>578</v>
      </c>
      <c r="J4083" s="3">
        <v>0.755</v>
      </c>
      <c r="K4083" s="2" t="s">
        <v>88</v>
      </c>
      <c r="L4083" s="2">
        <v>2023</v>
      </c>
      <c r="M4083" s="2" t="s">
        <v>89</v>
      </c>
      <c r="N4083" s="2" t="s">
        <v>21</v>
      </c>
      <c r="O4083">
        <f t="shared" si="126"/>
        <v>0.82999999999999829</v>
      </c>
      <c r="P4083">
        <f t="shared" si="127"/>
        <v>5.6400000000000015</v>
      </c>
    </row>
    <row r="4084" spans="1:16" x14ac:dyDescent="0.35">
      <c r="A4084" s="9" t="s">
        <v>93</v>
      </c>
      <c r="B4084" s="2">
        <v>49.569000000000003</v>
      </c>
      <c r="C4084" s="2">
        <v>49.82</v>
      </c>
      <c r="D4084" s="2">
        <v>49.375</v>
      </c>
      <c r="E4084" s="2">
        <v>49.619</v>
      </c>
      <c r="F4084" s="2">
        <v>14680384</v>
      </c>
      <c r="G4084" s="2" t="s">
        <v>576</v>
      </c>
      <c r="H4084" s="2" t="s">
        <v>577</v>
      </c>
      <c r="I4084" s="2" t="s">
        <v>578</v>
      </c>
      <c r="J4084" s="4">
        <v>-0.192</v>
      </c>
      <c r="K4084" s="2" t="s">
        <v>88</v>
      </c>
      <c r="L4084" s="2">
        <v>2023</v>
      </c>
      <c r="M4084" s="2" t="s">
        <v>89</v>
      </c>
      <c r="N4084" s="2" t="s">
        <v>23</v>
      </c>
      <c r="O4084">
        <f t="shared" si="126"/>
        <v>0.44500000000000028</v>
      </c>
      <c r="P4084">
        <f t="shared" si="127"/>
        <v>5.4480000000000013</v>
      </c>
    </row>
    <row r="4085" spans="1:16" x14ac:dyDescent="0.35">
      <c r="A4085" s="9" t="s">
        <v>94</v>
      </c>
      <c r="B4085" s="2">
        <v>49.78</v>
      </c>
      <c r="C4085" s="2">
        <v>49.78</v>
      </c>
      <c r="D4085" s="2">
        <v>49.325000000000003</v>
      </c>
      <c r="E4085" s="2">
        <v>49.473999999999997</v>
      </c>
      <c r="F4085" s="2">
        <v>18574498</v>
      </c>
      <c r="G4085" s="2" t="s">
        <v>576</v>
      </c>
      <c r="H4085" s="2" t="s">
        <v>577</v>
      </c>
      <c r="I4085" s="2" t="s">
        <v>578</v>
      </c>
      <c r="J4085" s="4">
        <v>-0.29199999999999998</v>
      </c>
      <c r="K4085" s="2" t="s">
        <v>88</v>
      </c>
      <c r="L4085" s="2">
        <v>2023</v>
      </c>
      <c r="M4085" s="2" t="s">
        <v>89</v>
      </c>
      <c r="N4085" s="2" t="s">
        <v>23</v>
      </c>
      <c r="O4085">
        <f t="shared" si="126"/>
        <v>0.45499999999999829</v>
      </c>
      <c r="P4085">
        <f t="shared" si="127"/>
        <v>5.1560000000000015</v>
      </c>
    </row>
    <row r="4086" spans="1:16" x14ac:dyDescent="0.35">
      <c r="A4086" s="9" t="s">
        <v>95</v>
      </c>
      <c r="B4086" s="2">
        <v>49.381</v>
      </c>
      <c r="C4086" s="2">
        <v>49.77</v>
      </c>
      <c r="D4086" s="2">
        <v>49.177</v>
      </c>
      <c r="E4086" s="2">
        <v>49.232999999999997</v>
      </c>
      <c r="F4086" s="2">
        <v>11334222</v>
      </c>
      <c r="G4086" s="2" t="s">
        <v>576</v>
      </c>
      <c r="H4086" s="2" t="s">
        <v>577</v>
      </c>
      <c r="I4086" s="2" t="s">
        <v>578</v>
      </c>
      <c r="J4086" s="4">
        <v>-0.48699999999999999</v>
      </c>
      <c r="K4086" s="2" t="s">
        <v>88</v>
      </c>
      <c r="L4086" s="2">
        <v>2023</v>
      </c>
      <c r="M4086" s="2" t="s">
        <v>89</v>
      </c>
      <c r="N4086" s="2" t="s">
        <v>23</v>
      </c>
      <c r="O4086">
        <f t="shared" si="126"/>
        <v>0.59300000000000352</v>
      </c>
      <c r="P4086">
        <f t="shared" si="127"/>
        <v>4.6690000000000014</v>
      </c>
    </row>
    <row r="4087" spans="1:16" x14ac:dyDescent="0.35">
      <c r="A4087" s="9" t="s">
        <v>96</v>
      </c>
      <c r="B4087" s="2">
        <v>49.335000000000001</v>
      </c>
      <c r="C4087" s="2">
        <v>49.451000000000001</v>
      </c>
      <c r="D4087" s="2">
        <v>48.856999999999999</v>
      </c>
      <c r="E4087" s="2">
        <v>49.281999999999996</v>
      </c>
      <c r="F4087" s="2">
        <v>13420131</v>
      </c>
      <c r="G4087" s="2" t="s">
        <v>576</v>
      </c>
      <c r="H4087" s="2" t="s">
        <v>577</v>
      </c>
      <c r="I4087" s="2" t="s">
        <v>578</v>
      </c>
      <c r="J4087" s="3">
        <v>0.1</v>
      </c>
      <c r="K4087" s="2" t="s">
        <v>88</v>
      </c>
      <c r="L4087" s="2">
        <v>2023</v>
      </c>
      <c r="M4087" s="2" t="s">
        <v>89</v>
      </c>
      <c r="N4087" s="2" t="s">
        <v>21</v>
      </c>
      <c r="O4087">
        <f t="shared" si="126"/>
        <v>0.59400000000000119</v>
      </c>
      <c r="P4087">
        <f t="shared" si="127"/>
        <v>4.769000000000001</v>
      </c>
    </row>
    <row r="4088" spans="1:16" x14ac:dyDescent="0.35">
      <c r="A4088" s="9" t="s">
        <v>97</v>
      </c>
      <c r="B4088" s="2">
        <v>49.131</v>
      </c>
      <c r="C4088" s="2">
        <v>49.414000000000001</v>
      </c>
      <c r="D4088" s="2">
        <v>48.838999999999999</v>
      </c>
      <c r="E4088" s="2">
        <v>48.95</v>
      </c>
      <c r="F4088" s="2">
        <v>10581778</v>
      </c>
      <c r="G4088" s="2" t="s">
        <v>576</v>
      </c>
      <c r="H4088" s="2" t="s">
        <v>577</v>
      </c>
      <c r="I4088" s="2" t="s">
        <v>578</v>
      </c>
      <c r="J4088" s="4">
        <v>-0.67500000000000004</v>
      </c>
      <c r="K4088" s="2" t="s">
        <v>88</v>
      </c>
      <c r="L4088" s="2">
        <v>2023</v>
      </c>
      <c r="M4088" s="2" t="s">
        <v>89</v>
      </c>
      <c r="N4088" s="2" t="s">
        <v>23</v>
      </c>
      <c r="O4088">
        <f t="shared" si="126"/>
        <v>0.57500000000000284</v>
      </c>
      <c r="P4088">
        <f t="shared" si="127"/>
        <v>4.0940000000000012</v>
      </c>
    </row>
    <row r="4089" spans="1:16" x14ac:dyDescent="0.35">
      <c r="A4089" s="9" t="s">
        <v>98</v>
      </c>
      <c r="B4089" s="2">
        <v>49.002000000000002</v>
      </c>
      <c r="C4089" s="2">
        <v>49.341999999999999</v>
      </c>
      <c r="D4089" s="2">
        <v>48.956000000000003</v>
      </c>
      <c r="E4089" s="2">
        <v>49.292000000000002</v>
      </c>
      <c r="F4089" s="2">
        <v>16346405</v>
      </c>
      <c r="G4089" s="2" t="s">
        <v>576</v>
      </c>
      <c r="H4089" s="2" t="s">
        <v>577</v>
      </c>
      <c r="I4089" s="2" t="s">
        <v>578</v>
      </c>
      <c r="J4089" s="3">
        <v>0.7</v>
      </c>
      <c r="K4089" s="2" t="s">
        <v>88</v>
      </c>
      <c r="L4089" s="2">
        <v>2023</v>
      </c>
      <c r="M4089" s="2" t="s">
        <v>89</v>
      </c>
      <c r="N4089" s="2" t="s">
        <v>21</v>
      </c>
      <c r="O4089">
        <f t="shared" si="126"/>
        <v>0.38599999999999568</v>
      </c>
      <c r="P4089">
        <f t="shared" si="127"/>
        <v>4.7940000000000014</v>
      </c>
    </row>
    <row r="4090" spans="1:16" x14ac:dyDescent="0.35">
      <c r="A4090" s="9" t="s">
        <v>99</v>
      </c>
      <c r="B4090" s="2">
        <v>49.378</v>
      </c>
      <c r="C4090" s="2">
        <v>49.563000000000002</v>
      </c>
      <c r="D4090" s="2">
        <v>49.265999999999998</v>
      </c>
      <c r="E4090" s="2">
        <v>49.401000000000003</v>
      </c>
      <c r="F4090" s="2">
        <v>13632728</v>
      </c>
      <c r="G4090" s="2" t="s">
        <v>576</v>
      </c>
      <c r="H4090" s="2" t="s">
        <v>577</v>
      </c>
      <c r="I4090" s="2" t="s">
        <v>578</v>
      </c>
      <c r="J4090" s="3">
        <v>0.221</v>
      </c>
      <c r="K4090" s="2" t="s">
        <v>88</v>
      </c>
      <c r="L4090" s="2">
        <v>2023</v>
      </c>
      <c r="M4090" s="2" t="s">
        <v>89</v>
      </c>
      <c r="N4090" s="2" t="s">
        <v>21</v>
      </c>
      <c r="O4090">
        <f t="shared" si="126"/>
        <v>0.29700000000000415</v>
      </c>
      <c r="P4090">
        <f t="shared" si="127"/>
        <v>5.0150000000000015</v>
      </c>
    </row>
    <row r="4091" spans="1:16" x14ac:dyDescent="0.35">
      <c r="A4091" s="9" t="s">
        <v>100</v>
      </c>
      <c r="B4091" s="2">
        <v>49.728000000000002</v>
      </c>
      <c r="C4091" s="2">
        <v>49.915999999999997</v>
      </c>
      <c r="D4091" s="2">
        <v>49.375</v>
      </c>
      <c r="E4091" s="2">
        <v>49.454000000000001</v>
      </c>
      <c r="F4091" s="2">
        <v>12571664</v>
      </c>
      <c r="G4091" s="2" t="s">
        <v>576</v>
      </c>
      <c r="H4091" s="2" t="s">
        <v>577</v>
      </c>
      <c r="I4091" s="2" t="s">
        <v>578</v>
      </c>
      <c r="J4091" s="3">
        <v>0.107</v>
      </c>
      <c r="K4091" s="2" t="s">
        <v>88</v>
      </c>
      <c r="L4091" s="2">
        <v>2023</v>
      </c>
      <c r="M4091" s="2" t="s">
        <v>89</v>
      </c>
      <c r="N4091" s="2" t="s">
        <v>21</v>
      </c>
      <c r="O4091">
        <f t="shared" si="126"/>
        <v>0.54099999999999682</v>
      </c>
      <c r="P4091">
        <f t="shared" si="127"/>
        <v>5.1220000000000017</v>
      </c>
    </row>
    <row r="4092" spans="1:16" x14ac:dyDescent="0.35">
      <c r="A4092" s="9" t="s">
        <v>101</v>
      </c>
      <c r="B4092" s="2">
        <v>49.52</v>
      </c>
      <c r="C4092" s="2">
        <v>49.908999999999999</v>
      </c>
      <c r="D4092" s="2">
        <v>49.319000000000003</v>
      </c>
      <c r="E4092" s="2">
        <v>49.77</v>
      </c>
      <c r="F4092" s="2">
        <v>13793518</v>
      </c>
      <c r="G4092" s="2" t="s">
        <v>576</v>
      </c>
      <c r="H4092" s="2" t="s">
        <v>577</v>
      </c>
      <c r="I4092" s="2" t="s">
        <v>578</v>
      </c>
      <c r="J4092" s="3">
        <v>0.64</v>
      </c>
      <c r="K4092" s="2" t="s">
        <v>88</v>
      </c>
      <c r="L4092" s="2">
        <v>2023</v>
      </c>
      <c r="M4092" s="2" t="s">
        <v>89</v>
      </c>
      <c r="N4092" s="2" t="s">
        <v>21</v>
      </c>
      <c r="O4092">
        <f t="shared" si="126"/>
        <v>0.58999999999999631</v>
      </c>
      <c r="P4092">
        <f t="shared" si="127"/>
        <v>5.7620000000000013</v>
      </c>
    </row>
    <row r="4093" spans="1:16" x14ac:dyDescent="0.35">
      <c r="A4093" s="9" t="s">
        <v>102</v>
      </c>
      <c r="B4093" s="2">
        <v>50.097000000000001</v>
      </c>
      <c r="C4093" s="2">
        <v>50.209000000000003</v>
      </c>
      <c r="D4093" s="2">
        <v>49.838000000000001</v>
      </c>
      <c r="E4093" s="2">
        <v>50.021000000000001</v>
      </c>
      <c r="F4093" s="2">
        <v>25617177</v>
      </c>
      <c r="G4093" s="2" t="s">
        <v>576</v>
      </c>
      <c r="H4093" s="2" t="s">
        <v>577</v>
      </c>
      <c r="I4093" s="2" t="s">
        <v>578</v>
      </c>
      <c r="J4093" s="3">
        <v>0.504</v>
      </c>
      <c r="K4093" s="2" t="s">
        <v>88</v>
      </c>
      <c r="L4093" s="2">
        <v>2023</v>
      </c>
      <c r="M4093" s="2" t="s">
        <v>89</v>
      </c>
      <c r="N4093" s="2" t="s">
        <v>21</v>
      </c>
      <c r="O4093">
        <f t="shared" si="126"/>
        <v>0.37100000000000222</v>
      </c>
      <c r="P4093">
        <f t="shared" si="127"/>
        <v>6.2660000000000018</v>
      </c>
    </row>
    <row r="4094" spans="1:16" x14ac:dyDescent="0.35">
      <c r="A4094" s="9" t="s">
        <v>103</v>
      </c>
      <c r="B4094" s="2">
        <v>50.015000000000001</v>
      </c>
      <c r="C4094" s="2">
        <v>50.423000000000002</v>
      </c>
      <c r="D4094" s="2">
        <v>50.015000000000001</v>
      </c>
      <c r="E4094" s="2">
        <v>50.360999999999997</v>
      </c>
      <c r="F4094" s="2">
        <v>13730355</v>
      </c>
      <c r="G4094" s="2" t="s">
        <v>576</v>
      </c>
      <c r="H4094" s="2" t="s">
        <v>577</v>
      </c>
      <c r="I4094" s="2" t="s">
        <v>578</v>
      </c>
      <c r="J4094" s="3">
        <v>0.67900000000000005</v>
      </c>
      <c r="K4094" s="2" t="s">
        <v>88</v>
      </c>
      <c r="L4094" s="2">
        <v>2023</v>
      </c>
      <c r="M4094" s="2" t="s">
        <v>89</v>
      </c>
      <c r="N4094" s="2" t="s">
        <v>21</v>
      </c>
      <c r="O4094">
        <f t="shared" si="126"/>
        <v>0.40800000000000125</v>
      </c>
      <c r="P4094">
        <f t="shared" si="127"/>
        <v>6.9450000000000021</v>
      </c>
    </row>
    <row r="4095" spans="1:16" x14ac:dyDescent="0.35">
      <c r="A4095" s="9" t="s">
        <v>104</v>
      </c>
      <c r="B4095" s="2">
        <v>50.534999999999997</v>
      </c>
      <c r="C4095" s="2">
        <v>50.686999999999998</v>
      </c>
      <c r="D4095" s="2">
        <v>49.889000000000003</v>
      </c>
      <c r="E4095" s="2">
        <v>49.968000000000004</v>
      </c>
      <c r="F4095" s="2">
        <v>17438184</v>
      </c>
      <c r="G4095" s="2" t="s">
        <v>576</v>
      </c>
      <c r="H4095" s="2" t="s">
        <v>577</v>
      </c>
      <c r="I4095" s="2" t="s">
        <v>578</v>
      </c>
      <c r="J4095" s="4">
        <v>-0.78</v>
      </c>
      <c r="K4095" s="2" t="s">
        <v>88</v>
      </c>
      <c r="L4095" s="2">
        <v>2023</v>
      </c>
      <c r="M4095" s="2" t="s">
        <v>89</v>
      </c>
      <c r="N4095" s="2" t="s">
        <v>23</v>
      </c>
      <c r="O4095">
        <f t="shared" si="126"/>
        <v>0.79799999999999471</v>
      </c>
      <c r="P4095">
        <f t="shared" si="127"/>
        <v>6.1650000000000018</v>
      </c>
    </row>
    <row r="4096" spans="1:16" x14ac:dyDescent="0.35">
      <c r="A4096" s="9" t="s">
        <v>105</v>
      </c>
      <c r="B4096" s="2">
        <v>49.774000000000001</v>
      </c>
      <c r="C4096" s="2">
        <v>49.915999999999997</v>
      </c>
      <c r="D4096" s="2">
        <v>49.523000000000003</v>
      </c>
      <c r="E4096" s="2">
        <v>49.750999999999998</v>
      </c>
      <c r="F4096" s="2">
        <v>13053644</v>
      </c>
      <c r="G4096" s="2" t="s">
        <v>576</v>
      </c>
      <c r="H4096" s="2" t="s">
        <v>577</v>
      </c>
      <c r="I4096" s="2" t="s">
        <v>578</v>
      </c>
      <c r="J4096" s="4">
        <v>-0.435</v>
      </c>
      <c r="K4096" s="2" t="s">
        <v>88</v>
      </c>
      <c r="L4096" s="2">
        <v>2023</v>
      </c>
      <c r="M4096" s="2" t="s">
        <v>89</v>
      </c>
      <c r="N4096" s="2" t="s">
        <v>23</v>
      </c>
      <c r="O4096">
        <f t="shared" si="126"/>
        <v>0.39299999999999358</v>
      </c>
      <c r="P4096">
        <f t="shared" si="127"/>
        <v>5.7300000000000022</v>
      </c>
    </row>
    <row r="4097" spans="1:16" x14ac:dyDescent="0.35">
      <c r="A4097" s="9" t="s">
        <v>106</v>
      </c>
      <c r="B4097" s="2">
        <v>49.707999999999998</v>
      </c>
      <c r="C4097" s="2">
        <v>50.09</v>
      </c>
      <c r="D4097" s="2">
        <v>49.707999999999998</v>
      </c>
      <c r="E4097" s="2">
        <v>49.905999999999999</v>
      </c>
      <c r="F4097" s="2">
        <v>13003837</v>
      </c>
      <c r="G4097" s="2" t="s">
        <v>576</v>
      </c>
      <c r="H4097" s="2" t="s">
        <v>577</v>
      </c>
      <c r="I4097" s="2" t="s">
        <v>578</v>
      </c>
      <c r="J4097" s="3">
        <v>0.312</v>
      </c>
      <c r="K4097" s="2" t="s">
        <v>88</v>
      </c>
      <c r="L4097" s="2">
        <v>2023</v>
      </c>
      <c r="M4097" s="2" t="s">
        <v>89</v>
      </c>
      <c r="N4097" s="2" t="s">
        <v>21</v>
      </c>
      <c r="O4097">
        <f t="shared" si="126"/>
        <v>0.382000000000005</v>
      </c>
      <c r="P4097">
        <f t="shared" si="127"/>
        <v>6.0420000000000025</v>
      </c>
    </row>
    <row r="4098" spans="1:16" x14ac:dyDescent="0.35">
      <c r="A4098" s="9" t="s">
        <v>107</v>
      </c>
      <c r="B4098" s="2">
        <v>49.875999999999998</v>
      </c>
      <c r="C4098" s="2">
        <v>50.165999999999997</v>
      </c>
      <c r="D4098" s="2">
        <v>49.51</v>
      </c>
      <c r="E4098" s="2">
        <v>49.77</v>
      </c>
      <c r="F4098" s="2">
        <v>14245083</v>
      </c>
      <c r="G4098" s="2" t="s">
        <v>576</v>
      </c>
      <c r="H4098" s="2" t="s">
        <v>577</v>
      </c>
      <c r="I4098" s="2" t="s">
        <v>578</v>
      </c>
      <c r="J4098" s="4">
        <v>-0.27100000000000002</v>
      </c>
      <c r="K4098" s="2" t="s">
        <v>88</v>
      </c>
      <c r="L4098" s="2">
        <v>2023</v>
      </c>
      <c r="M4098" s="2" t="s">
        <v>89</v>
      </c>
      <c r="N4098" s="2" t="s">
        <v>23</v>
      </c>
      <c r="O4098">
        <f t="shared" si="126"/>
        <v>0.65599999999999881</v>
      </c>
      <c r="P4098">
        <f t="shared" si="127"/>
        <v>5.7710000000000026</v>
      </c>
    </row>
    <row r="4099" spans="1:16" x14ac:dyDescent="0.35">
      <c r="A4099" s="9" t="s">
        <v>108</v>
      </c>
      <c r="B4099" s="2">
        <v>49.792999999999999</v>
      </c>
      <c r="C4099" s="2">
        <v>50.287999999999997</v>
      </c>
      <c r="D4099" s="2">
        <v>49.756999999999998</v>
      </c>
      <c r="E4099" s="2">
        <v>49.975000000000001</v>
      </c>
      <c r="F4099" s="2">
        <v>11536900</v>
      </c>
      <c r="G4099" s="2" t="s">
        <v>576</v>
      </c>
      <c r="H4099" s="2" t="s">
        <v>577</v>
      </c>
      <c r="I4099" s="2" t="s">
        <v>578</v>
      </c>
      <c r="J4099" s="3">
        <v>0.41099999999999998</v>
      </c>
      <c r="K4099" s="2" t="s">
        <v>109</v>
      </c>
      <c r="L4099" s="2">
        <v>2023</v>
      </c>
      <c r="M4099" s="2" t="s">
        <v>110</v>
      </c>
      <c r="N4099" s="2" t="s">
        <v>21</v>
      </c>
      <c r="O4099">
        <f t="shared" ref="O4099:O4162" si="128">C4099-D4099</f>
        <v>0.53099999999999881</v>
      </c>
      <c r="P4099">
        <f t="shared" si="127"/>
        <v>6.1820000000000022</v>
      </c>
    </row>
    <row r="4100" spans="1:16" x14ac:dyDescent="0.35">
      <c r="A4100" s="9" t="s">
        <v>111</v>
      </c>
      <c r="B4100" s="2">
        <v>49.935000000000002</v>
      </c>
      <c r="C4100" s="2">
        <v>49.942</v>
      </c>
      <c r="D4100" s="2">
        <v>49.273000000000003</v>
      </c>
      <c r="E4100" s="2">
        <v>49.84</v>
      </c>
      <c r="F4100" s="2">
        <v>11456016</v>
      </c>
      <c r="G4100" s="2" t="s">
        <v>576</v>
      </c>
      <c r="H4100" s="2" t="s">
        <v>577</v>
      </c>
      <c r="I4100" s="2" t="s">
        <v>578</v>
      </c>
      <c r="J4100" s="4">
        <v>-0.27</v>
      </c>
      <c r="K4100" s="2" t="s">
        <v>109</v>
      </c>
      <c r="L4100" s="2">
        <v>2023</v>
      </c>
      <c r="M4100" s="2" t="s">
        <v>110</v>
      </c>
      <c r="N4100" s="2" t="s">
        <v>23</v>
      </c>
      <c r="O4100">
        <f t="shared" si="128"/>
        <v>0.66899999999999693</v>
      </c>
      <c r="P4100">
        <f t="shared" ref="P4100:P4163" si="129">IF(G4100=G4099, P4099+J4100, J4100)</f>
        <v>5.9120000000000026</v>
      </c>
    </row>
    <row r="4101" spans="1:16" x14ac:dyDescent="0.35">
      <c r="A4101" s="9" t="s">
        <v>112</v>
      </c>
      <c r="B4101" s="2">
        <v>49.965000000000003</v>
      </c>
      <c r="C4101" s="2">
        <v>50.143000000000001</v>
      </c>
      <c r="D4101" s="2">
        <v>49.54</v>
      </c>
      <c r="E4101" s="2">
        <v>49.655000000000001</v>
      </c>
      <c r="F4101" s="2">
        <v>12471370</v>
      </c>
      <c r="G4101" s="2" t="s">
        <v>576</v>
      </c>
      <c r="H4101" s="2" t="s">
        <v>577</v>
      </c>
      <c r="I4101" s="2" t="s">
        <v>578</v>
      </c>
      <c r="J4101" s="4">
        <v>-0.371</v>
      </c>
      <c r="K4101" s="2" t="s">
        <v>109</v>
      </c>
      <c r="L4101" s="2">
        <v>2023</v>
      </c>
      <c r="M4101" s="2" t="s">
        <v>110</v>
      </c>
      <c r="N4101" s="2" t="s">
        <v>23</v>
      </c>
      <c r="O4101">
        <f t="shared" si="128"/>
        <v>0.60300000000000153</v>
      </c>
      <c r="P4101">
        <f t="shared" si="129"/>
        <v>5.5410000000000021</v>
      </c>
    </row>
    <row r="4102" spans="1:16" x14ac:dyDescent="0.35">
      <c r="A4102" s="9" t="s">
        <v>113</v>
      </c>
      <c r="B4102" s="2">
        <v>49.820999999999998</v>
      </c>
      <c r="C4102" s="2">
        <v>49.966000000000001</v>
      </c>
      <c r="D4102" s="2">
        <v>49.47</v>
      </c>
      <c r="E4102" s="2">
        <v>49.793999999999997</v>
      </c>
      <c r="F4102" s="2">
        <v>14113371</v>
      </c>
      <c r="G4102" s="2" t="s">
        <v>576</v>
      </c>
      <c r="H4102" s="2" t="s">
        <v>577</v>
      </c>
      <c r="I4102" s="2" t="s">
        <v>578</v>
      </c>
      <c r="J4102" s="3">
        <v>0.28000000000000003</v>
      </c>
      <c r="K4102" s="2" t="s">
        <v>109</v>
      </c>
      <c r="L4102" s="2">
        <v>2023</v>
      </c>
      <c r="M4102" s="2" t="s">
        <v>110</v>
      </c>
      <c r="N4102" s="2" t="s">
        <v>21</v>
      </c>
      <c r="O4102">
        <f t="shared" si="128"/>
        <v>0.49600000000000222</v>
      </c>
      <c r="P4102">
        <f t="shared" si="129"/>
        <v>5.8210000000000024</v>
      </c>
    </row>
    <row r="4103" spans="1:16" x14ac:dyDescent="0.35">
      <c r="A4103" s="9" t="s">
        <v>114</v>
      </c>
      <c r="B4103" s="2">
        <v>49.738</v>
      </c>
      <c r="C4103" s="2">
        <v>50.304000000000002</v>
      </c>
      <c r="D4103" s="2">
        <v>49.582000000000001</v>
      </c>
      <c r="E4103" s="2">
        <v>50.223999999999997</v>
      </c>
      <c r="F4103" s="2">
        <v>14661909</v>
      </c>
      <c r="G4103" s="2" t="s">
        <v>576</v>
      </c>
      <c r="H4103" s="2" t="s">
        <v>577</v>
      </c>
      <c r="I4103" s="2" t="s">
        <v>578</v>
      </c>
      <c r="J4103" s="3">
        <v>0.86399999999999999</v>
      </c>
      <c r="K4103" s="2" t="s">
        <v>109</v>
      </c>
      <c r="L4103" s="2">
        <v>2023</v>
      </c>
      <c r="M4103" s="2" t="s">
        <v>110</v>
      </c>
      <c r="N4103" s="2" t="s">
        <v>21</v>
      </c>
      <c r="O4103">
        <f t="shared" si="128"/>
        <v>0.72200000000000131</v>
      </c>
      <c r="P4103">
        <f t="shared" si="129"/>
        <v>6.6850000000000023</v>
      </c>
    </row>
    <row r="4104" spans="1:16" x14ac:dyDescent="0.35">
      <c r="A4104" s="9" t="s">
        <v>115</v>
      </c>
      <c r="B4104" s="2">
        <v>50.058999999999997</v>
      </c>
      <c r="C4104" s="2">
        <v>50.615000000000002</v>
      </c>
      <c r="D4104" s="2">
        <v>49.988999999999997</v>
      </c>
      <c r="E4104" s="2">
        <v>50.539000000000001</v>
      </c>
      <c r="F4104" s="2">
        <v>15035397</v>
      </c>
      <c r="G4104" s="2" t="s">
        <v>576</v>
      </c>
      <c r="H4104" s="2" t="s">
        <v>577</v>
      </c>
      <c r="I4104" s="2" t="s">
        <v>578</v>
      </c>
      <c r="J4104" s="3">
        <v>0.627</v>
      </c>
      <c r="K4104" s="2" t="s">
        <v>109</v>
      </c>
      <c r="L4104" s="2">
        <v>2023</v>
      </c>
      <c r="M4104" s="2" t="s">
        <v>110</v>
      </c>
      <c r="N4104" s="2" t="s">
        <v>21</v>
      </c>
      <c r="O4104">
        <f t="shared" si="128"/>
        <v>0.62600000000000477</v>
      </c>
      <c r="P4104">
        <f t="shared" si="129"/>
        <v>7.3120000000000021</v>
      </c>
    </row>
    <row r="4105" spans="1:16" x14ac:dyDescent="0.35">
      <c r="A4105" s="9" t="s">
        <v>116</v>
      </c>
      <c r="B4105" s="2">
        <v>50.539000000000001</v>
      </c>
      <c r="C4105" s="2">
        <v>50.691000000000003</v>
      </c>
      <c r="D4105" s="2">
        <v>50.412999999999997</v>
      </c>
      <c r="E4105" s="2">
        <v>50.625</v>
      </c>
      <c r="F4105" s="2">
        <v>15320502</v>
      </c>
      <c r="G4105" s="2" t="s">
        <v>576</v>
      </c>
      <c r="H4105" s="2" t="s">
        <v>577</v>
      </c>
      <c r="I4105" s="2" t="s">
        <v>578</v>
      </c>
      <c r="J4105" s="3">
        <v>0.17</v>
      </c>
      <c r="K4105" s="2" t="s">
        <v>109</v>
      </c>
      <c r="L4105" s="2">
        <v>2023</v>
      </c>
      <c r="M4105" s="2" t="s">
        <v>110</v>
      </c>
      <c r="N4105" s="2" t="s">
        <v>21</v>
      </c>
      <c r="O4105">
        <f t="shared" si="128"/>
        <v>0.2780000000000058</v>
      </c>
      <c r="P4105">
        <f t="shared" si="129"/>
        <v>7.482000000000002</v>
      </c>
    </row>
    <row r="4106" spans="1:16" x14ac:dyDescent="0.35">
      <c r="A4106" s="9" t="s">
        <v>117</v>
      </c>
      <c r="B4106" s="2">
        <v>50.86</v>
      </c>
      <c r="C4106" s="2">
        <v>51.078000000000003</v>
      </c>
      <c r="D4106" s="2">
        <v>50.045000000000002</v>
      </c>
      <c r="E4106" s="2">
        <v>50.482999999999997</v>
      </c>
      <c r="F4106" s="2">
        <v>15942864</v>
      </c>
      <c r="G4106" s="2" t="s">
        <v>576</v>
      </c>
      <c r="H4106" s="2" t="s">
        <v>577</v>
      </c>
      <c r="I4106" s="2" t="s">
        <v>578</v>
      </c>
      <c r="J4106" s="4">
        <v>-0.28000000000000003</v>
      </c>
      <c r="K4106" s="2" t="s">
        <v>109</v>
      </c>
      <c r="L4106" s="2">
        <v>2023</v>
      </c>
      <c r="M4106" s="2" t="s">
        <v>110</v>
      </c>
      <c r="N4106" s="2" t="s">
        <v>23</v>
      </c>
      <c r="O4106">
        <f t="shared" si="128"/>
        <v>1.0330000000000013</v>
      </c>
      <c r="P4106">
        <f t="shared" si="129"/>
        <v>7.2020000000000017</v>
      </c>
    </row>
    <row r="4107" spans="1:16" x14ac:dyDescent="0.35">
      <c r="A4107" s="9" t="s">
        <v>118</v>
      </c>
      <c r="B4107" s="2">
        <v>50.482999999999997</v>
      </c>
      <c r="C4107" s="2">
        <v>50.720999999999997</v>
      </c>
      <c r="D4107" s="2">
        <v>50.301000000000002</v>
      </c>
      <c r="E4107" s="2">
        <v>50.670999999999999</v>
      </c>
      <c r="F4107" s="2">
        <v>12013714</v>
      </c>
      <c r="G4107" s="2" t="s">
        <v>576</v>
      </c>
      <c r="H4107" s="2" t="s">
        <v>577</v>
      </c>
      <c r="I4107" s="2" t="s">
        <v>578</v>
      </c>
      <c r="J4107" s="3">
        <v>0.373</v>
      </c>
      <c r="K4107" s="2" t="s">
        <v>109</v>
      </c>
      <c r="L4107" s="2">
        <v>2023</v>
      </c>
      <c r="M4107" s="2" t="s">
        <v>110</v>
      </c>
      <c r="N4107" s="2" t="s">
        <v>21</v>
      </c>
      <c r="O4107">
        <f t="shared" si="128"/>
        <v>0.4199999999999946</v>
      </c>
      <c r="P4107">
        <f t="shared" si="129"/>
        <v>7.575000000000002</v>
      </c>
    </row>
    <row r="4108" spans="1:16" x14ac:dyDescent="0.35">
      <c r="A4108" s="9" t="s">
        <v>119</v>
      </c>
      <c r="B4108" s="2">
        <v>50.83</v>
      </c>
      <c r="C4108" s="2">
        <v>50.984999999999999</v>
      </c>
      <c r="D4108" s="2">
        <v>50.534999999999997</v>
      </c>
      <c r="E4108" s="2">
        <v>50.655000000000001</v>
      </c>
      <c r="F4108" s="2">
        <v>16236642</v>
      </c>
      <c r="G4108" s="2" t="s">
        <v>576</v>
      </c>
      <c r="H4108" s="2" t="s">
        <v>577</v>
      </c>
      <c r="I4108" s="2" t="s">
        <v>578</v>
      </c>
      <c r="J4108" s="4">
        <v>-3.2000000000000001E-2</v>
      </c>
      <c r="K4108" s="2" t="s">
        <v>109</v>
      </c>
      <c r="L4108" s="2">
        <v>2023</v>
      </c>
      <c r="M4108" s="2" t="s">
        <v>110</v>
      </c>
      <c r="N4108" s="2" t="s">
        <v>23</v>
      </c>
      <c r="O4108">
        <f t="shared" si="128"/>
        <v>0.45000000000000284</v>
      </c>
      <c r="P4108">
        <f t="shared" si="129"/>
        <v>7.5430000000000019</v>
      </c>
    </row>
    <row r="4109" spans="1:16" x14ac:dyDescent="0.35">
      <c r="A4109" s="9" t="s">
        <v>120</v>
      </c>
      <c r="B4109" s="2">
        <v>50.796999999999997</v>
      </c>
      <c r="C4109" s="2">
        <v>50.912999999999997</v>
      </c>
      <c r="D4109" s="2">
        <v>50.094999999999999</v>
      </c>
      <c r="E4109" s="2">
        <v>50.261000000000003</v>
      </c>
      <c r="F4109" s="2">
        <v>16231375</v>
      </c>
      <c r="G4109" s="2" t="s">
        <v>576</v>
      </c>
      <c r="H4109" s="2" t="s">
        <v>577</v>
      </c>
      <c r="I4109" s="2" t="s">
        <v>578</v>
      </c>
      <c r="J4109" s="4">
        <v>-0.77800000000000002</v>
      </c>
      <c r="K4109" s="2" t="s">
        <v>109</v>
      </c>
      <c r="L4109" s="2">
        <v>2023</v>
      </c>
      <c r="M4109" s="2" t="s">
        <v>110</v>
      </c>
      <c r="N4109" s="2" t="s">
        <v>23</v>
      </c>
      <c r="O4109">
        <f t="shared" si="128"/>
        <v>0.81799999999999784</v>
      </c>
      <c r="P4109">
        <f t="shared" si="129"/>
        <v>6.7650000000000023</v>
      </c>
    </row>
    <row r="4110" spans="1:16" x14ac:dyDescent="0.35">
      <c r="A4110" s="9" t="s">
        <v>121</v>
      </c>
      <c r="B4110" s="2">
        <v>49.92</v>
      </c>
      <c r="C4110" s="2">
        <v>50.145000000000003</v>
      </c>
      <c r="D4110" s="2">
        <v>49.497</v>
      </c>
      <c r="E4110" s="2">
        <v>49.566000000000003</v>
      </c>
      <c r="F4110" s="2">
        <v>15653174</v>
      </c>
      <c r="G4110" s="2" t="s">
        <v>576</v>
      </c>
      <c r="H4110" s="2" t="s">
        <v>577</v>
      </c>
      <c r="I4110" s="2" t="s">
        <v>578</v>
      </c>
      <c r="J4110" s="4">
        <v>-1.383</v>
      </c>
      <c r="K4110" s="2" t="s">
        <v>109</v>
      </c>
      <c r="L4110" s="2">
        <v>2023</v>
      </c>
      <c r="M4110" s="2" t="s">
        <v>110</v>
      </c>
      <c r="N4110" s="2" t="s">
        <v>23</v>
      </c>
      <c r="O4110">
        <f t="shared" si="128"/>
        <v>0.64800000000000324</v>
      </c>
      <c r="P4110">
        <f t="shared" si="129"/>
        <v>5.3820000000000023</v>
      </c>
    </row>
    <row r="4111" spans="1:16" x14ac:dyDescent="0.35">
      <c r="A4111" s="9" t="s">
        <v>123</v>
      </c>
      <c r="B4111" s="2">
        <v>50.015999999999998</v>
      </c>
      <c r="C4111" s="2">
        <v>50.018999999999998</v>
      </c>
      <c r="D4111" s="2">
        <v>49.212000000000003</v>
      </c>
      <c r="E4111" s="2">
        <v>49.482999999999997</v>
      </c>
      <c r="F4111" s="2">
        <v>27182453</v>
      </c>
      <c r="G4111" s="2" t="s">
        <v>576</v>
      </c>
      <c r="H4111" s="2" t="s">
        <v>577</v>
      </c>
      <c r="I4111" s="2" t="s">
        <v>578</v>
      </c>
      <c r="J4111" s="4">
        <v>-0.16700000000000001</v>
      </c>
      <c r="K4111" s="2" t="s">
        <v>109</v>
      </c>
      <c r="L4111" s="2">
        <v>2023</v>
      </c>
      <c r="M4111" s="2" t="s">
        <v>110</v>
      </c>
      <c r="N4111" s="2" t="s">
        <v>23</v>
      </c>
      <c r="O4111">
        <f t="shared" si="128"/>
        <v>0.80699999999999505</v>
      </c>
      <c r="P4111">
        <f t="shared" si="129"/>
        <v>5.2150000000000025</v>
      </c>
    </row>
    <row r="4112" spans="1:16" x14ac:dyDescent="0.35">
      <c r="A4112" s="9" t="s">
        <v>124</v>
      </c>
      <c r="B4112" s="2">
        <v>50.234000000000002</v>
      </c>
      <c r="C4112" s="2">
        <v>51.058</v>
      </c>
      <c r="D4112" s="2">
        <v>49.622</v>
      </c>
      <c r="E4112" s="2">
        <v>50.125</v>
      </c>
      <c r="F4112" s="2">
        <v>47109148</v>
      </c>
      <c r="G4112" s="2" t="s">
        <v>576</v>
      </c>
      <c r="H4112" s="2" t="s">
        <v>577</v>
      </c>
      <c r="I4112" s="2" t="s">
        <v>578</v>
      </c>
      <c r="J4112" s="3">
        <v>1.2969999999999999</v>
      </c>
      <c r="K4112" s="2" t="s">
        <v>109</v>
      </c>
      <c r="L4112" s="2">
        <v>2023</v>
      </c>
      <c r="M4112" s="2" t="s">
        <v>110</v>
      </c>
      <c r="N4112" s="2" t="s">
        <v>21</v>
      </c>
      <c r="O4112">
        <f t="shared" si="128"/>
        <v>1.4359999999999999</v>
      </c>
      <c r="P4112">
        <f t="shared" si="129"/>
        <v>6.5120000000000022</v>
      </c>
    </row>
    <row r="4113" spans="1:16" x14ac:dyDescent="0.35">
      <c r="A4113" s="9" t="s">
        <v>125</v>
      </c>
      <c r="B4113" s="2">
        <v>50.101999999999997</v>
      </c>
      <c r="C4113" s="2">
        <v>50.122</v>
      </c>
      <c r="D4113" s="2">
        <v>49.344999999999999</v>
      </c>
      <c r="E4113" s="2">
        <v>49.609000000000002</v>
      </c>
      <c r="F4113" s="2">
        <v>27795057</v>
      </c>
      <c r="G4113" s="2" t="s">
        <v>576</v>
      </c>
      <c r="H4113" s="2" t="s">
        <v>577</v>
      </c>
      <c r="I4113" s="2" t="s">
        <v>578</v>
      </c>
      <c r="J4113" s="4">
        <v>-1.0289999999999999</v>
      </c>
      <c r="K4113" s="2" t="s">
        <v>109</v>
      </c>
      <c r="L4113" s="2">
        <v>2023</v>
      </c>
      <c r="M4113" s="2" t="s">
        <v>110</v>
      </c>
      <c r="N4113" s="2" t="s">
        <v>23</v>
      </c>
      <c r="O4113">
        <f t="shared" si="128"/>
        <v>0.77700000000000102</v>
      </c>
      <c r="P4113">
        <f t="shared" si="129"/>
        <v>5.4830000000000023</v>
      </c>
    </row>
    <row r="4114" spans="1:16" x14ac:dyDescent="0.35">
      <c r="A4114" s="9" t="s">
        <v>126</v>
      </c>
      <c r="B4114" s="2">
        <v>49.539000000000001</v>
      </c>
      <c r="C4114" s="2">
        <v>49.664999999999999</v>
      </c>
      <c r="D4114" s="2">
        <v>49.070999999999998</v>
      </c>
      <c r="E4114" s="2">
        <v>49.171999999999997</v>
      </c>
      <c r="F4114" s="2">
        <v>16235167</v>
      </c>
      <c r="G4114" s="2" t="s">
        <v>576</v>
      </c>
      <c r="H4114" s="2" t="s">
        <v>577</v>
      </c>
      <c r="I4114" s="2" t="s">
        <v>578</v>
      </c>
      <c r="J4114" s="4">
        <v>-0.88</v>
      </c>
      <c r="K4114" s="2" t="s">
        <v>109</v>
      </c>
      <c r="L4114" s="2">
        <v>2023</v>
      </c>
      <c r="M4114" s="2" t="s">
        <v>110</v>
      </c>
      <c r="N4114" s="2" t="s">
        <v>23</v>
      </c>
      <c r="O4114">
        <f t="shared" si="128"/>
        <v>0.59400000000000119</v>
      </c>
      <c r="P4114">
        <f t="shared" si="129"/>
        <v>4.6030000000000024</v>
      </c>
    </row>
    <row r="4115" spans="1:16" x14ac:dyDescent="0.35">
      <c r="A4115" s="9" t="s">
        <v>127</v>
      </c>
      <c r="B4115" s="2">
        <v>48.98</v>
      </c>
      <c r="C4115" s="2">
        <v>49.261000000000003</v>
      </c>
      <c r="D4115" s="2">
        <v>48.671999999999997</v>
      </c>
      <c r="E4115" s="2">
        <v>49.079000000000001</v>
      </c>
      <c r="F4115" s="2">
        <v>16420950</v>
      </c>
      <c r="G4115" s="2" t="s">
        <v>576</v>
      </c>
      <c r="H4115" s="2" t="s">
        <v>577</v>
      </c>
      <c r="I4115" s="2" t="s">
        <v>578</v>
      </c>
      <c r="J4115" s="4">
        <v>-0.189</v>
      </c>
      <c r="K4115" s="2" t="s">
        <v>109</v>
      </c>
      <c r="L4115" s="2">
        <v>2023</v>
      </c>
      <c r="M4115" s="2" t="s">
        <v>110</v>
      </c>
      <c r="N4115" s="2" t="s">
        <v>23</v>
      </c>
      <c r="O4115">
        <f t="shared" si="128"/>
        <v>0.58900000000000574</v>
      </c>
      <c r="P4115">
        <f t="shared" si="129"/>
        <v>4.4140000000000024</v>
      </c>
    </row>
    <row r="4116" spans="1:16" x14ac:dyDescent="0.35">
      <c r="A4116" s="9" t="s">
        <v>128</v>
      </c>
      <c r="B4116" s="2">
        <v>49.145000000000003</v>
      </c>
      <c r="C4116" s="2">
        <v>49.155000000000001</v>
      </c>
      <c r="D4116" s="2">
        <v>48.414000000000001</v>
      </c>
      <c r="E4116" s="2">
        <v>48.853999999999999</v>
      </c>
      <c r="F4116" s="2">
        <v>20664545</v>
      </c>
      <c r="G4116" s="2" t="s">
        <v>576</v>
      </c>
      <c r="H4116" s="2" t="s">
        <v>577</v>
      </c>
      <c r="I4116" s="2" t="s">
        <v>578</v>
      </c>
      <c r="J4116" s="4">
        <v>-0.45800000000000002</v>
      </c>
      <c r="K4116" s="2" t="s">
        <v>109</v>
      </c>
      <c r="L4116" s="2">
        <v>2023</v>
      </c>
      <c r="M4116" s="2" t="s">
        <v>110</v>
      </c>
      <c r="N4116" s="2" t="s">
        <v>23</v>
      </c>
      <c r="O4116">
        <f t="shared" si="128"/>
        <v>0.74099999999999966</v>
      </c>
      <c r="P4116">
        <f t="shared" si="129"/>
        <v>3.9560000000000022</v>
      </c>
    </row>
    <row r="4117" spans="1:16" x14ac:dyDescent="0.35">
      <c r="A4117" s="9" t="s">
        <v>129</v>
      </c>
      <c r="B4117" s="2">
        <v>48.606000000000002</v>
      </c>
      <c r="C4117" s="2">
        <v>48.790999999999997</v>
      </c>
      <c r="D4117" s="2">
        <v>48.014000000000003</v>
      </c>
      <c r="E4117" s="2">
        <v>48.368000000000002</v>
      </c>
      <c r="F4117" s="2">
        <v>21454851</v>
      </c>
      <c r="G4117" s="2" t="s">
        <v>576</v>
      </c>
      <c r="H4117" s="2" t="s">
        <v>577</v>
      </c>
      <c r="I4117" s="2" t="s">
        <v>578</v>
      </c>
      <c r="J4117" s="4">
        <v>-0.996</v>
      </c>
      <c r="K4117" s="2" t="s">
        <v>109</v>
      </c>
      <c r="L4117" s="2">
        <v>2023</v>
      </c>
      <c r="M4117" s="2" t="s">
        <v>110</v>
      </c>
      <c r="N4117" s="2" t="s">
        <v>23</v>
      </c>
      <c r="O4117">
        <f t="shared" si="128"/>
        <v>0.77699999999999392</v>
      </c>
      <c r="P4117">
        <f t="shared" si="129"/>
        <v>2.9600000000000022</v>
      </c>
    </row>
    <row r="4118" spans="1:16" x14ac:dyDescent="0.35">
      <c r="A4118" s="9" t="s">
        <v>130</v>
      </c>
      <c r="B4118" s="2">
        <v>48.216000000000001</v>
      </c>
      <c r="C4118" s="2">
        <v>48.585000000000001</v>
      </c>
      <c r="D4118" s="2">
        <v>48.14</v>
      </c>
      <c r="E4118" s="2">
        <v>48.454000000000001</v>
      </c>
      <c r="F4118" s="2">
        <v>15835337</v>
      </c>
      <c r="G4118" s="2" t="s">
        <v>576</v>
      </c>
      <c r="H4118" s="2" t="s">
        <v>577</v>
      </c>
      <c r="I4118" s="2" t="s">
        <v>578</v>
      </c>
      <c r="J4118" s="3">
        <v>0.17799999999999999</v>
      </c>
      <c r="K4118" s="2" t="s">
        <v>109</v>
      </c>
      <c r="L4118" s="2">
        <v>2023</v>
      </c>
      <c r="M4118" s="2" t="s">
        <v>110</v>
      </c>
      <c r="N4118" s="2" t="s">
        <v>21</v>
      </c>
      <c r="O4118">
        <f t="shared" si="128"/>
        <v>0.44500000000000028</v>
      </c>
      <c r="P4118">
        <f t="shared" si="129"/>
        <v>3.1380000000000021</v>
      </c>
    </row>
    <row r="4119" spans="1:16" x14ac:dyDescent="0.35">
      <c r="A4119" s="9" t="s">
        <v>131</v>
      </c>
      <c r="B4119" s="2">
        <v>48.414000000000001</v>
      </c>
      <c r="C4119" s="2">
        <v>48.741999999999997</v>
      </c>
      <c r="D4119" s="2">
        <v>48.182000000000002</v>
      </c>
      <c r="E4119" s="2">
        <v>48.335000000000001</v>
      </c>
      <c r="F4119" s="2">
        <v>15857237</v>
      </c>
      <c r="G4119" s="2" t="s">
        <v>576</v>
      </c>
      <c r="H4119" s="2" t="s">
        <v>577</v>
      </c>
      <c r="I4119" s="2" t="s">
        <v>578</v>
      </c>
      <c r="J4119" s="4">
        <v>-0.246</v>
      </c>
      <c r="K4119" s="2" t="s">
        <v>109</v>
      </c>
      <c r="L4119" s="2">
        <v>2023</v>
      </c>
      <c r="M4119" s="2" t="s">
        <v>110</v>
      </c>
      <c r="N4119" s="2" t="s">
        <v>23</v>
      </c>
      <c r="O4119">
        <f t="shared" si="128"/>
        <v>0.55999999999999517</v>
      </c>
      <c r="P4119">
        <f t="shared" si="129"/>
        <v>2.8920000000000021</v>
      </c>
    </row>
    <row r="4120" spans="1:16" x14ac:dyDescent="0.35">
      <c r="A4120" s="9" t="s">
        <v>132</v>
      </c>
      <c r="B4120" s="2">
        <v>48.122999999999998</v>
      </c>
      <c r="C4120" s="2">
        <v>48.747999999999998</v>
      </c>
      <c r="D4120" s="2">
        <v>47.987000000000002</v>
      </c>
      <c r="E4120" s="2">
        <v>48.603000000000002</v>
      </c>
      <c r="F4120" s="2">
        <v>30350219</v>
      </c>
      <c r="G4120" s="2" t="s">
        <v>576</v>
      </c>
      <c r="H4120" s="2" t="s">
        <v>577</v>
      </c>
      <c r="I4120" s="2" t="s">
        <v>578</v>
      </c>
      <c r="J4120" s="3">
        <v>0.55400000000000005</v>
      </c>
      <c r="K4120" s="2" t="s">
        <v>109</v>
      </c>
      <c r="L4120" s="2">
        <v>2023</v>
      </c>
      <c r="M4120" s="2" t="s">
        <v>110</v>
      </c>
      <c r="N4120" s="2" t="s">
        <v>21</v>
      </c>
      <c r="O4120">
        <f t="shared" si="128"/>
        <v>0.76099999999999568</v>
      </c>
      <c r="P4120">
        <f t="shared" si="129"/>
        <v>3.4460000000000024</v>
      </c>
    </row>
    <row r="4121" spans="1:16" x14ac:dyDescent="0.35">
      <c r="A4121" s="9" t="s">
        <v>133</v>
      </c>
      <c r="B4121" s="2">
        <v>48.384</v>
      </c>
      <c r="C4121" s="2">
        <v>48.944000000000003</v>
      </c>
      <c r="D4121" s="2">
        <v>48.295000000000002</v>
      </c>
      <c r="E4121" s="2">
        <v>48.780999999999999</v>
      </c>
      <c r="F4121" s="2">
        <v>20386565</v>
      </c>
      <c r="G4121" s="2" t="s">
        <v>576</v>
      </c>
      <c r="H4121" s="2" t="s">
        <v>577</v>
      </c>
      <c r="I4121" s="2" t="s">
        <v>578</v>
      </c>
      <c r="J4121" s="3">
        <v>0.36699999999999999</v>
      </c>
      <c r="K4121" s="2" t="s">
        <v>134</v>
      </c>
      <c r="L4121" s="2">
        <v>2023</v>
      </c>
      <c r="M4121" s="2" t="s">
        <v>135</v>
      </c>
      <c r="N4121" s="2" t="s">
        <v>21</v>
      </c>
      <c r="O4121">
        <f t="shared" si="128"/>
        <v>0.64900000000000091</v>
      </c>
      <c r="P4121">
        <f t="shared" si="129"/>
        <v>3.8130000000000024</v>
      </c>
    </row>
    <row r="4122" spans="1:16" x14ac:dyDescent="0.35">
      <c r="A4122" s="9" t="s">
        <v>136</v>
      </c>
      <c r="B4122" s="2">
        <v>48.718000000000004</v>
      </c>
      <c r="C4122" s="2">
        <v>49.313000000000002</v>
      </c>
      <c r="D4122" s="2">
        <v>48.679000000000002</v>
      </c>
      <c r="E4122" s="2">
        <v>49.247999999999998</v>
      </c>
      <c r="F4122" s="2">
        <v>19317904</v>
      </c>
      <c r="G4122" s="2" t="s">
        <v>576</v>
      </c>
      <c r="H4122" s="2" t="s">
        <v>577</v>
      </c>
      <c r="I4122" s="2" t="s">
        <v>578</v>
      </c>
      <c r="J4122" s="3">
        <v>0.95699999999999996</v>
      </c>
      <c r="K4122" s="2" t="s">
        <v>134</v>
      </c>
      <c r="L4122" s="2">
        <v>2023</v>
      </c>
      <c r="M4122" s="2" t="s">
        <v>135</v>
      </c>
      <c r="N4122" s="2" t="s">
        <v>21</v>
      </c>
      <c r="O4122">
        <f t="shared" si="128"/>
        <v>0.63400000000000034</v>
      </c>
      <c r="P4122">
        <f t="shared" si="129"/>
        <v>4.7700000000000022</v>
      </c>
    </row>
    <row r="4123" spans="1:16" x14ac:dyDescent="0.35">
      <c r="A4123" s="9" t="s">
        <v>137</v>
      </c>
      <c r="B4123" s="2">
        <v>49.43</v>
      </c>
      <c r="C4123" s="2">
        <v>50.052</v>
      </c>
      <c r="D4123" s="2">
        <v>49.43</v>
      </c>
      <c r="E4123" s="2">
        <v>49.572000000000003</v>
      </c>
      <c r="F4123" s="2">
        <v>15666434</v>
      </c>
      <c r="G4123" s="2" t="s">
        <v>576</v>
      </c>
      <c r="H4123" s="2" t="s">
        <v>577</v>
      </c>
      <c r="I4123" s="2" t="s">
        <v>578</v>
      </c>
      <c r="J4123" s="3">
        <v>0.65900000000000003</v>
      </c>
      <c r="K4123" s="2" t="s">
        <v>134</v>
      </c>
      <c r="L4123" s="2">
        <v>2023</v>
      </c>
      <c r="M4123" s="2" t="s">
        <v>135</v>
      </c>
      <c r="N4123" s="2" t="s">
        <v>21</v>
      </c>
      <c r="O4123">
        <f t="shared" si="128"/>
        <v>0.62199999999999989</v>
      </c>
      <c r="P4123">
        <f t="shared" si="129"/>
        <v>5.429000000000002</v>
      </c>
    </row>
    <row r="4124" spans="1:16" x14ac:dyDescent="0.35">
      <c r="A4124" s="9" t="s">
        <v>138</v>
      </c>
      <c r="B4124" s="2">
        <v>49.539000000000001</v>
      </c>
      <c r="C4124" s="2">
        <v>49.701000000000001</v>
      </c>
      <c r="D4124" s="2">
        <v>49.145000000000003</v>
      </c>
      <c r="E4124" s="2">
        <v>49.566000000000003</v>
      </c>
      <c r="F4124" s="2">
        <v>15125025</v>
      </c>
      <c r="G4124" s="2" t="s">
        <v>576</v>
      </c>
      <c r="H4124" s="2" t="s">
        <v>577</v>
      </c>
      <c r="I4124" s="2" t="s">
        <v>578</v>
      </c>
      <c r="J4124" s="4">
        <v>-1.2999999999999999E-2</v>
      </c>
      <c r="K4124" s="2" t="s">
        <v>134</v>
      </c>
      <c r="L4124" s="2">
        <v>2023</v>
      </c>
      <c r="M4124" s="2" t="s">
        <v>135</v>
      </c>
      <c r="N4124" s="2" t="s">
        <v>23</v>
      </c>
      <c r="O4124">
        <f t="shared" si="128"/>
        <v>0.55599999999999739</v>
      </c>
      <c r="P4124">
        <f t="shared" si="129"/>
        <v>5.4160000000000021</v>
      </c>
    </row>
    <row r="4125" spans="1:16" x14ac:dyDescent="0.35">
      <c r="A4125" s="9" t="s">
        <v>139</v>
      </c>
      <c r="B4125" s="2">
        <v>49.39</v>
      </c>
      <c r="C4125" s="2">
        <v>49.758000000000003</v>
      </c>
      <c r="D4125" s="2">
        <v>49.320999999999998</v>
      </c>
      <c r="E4125" s="2">
        <v>49.639000000000003</v>
      </c>
      <c r="F4125" s="2">
        <v>24433280</v>
      </c>
      <c r="G4125" s="2" t="s">
        <v>576</v>
      </c>
      <c r="H4125" s="2" t="s">
        <v>577</v>
      </c>
      <c r="I4125" s="2" t="s">
        <v>578</v>
      </c>
      <c r="J4125" s="3">
        <v>0.14699999999999999</v>
      </c>
      <c r="K4125" s="2" t="s">
        <v>134</v>
      </c>
      <c r="L4125" s="2">
        <v>2023</v>
      </c>
      <c r="M4125" s="2" t="s">
        <v>135</v>
      </c>
      <c r="N4125" s="2" t="s">
        <v>21</v>
      </c>
      <c r="O4125">
        <f t="shared" si="128"/>
        <v>0.43700000000000472</v>
      </c>
      <c r="P4125">
        <f t="shared" si="129"/>
        <v>5.5630000000000024</v>
      </c>
    </row>
    <row r="4126" spans="1:16" x14ac:dyDescent="0.35">
      <c r="A4126" s="9" t="s">
        <v>140</v>
      </c>
      <c r="B4126" s="2">
        <v>49.767000000000003</v>
      </c>
      <c r="C4126" s="2">
        <v>50.442999999999998</v>
      </c>
      <c r="D4126" s="2">
        <v>49.569000000000003</v>
      </c>
      <c r="E4126" s="2">
        <v>50.356999999999999</v>
      </c>
      <c r="F4126" s="2">
        <v>19012770</v>
      </c>
      <c r="G4126" s="2" t="s">
        <v>576</v>
      </c>
      <c r="H4126" s="2" t="s">
        <v>577</v>
      </c>
      <c r="I4126" s="2" t="s">
        <v>578</v>
      </c>
      <c r="J4126" s="3">
        <v>1.446</v>
      </c>
      <c r="K4126" s="2" t="s">
        <v>134</v>
      </c>
      <c r="L4126" s="2">
        <v>2023</v>
      </c>
      <c r="M4126" s="2" t="s">
        <v>135</v>
      </c>
      <c r="N4126" s="2" t="s">
        <v>21</v>
      </c>
      <c r="O4126">
        <f t="shared" si="128"/>
        <v>0.87399999999999523</v>
      </c>
      <c r="P4126">
        <f t="shared" si="129"/>
        <v>7.0090000000000021</v>
      </c>
    </row>
    <row r="4127" spans="1:16" x14ac:dyDescent="0.35">
      <c r="A4127" s="9" t="s">
        <v>141</v>
      </c>
      <c r="B4127" s="2">
        <v>50.353000000000002</v>
      </c>
      <c r="C4127" s="2">
        <v>50.869</v>
      </c>
      <c r="D4127" s="2">
        <v>50.167999999999999</v>
      </c>
      <c r="E4127" s="2">
        <v>50.661000000000001</v>
      </c>
      <c r="F4127" s="2">
        <v>15719244</v>
      </c>
      <c r="G4127" s="2" t="s">
        <v>576</v>
      </c>
      <c r="H4127" s="2" t="s">
        <v>577</v>
      </c>
      <c r="I4127" s="2" t="s">
        <v>578</v>
      </c>
      <c r="J4127" s="3">
        <v>0.60499999999999998</v>
      </c>
      <c r="K4127" s="2" t="s">
        <v>134</v>
      </c>
      <c r="L4127" s="2">
        <v>2023</v>
      </c>
      <c r="M4127" s="2" t="s">
        <v>135</v>
      </c>
      <c r="N4127" s="2" t="s">
        <v>21</v>
      </c>
      <c r="O4127">
        <f t="shared" si="128"/>
        <v>0.70100000000000051</v>
      </c>
      <c r="P4127">
        <f t="shared" si="129"/>
        <v>7.6140000000000025</v>
      </c>
    </row>
    <row r="4128" spans="1:16" x14ac:dyDescent="0.35">
      <c r="A4128" s="9" t="s">
        <v>142</v>
      </c>
      <c r="B4128" s="2">
        <v>50.773000000000003</v>
      </c>
      <c r="C4128" s="2">
        <v>51.061</v>
      </c>
      <c r="D4128" s="2">
        <v>50.686</v>
      </c>
      <c r="E4128" s="2">
        <v>50.994999999999997</v>
      </c>
      <c r="F4128" s="2">
        <v>14822828</v>
      </c>
      <c r="G4128" s="2" t="s">
        <v>576</v>
      </c>
      <c r="H4128" s="2" t="s">
        <v>577</v>
      </c>
      <c r="I4128" s="2" t="s">
        <v>578</v>
      </c>
      <c r="J4128" s="3">
        <v>0.65900000000000003</v>
      </c>
      <c r="K4128" s="2" t="s">
        <v>134</v>
      </c>
      <c r="L4128" s="2">
        <v>2023</v>
      </c>
      <c r="M4128" s="2" t="s">
        <v>135</v>
      </c>
      <c r="N4128" s="2" t="s">
        <v>21</v>
      </c>
      <c r="O4128">
        <f t="shared" si="128"/>
        <v>0.375</v>
      </c>
      <c r="P4128">
        <f t="shared" si="129"/>
        <v>8.2730000000000032</v>
      </c>
    </row>
    <row r="4129" spans="1:16" x14ac:dyDescent="0.35">
      <c r="A4129" s="9" t="s">
        <v>143</v>
      </c>
      <c r="B4129" s="2">
        <v>51.134</v>
      </c>
      <c r="C4129" s="2">
        <v>51.462000000000003</v>
      </c>
      <c r="D4129" s="2">
        <v>50.984999999999999</v>
      </c>
      <c r="E4129" s="2">
        <v>51.392000000000003</v>
      </c>
      <c r="F4129" s="2">
        <v>15853499</v>
      </c>
      <c r="G4129" s="2" t="s">
        <v>576</v>
      </c>
      <c r="H4129" s="2" t="s">
        <v>577</v>
      </c>
      <c r="I4129" s="2" t="s">
        <v>578</v>
      </c>
      <c r="J4129" s="3">
        <v>0.77900000000000003</v>
      </c>
      <c r="K4129" s="2" t="s">
        <v>134</v>
      </c>
      <c r="L4129" s="2">
        <v>2023</v>
      </c>
      <c r="M4129" s="2" t="s">
        <v>135</v>
      </c>
      <c r="N4129" s="2" t="s">
        <v>21</v>
      </c>
      <c r="O4129">
        <f t="shared" si="128"/>
        <v>0.47700000000000387</v>
      </c>
      <c r="P4129">
        <f t="shared" si="129"/>
        <v>9.0520000000000032</v>
      </c>
    </row>
    <row r="4130" spans="1:16" x14ac:dyDescent="0.35">
      <c r="A4130" s="9" t="s">
        <v>144</v>
      </c>
      <c r="B4130" s="2">
        <v>51.594000000000001</v>
      </c>
      <c r="C4130" s="2">
        <v>52.064</v>
      </c>
      <c r="D4130" s="2">
        <v>51.494999999999997</v>
      </c>
      <c r="E4130" s="2">
        <v>51.911999999999999</v>
      </c>
      <c r="F4130" s="2">
        <v>21256793</v>
      </c>
      <c r="G4130" s="2" t="s">
        <v>576</v>
      </c>
      <c r="H4130" s="2" t="s">
        <v>577</v>
      </c>
      <c r="I4130" s="2" t="s">
        <v>578</v>
      </c>
      <c r="J4130" s="3">
        <v>1.0109999999999999</v>
      </c>
      <c r="K4130" s="2" t="s">
        <v>134</v>
      </c>
      <c r="L4130" s="2">
        <v>2023</v>
      </c>
      <c r="M4130" s="2" t="s">
        <v>135</v>
      </c>
      <c r="N4130" s="2" t="s">
        <v>21</v>
      </c>
      <c r="O4130">
        <f t="shared" si="128"/>
        <v>0.56900000000000261</v>
      </c>
      <c r="P4130">
        <f t="shared" si="129"/>
        <v>10.063000000000002</v>
      </c>
    </row>
    <row r="4131" spans="1:16" x14ac:dyDescent="0.35">
      <c r="A4131" s="9" t="s">
        <v>145</v>
      </c>
      <c r="B4131" s="2">
        <v>51.954999999999998</v>
      </c>
      <c r="C4131" s="2">
        <v>52.362000000000002</v>
      </c>
      <c r="D4131" s="2">
        <v>51.948</v>
      </c>
      <c r="E4131" s="2">
        <v>52.195999999999998</v>
      </c>
      <c r="F4131" s="2">
        <v>18292600</v>
      </c>
      <c r="G4131" s="2" t="s">
        <v>576</v>
      </c>
      <c r="H4131" s="2" t="s">
        <v>577</v>
      </c>
      <c r="I4131" s="2" t="s">
        <v>578</v>
      </c>
      <c r="J4131" s="3">
        <v>0.54800000000000004</v>
      </c>
      <c r="K4131" s="2" t="s">
        <v>134</v>
      </c>
      <c r="L4131" s="2">
        <v>2023</v>
      </c>
      <c r="M4131" s="2" t="s">
        <v>135</v>
      </c>
      <c r="N4131" s="2" t="s">
        <v>21</v>
      </c>
      <c r="O4131">
        <f t="shared" si="128"/>
        <v>0.41400000000000148</v>
      </c>
      <c r="P4131">
        <f t="shared" si="129"/>
        <v>10.611000000000002</v>
      </c>
    </row>
    <row r="4132" spans="1:16" x14ac:dyDescent="0.35">
      <c r="A4132" s="9" t="s">
        <v>146</v>
      </c>
      <c r="B4132" s="2">
        <v>52.311999999999998</v>
      </c>
      <c r="C4132" s="2">
        <v>52.335999999999999</v>
      </c>
      <c r="D4132" s="2">
        <v>51.386000000000003</v>
      </c>
      <c r="E4132" s="2">
        <v>51.469000000000001</v>
      </c>
      <c r="F4132" s="2">
        <v>34928268</v>
      </c>
      <c r="G4132" s="2" t="s">
        <v>576</v>
      </c>
      <c r="H4132" s="2" t="s">
        <v>577</v>
      </c>
      <c r="I4132" s="2" t="s">
        <v>578</v>
      </c>
      <c r="J4132" s="4">
        <v>-1.3939999999999999</v>
      </c>
      <c r="K4132" s="2" t="s">
        <v>134</v>
      </c>
      <c r="L4132" s="2">
        <v>2023</v>
      </c>
      <c r="M4132" s="2" t="s">
        <v>135</v>
      </c>
      <c r="N4132" s="2" t="s">
        <v>23</v>
      </c>
      <c r="O4132">
        <f t="shared" si="128"/>
        <v>0.94999999999999574</v>
      </c>
      <c r="P4132">
        <f t="shared" si="129"/>
        <v>9.2170000000000023</v>
      </c>
    </row>
    <row r="4133" spans="1:16" x14ac:dyDescent="0.35">
      <c r="A4133" s="9" t="s">
        <v>147</v>
      </c>
      <c r="B4133" s="2">
        <v>51.194000000000003</v>
      </c>
      <c r="C4133" s="2">
        <v>51.442</v>
      </c>
      <c r="D4133" s="2">
        <v>50.923000000000002</v>
      </c>
      <c r="E4133" s="2">
        <v>51.015000000000001</v>
      </c>
      <c r="F4133" s="2">
        <v>20153469</v>
      </c>
      <c r="G4133" s="2" t="s">
        <v>576</v>
      </c>
      <c r="H4133" s="2" t="s">
        <v>577</v>
      </c>
      <c r="I4133" s="2" t="s">
        <v>578</v>
      </c>
      <c r="J4133" s="4">
        <v>-0.88100000000000001</v>
      </c>
      <c r="K4133" s="2" t="s">
        <v>134</v>
      </c>
      <c r="L4133" s="2">
        <v>2023</v>
      </c>
      <c r="M4133" s="2" t="s">
        <v>135</v>
      </c>
      <c r="N4133" s="2" t="s">
        <v>23</v>
      </c>
      <c r="O4133">
        <f t="shared" si="128"/>
        <v>0.51899999999999835</v>
      </c>
      <c r="P4133">
        <f t="shared" si="129"/>
        <v>8.3360000000000021</v>
      </c>
    </row>
    <row r="4134" spans="1:16" x14ac:dyDescent="0.35">
      <c r="A4134" s="9" t="s">
        <v>148</v>
      </c>
      <c r="B4134" s="2">
        <v>51.031999999999996</v>
      </c>
      <c r="C4134" s="2">
        <v>51.404000000000003</v>
      </c>
      <c r="D4134" s="2">
        <v>50.750999999999998</v>
      </c>
      <c r="E4134" s="2">
        <v>51.113999999999997</v>
      </c>
      <c r="F4134" s="2">
        <v>19391619</v>
      </c>
      <c r="G4134" s="2" t="s">
        <v>576</v>
      </c>
      <c r="H4134" s="2" t="s">
        <v>577</v>
      </c>
      <c r="I4134" s="2" t="s">
        <v>578</v>
      </c>
      <c r="J4134" s="3">
        <v>0.19400000000000001</v>
      </c>
      <c r="K4134" s="2" t="s">
        <v>134</v>
      </c>
      <c r="L4134" s="2">
        <v>2023</v>
      </c>
      <c r="M4134" s="2" t="s">
        <v>135</v>
      </c>
      <c r="N4134" s="2" t="s">
        <v>21</v>
      </c>
      <c r="O4134">
        <f t="shared" si="128"/>
        <v>0.6530000000000058</v>
      </c>
      <c r="P4134">
        <f t="shared" si="129"/>
        <v>8.5300000000000029</v>
      </c>
    </row>
    <row r="4135" spans="1:16" x14ac:dyDescent="0.35">
      <c r="A4135" s="9" t="s">
        <v>149</v>
      </c>
      <c r="B4135" s="2">
        <v>51.286999999999999</v>
      </c>
      <c r="C4135" s="2">
        <v>51.65</v>
      </c>
      <c r="D4135" s="2">
        <v>51.121000000000002</v>
      </c>
      <c r="E4135" s="2">
        <v>51.540999999999997</v>
      </c>
      <c r="F4135" s="2">
        <v>13404612</v>
      </c>
      <c r="G4135" s="2" t="s">
        <v>576</v>
      </c>
      <c r="H4135" s="2" t="s">
        <v>577</v>
      </c>
      <c r="I4135" s="2" t="s">
        <v>578</v>
      </c>
      <c r="J4135" s="3">
        <v>0.83499999999999996</v>
      </c>
      <c r="K4135" s="2" t="s">
        <v>134</v>
      </c>
      <c r="L4135" s="2">
        <v>2023</v>
      </c>
      <c r="M4135" s="2" t="s">
        <v>135</v>
      </c>
      <c r="N4135" s="2" t="s">
        <v>21</v>
      </c>
      <c r="O4135">
        <f t="shared" si="128"/>
        <v>0.52899999999999636</v>
      </c>
      <c r="P4135">
        <f t="shared" si="129"/>
        <v>9.365000000000002</v>
      </c>
    </row>
    <row r="4136" spans="1:16" x14ac:dyDescent="0.35">
      <c r="A4136" s="9" t="s">
        <v>150</v>
      </c>
      <c r="B4136" s="2">
        <v>51.584000000000003</v>
      </c>
      <c r="C4136" s="2">
        <v>51.72</v>
      </c>
      <c r="D4136" s="2">
        <v>51.3</v>
      </c>
      <c r="E4136" s="2">
        <v>51.445</v>
      </c>
      <c r="F4136" s="2">
        <v>19113177</v>
      </c>
      <c r="G4136" s="2" t="s">
        <v>576</v>
      </c>
      <c r="H4136" s="2" t="s">
        <v>577</v>
      </c>
      <c r="I4136" s="2" t="s">
        <v>578</v>
      </c>
      <c r="J4136" s="4">
        <v>-0.186</v>
      </c>
      <c r="K4136" s="2" t="s">
        <v>134</v>
      </c>
      <c r="L4136" s="2">
        <v>2023</v>
      </c>
      <c r="M4136" s="2" t="s">
        <v>135</v>
      </c>
      <c r="N4136" s="2" t="s">
        <v>23</v>
      </c>
      <c r="O4136">
        <f t="shared" si="128"/>
        <v>0.42000000000000171</v>
      </c>
      <c r="P4136">
        <f t="shared" si="129"/>
        <v>9.179000000000002</v>
      </c>
    </row>
    <row r="4137" spans="1:16" x14ac:dyDescent="0.35">
      <c r="A4137" s="9" t="s">
        <v>151</v>
      </c>
      <c r="B4137" s="2">
        <v>51.508000000000003</v>
      </c>
      <c r="C4137" s="2">
        <v>51.551000000000002</v>
      </c>
      <c r="D4137" s="2">
        <v>51.067999999999998</v>
      </c>
      <c r="E4137" s="2">
        <v>51.31</v>
      </c>
      <c r="F4137" s="2">
        <v>14209143</v>
      </c>
      <c r="G4137" s="2" t="s">
        <v>576</v>
      </c>
      <c r="H4137" s="2" t="s">
        <v>577</v>
      </c>
      <c r="I4137" s="2" t="s">
        <v>578</v>
      </c>
      <c r="J4137" s="4">
        <v>-0.26400000000000001</v>
      </c>
      <c r="K4137" s="2" t="s">
        <v>134</v>
      </c>
      <c r="L4137" s="2">
        <v>2023</v>
      </c>
      <c r="M4137" s="2" t="s">
        <v>135</v>
      </c>
      <c r="N4137" s="2" t="s">
        <v>23</v>
      </c>
      <c r="O4137">
        <f t="shared" si="128"/>
        <v>0.48300000000000409</v>
      </c>
      <c r="P4137">
        <f t="shared" si="129"/>
        <v>8.9150000000000027</v>
      </c>
    </row>
    <row r="4138" spans="1:16" x14ac:dyDescent="0.35">
      <c r="A4138" s="9" t="s">
        <v>152</v>
      </c>
      <c r="B4138" s="2">
        <v>51.012</v>
      </c>
      <c r="C4138" s="2">
        <v>51.573999999999998</v>
      </c>
      <c r="D4138" s="2">
        <v>50.981999999999999</v>
      </c>
      <c r="E4138" s="2">
        <v>51.124000000000002</v>
      </c>
      <c r="F4138" s="2">
        <v>12181641</v>
      </c>
      <c r="G4138" s="2" t="s">
        <v>576</v>
      </c>
      <c r="H4138" s="2" t="s">
        <v>577</v>
      </c>
      <c r="I4138" s="2" t="s">
        <v>578</v>
      </c>
      <c r="J4138" s="4">
        <v>-0.36099999999999999</v>
      </c>
      <c r="K4138" s="2" t="s">
        <v>134</v>
      </c>
      <c r="L4138" s="2">
        <v>2023</v>
      </c>
      <c r="M4138" s="2" t="s">
        <v>135</v>
      </c>
      <c r="N4138" s="2" t="s">
        <v>23</v>
      </c>
      <c r="O4138">
        <f t="shared" si="128"/>
        <v>0.59199999999999875</v>
      </c>
      <c r="P4138">
        <f t="shared" si="129"/>
        <v>8.554000000000002</v>
      </c>
    </row>
    <row r="4139" spans="1:16" x14ac:dyDescent="0.35">
      <c r="A4139" s="9" t="s">
        <v>153</v>
      </c>
      <c r="B4139" s="2">
        <v>51.204000000000001</v>
      </c>
      <c r="C4139" s="2">
        <v>51.518000000000001</v>
      </c>
      <c r="D4139" s="2">
        <v>51.171999999999997</v>
      </c>
      <c r="E4139" s="2">
        <v>51.402000000000001</v>
      </c>
      <c r="F4139" s="2">
        <v>19027453</v>
      </c>
      <c r="G4139" s="2" t="s">
        <v>576</v>
      </c>
      <c r="H4139" s="2" t="s">
        <v>577</v>
      </c>
      <c r="I4139" s="2" t="s">
        <v>578</v>
      </c>
      <c r="J4139" s="3">
        <v>0.54400000000000004</v>
      </c>
      <c r="K4139" s="2" t="s">
        <v>134</v>
      </c>
      <c r="L4139" s="2">
        <v>2023</v>
      </c>
      <c r="M4139" s="2" t="s">
        <v>135</v>
      </c>
      <c r="N4139" s="2" t="s">
        <v>21</v>
      </c>
      <c r="O4139">
        <f t="shared" si="128"/>
        <v>0.34600000000000364</v>
      </c>
      <c r="P4139">
        <f t="shared" si="129"/>
        <v>9.0980000000000025</v>
      </c>
    </row>
    <row r="4140" spans="1:16" x14ac:dyDescent="0.35">
      <c r="A4140" s="9" t="s">
        <v>154</v>
      </c>
      <c r="B4140" s="2">
        <v>51.131</v>
      </c>
      <c r="C4140" s="2">
        <v>51.21</v>
      </c>
      <c r="D4140" s="2">
        <v>50.677999999999997</v>
      </c>
      <c r="E4140" s="2">
        <v>51.055</v>
      </c>
      <c r="F4140" s="2">
        <v>21687065</v>
      </c>
      <c r="G4140" s="2" t="s">
        <v>576</v>
      </c>
      <c r="H4140" s="2" t="s">
        <v>577</v>
      </c>
      <c r="I4140" s="2" t="s">
        <v>578</v>
      </c>
      <c r="J4140" s="4">
        <v>-0.67600000000000005</v>
      </c>
      <c r="K4140" s="2" t="s">
        <v>134</v>
      </c>
      <c r="L4140" s="2">
        <v>2023</v>
      </c>
      <c r="M4140" s="2" t="s">
        <v>135</v>
      </c>
      <c r="N4140" s="2" t="s">
        <v>23</v>
      </c>
      <c r="O4140">
        <f t="shared" si="128"/>
        <v>0.53200000000000358</v>
      </c>
      <c r="P4140">
        <f t="shared" si="129"/>
        <v>8.4220000000000024</v>
      </c>
    </row>
    <row r="4141" spans="1:16" x14ac:dyDescent="0.35">
      <c r="A4141" s="9" t="s">
        <v>155</v>
      </c>
      <c r="B4141" s="2">
        <v>51.283000000000001</v>
      </c>
      <c r="C4141" s="2">
        <v>52.13</v>
      </c>
      <c r="D4141" s="2">
        <v>51.22</v>
      </c>
      <c r="E4141" s="2">
        <v>52.014000000000003</v>
      </c>
      <c r="F4141" s="2">
        <v>19211952</v>
      </c>
      <c r="G4141" s="2" t="s">
        <v>576</v>
      </c>
      <c r="H4141" s="2" t="s">
        <v>577</v>
      </c>
      <c r="I4141" s="2" t="s">
        <v>578</v>
      </c>
      <c r="J4141" s="3">
        <v>1.88</v>
      </c>
      <c r="K4141" s="2" t="s">
        <v>134</v>
      </c>
      <c r="L4141" s="2">
        <v>2023</v>
      </c>
      <c r="M4141" s="2" t="s">
        <v>135</v>
      </c>
      <c r="N4141" s="2" t="s">
        <v>21</v>
      </c>
      <c r="O4141">
        <f t="shared" si="128"/>
        <v>0.91000000000000369</v>
      </c>
      <c r="P4141">
        <f t="shared" si="129"/>
        <v>10.302000000000003</v>
      </c>
    </row>
    <row r="4142" spans="1:16" x14ac:dyDescent="0.35">
      <c r="A4142" s="9" t="s">
        <v>156</v>
      </c>
      <c r="B4142" s="2">
        <v>51.892000000000003</v>
      </c>
      <c r="C4142" s="2">
        <v>52.432000000000002</v>
      </c>
      <c r="D4142" s="2">
        <v>51.732999999999997</v>
      </c>
      <c r="E4142" s="2">
        <v>52.351999999999997</v>
      </c>
      <c r="F4142" s="2">
        <v>8710421</v>
      </c>
      <c r="G4142" s="2" t="s">
        <v>576</v>
      </c>
      <c r="H4142" s="2" t="s">
        <v>577</v>
      </c>
      <c r="I4142" s="2" t="s">
        <v>578</v>
      </c>
      <c r="J4142" s="3">
        <v>0.65</v>
      </c>
      <c r="K4142" s="2" t="s">
        <v>157</v>
      </c>
      <c r="L4142" s="2">
        <v>2023</v>
      </c>
      <c r="M4142" s="2" t="s">
        <v>158</v>
      </c>
      <c r="N4142" s="2" t="s">
        <v>21</v>
      </c>
      <c r="O4142">
        <f t="shared" si="128"/>
        <v>0.69900000000000517</v>
      </c>
      <c r="P4142">
        <f t="shared" si="129"/>
        <v>10.952000000000004</v>
      </c>
    </row>
    <row r="4143" spans="1:16" x14ac:dyDescent="0.35">
      <c r="A4143" s="9" t="s">
        <v>159</v>
      </c>
      <c r="B4143" s="2">
        <v>52.338999999999999</v>
      </c>
      <c r="C4143" s="2">
        <v>52.655999999999999</v>
      </c>
      <c r="D4143" s="2">
        <v>52.067999999999998</v>
      </c>
      <c r="E4143" s="2">
        <v>52.322000000000003</v>
      </c>
      <c r="F4143" s="2">
        <v>17713859</v>
      </c>
      <c r="G4143" s="2" t="s">
        <v>576</v>
      </c>
      <c r="H4143" s="2" t="s">
        <v>577</v>
      </c>
      <c r="I4143" s="2" t="s">
        <v>578</v>
      </c>
      <c r="J4143" s="4">
        <v>-5.7000000000000002E-2</v>
      </c>
      <c r="K4143" s="2" t="s">
        <v>157</v>
      </c>
      <c r="L4143" s="2">
        <v>2023</v>
      </c>
      <c r="M4143" s="2" t="s">
        <v>158</v>
      </c>
      <c r="N4143" s="2" t="s">
        <v>23</v>
      </c>
      <c r="O4143">
        <f t="shared" si="128"/>
        <v>0.58800000000000097</v>
      </c>
      <c r="P4143">
        <f t="shared" si="129"/>
        <v>10.895000000000003</v>
      </c>
    </row>
    <row r="4144" spans="1:16" x14ac:dyDescent="0.35">
      <c r="A4144" s="9" t="s">
        <v>160</v>
      </c>
      <c r="B4144" s="2">
        <v>52.262999999999998</v>
      </c>
      <c r="C4144" s="2">
        <v>52.345999999999997</v>
      </c>
      <c r="D4144" s="2">
        <v>51.911999999999999</v>
      </c>
      <c r="E4144" s="2">
        <v>51.991</v>
      </c>
      <c r="F4144" s="2">
        <v>14532749</v>
      </c>
      <c r="G4144" s="2" t="s">
        <v>576</v>
      </c>
      <c r="H4144" s="2" t="s">
        <v>577</v>
      </c>
      <c r="I4144" s="2" t="s">
        <v>578</v>
      </c>
      <c r="J4144" s="4">
        <v>-0.63300000000000001</v>
      </c>
      <c r="K4144" s="2" t="s">
        <v>157</v>
      </c>
      <c r="L4144" s="2">
        <v>2023</v>
      </c>
      <c r="M4144" s="2" t="s">
        <v>158</v>
      </c>
      <c r="N4144" s="2" t="s">
        <v>23</v>
      </c>
      <c r="O4144">
        <f t="shared" si="128"/>
        <v>0.4339999999999975</v>
      </c>
      <c r="P4144">
        <f t="shared" si="129"/>
        <v>10.262000000000004</v>
      </c>
    </row>
    <row r="4145" spans="1:16" x14ac:dyDescent="0.35">
      <c r="A4145" s="9" t="s">
        <v>161</v>
      </c>
      <c r="B4145" s="2">
        <v>51.561</v>
      </c>
      <c r="C4145" s="2">
        <v>51.72</v>
      </c>
      <c r="D4145" s="2">
        <v>50.78</v>
      </c>
      <c r="E4145" s="2">
        <v>50.792999999999999</v>
      </c>
      <c r="F4145" s="2">
        <v>19918713</v>
      </c>
      <c r="G4145" s="2" t="s">
        <v>576</v>
      </c>
      <c r="H4145" s="2" t="s">
        <v>577</v>
      </c>
      <c r="I4145" s="2" t="s">
        <v>578</v>
      </c>
      <c r="J4145" s="4">
        <v>-2.3039999999999998</v>
      </c>
      <c r="K4145" s="2" t="s">
        <v>157</v>
      </c>
      <c r="L4145" s="2">
        <v>2023</v>
      </c>
      <c r="M4145" s="2" t="s">
        <v>158</v>
      </c>
      <c r="N4145" s="2" t="s">
        <v>23</v>
      </c>
      <c r="O4145">
        <f t="shared" si="128"/>
        <v>0.93999999999999773</v>
      </c>
      <c r="P4145">
        <f t="shared" si="129"/>
        <v>7.9580000000000037</v>
      </c>
    </row>
    <row r="4146" spans="1:16" x14ac:dyDescent="0.35">
      <c r="A4146" s="9" t="s">
        <v>162</v>
      </c>
      <c r="B4146" s="2">
        <v>51.146999999999998</v>
      </c>
      <c r="C4146" s="2">
        <v>51.459000000000003</v>
      </c>
      <c r="D4146" s="2">
        <v>51.067999999999998</v>
      </c>
      <c r="E4146" s="2">
        <v>51.253</v>
      </c>
      <c r="F4146" s="2">
        <v>13062155</v>
      </c>
      <c r="G4146" s="2" t="s">
        <v>576</v>
      </c>
      <c r="H4146" s="2" t="s">
        <v>577</v>
      </c>
      <c r="I4146" s="2" t="s">
        <v>578</v>
      </c>
      <c r="J4146" s="3">
        <v>0.90600000000000003</v>
      </c>
      <c r="K4146" s="2" t="s">
        <v>157</v>
      </c>
      <c r="L4146" s="2">
        <v>2023</v>
      </c>
      <c r="M4146" s="2" t="s">
        <v>158</v>
      </c>
      <c r="N4146" s="2" t="s">
        <v>21</v>
      </c>
      <c r="O4146">
        <f t="shared" si="128"/>
        <v>0.39100000000000534</v>
      </c>
      <c r="P4146">
        <f t="shared" si="129"/>
        <v>8.8640000000000043</v>
      </c>
    </row>
    <row r="4147" spans="1:16" x14ac:dyDescent="0.35">
      <c r="A4147" s="9" t="s">
        <v>163</v>
      </c>
      <c r="B4147" s="2">
        <v>51.216999999999999</v>
      </c>
      <c r="C4147" s="2">
        <v>51.462000000000003</v>
      </c>
      <c r="D4147" s="2">
        <v>50.915999999999997</v>
      </c>
      <c r="E4147" s="2">
        <v>51.177</v>
      </c>
      <c r="F4147" s="2">
        <v>11546660</v>
      </c>
      <c r="G4147" s="2" t="s">
        <v>576</v>
      </c>
      <c r="H4147" s="2" t="s">
        <v>577</v>
      </c>
      <c r="I4147" s="2" t="s">
        <v>578</v>
      </c>
      <c r="J4147" s="4">
        <v>-0.14799999999999999</v>
      </c>
      <c r="K4147" s="2" t="s">
        <v>157</v>
      </c>
      <c r="L4147" s="2">
        <v>2023</v>
      </c>
      <c r="M4147" s="2" t="s">
        <v>158</v>
      </c>
      <c r="N4147" s="2" t="s">
        <v>23</v>
      </c>
      <c r="O4147">
        <f t="shared" si="128"/>
        <v>0.54600000000000648</v>
      </c>
      <c r="P4147">
        <f t="shared" si="129"/>
        <v>8.7160000000000046</v>
      </c>
    </row>
    <row r="4148" spans="1:16" x14ac:dyDescent="0.35">
      <c r="A4148" s="9" t="s">
        <v>164</v>
      </c>
      <c r="B4148" s="2">
        <v>51.396000000000001</v>
      </c>
      <c r="C4148" s="2">
        <v>51.588000000000001</v>
      </c>
      <c r="D4148" s="2">
        <v>51.234000000000002</v>
      </c>
      <c r="E4148" s="2">
        <v>51.305999999999997</v>
      </c>
      <c r="F4148" s="2">
        <v>16630192</v>
      </c>
      <c r="G4148" s="2" t="s">
        <v>576</v>
      </c>
      <c r="H4148" s="2" t="s">
        <v>577</v>
      </c>
      <c r="I4148" s="2" t="s">
        <v>578</v>
      </c>
      <c r="J4148" s="3">
        <v>0.252</v>
      </c>
      <c r="K4148" s="2" t="s">
        <v>157</v>
      </c>
      <c r="L4148" s="2">
        <v>2023</v>
      </c>
      <c r="M4148" s="2" t="s">
        <v>158</v>
      </c>
      <c r="N4148" s="2" t="s">
        <v>21</v>
      </c>
      <c r="O4148">
        <f t="shared" si="128"/>
        <v>0.3539999999999992</v>
      </c>
      <c r="P4148">
        <f t="shared" si="129"/>
        <v>8.9680000000000053</v>
      </c>
    </row>
    <row r="4149" spans="1:16" x14ac:dyDescent="0.35">
      <c r="A4149" s="9" t="s">
        <v>165</v>
      </c>
      <c r="B4149" s="2">
        <v>51.435000000000002</v>
      </c>
      <c r="C4149" s="2">
        <v>51.491999999999997</v>
      </c>
      <c r="D4149" s="2">
        <v>50.86</v>
      </c>
      <c r="E4149" s="2">
        <v>51.005000000000003</v>
      </c>
      <c r="F4149" s="2">
        <v>11946012</v>
      </c>
      <c r="G4149" s="2" t="s">
        <v>576</v>
      </c>
      <c r="H4149" s="2" t="s">
        <v>577</v>
      </c>
      <c r="I4149" s="2" t="s">
        <v>578</v>
      </c>
      <c r="J4149" s="4">
        <v>-0.58699999999999997</v>
      </c>
      <c r="K4149" s="2" t="s">
        <v>157</v>
      </c>
      <c r="L4149" s="2">
        <v>2023</v>
      </c>
      <c r="M4149" s="2" t="s">
        <v>158</v>
      </c>
      <c r="N4149" s="2" t="s">
        <v>23</v>
      </c>
      <c r="O4149">
        <f t="shared" si="128"/>
        <v>0.6319999999999979</v>
      </c>
      <c r="P4149">
        <f t="shared" si="129"/>
        <v>8.3810000000000056</v>
      </c>
    </row>
    <row r="4150" spans="1:16" x14ac:dyDescent="0.35">
      <c r="A4150" s="9" t="s">
        <v>166</v>
      </c>
      <c r="B4150" s="2">
        <v>51.002000000000002</v>
      </c>
      <c r="C4150" s="2">
        <v>51.183999999999997</v>
      </c>
      <c r="D4150" s="2">
        <v>50.823</v>
      </c>
      <c r="E4150" s="2">
        <v>51.180999999999997</v>
      </c>
      <c r="F4150" s="2">
        <v>10503401</v>
      </c>
      <c r="G4150" s="2" t="s">
        <v>576</v>
      </c>
      <c r="H4150" s="2" t="s">
        <v>577</v>
      </c>
      <c r="I4150" s="2" t="s">
        <v>578</v>
      </c>
      <c r="J4150" s="3">
        <v>0.34399999999999997</v>
      </c>
      <c r="K4150" s="2" t="s">
        <v>157</v>
      </c>
      <c r="L4150" s="2">
        <v>2023</v>
      </c>
      <c r="M4150" s="2" t="s">
        <v>158</v>
      </c>
      <c r="N4150" s="2" t="s">
        <v>21</v>
      </c>
      <c r="O4150">
        <f t="shared" si="128"/>
        <v>0.3609999999999971</v>
      </c>
      <c r="P4150">
        <f t="shared" si="129"/>
        <v>8.725000000000005</v>
      </c>
    </row>
    <row r="4151" spans="1:16" x14ac:dyDescent="0.35">
      <c r="A4151" s="9" t="s">
        <v>167</v>
      </c>
      <c r="B4151" s="2">
        <v>51.094999999999999</v>
      </c>
      <c r="C4151" s="2">
        <v>51.286999999999999</v>
      </c>
      <c r="D4151" s="2">
        <v>50.902999999999999</v>
      </c>
      <c r="E4151" s="2">
        <v>51.243000000000002</v>
      </c>
      <c r="F4151" s="2">
        <v>10209653</v>
      </c>
      <c r="G4151" s="2" t="s">
        <v>576</v>
      </c>
      <c r="H4151" s="2" t="s">
        <v>577</v>
      </c>
      <c r="I4151" s="2" t="s">
        <v>578</v>
      </c>
      <c r="J4151" s="3">
        <v>0.122</v>
      </c>
      <c r="K4151" s="2" t="s">
        <v>157</v>
      </c>
      <c r="L4151" s="2">
        <v>2023</v>
      </c>
      <c r="M4151" s="2" t="s">
        <v>158</v>
      </c>
      <c r="N4151" s="2" t="s">
        <v>21</v>
      </c>
      <c r="O4151">
        <f t="shared" si="128"/>
        <v>0.38400000000000034</v>
      </c>
      <c r="P4151">
        <f t="shared" si="129"/>
        <v>8.8470000000000049</v>
      </c>
    </row>
    <row r="4152" spans="1:16" x14ac:dyDescent="0.35">
      <c r="A4152" s="9" t="s">
        <v>168</v>
      </c>
      <c r="B4152" s="2">
        <v>51.183999999999997</v>
      </c>
      <c r="C4152" s="2">
        <v>51.512</v>
      </c>
      <c r="D4152" s="2">
        <v>50.915999999999997</v>
      </c>
      <c r="E4152" s="2">
        <v>51.151000000000003</v>
      </c>
      <c r="F4152" s="2">
        <v>13538075</v>
      </c>
      <c r="G4152" s="2" t="s">
        <v>576</v>
      </c>
      <c r="H4152" s="2" t="s">
        <v>577</v>
      </c>
      <c r="I4152" s="2" t="s">
        <v>578</v>
      </c>
      <c r="J4152" s="4">
        <v>-0.18099999999999999</v>
      </c>
      <c r="K4152" s="2" t="s">
        <v>157</v>
      </c>
      <c r="L4152" s="2">
        <v>2023</v>
      </c>
      <c r="M4152" s="2" t="s">
        <v>158</v>
      </c>
      <c r="N4152" s="2" t="s">
        <v>23</v>
      </c>
      <c r="O4152">
        <f t="shared" si="128"/>
        <v>0.59600000000000364</v>
      </c>
      <c r="P4152">
        <f t="shared" si="129"/>
        <v>8.6660000000000057</v>
      </c>
    </row>
    <row r="4153" spans="1:16" x14ac:dyDescent="0.35">
      <c r="A4153" s="9" t="s">
        <v>169</v>
      </c>
      <c r="B4153" s="2">
        <v>51.226999999999997</v>
      </c>
      <c r="C4153" s="2">
        <v>51.359000000000002</v>
      </c>
      <c r="D4153" s="2">
        <v>50.878999999999998</v>
      </c>
      <c r="E4153" s="2">
        <v>51.167000000000002</v>
      </c>
      <c r="F4153" s="2">
        <v>12462911</v>
      </c>
      <c r="G4153" s="2" t="s">
        <v>576</v>
      </c>
      <c r="H4153" s="2" t="s">
        <v>577</v>
      </c>
      <c r="I4153" s="2" t="s">
        <v>578</v>
      </c>
      <c r="J4153" s="3">
        <v>3.2000000000000001E-2</v>
      </c>
      <c r="K4153" s="2" t="s">
        <v>157</v>
      </c>
      <c r="L4153" s="2">
        <v>2023</v>
      </c>
      <c r="M4153" s="2" t="s">
        <v>158</v>
      </c>
      <c r="N4153" s="2" t="s">
        <v>21</v>
      </c>
      <c r="O4153">
        <f t="shared" si="128"/>
        <v>0.48000000000000398</v>
      </c>
      <c r="P4153">
        <f t="shared" si="129"/>
        <v>8.6980000000000057</v>
      </c>
    </row>
    <row r="4154" spans="1:16" x14ac:dyDescent="0.35">
      <c r="A4154" s="9" t="s">
        <v>170</v>
      </c>
      <c r="B4154" s="2">
        <v>51.27</v>
      </c>
      <c r="C4154" s="2">
        <v>52.137</v>
      </c>
      <c r="D4154" s="2">
        <v>51.26</v>
      </c>
      <c r="E4154" s="2">
        <v>52.113999999999997</v>
      </c>
      <c r="F4154" s="2">
        <v>15096952</v>
      </c>
      <c r="G4154" s="2" t="s">
        <v>576</v>
      </c>
      <c r="H4154" s="2" t="s">
        <v>577</v>
      </c>
      <c r="I4154" s="2" t="s">
        <v>578</v>
      </c>
      <c r="J4154" s="3">
        <v>1.85</v>
      </c>
      <c r="K4154" s="2" t="s">
        <v>157</v>
      </c>
      <c r="L4154" s="2">
        <v>2023</v>
      </c>
      <c r="M4154" s="2" t="s">
        <v>158</v>
      </c>
      <c r="N4154" s="2" t="s">
        <v>21</v>
      </c>
      <c r="O4154">
        <f t="shared" si="128"/>
        <v>0.87700000000000244</v>
      </c>
      <c r="P4154">
        <f t="shared" si="129"/>
        <v>10.548000000000005</v>
      </c>
    </row>
    <row r="4155" spans="1:16" x14ac:dyDescent="0.35">
      <c r="A4155" s="9" t="s">
        <v>171</v>
      </c>
      <c r="B4155" s="2">
        <v>52.253</v>
      </c>
      <c r="C4155" s="2">
        <v>52.543999999999997</v>
      </c>
      <c r="D4155" s="2">
        <v>52.1</v>
      </c>
      <c r="E4155" s="2">
        <v>52.408000000000001</v>
      </c>
      <c r="F4155" s="2">
        <v>17083901</v>
      </c>
      <c r="G4155" s="2" t="s">
        <v>576</v>
      </c>
      <c r="H4155" s="2" t="s">
        <v>577</v>
      </c>
      <c r="I4155" s="2" t="s">
        <v>578</v>
      </c>
      <c r="J4155" s="3">
        <v>0.56499999999999995</v>
      </c>
      <c r="K4155" s="2" t="s">
        <v>157</v>
      </c>
      <c r="L4155" s="2">
        <v>2023</v>
      </c>
      <c r="M4155" s="2" t="s">
        <v>158</v>
      </c>
      <c r="N4155" s="2" t="s">
        <v>21</v>
      </c>
      <c r="O4155">
        <f t="shared" si="128"/>
        <v>0.44399999999999551</v>
      </c>
      <c r="P4155">
        <f t="shared" si="129"/>
        <v>11.113000000000005</v>
      </c>
    </row>
    <row r="4156" spans="1:16" x14ac:dyDescent="0.35">
      <c r="A4156" s="9" t="s">
        <v>172</v>
      </c>
      <c r="B4156" s="2">
        <v>52.435000000000002</v>
      </c>
      <c r="C4156" s="2">
        <v>52.776000000000003</v>
      </c>
      <c r="D4156" s="2">
        <v>52.14</v>
      </c>
      <c r="E4156" s="2">
        <v>52.716000000000001</v>
      </c>
      <c r="F4156" s="2">
        <v>12621114</v>
      </c>
      <c r="G4156" s="2" t="s">
        <v>576</v>
      </c>
      <c r="H4156" s="2" t="s">
        <v>577</v>
      </c>
      <c r="I4156" s="2" t="s">
        <v>578</v>
      </c>
      <c r="J4156" s="3">
        <v>0.58799999999999997</v>
      </c>
      <c r="K4156" s="2" t="s">
        <v>157</v>
      </c>
      <c r="L4156" s="2">
        <v>2023</v>
      </c>
      <c r="M4156" s="2" t="s">
        <v>158</v>
      </c>
      <c r="N4156" s="2" t="s">
        <v>21</v>
      </c>
      <c r="O4156">
        <f t="shared" si="128"/>
        <v>0.63600000000000279</v>
      </c>
      <c r="P4156">
        <f t="shared" si="129"/>
        <v>11.701000000000004</v>
      </c>
    </row>
    <row r="4157" spans="1:16" x14ac:dyDescent="0.35">
      <c r="A4157" s="9" t="s">
        <v>173</v>
      </c>
      <c r="B4157" s="2">
        <v>53.1</v>
      </c>
      <c r="C4157" s="2">
        <v>53.118000000000002</v>
      </c>
      <c r="D4157" s="2">
        <v>52.378</v>
      </c>
      <c r="E4157" s="2">
        <v>52.673000000000002</v>
      </c>
      <c r="F4157" s="2">
        <v>15667190</v>
      </c>
      <c r="G4157" s="2" t="s">
        <v>576</v>
      </c>
      <c r="H4157" s="2" t="s">
        <v>577</v>
      </c>
      <c r="I4157" s="2" t="s">
        <v>578</v>
      </c>
      <c r="J4157" s="4">
        <v>-8.2000000000000003E-2</v>
      </c>
      <c r="K4157" s="2" t="s">
        <v>157</v>
      </c>
      <c r="L4157" s="2">
        <v>2023</v>
      </c>
      <c r="M4157" s="2" t="s">
        <v>158</v>
      </c>
      <c r="N4157" s="2" t="s">
        <v>23</v>
      </c>
      <c r="O4157">
        <f t="shared" si="128"/>
        <v>0.74000000000000199</v>
      </c>
      <c r="P4157">
        <f t="shared" si="129"/>
        <v>11.619000000000003</v>
      </c>
    </row>
    <row r="4158" spans="1:16" x14ac:dyDescent="0.35">
      <c r="A4158" s="9" t="s">
        <v>174</v>
      </c>
      <c r="B4158" s="2">
        <v>52.695999999999998</v>
      </c>
      <c r="C4158" s="2">
        <v>53.176000000000002</v>
      </c>
      <c r="D4158" s="2">
        <v>52.595999999999997</v>
      </c>
      <c r="E4158" s="2">
        <v>52.862000000000002</v>
      </c>
      <c r="F4158" s="2">
        <v>15203998</v>
      </c>
      <c r="G4158" s="2" t="s">
        <v>576</v>
      </c>
      <c r="H4158" s="2" t="s">
        <v>577</v>
      </c>
      <c r="I4158" s="2" t="s">
        <v>578</v>
      </c>
      <c r="J4158" s="3">
        <v>0.35799999999999998</v>
      </c>
      <c r="K4158" s="2" t="s">
        <v>157</v>
      </c>
      <c r="L4158" s="2">
        <v>2023</v>
      </c>
      <c r="M4158" s="2" t="s">
        <v>158</v>
      </c>
      <c r="N4158" s="2" t="s">
        <v>21</v>
      </c>
      <c r="O4158">
        <f t="shared" si="128"/>
        <v>0.5800000000000054</v>
      </c>
      <c r="P4158">
        <f t="shared" si="129"/>
        <v>11.977000000000004</v>
      </c>
    </row>
    <row r="4159" spans="1:16" x14ac:dyDescent="0.35">
      <c r="A4159" s="9" t="s">
        <v>175</v>
      </c>
      <c r="B4159" s="2">
        <v>52.973999999999997</v>
      </c>
      <c r="C4159" s="2">
        <v>53.16</v>
      </c>
      <c r="D4159" s="2">
        <v>52.66</v>
      </c>
      <c r="E4159" s="2">
        <v>52.67</v>
      </c>
      <c r="F4159" s="2">
        <v>13497891</v>
      </c>
      <c r="G4159" s="2" t="s">
        <v>576</v>
      </c>
      <c r="H4159" s="2" t="s">
        <v>577</v>
      </c>
      <c r="I4159" s="2" t="s">
        <v>578</v>
      </c>
      <c r="J4159" s="4">
        <v>-0.36299999999999999</v>
      </c>
      <c r="K4159" s="2" t="s">
        <v>157</v>
      </c>
      <c r="L4159" s="2">
        <v>2023</v>
      </c>
      <c r="M4159" s="2" t="s">
        <v>158</v>
      </c>
      <c r="N4159" s="2" t="s">
        <v>23</v>
      </c>
      <c r="O4159">
        <f t="shared" si="128"/>
        <v>0.5</v>
      </c>
      <c r="P4159">
        <f t="shared" si="129"/>
        <v>11.614000000000004</v>
      </c>
    </row>
    <row r="4160" spans="1:16" x14ac:dyDescent="0.35">
      <c r="A4160" s="9" t="s">
        <v>176</v>
      </c>
      <c r="B4160" s="2">
        <v>52.713000000000001</v>
      </c>
      <c r="C4160" s="2">
        <v>53.259</v>
      </c>
      <c r="D4160" s="2">
        <v>52.713000000000001</v>
      </c>
      <c r="E4160" s="2">
        <v>52.917999999999999</v>
      </c>
      <c r="F4160" s="2">
        <v>11102128</v>
      </c>
      <c r="G4160" s="2" t="s">
        <v>576</v>
      </c>
      <c r="H4160" s="2" t="s">
        <v>577</v>
      </c>
      <c r="I4160" s="2" t="s">
        <v>578</v>
      </c>
      <c r="J4160" s="3">
        <v>0.47099999999999997</v>
      </c>
      <c r="K4160" s="2" t="s">
        <v>157</v>
      </c>
      <c r="L4160" s="2">
        <v>2023</v>
      </c>
      <c r="M4160" s="2" t="s">
        <v>158</v>
      </c>
      <c r="N4160" s="2" t="s">
        <v>21</v>
      </c>
      <c r="O4160">
        <f t="shared" si="128"/>
        <v>0.54599999999999937</v>
      </c>
      <c r="P4160">
        <f t="shared" si="129"/>
        <v>12.085000000000004</v>
      </c>
    </row>
    <row r="4161" spans="1:16" x14ac:dyDescent="0.35">
      <c r="A4161" s="9" t="s">
        <v>177</v>
      </c>
      <c r="B4161" s="2">
        <v>52.933999999999997</v>
      </c>
      <c r="C4161" s="2">
        <v>53.16</v>
      </c>
      <c r="D4161" s="2">
        <v>52.587000000000003</v>
      </c>
      <c r="E4161" s="2">
        <v>52.902000000000001</v>
      </c>
      <c r="F4161" s="2">
        <v>13128950</v>
      </c>
      <c r="G4161" s="2" t="s">
        <v>576</v>
      </c>
      <c r="H4161" s="2" t="s">
        <v>577</v>
      </c>
      <c r="I4161" s="2" t="s">
        <v>578</v>
      </c>
      <c r="J4161" s="4">
        <v>-3.1E-2</v>
      </c>
      <c r="K4161" s="2" t="s">
        <v>157</v>
      </c>
      <c r="L4161" s="2">
        <v>2023</v>
      </c>
      <c r="M4161" s="2" t="s">
        <v>158</v>
      </c>
      <c r="N4161" s="2" t="s">
        <v>23</v>
      </c>
      <c r="O4161">
        <f t="shared" si="128"/>
        <v>0.57299999999999329</v>
      </c>
      <c r="P4161">
        <f t="shared" si="129"/>
        <v>12.054000000000004</v>
      </c>
    </row>
    <row r="4162" spans="1:16" x14ac:dyDescent="0.35">
      <c r="A4162" s="9" t="s">
        <v>178</v>
      </c>
      <c r="B4162" s="2">
        <v>52.930999999999997</v>
      </c>
      <c r="C4162" s="2">
        <v>53.097000000000001</v>
      </c>
      <c r="D4162" s="2">
        <v>52.603999999999999</v>
      </c>
      <c r="E4162" s="2">
        <v>52.652999999999999</v>
      </c>
      <c r="F4162" s="2">
        <v>11869345</v>
      </c>
      <c r="G4162" s="2" t="s">
        <v>576</v>
      </c>
      <c r="H4162" s="2" t="s">
        <v>577</v>
      </c>
      <c r="I4162" s="2" t="s">
        <v>578</v>
      </c>
      <c r="J4162" s="4">
        <v>-0.47</v>
      </c>
      <c r="K4162" s="2" t="s">
        <v>179</v>
      </c>
      <c r="L4162" s="2">
        <v>2023</v>
      </c>
      <c r="M4162" s="2" t="s">
        <v>180</v>
      </c>
      <c r="N4162" s="2" t="s">
        <v>23</v>
      </c>
      <c r="O4162">
        <f t="shared" si="128"/>
        <v>0.4930000000000021</v>
      </c>
      <c r="P4162">
        <f t="shared" si="129"/>
        <v>11.584000000000003</v>
      </c>
    </row>
    <row r="4163" spans="1:16" x14ac:dyDescent="0.35">
      <c r="A4163" s="9" t="s">
        <v>181</v>
      </c>
      <c r="B4163" s="2">
        <v>52.460999999999999</v>
      </c>
      <c r="C4163" s="2">
        <v>53.09</v>
      </c>
      <c r="D4163" s="2">
        <v>52.460999999999999</v>
      </c>
      <c r="E4163" s="2">
        <v>52.69</v>
      </c>
      <c r="F4163" s="2">
        <v>12754187</v>
      </c>
      <c r="G4163" s="2" t="s">
        <v>576</v>
      </c>
      <c r="H4163" s="2" t="s">
        <v>577</v>
      </c>
      <c r="I4163" s="2" t="s">
        <v>578</v>
      </c>
      <c r="J4163" s="3">
        <v>7.0000000000000007E-2</v>
      </c>
      <c r="K4163" s="2" t="s">
        <v>179</v>
      </c>
      <c r="L4163" s="2">
        <v>2023</v>
      </c>
      <c r="M4163" s="2" t="s">
        <v>180</v>
      </c>
      <c r="N4163" s="2" t="s">
        <v>21</v>
      </c>
      <c r="O4163">
        <f t="shared" ref="O4163:O4226" si="130">C4163-D4163</f>
        <v>0.62900000000000489</v>
      </c>
      <c r="P4163">
        <f t="shared" si="129"/>
        <v>11.654000000000003</v>
      </c>
    </row>
    <row r="4164" spans="1:16" x14ac:dyDescent="0.35">
      <c r="A4164" s="9" t="s">
        <v>182</v>
      </c>
      <c r="B4164" s="2">
        <v>52.624000000000002</v>
      </c>
      <c r="C4164" s="2">
        <v>52.781999999999996</v>
      </c>
      <c r="D4164" s="2">
        <v>52.456000000000003</v>
      </c>
      <c r="E4164" s="2">
        <v>52.703000000000003</v>
      </c>
      <c r="F4164" s="2">
        <v>13300189</v>
      </c>
      <c r="G4164" s="2" t="s">
        <v>576</v>
      </c>
      <c r="H4164" s="2" t="s">
        <v>577</v>
      </c>
      <c r="I4164" s="2" t="s">
        <v>578</v>
      </c>
      <c r="J4164" s="3">
        <v>2.5000000000000001E-2</v>
      </c>
      <c r="K4164" s="2" t="s">
        <v>179</v>
      </c>
      <c r="L4164" s="2">
        <v>2023</v>
      </c>
      <c r="M4164" s="2" t="s">
        <v>180</v>
      </c>
      <c r="N4164" s="2" t="s">
        <v>21</v>
      </c>
      <c r="O4164">
        <f t="shared" si="130"/>
        <v>0.32599999999999341</v>
      </c>
      <c r="P4164">
        <f t="shared" ref="P4164:P4227" si="131">IF(G4164=G4163, P4163+J4164, J4164)</f>
        <v>11.679000000000004</v>
      </c>
    </row>
    <row r="4165" spans="1:16" x14ac:dyDescent="0.35">
      <c r="A4165" s="9" t="s">
        <v>183</v>
      </c>
      <c r="B4165" s="2">
        <v>52.868000000000002</v>
      </c>
      <c r="C4165" s="2">
        <v>53.03</v>
      </c>
      <c r="D4165" s="2">
        <v>52.273000000000003</v>
      </c>
      <c r="E4165" s="2">
        <v>52.398000000000003</v>
      </c>
      <c r="F4165" s="2">
        <v>14366965</v>
      </c>
      <c r="G4165" s="2" t="s">
        <v>576</v>
      </c>
      <c r="H4165" s="2" t="s">
        <v>577</v>
      </c>
      <c r="I4165" s="2" t="s">
        <v>578</v>
      </c>
      <c r="J4165" s="4">
        <v>-0.57799999999999996</v>
      </c>
      <c r="K4165" s="2" t="s">
        <v>179</v>
      </c>
      <c r="L4165" s="2">
        <v>2023</v>
      </c>
      <c r="M4165" s="2" t="s">
        <v>180</v>
      </c>
      <c r="N4165" s="2" t="s">
        <v>23</v>
      </c>
      <c r="O4165">
        <f t="shared" si="130"/>
        <v>0.7569999999999979</v>
      </c>
      <c r="P4165">
        <f t="shared" si="131"/>
        <v>11.101000000000004</v>
      </c>
    </row>
    <row r="4166" spans="1:16" x14ac:dyDescent="0.35">
      <c r="A4166" s="9" t="s">
        <v>184</v>
      </c>
      <c r="B4166" s="2">
        <v>52.781999999999996</v>
      </c>
      <c r="C4166" s="2">
        <v>53.347999999999999</v>
      </c>
      <c r="D4166" s="2">
        <v>52.652999999999999</v>
      </c>
      <c r="E4166" s="2">
        <v>53.11</v>
      </c>
      <c r="F4166" s="2">
        <v>14373528</v>
      </c>
      <c r="G4166" s="2" t="s">
        <v>576</v>
      </c>
      <c r="H4166" s="2" t="s">
        <v>577</v>
      </c>
      <c r="I4166" s="2" t="s">
        <v>578</v>
      </c>
      <c r="J4166" s="3">
        <v>1.3580000000000001</v>
      </c>
      <c r="K4166" s="2" t="s">
        <v>179</v>
      </c>
      <c r="L4166" s="2">
        <v>2023</v>
      </c>
      <c r="M4166" s="2" t="s">
        <v>180</v>
      </c>
      <c r="N4166" s="2" t="s">
        <v>21</v>
      </c>
      <c r="O4166">
        <f t="shared" si="130"/>
        <v>0.69500000000000028</v>
      </c>
      <c r="P4166">
        <f t="shared" si="131"/>
        <v>12.459000000000005</v>
      </c>
    </row>
    <row r="4167" spans="1:16" x14ac:dyDescent="0.35">
      <c r="A4167" s="9" t="s">
        <v>185</v>
      </c>
      <c r="B4167" s="2">
        <v>53.274999999999999</v>
      </c>
      <c r="C4167" s="2">
        <v>53.484000000000002</v>
      </c>
      <c r="D4167" s="2">
        <v>52.786000000000001</v>
      </c>
      <c r="E4167" s="2">
        <v>53.162999999999997</v>
      </c>
      <c r="F4167" s="2">
        <v>11098351</v>
      </c>
      <c r="G4167" s="2" t="s">
        <v>576</v>
      </c>
      <c r="H4167" s="2" t="s">
        <v>577</v>
      </c>
      <c r="I4167" s="2" t="s">
        <v>578</v>
      </c>
      <c r="J4167" s="3">
        <v>0.1</v>
      </c>
      <c r="K4167" s="2" t="s">
        <v>179</v>
      </c>
      <c r="L4167" s="2">
        <v>2023</v>
      </c>
      <c r="M4167" s="2" t="s">
        <v>180</v>
      </c>
      <c r="N4167" s="2" t="s">
        <v>21</v>
      </c>
      <c r="O4167">
        <f t="shared" si="130"/>
        <v>0.6980000000000004</v>
      </c>
      <c r="P4167">
        <f t="shared" si="131"/>
        <v>12.559000000000005</v>
      </c>
    </row>
    <row r="4168" spans="1:16" x14ac:dyDescent="0.35">
      <c r="A4168" s="9" t="s">
        <v>186</v>
      </c>
      <c r="B4168" s="2">
        <v>53.249000000000002</v>
      </c>
      <c r="C4168" s="2">
        <v>53.643000000000001</v>
      </c>
      <c r="D4168" s="2">
        <v>53.183</v>
      </c>
      <c r="E4168" s="2">
        <v>53.249000000000002</v>
      </c>
      <c r="F4168" s="2">
        <v>13305810</v>
      </c>
      <c r="G4168" s="2" t="s">
        <v>576</v>
      </c>
      <c r="H4168" s="2" t="s">
        <v>577</v>
      </c>
      <c r="I4168" s="2" t="s">
        <v>578</v>
      </c>
      <c r="J4168" s="3">
        <v>0.16200000000000001</v>
      </c>
      <c r="K4168" s="2" t="s">
        <v>179</v>
      </c>
      <c r="L4168" s="2">
        <v>2023</v>
      </c>
      <c r="M4168" s="2" t="s">
        <v>180</v>
      </c>
      <c r="N4168" s="2" t="s">
        <v>21</v>
      </c>
      <c r="O4168">
        <f t="shared" si="130"/>
        <v>0.46000000000000085</v>
      </c>
      <c r="P4168">
        <f t="shared" si="131"/>
        <v>12.721000000000005</v>
      </c>
    </row>
    <row r="4169" spans="1:16" x14ac:dyDescent="0.35">
      <c r="A4169" s="9" t="s">
        <v>187</v>
      </c>
      <c r="B4169" s="2">
        <v>53.398000000000003</v>
      </c>
      <c r="C4169" s="2">
        <v>53.716999999999999</v>
      </c>
      <c r="D4169" s="2">
        <v>53.146000000000001</v>
      </c>
      <c r="E4169" s="2">
        <v>53.222000000000001</v>
      </c>
      <c r="F4169" s="2">
        <v>15225828</v>
      </c>
      <c r="G4169" s="2" t="s">
        <v>576</v>
      </c>
      <c r="H4169" s="2" t="s">
        <v>577</v>
      </c>
      <c r="I4169" s="2" t="s">
        <v>578</v>
      </c>
      <c r="J4169" s="4">
        <v>-0.05</v>
      </c>
      <c r="K4169" s="2" t="s">
        <v>179</v>
      </c>
      <c r="L4169" s="2">
        <v>2023</v>
      </c>
      <c r="M4169" s="2" t="s">
        <v>180</v>
      </c>
      <c r="N4169" s="2" t="s">
        <v>23</v>
      </c>
      <c r="O4169">
        <f t="shared" si="130"/>
        <v>0.57099999999999795</v>
      </c>
      <c r="P4169">
        <f t="shared" si="131"/>
        <v>12.671000000000005</v>
      </c>
    </row>
    <row r="4170" spans="1:16" x14ac:dyDescent="0.35">
      <c r="A4170" s="9" t="s">
        <v>188</v>
      </c>
      <c r="B4170" s="2">
        <v>53.319000000000003</v>
      </c>
      <c r="C4170" s="2">
        <v>53.744</v>
      </c>
      <c r="D4170" s="2">
        <v>53.168999999999997</v>
      </c>
      <c r="E4170" s="2">
        <v>53.534999999999997</v>
      </c>
      <c r="F4170" s="2">
        <v>14247924</v>
      </c>
      <c r="G4170" s="2" t="s">
        <v>576</v>
      </c>
      <c r="H4170" s="2" t="s">
        <v>577</v>
      </c>
      <c r="I4170" s="2" t="s">
        <v>578</v>
      </c>
      <c r="J4170" s="3">
        <v>0.58699999999999997</v>
      </c>
      <c r="K4170" s="2" t="s">
        <v>179</v>
      </c>
      <c r="L4170" s="2">
        <v>2023</v>
      </c>
      <c r="M4170" s="2" t="s">
        <v>180</v>
      </c>
      <c r="N4170" s="2" t="s">
        <v>21</v>
      </c>
      <c r="O4170">
        <f t="shared" si="130"/>
        <v>0.57500000000000284</v>
      </c>
      <c r="P4170">
        <f t="shared" si="131"/>
        <v>13.258000000000004</v>
      </c>
    </row>
    <row r="4171" spans="1:16" x14ac:dyDescent="0.35">
      <c r="A4171" s="9" t="s">
        <v>189</v>
      </c>
      <c r="B4171" s="2">
        <v>53.8</v>
      </c>
      <c r="C4171" s="2">
        <v>54.058999999999997</v>
      </c>
      <c r="D4171" s="2">
        <v>52.863999999999997</v>
      </c>
      <c r="E4171" s="2">
        <v>53.136000000000003</v>
      </c>
      <c r="F4171" s="2">
        <v>20890973</v>
      </c>
      <c r="G4171" s="2" t="s">
        <v>576</v>
      </c>
      <c r="H4171" s="2" t="s">
        <v>577</v>
      </c>
      <c r="I4171" s="2" t="s">
        <v>578</v>
      </c>
      <c r="J4171" s="4">
        <v>-0.745</v>
      </c>
      <c r="K4171" s="2" t="s">
        <v>179</v>
      </c>
      <c r="L4171" s="2">
        <v>2023</v>
      </c>
      <c r="M4171" s="2" t="s">
        <v>180</v>
      </c>
      <c r="N4171" s="2" t="s">
        <v>23</v>
      </c>
      <c r="O4171">
        <f t="shared" si="130"/>
        <v>1.1950000000000003</v>
      </c>
      <c r="P4171">
        <f t="shared" si="131"/>
        <v>12.513000000000005</v>
      </c>
    </row>
    <row r="4172" spans="1:16" x14ac:dyDescent="0.35">
      <c r="A4172" s="9" t="s">
        <v>190</v>
      </c>
      <c r="B4172" s="2">
        <v>52.982999999999997</v>
      </c>
      <c r="C4172" s="2">
        <v>53.398000000000003</v>
      </c>
      <c r="D4172" s="2">
        <v>52.777000000000001</v>
      </c>
      <c r="E4172" s="2">
        <v>52.863999999999997</v>
      </c>
      <c r="F4172" s="2">
        <v>14613521</v>
      </c>
      <c r="G4172" s="2" t="s">
        <v>576</v>
      </c>
      <c r="H4172" s="2" t="s">
        <v>577</v>
      </c>
      <c r="I4172" s="2" t="s">
        <v>578</v>
      </c>
      <c r="J4172" s="4">
        <v>-0.51200000000000001</v>
      </c>
      <c r="K4172" s="2" t="s">
        <v>179</v>
      </c>
      <c r="L4172" s="2">
        <v>2023</v>
      </c>
      <c r="M4172" s="2" t="s">
        <v>180</v>
      </c>
      <c r="N4172" s="2" t="s">
        <v>23</v>
      </c>
      <c r="O4172">
        <f t="shared" si="130"/>
        <v>0.62100000000000222</v>
      </c>
      <c r="P4172">
        <f t="shared" si="131"/>
        <v>12.001000000000005</v>
      </c>
    </row>
    <row r="4173" spans="1:16" x14ac:dyDescent="0.35">
      <c r="A4173" s="9" t="s">
        <v>191</v>
      </c>
      <c r="B4173" s="2">
        <v>53.095999999999997</v>
      </c>
      <c r="C4173" s="2">
        <v>53.457999999999998</v>
      </c>
      <c r="D4173" s="2">
        <v>52.594999999999999</v>
      </c>
      <c r="E4173" s="2">
        <v>52.89</v>
      </c>
      <c r="F4173" s="2">
        <v>27081150</v>
      </c>
      <c r="G4173" s="2" t="s">
        <v>576</v>
      </c>
      <c r="H4173" s="2" t="s">
        <v>577</v>
      </c>
      <c r="I4173" s="2" t="s">
        <v>578</v>
      </c>
      <c r="J4173" s="3">
        <v>0.05</v>
      </c>
      <c r="K4173" s="2" t="s">
        <v>179</v>
      </c>
      <c r="L4173" s="2">
        <v>2023</v>
      </c>
      <c r="M4173" s="2" t="s">
        <v>180</v>
      </c>
      <c r="N4173" s="2" t="s">
        <v>21</v>
      </c>
      <c r="O4173">
        <f t="shared" si="130"/>
        <v>0.86299999999999955</v>
      </c>
      <c r="P4173">
        <f t="shared" si="131"/>
        <v>12.051000000000005</v>
      </c>
    </row>
    <row r="4174" spans="1:16" x14ac:dyDescent="0.35">
      <c r="A4174" s="9" t="s">
        <v>192</v>
      </c>
      <c r="B4174" s="2">
        <v>53.435000000000002</v>
      </c>
      <c r="C4174" s="2">
        <v>53.515000000000001</v>
      </c>
      <c r="D4174" s="2">
        <v>51.481999999999999</v>
      </c>
      <c r="E4174" s="2">
        <v>51.704999999999998</v>
      </c>
      <c r="F4174" s="2">
        <v>53813429</v>
      </c>
      <c r="G4174" s="2" t="s">
        <v>576</v>
      </c>
      <c r="H4174" s="2" t="s">
        <v>577</v>
      </c>
      <c r="I4174" s="2" t="s">
        <v>578</v>
      </c>
      <c r="J4174" s="4">
        <v>-2.242</v>
      </c>
      <c r="K4174" s="2" t="s">
        <v>179</v>
      </c>
      <c r="L4174" s="2">
        <v>2023</v>
      </c>
      <c r="M4174" s="2" t="s">
        <v>180</v>
      </c>
      <c r="N4174" s="2" t="s">
        <v>23</v>
      </c>
      <c r="O4174">
        <f t="shared" si="130"/>
        <v>2.0330000000000013</v>
      </c>
      <c r="P4174">
        <f t="shared" si="131"/>
        <v>9.8090000000000046</v>
      </c>
    </row>
    <row r="4175" spans="1:16" x14ac:dyDescent="0.35">
      <c r="A4175" s="9" t="s">
        <v>193</v>
      </c>
      <c r="B4175" s="2">
        <v>51.578000000000003</v>
      </c>
      <c r="C4175" s="2">
        <v>53.026000000000003</v>
      </c>
      <c r="D4175" s="2">
        <v>51.578000000000003</v>
      </c>
      <c r="E4175" s="2">
        <v>52.448999999999998</v>
      </c>
      <c r="F4175" s="2">
        <v>28058606</v>
      </c>
      <c r="G4175" s="2" t="s">
        <v>576</v>
      </c>
      <c r="H4175" s="2" t="s">
        <v>577</v>
      </c>
      <c r="I4175" s="2" t="s">
        <v>578</v>
      </c>
      <c r="J4175" s="3">
        <v>1.4390000000000001</v>
      </c>
      <c r="K4175" s="2" t="s">
        <v>179</v>
      </c>
      <c r="L4175" s="2">
        <v>2023</v>
      </c>
      <c r="M4175" s="2" t="s">
        <v>180</v>
      </c>
      <c r="N4175" s="2" t="s">
        <v>21</v>
      </c>
      <c r="O4175">
        <f t="shared" si="130"/>
        <v>1.4480000000000004</v>
      </c>
      <c r="P4175">
        <f t="shared" si="131"/>
        <v>11.248000000000005</v>
      </c>
    </row>
    <row r="4176" spans="1:16" x14ac:dyDescent="0.35">
      <c r="A4176" s="9" t="s">
        <v>194</v>
      </c>
      <c r="B4176" s="2">
        <v>52.348999999999997</v>
      </c>
      <c r="C4176" s="2">
        <v>52.750999999999998</v>
      </c>
      <c r="D4176" s="2">
        <v>52.152999999999999</v>
      </c>
      <c r="E4176" s="2">
        <v>52.308999999999997</v>
      </c>
      <c r="F4176" s="2">
        <v>15737500</v>
      </c>
      <c r="G4176" s="2" t="s">
        <v>576</v>
      </c>
      <c r="H4176" s="2" t="s">
        <v>577</v>
      </c>
      <c r="I4176" s="2" t="s">
        <v>578</v>
      </c>
      <c r="J4176" s="4">
        <v>-0.26600000000000001</v>
      </c>
      <c r="K4176" s="2" t="s">
        <v>179</v>
      </c>
      <c r="L4176" s="2">
        <v>2023</v>
      </c>
      <c r="M4176" s="2" t="s">
        <v>180</v>
      </c>
      <c r="N4176" s="2" t="s">
        <v>23</v>
      </c>
      <c r="O4176">
        <f t="shared" si="130"/>
        <v>0.59799999999999898</v>
      </c>
      <c r="P4176">
        <f t="shared" si="131"/>
        <v>10.982000000000005</v>
      </c>
    </row>
    <row r="4177" spans="1:16" x14ac:dyDescent="0.35">
      <c r="A4177" s="9" t="s">
        <v>195</v>
      </c>
      <c r="B4177" s="2">
        <v>52.13</v>
      </c>
      <c r="C4177" s="2">
        <v>52.243000000000002</v>
      </c>
      <c r="D4177" s="2">
        <v>51.887</v>
      </c>
      <c r="E4177" s="2">
        <v>52.143000000000001</v>
      </c>
      <c r="F4177" s="2">
        <v>16734432</v>
      </c>
      <c r="G4177" s="2" t="s">
        <v>576</v>
      </c>
      <c r="H4177" s="2" t="s">
        <v>577</v>
      </c>
      <c r="I4177" s="2" t="s">
        <v>578</v>
      </c>
      <c r="J4177" s="4">
        <v>-0.317</v>
      </c>
      <c r="K4177" s="2" t="s">
        <v>179</v>
      </c>
      <c r="L4177" s="2">
        <v>2023</v>
      </c>
      <c r="M4177" s="2" t="s">
        <v>180</v>
      </c>
      <c r="N4177" s="2" t="s">
        <v>23</v>
      </c>
      <c r="O4177">
        <f t="shared" si="130"/>
        <v>0.35600000000000165</v>
      </c>
      <c r="P4177">
        <f t="shared" si="131"/>
        <v>10.665000000000004</v>
      </c>
    </row>
    <row r="4178" spans="1:16" x14ac:dyDescent="0.35">
      <c r="A4178" s="9" t="s">
        <v>196</v>
      </c>
      <c r="B4178" s="2">
        <v>52.01</v>
      </c>
      <c r="C4178" s="2">
        <v>52.604999999999997</v>
      </c>
      <c r="D4178" s="2">
        <v>51.976999999999997</v>
      </c>
      <c r="E4178" s="2">
        <v>52.505000000000003</v>
      </c>
      <c r="F4178" s="2">
        <v>14263130</v>
      </c>
      <c r="G4178" s="2" t="s">
        <v>576</v>
      </c>
      <c r="H4178" s="2" t="s">
        <v>577</v>
      </c>
      <c r="I4178" s="2" t="s">
        <v>578</v>
      </c>
      <c r="J4178" s="3">
        <v>0.69399999999999995</v>
      </c>
      <c r="K4178" s="2" t="s">
        <v>179</v>
      </c>
      <c r="L4178" s="2">
        <v>2023</v>
      </c>
      <c r="M4178" s="2" t="s">
        <v>180</v>
      </c>
      <c r="N4178" s="2" t="s">
        <v>21</v>
      </c>
      <c r="O4178">
        <f t="shared" si="130"/>
        <v>0.62800000000000011</v>
      </c>
      <c r="P4178">
        <f t="shared" si="131"/>
        <v>11.359000000000005</v>
      </c>
    </row>
    <row r="4179" spans="1:16" x14ac:dyDescent="0.35">
      <c r="A4179" s="9" t="s">
        <v>197</v>
      </c>
      <c r="B4179" s="2">
        <v>52.515000000000001</v>
      </c>
      <c r="C4179" s="2">
        <v>52.88</v>
      </c>
      <c r="D4179" s="2">
        <v>52.08</v>
      </c>
      <c r="E4179" s="2">
        <v>52.103000000000002</v>
      </c>
      <c r="F4179" s="2">
        <v>14085214</v>
      </c>
      <c r="G4179" s="2" t="s">
        <v>576</v>
      </c>
      <c r="H4179" s="2" t="s">
        <v>577</v>
      </c>
      <c r="I4179" s="2" t="s">
        <v>578</v>
      </c>
      <c r="J4179" s="4">
        <v>-0.76600000000000001</v>
      </c>
      <c r="K4179" s="2" t="s">
        <v>179</v>
      </c>
      <c r="L4179" s="2">
        <v>2023</v>
      </c>
      <c r="M4179" s="2" t="s">
        <v>180</v>
      </c>
      <c r="N4179" s="2" t="s">
        <v>23</v>
      </c>
      <c r="O4179">
        <f t="shared" si="130"/>
        <v>0.80000000000000426</v>
      </c>
      <c r="P4179">
        <f t="shared" si="131"/>
        <v>10.593000000000005</v>
      </c>
    </row>
    <row r="4180" spans="1:16" x14ac:dyDescent="0.35">
      <c r="A4180" s="9" t="s">
        <v>198</v>
      </c>
      <c r="B4180" s="2">
        <v>52.198999999999998</v>
      </c>
      <c r="C4180" s="2">
        <v>52.484999999999999</v>
      </c>
      <c r="D4180" s="2">
        <v>51.987000000000002</v>
      </c>
      <c r="E4180" s="2">
        <v>52.411999999999999</v>
      </c>
      <c r="F4180" s="2">
        <v>12312967</v>
      </c>
      <c r="G4180" s="2" t="s">
        <v>576</v>
      </c>
      <c r="H4180" s="2" t="s">
        <v>577</v>
      </c>
      <c r="I4180" s="2" t="s">
        <v>578</v>
      </c>
      <c r="J4180" s="3">
        <v>0.59299999999999997</v>
      </c>
      <c r="K4180" s="2" t="s">
        <v>179</v>
      </c>
      <c r="L4180" s="2">
        <v>2023</v>
      </c>
      <c r="M4180" s="2" t="s">
        <v>180</v>
      </c>
      <c r="N4180" s="2" t="s">
        <v>21</v>
      </c>
      <c r="O4180">
        <f t="shared" si="130"/>
        <v>0.49799999999999756</v>
      </c>
      <c r="P4180">
        <f t="shared" si="131"/>
        <v>11.186000000000005</v>
      </c>
    </row>
    <row r="4181" spans="1:16" x14ac:dyDescent="0.35">
      <c r="A4181" s="9" t="s">
        <v>199</v>
      </c>
      <c r="B4181" s="2">
        <v>52.424999999999997</v>
      </c>
      <c r="C4181" s="2">
        <v>52.747</v>
      </c>
      <c r="D4181" s="2">
        <v>52.424999999999997</v>
      </c>
      <c r="E4181" s="2">
        <v>52.710999999999999</v>
      </c>
      <c r="F4181" s="2">
        <v>11915213</v>
      </c>
      <c r="G4181" s="2" t="s">
        <v>576</v>
      </c>
      <c r="H4181" s="2" t="s">
        <v>577</v>
      </c>
      <c r="I4181" s="2" t="s">
        <v>578</v>
      </c>
      <c r="J4181" s="3">
        <v>0.56999999999999995</v>
      </c>
      <c r="K4181" s="2" t="s">
        <v>179</v>
      </c>
      <c r="L4181" s="2">
        <v>2023</v>
      </c>
      <c r="M4181" s="2" t="s">
        <v>180</v>
      </c>
      <c r="N4181" s="2" t="s">
        <v>21</v>
      </c>
      <c r="O4181">
        <f t="shared" si="130"/>
        <v>0.32200000000000273</v>
      </c>
      <c r="P4181">
        <f t="shared" si="131"/>
        <v>11.756000000000006</v>
      </c>
    </row>
    <row r="4182" spans="1:16" x14ac:dyDescent="0.35">
      <c r="A4182" s="9" t="s">
        <v>200</v>
      </c>
      <c r="B4182" s="2">
        <v>52.804000000000002</v>
      </c>
      <c r="C4182" s="2">
        <v>53.210999999999999</v>
      </c>
      <c r="D4182" s="2">
        <v>52.756999999999998</v>
      </c>
      <c r="E4182" s="2">
        <v>53.152999999999999</v>
      </c>
      <c r="F4182" s="2">
        <v>12749381</v>
      </c>
      <c r="G4182" s="2" t="s">
        <v>576</v>
      </c>
      <c r="H4182" s="2" t="s">
        <v>577</v>
      </c>
      <c r="I4182" s="2" t="s">
        <v>578</v>
      </c>
      <c r="J4182" s="3">
        <v>0.83799999999999997</v>
      </c>
      <c r="K4182" s="2" t="s">
        <v>179</v>
      </c>
      <c r="L4182" s="2">
        <v>2023</v>
      </c>
      <c r="M4182" s="2" t="s">
        <v>180</v>
      </c>
      <c r="N4182" s="2" t="s">
        <v>21</v>
      </c>
      <c r="O4182">
        <f t="shared" si="130"/>
        <v>0.45400000000000063</v>
      </c>
      <c r="P4182">
        <f t="shared" si="131"/>
        <v>12.594000000000005</v>
      </c>
    </row>
    <row r="4183" spans="1:16" x14ac:dyDescent="0.35">
      <c r="A4183" s="9" t="s">
        <v>201</v>
      </c>
      <c r="B4183" s="2">
        <v>53.268999999999998</v>
      </c>
      <c r="C4183" s="2">
        <v>53.564</v>
      </c>
      <c r="D4183" s="2">
        <v>53.109000000000002</v>
      </c>
      <c r="E4183" s="2">
        <v>53.534999999999997</v>
      </c>
      <c r="F4183" s="2">
        <v>11008495</v>
      </c>
      <c r="G4183" s="2" t="s">
        <v>576</v>
      </c>
      <c r="H4183" s="2" t="s">
        <v>577</v>
      </c>
      <c r="I4183" s="2" t="s">
        <v>578</v>
      </c>
      <c r="J4183" s="3">
        <v>0.71899999999999997</v>
      </c>
      <c r="K4183" s="2" t="s">
        <v>179</v>
      </c>
      <c r="L4183" s="2">
        <v>2023</v>
      </c>
      <c r="M4183" s="2" t="s">
        <v>180</v>
      </c>
      <c r="N4183" s="2" t="s">
        <v>21</v>
      </c>
      <c r="O4183">
        <f t="shared" si="130"/>
        <v>0.45499999999999829</v>
      </c>
      <c r="P4183">
        <f t="shared" si="131"/>
        <v>13.313000000000004</v>
      </c>
    </row>
    <row r="4184" spans="1:16" x14ac:dyDescent="0.35">
      <c r="A4184" s="9" t="s">
        <v>202</v>
      </c>
      <c r="B4184" s="2">
        <v>53.508000000000003</v>
      </c>
      <c r="C4184" s="2">
        <v>54.128999999999998</v>
      </c>
      <c r="D4184" s="2">
        <v>53.454999999999998</v>
      </c>
      <c r="E4184" s="2">
        <v>54.003</v>
      </c>
      <c r="F4184" s="2">
        <v>19655628</v>
      </c>
      <c r="G4184" s="2" t="s">
        <v>576</v>
      </c>
      <c r="H4184" s="2" t="s">
        <v>577</v>
      </c>
      <c r="I4184" s="2" t="s">
        <v>578</v>
      </c>
      <c r="J4184" s="3">
        <v>0.874</v>
      </c>
      <c r="K4184" s="2" t="s">
        <v>179</v>
      </c>
      <c r="L4184" s="2">
        <v>2023</v>
      </c>
      <c r="M4184" s="2" t="s">
        <v>180</v>
      </c>
      <c r="N4184" s="2" t="s">
        <v>21</v>
      </c>
      <c r="O4184">
        <f t="shared" si="130"/>
        <v>0.67399999999999949</v>
      </c>
      <c r="P4184">
        <f t="shared" si="131"/>
        <v>14.187000000000005</v>
      </c>
    </row>
    <row r="4185" spans="1:16" x14ac:dyDescent="0.35">
      <c r="A4185" s="9" t="s">
        <v>203</v>
      </c>
      <c r="B4185" s="2">
        <v>54.088999999999999</v>
      </c>
      <c r="C4185" s="2">
        <v>54.119</v>
      </c>
      <c r="D4185" s="2">
        <v>53.186</v>
      </c>
      <c r="E4185" s="2">
        <v>53.656999999999996</v>
      </c>
      <c r="F4185" s="2">
        <v>12599992</v>
      </c>
      <c r="G4185" s="2" t="s">
        <v>576</v>
      </c>
      <c r="H4185" s="2" t="s">
        <v>577</v>
      </c>
      <c r="I4185" s="2" t="s">
        <v>578</v>
      </c>
      <c r="J4185" s="4">
        <v>-0.64</v>
      </c>
      <c r="K4185" s="2" t="s">
        <v>204</v>
      </c>
      <c r="L4185" s="2">
        <v>2023</v>
      </c>
      <c r="M4185" s="2" t="s">
        <v>205</v>
      </c>
      <c r="N4185" s="2" t="s">
        <v>23</v>
      </c>
      <c r="O4185">
        <f t="shared" si="130"/>
        <v>0.93299999999999983</v>
      </c>
      <c r="P4185">
        <f t="shared" si="131"/>
        <v>13.547000000000004</v>
      </c>
    </row>
    <row r="4186" spans="1:16" x14ac:dyDescent="0.35">
      <c r="A4186" s="9" t="s">
        <v>206</v>
      </c>
      <c r="B4186" s="2">
        <v>53.75</v>
      </c>
      <c r="C4186" s="2">
        <v>54.066000000000003</v>
      </c>
      <c r="D4186" s="2">
        <v>53.195999999999998</v>
      </c>
      <c r="E4186" s="2">
        <v>53.225999999999999</v>
      </c>
      <c r="F4186" s="2">
        <v>15265846</v>
      </c>
      <c r="G4186" s="2" t="s">
        <v>576</v>
      </c>
      <c r="H4186" s="2" t="s">
        <v>577</v>
      </c>
      <c r="I4186" s="2" t="s">
        <v>578</v>
      </c>
      <c r="J4186" s="4">
        <v>-0.80400000000000005</v>
      </c>
      <c r="K4186" s="2" t="s">
        <v>204</v>
      </c>
      <c r="L4186" s="2">
        <v>2023</v>
      </c>
      <c r="M4186" s="2" t="s">
        <v>205</v>
      </c>
      <c r="N4186" s="2" t="s">
        <v>23</v>
      </c>
      <c r="O4186">
        <f t="shared" si="130"/>
        <v>0.87000000000000455</v>
      </c>
      <c r="P4186">
        <f t="shared" si="131"/>
        <v>12.743000000000004</v>
      </c>
    </row>
    <row r="4187" spans="1:16" x14ac:dyDescent="0.35">
      <c r="A4187" s="9" t="s">
        <v>207</v>
      </c>
      <c r="B4187" s="2">
        <v>53.268999999999998</v>
      </c>
      <c r="C4187" s="2">
        <v>53.856999999999999</v>
      </c>
      <c r="D4187" s="2">
        <v>53.106000000000002</v>
      </c>
      <c r="E4187" s="2">
        <v>53.624000000000002</v>
      </c>
      <c r="F4187" s="2">
        <v>14648767</v>
      </c>
      <c r="G4187" s="2" t="s">
        <v>576</v>
      </c>
      <c r="H4187" s="2" t="s">
        <v>577</v>
      </c>
      <c r="I4187" s="2" t="s">
        <v>578</v>
      </c>
      <c r="J4187" s="3">
        <v>0.749</v>
      </c>
      <c r="K4187" s="2" t="s">
        <v>204</v>
      </c>
      <c r="L4187" s="2">
        <v>2023</v>
      </c>
      <c r="M4187" s="2" t="s">
        <v>205</v>
      </c>
      <c r="N4187" s="2" t="s">
        <v>21</v>
      </c>
      <c r="O4187">
        <f t="shared" si="130"/>
        <v>0.75099999999999767</v>
      </c>
      <c r="P4187">
        <f t="shared" si="131"/>
        <v>13.492000000000004</v>
      </c>
    </row>
    <row r="4188" spans="1:16" x14ac:dyDescent="0.35">
      <c r="A4188" s="9" t="s">
        <v>208</v>
      </c>
      <c r="B4188" s="2">
        <v>53.8</v>
      </c>
      <c r="C4188" s="2">
        <v>54.292000000000002</v>
      </c>
      <c r="D4188" s="2">
        <v>53.631</v>
      </c>
      <c r="E4188" s="2">
        <v>54.287999999999997</v>
      </c>
      <c r="F4188" s="2">
        <v>19191903</v>
      </c>
      <c r="G4188" s="2" t="s">
        <v>576</v>
      </c>
      <c r="H4188" s="2" t="s">
        <v>577</v>
      </c>
      <c r="I4188" s="2" t="s">
        <v>578</v>
      </c>
      <c r="J4188" s="3">
        <v>1.238</v>
      </c>
      <c r="K4188" s="2" t="s">
        <v>204</v>
      </c>
      <c r="L4188" s="2">
        <v>2023</v>
      </c>
      <c r="M4188" s="2" t="s">
        <v>205</v>
      </c>
      <c r="N4188" s="2" t="s">
        <v>21</v>
      </c>
      <c r="O4188">
        <f t="shared" si="130"/>
        <v>0.66100000000000136</v>
      </c>
      <c r="P4188">
        <f t="shared" si="131"/>
        <v>14.730000000000004</v>
      </c>
    </row>
    <row r="4189" spans="1:16" x14ac:dyDescent="0.35">
      <c r="A4189" s="9" t="s">
        <v>209</v>
      </c>
      <c r="B4189" s="2">
        <v>54.292000000000002</v>
      </c>
      <c r="C4189" s="2">
        <v>54.417999999999999</v>
      </c>
      <c r="D4189" s="2">
        <v>54.155999999999999</v>
      </c>
      <c r="E4189" s="2">
        <v>54.387999999999998</v>
      </c>
      <c r="F4189" s="2">
        <v>12716017</v>
      </c>
      <c r="G4189" s="2" t="s">
        <v>576</v>
      </c>
      <c r="H4189" s="2" t="s">
        <v>577</v>
      </c>
      <c r="I4189" s="2" t="s">
        <v>578</v>
      </c>
      <c r="J4189" s="3">
        <v>0.184</v>
      </c>
      <c r="K4189" s="2" t="s">
        <v>204</v>
      </c>
      <c r="L4189" s="2">
        <v>2023</v>
      </c>
      <c r="M4189" s="2" t="s">
        <v>205</v>
      </c>
      <c r="N4189" s="2" t="s">
        <v>21</v>
      </c>
      <c r="O4189">
        <f t="shared" si="130"/>
        <v>0.26200000000000045</v>
      </c>
      <c r="P4189">
        <f t="shared" si="131"/>
        <v>14.914000000000003</v>
      </c>
    </row>
    <row r="4190" spans="1:16" x14ac:dyDescent="0.35">
      <c r="A4190" s="9" t="s">
        <v>210</v>
      </c>
      <c r="B4190" s="2">
        <v>54.463999999999999</v>
      </c>
      <c r="C4190" s="2">
        <v>54.624000000000002</v>
      </c>
      <c r="D4190" s="2">
        <v>54.350999999999999</v>
      </c>
      <c r="E4190" s="2">
        <v>54.576999999999998</v>
      </c>
      <c r="F4190" s="2">
        <v>11956360</v>
      </c>
      <c r="G4190" s="2" t="s">
        <v>576</v>
      </c>
      <c r="H4190" s="2" t="s">
        <v>577</v>
      </c>
      <c r="I4190" s="2" t="s">
        <v>578</v>
      </c>
      <c r="J4190" s="3">
        <v>0.34799999999999998</v>
      </c>
      <c r="K4190" s="2" t="s">
        <v>204</v>
      </c>
      <c r="L4190" s="2">
        <v>2023</v>
      </c>
      <c r="M4190" s="2" t="s">
        <v>205</v>
      </c>
      <c r="N4190" s="2" t="s">
        <v>21</v>
      </c>
      <c r="O4190">
        <f t="shared" si="130"/>
        <v>0.27300000000000324</v>
      </c>
      <c r="P4190">
        <f t="shared" si="131"/>
        <v>15.262000000000004</v>
      </c>
    </row>
    <row r="4191" spans="1:16" x14ac:dyDescent="0.35">
      <c r="A4191" s="9" t="s">
        <v>211</v>
      </c>
      <c r="B4191" s="2">
        <v>54.63</v>
      </c>
      <c r="C4191" s="2">
        <v>54.774000000000001</v>
      </c>
      <c r="D4191" s="2">
        <v>54.478000000000002</v>
      </c>
      <c r="E4191" s="2">
        <v>54.637</v>
      </c>
      <c r="F4191" s="2">
        <v>11801024</v>
      </c>
      <c r="G4191" s="2" t="s">
        <v>576</v>
      </c>
      <c r="H4191" s="2" t="s">
        <v>577</v>
      </c>
      <c r="I4191" s="2" t="s">
        <v>578</v>
      </c>
      <c r="J4191" s="3">
        <v>0.109</v>
      </c>
      <c r="K4191" s="2" t="s">
        <v>204</v>
      </c>
      <c r="L4191" s="2">
        <v>2023</v>
      </c>
      <c r="M4191" s="2" t="s">
        <v>205</v>
      </c>
      <c r="N4191" s="2" t="s">
        <v>21</v>
      </c>
      <c r="O4191">
        <f t="shared" si="130"/>
        <v>0.29599999999999937</v>
      </c>
      <c r="P4191">
        <f t="shared" si="131"/>
        <v>15.371000000000004</v>
      </c>
    </row>
    <row r="4192" spans="1:16" x14ac:dyDescent="0.35">
      <c r="A4192" s="9" t="s">
        <v>212</v>
      </c>
      <c r="B4192" s="2">
        <v>54.773000000000003</v>
      </c>
      <c r="C4192" s="2">
        <v>55.079000000000001</v>
      </c>
      <c r="D4192" s="2">
        <v>54.587000000000003</v>
      </c>
      <c r="E4192" s="2">
        <v>54.65</v>
      </c>
      <c r="F4192" s="2">
        <v>14417620</v>
      </c>
      <c r="G4192" s="2" t="s">
        <v>576</v>
      </c>
      <c r="H4192" s="2" t="s">
        <v>577</v>
      </c>
      <c r="I4192" s="2" t="s">
        <v>578</v>
      </c>
      <c r="J4192" s="3">
        <v>2.4E-2</v>
      </c>
      <c r="K4192" s="2" t="s">
        <v>204</v>
      </c>
      <c r="L4192" s="2">
        <v>2023</v>
      </c>
      <c r="M4192" s="2" t="s">
        <v>205</v>
      </c>
      <c r="N4192" s="2" t="s">
        <v>21</v>
      </c>
      <c r="O4192">
        <f t="shared" si="130"/>
        <v>0.49199999999999733</v>
      </c>
      <c r="P4192">
        <f t="shared" si="131"/>
        <v>15.395000000000003</v>
      </c>
    </row>
    <row r="4193" spans="1:16" x14ac:dyDescent="0.35">
      <c r="A4193" s="9" t="s">
        <v>213</v>
      </c>
      <c r="B4193" s="2">
        <v>54.795999999999999</v>
      </c>
      <c r="C4193" s="2">
        <v>55.042000000000002</v>
      </c>
      <c r="D4193" s="2">
        <v>54.600999999999999</v>
      </c>
      <c r="E4193" s="2">
        <v>54.88</v>
      </c>
      <c r="F4193" s="2">
        <v>14979134</v>
      </c>
      <c r="G4193" s="2" t="s">
        <v>576</v>
      </c>
      <c r="H4193" s="2" t="s">
        <v>577</v>
      </c>
      <c r="I4193" s="2" t="s">
        <v>578</v>
      </c>
      <c r="J4193" s="3">
        <v>0.42</v>
      </c>
      <c r="K4193" s="2" t="s">
        <v>204</v>
      </c>
      <c r="L4193" s="2">
        <v>2023</v>
      </c>
      <c r="M4193" s="2" t="s">
        <v>205</v>
      </c>
      <c r="N4193" s="2" t="s">
        <v>21</v>
      </c>
      <c r="O4193">
        <f t="shared" si="130"/>
        <v>0.4410000000000025</v>
      </c>
      <c r="P4193">
        <f t="shared" si="131"/>
        <v>15.815000000000003</v>
      </c>
    </row>
    <row r="4194" spans="1:16" x14ac:dyDescent="0.35">
      <c r="A4194" s="9" t="s">
        <v>214</v>
      </c>
      <c r="B4194" s="2">
        <v>54.866</v>
      </c>
      <c r="C4194" s="2">
        <v>55.015999999999998</v>
      </c>
      <c r="D4194" s="2">
        <v>54.387999999999998</v>
      </c>
      <c r="E4194" s="2">
        <v>54.677</v>
      </c>
      <c r="F4194" s="2">
        <v>64162502</v>
      </c>
      <c r="G4194" s="2" t="s">
        <v>576</v>
      </c>
      <c r="H4194" s="2" t="s">
        <v>577</v>
      </c>
      <c r="I4194" s="2" t="s">
        <v>578</v>
      </c>
      <c r="J4194" s="4">
        <v>-0.36899999999999999</v>
      </c>
      <c r="K4194" s="2" t="s">
        <v>204</v>
      </c>
      <c r="L4194" s="2">
        <v>2023</v>
      </c>
      <c r="M4194" s="2" t="s">
        <v>205</v>
      </c>
      <c r="N4194" s="2" t="s">
        <v>23</v>
      </c>
      <c r="O4194">
        <f t="shared" si="130"/>
        <v>0.62800000000000011</v>
      </c>
      <c r="P4194">
        <f t="shared" si="131"/>
        <v>15.446000000000003</v>
      </c>
    </row>
    <row r="4195" spans="1:16" x14ac:dyDescent="0.35">
      <c r="A4195" s="9" t="s">
        <v>215</v>
      </c>
      <c r="B4195" s="2">
        <v>54.69</v>
      </c>
      <c r="C4195" s="2">
        <v>54.863</v>
      </c>
      <c r="D4195" s="2">
        <v>54.215000000000003</v>
      </c>
      <c r="E4195" s="2">
        <v>54.271999999999998</v>
      </c>
      <c r="F4195" s="2">
        <v>13045966</v>
      </c>
      <c r="G4195" s="2" t="s">
        <v>576</v>
      </c>
      <c r="H4195" s="2" t="s">
        <v>577</v>
      </c>
      <c r="I4195" s="2" t="s">
        <v>578</v>
      </c>
      <c r="J4195" s="4">
        <v>-0.74099999999999999</v>
      </c>
      <c r="K4195" s="2" t="s">
        <v>204</v>
      </c>
      <c r="L4195" s="2">
        <v>2023</v>
      </c>
      <c r="M4195" s="2" t="s">
        <v>205</v>
      </c>
      <c r="N4195" s="2" t="s">
        <v>23</v>
      </c>
      <c r="O4195">
        <f t="shared" si="130"/>
        <v>0.64799999999999613</v>
      </c>
      <c r="P4195">
        <f t="shared" si="131"/>
        <v>14.705000000000004</v>
      </c>
    </row>
    <row r="4196" spans="1:16" x14ac:dyDescent="0.35">
      <c r="A4196" s="9" t="s">
        <v>216</v>
      </c>
      <c r="B4196" s="2">
        <v>54.258000000000003</v>
      </c>
      <c r="C4196" s="2">
        <v>54.390999999999998</v>
      </c>
      <c r="D4196" s="2">
        <v>53.917999999999999</v>
      </c>
      <c r="E4196" s="2">
        <v>54.258000000000003</v>
      </c>
      <c r="F4196" s="2">
        <v>14072558</v>
      </c>
      <c r="G4196" s="2" t="s">
        <v>576</v>
      </c>
      <c r="H4196" s="2" t="s">
        <v>577</v>
      </c>
      <c r="I4196" s="2" t="s">
        <v>578</v>
      </c>
      <c r="J4196" s="4">
        <v>-2.5000000000000001E-2</v>
      </c>
      <c r="K4196" s="2" t="s">
        <v>204</v>
      </c>
      <c r="L4196" s="2">
        <v>2023</v>
      </c>
      <c r="M4196" s="2" t="s">
        <v>205</v>
      </c>
      <c r="N4196" s="2" t="s">
        <v>23</v>
      </c>
      <c r="O4196">
        <f t="shared" si="130"/>
        <v>0.47299999999999898</v>
      </c>
      <c r="P4196">
        <f t="shared" si="131"/>
        <v>14.680000000000003</v>
      </c>
    </row>
    <row r="4197" spans="1:16" x14ac:dyDescent="0.35">
      <c r="A4197" s="9" t="s">
        <v>217</v>
      </c>
      <c r="B4197" s="2">
        <v>54.332000000000001</v>
      </c>
      <c r="C4197" s="2">
        <v>54.7</v>
      </c>
      <c r="D4197" s="2">
        <v>54.119</v>
      </c>
      <c r="E4197" s="2">
        <v>54.433999999999997</v>
      </c>
      <c r="F4197" s="2">
        <v>10162252</v>
      </c>
      <c r="G4197" s="2" t="s">
        <v>576</v>
      </c>
      <c r="H4197" s="2" t="s">
        <v>577</v>
      </c>
      <c r="I4197" s="2" t="s">
        <v>578</v>
      </c>
      <c r="J4197" s="3">
        <v>0.32400000000000001</v>
      </c>
      <c r="K4197" s="2" t="s">
        <v>204</v>
      </c>
      <c r="L4197" s="2">
        <v>2023</v>
      </c>
      <c r="M4197" s="2" t="s">
        <v>205</v>
      </c>
      <c r="N4197" s="2" t="s">
        <v>21</v>
      </c>
      <c r="O4197">
        <f t="shared" si="130"/>
        <v>0.58100000000000307</v>
      </c>
      <c r="P4197">
        <f t="shared" si="131"/>
        <v>15.004000000000003</v>
      </c>
    </row>
    <row r="4198" spans="1:16" x14ac:dyDescent="0.35">
      <c r="A4198" s="9" t="s">
        <v>218</v>
      </c>
      <c r="B4198" s="2">
        <v>54.551000000000002</v>
      </c>
      <c r="C4198" s="2">
        <v>54.63</v>
      </c>
      <c r="D4198" s="2">
        <v>53.73</v>
      </c>
      <c r="E4198" s="2">
        <v>53.774000000000001</v>
      </c>
      <c r="F4198" s="2">
        <v>18857266</v>
      </c>
      <c r="G4198" s="2" t="s">
        <v>576</v>
      </c>
      <c r="H4198" s="2" t="s">
        <v>577</v>
      </c>
      <c r="I4198" s="2" t="s">
        <v>578</v>
      </c>
      <c r="J4198" s="4">
        <v>-1.214</v>
      </c>
      <c r="K4198" s="2" t="s">
        <v>204</v>
      </c>
      <c r="L4198" s="2">
        <v>2023</v>
      </c>
      <c r="M4198" s="2" t="s">
        <v>205</v>
      </c>
      <c r="N4198" s="2" t="s">
        <v>23</v>
      </c>
      <c r="O4198">
        <f t="shared" si="130"/>
        <v>0.90000000000000568</v>
      </c>
      <c r="P4198">
        <f t="shared" si="131"/>
        <v>13.790000000000003</v>
      </c>
    </row>
    <row r="4199" spans="1:16" x14ac:dyDescent="0.35">
      <c r="A4199" s="9" t="s">
        <v>219</v>
      </c>
      <c r="B4199" s="2">
        <v>53.877000000000002</v>
      </c>
      <c r="C4199" s="2">
        <v>54.209000000000003</v>
      </c>
      <c r="D4199" s="2">
        <v>53.774000000000001</v>
      </c>
      <c r="E4199" s="2">
        <v>53.915999999999997</v>
      </c>
      <c r="F4199" s="2">
        <v>13266005</v>
      </c>
      <c r="G4199" s="2" t="s">
        <v>576</v>
      </c>
      <c r="H4199" s="2" t="s">
        <v>577</v>
      </c>
      <c r="I4199" s="2" t="s">
        <v>578</v>
      </c>
      <c r="J4199" s="3">
        <v>0.26500000000000001</v>
      </c>
      <c r="K4199" s="2" t="s">
        <v>204</v>
      </c>
      <c r="L4199" s="2">
        <v>2023</v>
      </c>
      <c r="M4199" s="2" t="s">
        <v>205</v>
      </c>
      <c r="N4199" s="2" t="s">
        <v>21</v>
      </c>
      <c r="O4199">
        <f t="shared" si="130"/>
        <v>0.43500000000000227</v>
      </c>
      <c r="P4199">
        <f t="shared" si="131"/>
        <v>14.055000000000003</v>
      </c>
    </row>
    <row r="4200" spans="1:16" x14ac:dyDescent="0.35">
      <c r="A4200" s="9" t="s">
        <v>220</v>
      </c>
      <c r="B4200" s="2">
        <v>53.923000000000002</v>
      </c>
      <c r="C4200" s="2">
        <v>54.168999999999997</v>
      </c>
      <c r="D4200" s="2">
        <v>53.756</v>
      </c>
      <c r="E4200" s="2">
        <v>54.155999999999999</v>
      </c>
      <c r="F4200" s="2">
        <v>10498269</v>
      </c>
      <c r="G4200" s="2" t="s">
        <v>576</v>
      </c>
      <c r="H4200" s="2" t="s">
        <v>577</v>
      </c>
      <c r="I4200" s="2" t="s">
        <v>578</v>
      </c>
      <c r="J4200" s="3">
        <v>0.44400000000000001</v>
      </c>
      <c r="K4200" s="2" t="s">
        <v>204</v>
      </c>
      <c r="L4200" s="2">
        <v>2023</v>
      </c>
      <c r="M4200" s="2" t="s">
        <v>205</v>
      </c>
      <c r="N4200" s="2" t="s">
        <v>21</v>
      </c>
      <c r="O4200">
        <f t="shared" si="130"/>
        <v>0.4129999999999967</v>
      </c>
      <c r="P4200">
        <f t="shared" si="131"/>
        <v>14.499000000000004</v>
      </c>
    </row>
    <row r="4201" spans="1:16" x14ac:dyDescent="0.35">
      <c r="A4201" s="9" t="s">
        <v>221</v>
      </c>
      <c r="B4201" s="2">
        <v>54.112000000000002</v>
      </c>
      <c r="C4201" s="2">
        <v>54.313000000000002</v>
      </c>
      <c r="D4201" s="2">
        <v>53.915999999999997</v>
      </c>
      <c r="E4201" s="2">
        <v>53.966000000000001</v>
      </c>
      <c r="F4201" s="2">
        <v>14489429</v>
      </c>
      <c r="G4201" s="2" t="s">
        <v>576</v>
      </c>
      <c r="H4201" s="2" t="s">
        <v>577</v>
      </c>
      <c r="I4201" s="2" t="s">
        <v>578</v>
      </c>
      <c r="J4201" s="4">
        <v>-0.35</v>
      </c>
      <c r="K4201" s="2" t="s">
        <v>204</v>
      </c>
      <c r="L4201" s="2">
        <v>2023</v>
      </c>
      <c r="M4201" s="2" t="s">
        <v>205</v>
      </c>
      <c r="N4201" s="2" t="s">
        <v>23</v>
      </c>
      <c r="O4201">
        <f t="shared" si="130"/>
        <v>0.39700000000000557</v>
      </c>
      <c r="P4201">
        <f t="shared" si="131"/>
        <v>14.149000000000004</v>
      </c>
    </row>
    <row r="4202" spans="1:16" x14ac:dyDescent="0.35">
      <c r="A4202" s="9" t="s">
        <v>222</v>
      </c>
      <c r="B4202" s="2">
        <v>53.8</v>
      </c>
      <c r="C4202" s="2">
        <v>53.877000000000002</v>
      </c>
      <c r="D4202" s="2">
        <v>53.231999999999999</v>
      </c>
      <c r="E4202" s="2">
        <v>53.707000000000001</v>
      </c>
      <c r="F4202" s="2">
        <v>15769454</v>
      </c>
      <c r="G4202" s="2" t="s">
        <v>576</v>
      </c>
      <c r="H4202" s="2" t="s">
        <v>577</v>
      </c>
      <c r="I4202" s="2" t="s">
        <v>578</v>
      </c>
      <c r="J4202" s="4">
        <v>-0.48</v>
      </c>
      <c r="K4202" s="2" t="s">
        <v>204</v>
      </c>
      <c r="L4202" s="2">
        <v>2023</v>
      </c>
      <c r="M4202" s="2" t="s">
        <v>205</v>
      </c>
      <c r="N4202" s="2" t="s">
        <v>23</v>
      </c>
      <c r="O4202">
        <f t="shared" si="130"/>
        <v>0.64500000000000313</v>
      </c>
      <c r="P4202">
        <f t="shared" si="131"/>
        <v>13.669000000000004</v>
      </c>
    </row>
    <row r="4203" spans="1:16" x14ac:dyDescent="0.35">
      <c r="A4203" s="9" t="s">
        <v>223</v>
      </c>
      <c r="B4203" s="2">
        <v>53.8</v>
      </c>
      <c r="C4203" s="2">
        <v>54.076000000000001</v>
      </c>
      <c r="D4203" s="2">
        <v>53.664000000000001</v>
      </c>
      <c r="E4203" s="2">
        <v>53.98</v>
      </c>
      <c r="F4203" s="2">
        <v>11660262</v>
      </c>
      <c r="G4203" s="2" t="s">
        <v>576</v>
      </c>
      <c r="H4203" s="2" t="s">
        <v>577</v>
      </c>
      <c r="I4203" s="2" t="s">
        <v>578</v>
      </c>
      <c r="J4203" s="3">
        <v>0.50700000000000001</v>
      </c>
      <c r="K4203" s="2" t="s">
        <v>204</v>
      </c>
      <c r="L4203" s="2">
        <v>2023</v>
      </c>
      <c r="M4203" s="2" t="s">
        <v>205</v>
      </c>
      <c r="N4203" s="2" t="s">
        <v>21</v>
      </c>
      <c r="O4203">
        <f t="shared" si="130"/>
        <v>0.41199999999999903</v>
      </c>
      <c r="P4203">
        <f t="shared" si="131"/>
        <v>14.176000000000004</v>
      </c>
    </row>
    <row r="4204" spans="1:16" x14ac:dyDescent="0.35">
      <c r="A4204" s="9" t="s">
        <v>224</v>
      </c>
      <c r="B4204" s="2">
        <v>54.142000000000003</v>
      </c>
      <c r="C4204" s="2">
        <v>54.174999999999997</v>
      </c>
      <c r="D4204" s="2">
        <v>52.865000000000002</v>
      </c>
      <c r="E4204" s="2">
        <v>53.113</v>
      </c>
      <c r="F4204" s="2">
        <v>18912421</v>
      </c>
      <c r="G4204" s="2" t="s">
        <v>576</v>
      </c>
      <c r="H4204" s="2" t="s">
        <v>577</v>
      </c>
      <c r="I4204" s="2" t="s">
        <v>578</v>
      </c>
      <c r="J4204" s="4">
        <v>-1.6060000000000001</v>
      </c>
      <c r="K4204" s="2" t="s">
        <v>204</v>
      </c>
      <c r="L4204" s="2">
        <v>2023</v>
      </c>
      <c r="M4204" s="2" t="s">
        <v>205</v>
      </c>
      <c r="N4204" s="2" t="s">
        <v>23</v>
      </c>
      <c r="O4204">
        <f t="shared" si="130"/>
        <v>1.3099999999999952</v>
      </c>
      <c r="P4204">
        <f t="shared" si="131"/>
        <v>12.570000000000004</v>
      </c>
    </row>
    <row r="4205" spans="1:16" x14ac:dyDescent="0.35">
      <c r="A4205" s="9" t="s">
        <v>225</v>
      </c>
      <c r="B4205" s="2">
        <v>52.966999999999999</v>
      </c>
      <c r="C4205" s="2">
        <v>53.225999999999999</v>
      </c>
      <c r="D4205" s="2">
        <v>52.575000000000003</v>
      </c>
      <c r="E4205" s="2">
        <v>53.168999999999997</v>
      </c>
      <c r="F4205" s="2">
        <v>13041097</v>
      </c>
      <c r="G4205" s="2" t="s">
        <v>576</v>
      </c>
      <c r="H4205" s="2" t="s">
        <v>577</v>
      </c>
      <c r="I4205" s="2" t="s">
        <v>578</v>
      </c>
      <c r="J4205" s="3">
        <v>0.107</v>
      </c>
      <c r="K4205" s="2" t="s">
        <v>226</v>
      </c>
      <c r="L4205" s="2">
        <v>2023</v>
      </c>
      <c r="M4205" s="2" t="s">
        <v>227</v>
      </c>
      <c r="N4205" s="2" t="s">
        <v>21</v>
      </c>
      <c r="O4205">
        <f t="shared" si="130"/>
        <v>0.65099999999999625</v>
      </c>
      <c r="P4205">
        <f t="shared" si="131"/>
        <v>12.677000000000003</v>
      </c>
    </row>
    <row r="4206" spans="1:16" x14ac:dyDescent="0.35">
      <c r="A4206" s="9" t="s">
        <v>228</v>
      </c>
      <c r="B4206" s="2">
        <v>53.033000000000001</v>
      </c>
      <c r="C4206" s="2">
        <v>53.384</v>
      </c>
      <c r="D4206" s="2">
        <v>52.698</v>
      </c>
      <c r="E4206" s="2">
        <v>52.834000000000003</v>
      </c>
      <c r="F4206" s="2">
        <v>11294969</v>
      </c>
      <c r="G4206" s="2" t="s">
        <v>576</v>
      </c>
      <c r="H4206" s="2" t="s">
        <v>577</v>
      </c>
      <c r="I4206" s="2" t="s">
        <v>578</v>
      </c>
      <c r="J4206" s="4">
        <v>-0.63100000000000001</v>
      </c>
      <c r="K4206" s="2" t="s">
        <v>226</v>
      </c>
      <c r="L4206" s="2">
        <v>2023</v>
      </c>
      <c r="M4206" s="2" t="s">
        <v>227</v>
      </c>
      <c r="N4206" s="2" t="s">
        <v>23</v>
      </c>
      <c r="O4206">
        <f t="shared" si="130"/>
        <v>0.68599999999999994</v>
      </c>
      <c r="P4206">
        <f t="shared" si="131"/>
        <v>12.046000000000003</v>
      </c>
    </row>
    <row r="4207" spans="1:16" x14ac:dyDescent="0.35">
      <c r="A4207" s="9" t="s">
        <v>229</v>
      </c>
      <c r="B4207" s="2">
        <v>53.02</v>
      </c>
      <c r="C4207" s="2">
        <v>53.484999999999999</v>
      </c>
      <c r="D4207" s="2">
        <v>52.807000000000002</v>
      </c>
      <c r="E4207" s="2">
        <v>53.468000000000004</v>
      </c>
      <c r="F4207" s="2">
        <v>15814356</v>
      </c>
      <c r="G4207" s="2" t="s">
        <v>576</v>
      </c>
      <c r="H4207" s="2" t="s">
        <v>577</v>
      </c>
      <c r="I4207" s="2" t="s">
        <v>578</v>
      </c>
      <c r="J4207" s="3">
        <v>1.2010000000000001</v>
      </c>
      <c r="K4207" s="2" t="s">
        <v>226</v>
      </c>
      <c r="L4207" s="2">
        <v>2023</v>
      </c>
      <c r="M4207" s="2" t="s">
        <v>227</v>
      </c>
      <c r="N4207" s="2" t="s">
        <v>21</v>
      </c>
      <c r="O4207">
        <f t="shared" si="130"/>
        <v>0.67799999999999727</v>
      </c>
      <c r="P4207">
        <f t="shared" si="131"/>
        <v>13.247000000000003</v>
      </c>
    </row>
    <row r="4208" spans="1:16" x14ac:dyDescent="0.35">
      <c r="A4208" s="9" t="s">
        <v>230</v>
      </c>
      <c r="B4208" s="2">
        <v>53.284999999999997</v>
      </c>
      <c r="C4208" s="2">
        <v>53.454999999999998</v>
      </c>
      <c r="D4208" s="2">
        <v>52.804000000000002</v>
      </c>
      <c r="E4208" s="2">
        <v>52.83</v>
      </c>
      <c r="F4208" s="2">
        <v>14322603</v>
      </c>
      <c r="G4208" s="2" t="s">
        <v>576</v>
      </c>
      <c r="H4208" s="2" t="s">
        <v>577</v>
      </c>
      <c r="I4208" s="2" t="s">
        <v>578</v>
      </c>
      <c r="J4208" s="4">
        <v>-1.1930000000000001</v>
      </c>
      <c r="K4208" s="2" t="s">
        <v>226</v>
      </c>
      <c r="L4208" s="2">
        <v>2023</v>
      </c>
      <c r="M4208" s="2" t="s">
        <v>227</v>
      </c>
      <c r="N4208" s="2" t="s">
        <v>23</v>
      </c>
      <c r="O4208">
        <f t="shared" si="130"/>
        <v>0.65099999999999625</v>
      </c>
      <c r="P4208">
        <f t="shared" si="131"/>
        <v>12.054000000000004</v>
      </c>
    </row>
    <row r="4209" spans="1:16" x14ac:dyDescent="0.35">
      <c r="A4209" s="9" t="s">
        <v>231</v>
      </c>
      <c r="B4209" s="2">
        <v>52.688000000000002</v>
      </c>
      <c r="C4209" s="2">
        <v>52.801000000000002</v>
      </c>
      <c r="D4209" s="2">
        <v>50.363</v>
      </c>
      <c r="E4209" s="2">
        <v>51.944000000000003</v>
      </c>
      <c r="F4209" s="2">
        <v>42774446</v>
      </c>
      <c r="G4209" s="2" t="s">
        <v>576</v>
      </c>
      <c r="H4209" s="2" t="s">
        <v>577</v>
      </c>
      <c r="I4209" s="2" t="s">
        <v>578</v>
      </c>
      <c r="J4209" s="4">
        <v>-1.6779999999999999</v>
      </c>
      <c r="K4209" s="2" t="s">
        <v>226</v>
      </c>
      <c r="L4209" s="2">
        <v>2023</v>
      </c>
      <c r="M4209" s="2" t="s">
        <v>227</v>
      </c>
      <c r="N4209" s="2" t="s">
        <v>23</v>
      </c>
      <c r="O4209">
        <f t="shared" si="130"/>
        <v>2.4380000000000024</v>
      </c>
      <c r="P4209">
        <f t="shared" si="131"/>
        <v>10.376000000000005</v>
      </c>
    </row>
    <row r="4210" spans="1:16" x14ac:dyDescent="0.35">
      <c r="A4210" s="9" t="s">
        <v>232</v>
      </c>
      <c r="B4210" s="2">
        <v>51.502000000000002</v>
      </c>
      <c r="C4210" s="2">
        <v>51.759</v>
      </c>
      <c r="D4210" s="2">
        <v>50.898000000000003</v>
      </c>
      <c r="E4210" s="2">
        <v>51.753999999999998</v>
      </c>
      <c r="F4210" s="2">
        <v>21100621</v>
      </c>
      <c r="G4210" s="2" t="s">
        <v>576</v>
      </c>
      <c r="H4210" s="2" t="s">
        <v>577</v>
      </c>
      <c r="I4210" s="2" t="s">
        <v>578</v>
      </c>
      <c r="J4210" s="4">
        <v>-0.36499999999999999</v>
      </c>
      <c r="K4210" s="2" t="s">
        <v>226</v>
      </c>
      <c r="L4210" s="2">
        <v>2023</v>
      </c>
      <c r="M4210" s="2" t="s">
        <v>227</v>
      </c>
      <c r="N4210" s="2" t="s">
        <v>23</v>
      </c>
      <c r="O4210">
        <f t="shared" si="130"/>
        <v>0.8609999999999971</v>
      </c>
      <c r="P4210">
        <f t="shared" si="131"/>
        <v>10.011000000000005</v>
      </c>
    </row>
    <row r="4211" spans="1:16" x14ac:dyDescent="0.35">
      <c r="A4211" s="9" t="s">
        <v>233</v>
      </c>
      <c r="B4211" s="2">
        <v>51.884</v>
      </c>
      <c r="C4211" s="2">
        <v>52.497999999999998</v>
      </c>
      <c r="D4211" s="2">
        <v>51.695</v>
      </c>
      <c r="E4211" s="2">
        <v>52.338999999999999</v>
      </c>
      <c r="F4211" s="2">
        <v>16073922</v>
      </c>
      <c r="G4211" s="2" t="s">
        <v>576</v>
      </c>
      <c r="H4211" s="2" t="s">
        <v>577</v>
      </c>
      <c r="I4211" s="2" t="s">
        <v>578</v>
      </c>
      <c r="J4211" s="3">
        <v>1.1299999999999999</v>
      </c>
      <c r="K4211" s="2" t="s">
        <v>226</v>
      </c>
      <c r="L4211" s="2">
        <v>2023</v>
      </c>
      <c r="M4211" s="2" t="s">
        <v>227</v>
      </c>
      <c r="N4211" s="2" t="s">
        <v>21</v>
      </c>
      <c r="O4211">
        <f t="shared" si="130"/>
        <v>0.80299999999999727</v>
      </c>
      <c r="P4211">
        <f t="shared" si="131"/>
        <v>11.141000000000005</v>
      </c>
    </row>
    <row r="4212" spans="1:16" x14ac:dyDescent="0.35">
      <c r="A4212" s="9" t="s">
        <v>234</v>
      </c>
      <c r="B4212" s="2">
        <v>52.558</v>
      </c>
      <c r="C4212" s="2">
        <v>52.966999999999999</v>
      </c>
      <c r="D4212" s="2">
        <v>52.152999999999999</v>
      </c>
      <c r="E4212" s="2">
        <v>52.548000000000002</v>
      </c>
      <c r="F4212" s="2">
        <v>12071443</v>
      </c>
      <c r="G4212" s="2" t="s">
        <v>576</v>
      </c>
      <c r="H4212" s="2" t="s">
        <v>577</v>
      </c>
      <c r="I4212" s="2" t="s">
        <v>578</v>
      </c>
      <c r="J4212" s="3">
        <v>0.39900000000000002</v>
      </c>
      <c r="K4212" s="2" t="s">
        <v>226</v>
      </c>
      <c r="L4212" s="2">
        <v>2023</v>
      </c>
      <c r="M4212" s="2" t="s">
        <v>227</v>
      </c>
      <c r="N4212" s="2" t="s">
        <v>21</v>
      </c>
      <c r="O4212">
        <f t="shared" si="130"/>
        <v>0.81400000000000006</v>
      </c>
      <c r="P4212">
        <f t="shared" si="131"/>
        <v>11.540000000000006</v>
      </c>
    </row>
    <row r="4213" spans="1:16" x14ac:dyDescent="0.35">
      <c r="A4213" s="9" t="s">
        <v>235</v>
      </c>
      <c r="B4213" s="2">
        <v>52.648000000000003</v>
      </c>
      <c r="C4213" s="2">
        <v>52.906999999999996</v>
      </c>
      <c r="D4213" s="2">
        <v>52.395000000000003</v>
      </c>
      <c r="E4213" s="2">
        <v>52.786999999999999</v>
      </c>
      <c r="F4213" s="2">
        <v>13564870</v>
      </c>
      <c r="G4213" s="2" t="s">
        <v>576</v>
      </c>
      <c r="H4213" s="2" t="s">
        <v>577</v>
      </c>
      <c r="I4213" s="2" t="s">
        <v>578</v>
      </c>
      <c r="J4213" s="3">
        <v>0.45500000000000002</v>
      </c>
      <c r="K4213" s="2" t="s">
        <v>226</v>
      </c>
      <c r="L4213" s="2">
        <v>2023</v>
      </c>
      <c r="M4213" s="2" t="s">
        <v>227</v>
      </c>
      <c r="N4213" s="2" t="s">
        <v>21</v>
      </c>
      <c r="O4213">
        <f t="shared" si="130"/>
        <v>0.51199999999999335</v>
      </c>
      <c r="P4213">
        <f t="shared" si="131"/>
        <v>11.995000000000006</v>
      </c>
    </row>
    <row r="4214" spans="1:16" x14ac:dyDescent="0.35">
      <c r="A4214" s="9" t="s">
        <v>236</v>
      </c>
      <c r="B4214" s="2">
        <v>52.89</v>
      </c>
      <c r="C4214" s="2">
        <v>53.289000000000001</v>
      </c>
      <c r="D4214" s="2">
        <v>52.771000000000001</v>
      </c>
      <c r="E4214" s="2">
        <v>53.08</v>
      </c>
      <c r="F4214" s="2">
        <v>13862178</v>
      </c>
      <c r="G4214" s="2" t="s">
        <v>576</v>
      </c>
      <c r="H4214" s="2" t="s">
        <v>577</v>
      </c>
      <c r="I4214" s="2" t="s">
        <v>578</v>
      </c>
      <c r="J4214" s="3">
        <v>0.55400000000000005</v>
      </c>
      <c r="K4214" s="2" t="s">
        <v>226</v>
      </c>
      <c r="L4214" s="2">
        <v>2023</v>
      </c>
      <c r="M4214" s="2" t="s">
        <v>227</v>
      </c>
      <c r="N4214" s="2" t="s">
        <v>21</v>
      </c>
      <c r="O4214">
        <f t="shared" si="130"/>
        <v>0.51800000000000068</v>
      </c>
      <c r="P4214">
        <f t="shared" si="131"/>
        <v>12.549000000000007</v>
      </c>
    </row>
    <row r="4215" spans="1:16" x14ac:dyDescent="0.35">
      <c r="A4215" s="9" t="s">
        <v>237</v>
      </c>
      <c r="B4215" s="2">
        <v>53.314999999999998</v>
      </c>
      <c r="C4215" s="2">
        <v>53.826999999999998</v>
      </c>
      <c r="D4215" s="2">
        <v>53.241999999999997</v>
      </c>
      <c r="E4215" s="2">
        <v>53.537999999999997</v>
      </c>
      <c r="F4215" s="2">
        <v>14401299</v>
      </c>
      <c r="G4215" s="2" t="s">
        <v>576</v>
      </c>
      <c r="H4215" s="2" t="s">
        <v>577</v>
      </c>
      <c r="I4215" s="2" t="s">
        <v>578</v>
      </c>
      <c r="J4215" s="3">
        <v>0.86299999999999999</v>
      </c>
      <c r="K4215" s="2" t="s">
        <v>226</v>
      </c>
      <c r="L4215" s="2">
        <v>2023</v>
      </c>
      <c r="M4215" s="2" t="s">
        <v>227</v>
      </c>
      <c r="N4215" s="2" t="s">
        <v>21</v>
      </c>
      <c r="O4215">
        <f t="shared" si="130"/>
        <v>0.58500000000000085</v>
      </c>
      <c r="P4215">
        <f t="shared" si="131"/>
        <v>13.412000000000006</v>
      </c>
    </row>
    <row r="4216" spans="1:16" x14ac:dyDescent="0.35">
      <c r="A4216" s="9" t="s">
        <v>238</v>
      </c>
      <c r="B4216" s="2">
        <v>53.381999999999998</v>
      </c>
      <c r="C4216" s="2">
        <v>53.704000000000001</v>
      </c>
      <c r="D4216" s="2">
        <v>53.265999999999998</v>
      </c>
      <c r="E4216" s="2">
        <v>53.607999999999997</v>
      </c>
      <c r="F4216" s="2">
        <v>10933830</v>
      </c>
      <c r="G4216" s="2" t="s">
        <v>576</v>
      </c>
      <c r="H4216" s="2" t="s">
        <v>577</v>
      </c>
      <c r="I4216" s="2" t="s">
        <v>578</v>
      </c>
      <c r="J4216" s="3">
        <v>0.13100000000000001</v>
      </c>
      <c r="K4216" s="2" t="s">
        <v>226</v>
      </c>
      <c r="L4216" s="2">
        <v>2023</v>
      </c>
      <c r="M4216" s="2" t="s">
        <v>227</v>
      </c>
      <c r="N4216" s="2" t="s">
        <v>21</v>
      </c>
      <c r="O4216">
        <f t="shared" si="130"/>
        <v>0.43800000000000239</v>
      </c>
      <c r="P4216">
        <f t="shared" si="131"/>
        <v>13.543000000000006</v>
      </c>
    </row>
    <row r="4217" spans="1:16" x14ac:dyDescent="0.35">
      <c r="A4217" s="9" t="s">
        <v>239</v>
      </c>
      <c r="B4217" s="2">
        <v>53.76</v>
      </c>
      <c r="C4217" s="2">
        <v>53.92</v>
      </c>
      <c r="D4217" s="2">
        <v>53.375</v>
      </c>
      <c r="E4217" s="2">
        <v>53.646999999999998</v>
      </c>
      <c r="F4217" s="2">
        <v>10598943</v>
      </c>
      <c r="G4217" s="2" t="s">
        <v>576</v>
      </c>
      <c r="H4217" s="2" t="s">
        <v>577</v>
      </c>
      <c r="I4217" s="2" t="s">
        <v>578</v>
      </c>
      <c r="J4217" s="3">
        <v>7.3999999999999996E-2</v>
      </c>
      <c r="K4217" s="2" t="s">
        <v>226</v>
      </c>
      <c r="L4217" s="2">
        <v>2023</v>
      </c>
      <c r="M4217" s="2" t="s">
        <v>227</v>
      </c>
      <c r="N4217" s="2" t="s">
        <v>21</v>
      </c>
      <c r="O4217">
        <f t="shared" si="130"/>
        <v>0.54500000000000171</v>
      </c>
      <c r="P4217">
        <f t="shared" si="131"/>
        <v>13.617000000000006</v>
      </c>
    </row>
    <row r="4218" spans="1:16" x14ac:dyDescent="0.35">
      <c r="A4218" s="9" t="s">
        <v>240</v>
      </c>
      <c r="B4218" s="2">
        <v>53.610999999999997</v>
      </c>
      <c r="C4218" s="2">
        <v>53.741</v>
      </c>
      <c r="D4218" s="2">
        <v>53.209000000000003</v>
      </c>
      <c r="E4218" s="2">
        <v>53.392000000000003</v>
      </c>
      <c r="F4218" s="2">
        <v>11789522</v>
      </c>
      <c r="G4218" s="2" t="s">
        <v>576</v>
      </c>
      <c r="H4218" s="2" t="s">
        <v>577</v>
      </c>
      <c r="I4218" s="2" t="s">
        <v>578</v>
      </c>
      <c r="J4218" s="4">
        <v>-0.47599999999999998</v>
      </c>
      <c r="K4218" s="2" t="s">
        <v>226</v>
      </c>
      <c r="L4218" s="2">
        <v>2023</v>
      </c>
      <c r="M4218" s="2" t="s">
        <v>227</v>
      </c>
      <c r="N4218" s="2" t="s">
        <v>23</v>
      </c>
      <c r="O4218">
        <f t="shared" si="130"/>
        <v>0.53199999999999648</v>
      </c>
      <c r="P4218">
        <f t="shared" si="131"/>
        <v>13.141000000000005</v>
      </c>
    </row>
    <row r="4219" spans="1:16" x14ac:dyDescent="0.35">
      <c r="A4219" s="9" t="s">
        <v>241</v>
      </c>
      <c r="B4219" s="2">
        <v>53.411999999999999</v>
      </c>
      <c r="C4219" s="2">
        <v>53.503</v>
      </c>
      <c r="D4219" s="2">
        <v>52.707999999999998</v>
      </c>
      <c r="E4219" s="2">
        <v>52.723999999999997</v>
      </c>
      <c r="F4219" s="2">
        <v>15113166</v>
      </c>
      <c r="G4219" s="2" t="s">
        <v>576</v>
      </c>
      <c r="H4219" s="2" t="s">
        <v>577</v>
      </c>
      <c r="I4219" s="2" t="s">
        <v>578</v>
      </c>
      <c r="J4219" s="4">
        <v>-1.25</v>
      </c>
      <c r="K4219" s="2" t="s">
        <v>226</v>
      </c>
      <c r="L4219" s="2">
        <v>2023</v>
      </c>
      <c r="M4219" s="2" t="s">
        <v>227</v>
      </c>
      <c r="N4219" s="2" t="s">
        <v>23</v>
      </c>
      <c r="O4219">
        <f t="shared" si="130"/>
        <v>0.79500000000000171</v>
      </c>
      <c r="P4219">
        <f t="shared" si="131"/>
        <v>11.891000000000005</v>
      </c>
    </row>
    <row r="4220" spans="1:16" x14ac:dyDescent="0.35">
      <c r="A4220" s="9" t="s">
        <v>242</v>
      </c>
      <c r="B4220" s="2">
        <v>52.713999999999999</v>
      </c>
      <c r="C4220" s="2">
        <v>53.584000000000003</v>
      </c>
      <c r="D4220" s="2">
        <v>52.478000000000002</v>
      </c>
      <c r="E4220" s="2">
        <v>53.470999999999997</v>
      </c>
      <c r="F4220" s="2">
        <v>17160608</v>
      </c>
      <c r="G4220" s="2" t="s">
        <v>576</v>
      </c>
      <c r="H4220" s="2" t="s">
        <v>577</v>
      </c>
      <c r="I4220" s="2" t="s">
        <v>578</v>
      </c>
      <c r="J4220" s="3">
        <v>1.417</v>
      </c>
      <c r="K4220" s="2" t="s">
        <v>226</v>
      </c>
      <c r="L4220" s="2">
        <v>2023</v>
      </c>
      <c r="M4220" s="2" t="s">
        <v>227</v>
      </c>
      <c r="N4220" s="2" t="s">
        <v>21</v>
      </c>
      <c r="O4220">
        <f t="shared" si="130"/>
        <v>1.1060000000000016</v>
      </c>
      <c r="P4220">
        <f t="shared" si="131"/>
        <v>13.308000000000005</v>
      </c>
    </row>
    <row r="4221" spans="1:16" x14ac:dyDescent="0.35">
      <c r="A4221" s="9" t="s">
        <v>243</v>
      </c>
      <c r="B4221" s="2">
        <v>53.600999999999999</v>
      </c>
      <c r="C4221" s="2">
        <v>54.292000000000002</v>
      </c>
      <c r="D4221" s="2">
        <v>53.597999999999999</v>
      </c>
      <c r="E4221" s="2">
        <v>54.215000000000003</v>
      </c>
      <c r="F4221" s="2">
        <v>17600192</v>
      </c>
      <c r="G4221" s="2" t="s">
        <v>576</v>
      </c>
      <c r="H4221" s="2" t="s">
        <v>577</v>
      </c>
      <c r="I4221" s="2" t="s">
        <v>578</v>
      </c>
      <c r="J4221" s="3">
        <v>1.391</v>
      </c>
      <c r="K4221" s="2" t="s">
        <v>226</v>
      </c>
      <c r="L4221" s="2">
        <v>2023</v>
      </c>
      <c r="M4221" s="2" t="s">
        <v>227</v>
      </c>
      <c r="N4221" s="2" t="s">
        <v>21</v>
      </c>
      <c r="O4221">
        <f t="shared" si="130"/>
        <v>0.69400000000000261</v>
      </c>
      <c r="P4221">
        <f t="shared" si="131"/>
        <v>14.699000000000005</v>
      </c>
    </row>
    <row r="4222" spans="1:16" x14ac:dyDescent="0.35">
      <c r="A4222" s="9" t="s">
        <v>244</v>
      </c>
      <c r="B4222" s="2">
        <v>54.185000000000002</v>
      </c>
      <c r="C4222" s="2">
        <v>54.573999999999998</v>
      </c>
      <c r="D4222" s="2">
        <v>53.956000000000003</v>
      </c>
      <c r="E4222" s="2">
        <v>54.052999999999997</v>
      </c>
      <c r="F4222" s="2">
        <v>16683513</v>
      </c>
      <c r="G4222" s="2" t="s">
        <v>576</v>
      </c>
      <c r="H4222" s="2" t="s">
        <v>577</v>
      </c>
      <c r="I4222" s="2" t="s">
        <v>578</v>
      </c>
      <c r="J4222" s="4">
        <v>-0.3</v>
      </c>
      <c r="K4222" s="2" t="s">
        <v>226</v>
      </c>
      <c r="L4222" s="2">
        <v>2023</v>
      </c>
      <c r="M4222" s="2" t="s">
        <v>227</v>
      </c>
      <c r="N4222" s="2" t="s">
        <v>23</v>
      </c>
      <c r="O4222">
        <f t="shared" si="130"/>
        <v>0.617999999999995</v>
      </c>
      <c r="P4222">
        <f t="shared" si="131"/>
        <v>14.399000000000004</v>
      </c>
    </row>
    <row r="4223" spans="1:16" x14ac:dyDescent="0.35">
      <c r="A4223" s="9" t="s">
        <v>245</v>
      </c>
      <c r="B4223" s="2">
        <v>54.036000000000001</v>
      </c>
      <c r="C4223" s="2">
        <v>54.414999999999999</v>
      </c>
      <c r="D4223" s="2">
        <v>53.670999999999999</v>
      </c>
      <c r="E4223" s="2">
        <v>53.723999999999997</v>
      </c>
      <c r="F4223" s="2">
        <v>16280315</v>
      </c>
      <c r="G4223" s="2" t="s">
        <v>576</v>
      </c>
      <c r="H4223" s="2" t="s">
        <v>577</v>
      </c>
      <c r="I4223" s="2" t="s">
        <v>578</v>
      </c>
      <c r="J4223" s="4">
        <v>-0.60899999999999999</v>
      </c>
      <c r="K4223" s="2" t="s">
        <v>226</v>
      </c>
      <c r="L4223" s="2">
        <v>2023</v>
      </c>
      <c r="M4223" s="2" t="s">
        <v>227</v>
      </c>
      <c r="N4223" s="2" t="s">
        <v>23</v>
      </c>
      <c r="O4223">
        <f t="shared" si="130"/>
        <v>0.74399999999999977</v>
      </c>
      <c r="P4223">
        <f t="shared" si="131"/>
        <v>13.790000000000004</v>
      </c>
    </row>
    <row r="4224" spans="1:16" x14ac:dyDescent="0.35">
      <c r="A4224" s="9" t="s">
        <v>246</v>
      </c>
      <c r="B4224" s="2">
        <v>53.627000000000002</v>
      </c>
      <c r="C4224" s="2">
        <v>53.79</v>
      </c>
      <c r="D4224" s="2">
        <v>53.319000000000003</v>
      </c>
      <c r="E4224" s="2">
        <v>53.524999999999999</v>
      </c>
      <c r="F4224" s="2">
        <v>13881579</v>
      </c>
      <c r="G4224" s="2" t="s">
        <v>576</v>
      </c>
      <c r="H4224" s="2" t="s">
        <v>577</v>
      </c>
      <c r="I4224" s="2" t="s">
        <v>578</v>
      </c>
      <c r="J4224" s="4">
        <v>-0.37</v>
      </c>
      <c r="K4224" s="2" t="s">
        <v>226</v>
      </c>
      <c r="L4224" s="2">
        <v>2023</v>
      </c>
      <c r="M4224" s="2" t="s">
        <v>227</v>
      </c>
      <c r="N4224" s="2" t="s">
        <v>23</v>
      </c>
      <c r="O4224">
        <f t="shared" si="130"/>
        <v>0.47099999999999653</v>
      </c>
      <c r="P4224">
        <f t="shared" si="131"/>
        <v>13.420000000000005</v>
      </c>
    </row>
    <row r="4225" spans="1:16" x14ac:dyDescent="0.35">
      <c r="A4225" s="9" t="s">
        <v>247</v>
      </c>
      <c r="B4225" s="2">
        <v>53.621000000000002</v>
      </c>
      <c r="C4225" s="2">
        <v>54.219000000000001</v>
      </c>
      <c r="D4225" s="2">
        <v>53.396999999999998</v>
      </c>
      <c r="E4225" s="2">
        <v>54.139000000000003</v>
      </c>
      <c r="F4225" s="2">
        <v>12700648</v>
      </c>
      <c r="G4225" s="2" t="s">
        <v>576</v>
      </c>
      <c r="H4225" s="2" t="s">
        <v>577</v>
      </c>
      <c r="I4225" s="2" t="s">
        <v>578</v>
      </c>
      <c r="J4225" s="3">
        <v>1.1479999999999999</v>
      </c>
      <c r="K4225" s="2" t="s">
        <v>226</v>
      </c>
      <c r="L4225" s="2">
        <v>2023</v>
      </c>
      <c r="M4225" s="2" t="s">
        <v>227</v>
      </c>
      <c r="N4225" s="2" t="s">
        <v>21</v>
      </c>
      <c r="O4225">
        <f t="shared" si="130"/>
        <v>0.82200000000000273</v>
      </c>
      <c r="P4225">
        <f t="shared" si="131"/>
        <v>14.568000000000005</v>
      </c>
    </row>
    <row r="4226" spans="1:16" x14ac:dyDescent="0.35">
      <c r="A4226" s="9" t="s">
        <v>248</v>
      </c>
      <c r="B4226" s="2">
        <v>54.131999999999998</v>
      </c>
      <c r="C4226" s="2">
        <v>54.338000000000001</v>
      </c>
      <c r="D4226" s="2">
        <v>53.783999999999999</v>
      </c>
      <c r="E4226" s="2">
        <v>54.268000000000001</v>
      </c>
      <c r="F4226" s="2">
        <v>14220968</v>
      </c>
      <c r="G4226" s="2" t="s">
        <v>576</v>
      </c>
      <c r="H4226" s="2" t="s">
        <v>577</v>
      </c>
      <c r="I4226" s="2" t="s">
        <v>578</v>
      </c>
      <c r="J4226" s="3">
        <v>0.23899999999999999</v>
      </c>
      <c r="K4226" s="2" t="s">
        <v>226</v>
      </c>
      <c r="L4226" s="2">
        <v>2023</v>
      </c>
      <c r="M4226" s="2" t="s">
        <v>227</v>
      </c>
      <c r="N4226" s="2" t="s">
        <v>21</v>
      </c>
      <c r="O4226">
        <f t="shared" si="130"/>
        <v>0.55400000000000205</v>
      </c>
      <c r="P4226">
        <f t="shared" si="131"/>
        <v>14.807000000000006</v>
      </c>
    </row>
    <row r="4227" spans="1:16" x14ac:dyDescent="0.35">
      <c r="A4227" s="9" t="s">
        <v>249</v>
      </c>
      <c r="B4227" s="2">
        <v>54.533999999999999</v>
      </c>
      <c r="C4227" s="2">
        <v>54.923000000000002</v>
      </c>
      <c r="D4227" s="2">
        <v>54.125999999999998</v>
      </c>
      <c r="E4227" s="2">
        <v>54.753</v>
      </c>
      <c r="F4227" s="2">
        <v>14954726</v>
      </c>
      <c r="G4227" s="2" t="s">
        <v>576</v>
      </c>
      <c r="H4227" s="2" t="s">
        <v>577</v>
      </c>
      <c r="I4227" s="2" t="s">
        <v>578</v>
      </c>
      <c r="J4227" s="3">
        <v>0.89400000000000002</v>
      </c>
      <c r="K4227" s="2" t="s">
        <v>250</v>
      </c>
      <c r="L4227" s="2">
        <v>2023</v>
      </c>
      <c r="M4227" s="2" t="s">
        <v>251</v>
      </c>
      <c r="N4227" s="2" t="s">
        <v>21</v>
      </c>
      <c r="O4227">
        <f t="shared" ref="O4227:O4290" si="132">C4227-D4227</f>
        <v>0.79700000000000415</v>
      </c>
      <c r="P4227">
        <f t="shared" si="131"/>
        <v>15.701000000000006</v>
      </c>
    </row>
    <row r="4228" spans="1:16" x14ac:dyDescent="0.35">
      <c r="A4228" s="9" t="s">
        <v>252</v>
      </c>
      <c r="B4228" s="2">
        <v>54.591000000000001</v>
      </c>
      <c r="C4228" s="2">
        <v>55.192</v>
      </c>
      <c r="D4228" s="2">
        <v>54.34</v>
      </c>
      <c r="E4228" s="2">
        <v>54.969000000000001</v>
      </c>
      <c r="F4228" s="2">
        <v>15549740</v>
      </c>
      <c r="G4228" s="2" t="s">
        <v>576</v>
      </c>
      <c r="H4228" s="2" t="s">
        <v>577</v>
      </c>
      <c r="I4228" s="2" t="s">
        <v>578</v>
      </c>
      <c r="J4228" s="3">
        <v>0.39400000000000002</v>
      </c>
      <c r="K4228" s="2" t="s">
        <v>250</v>
      </c>
      <c r="L4228" s="2">
        <v>2023</v>
      </c>
      <c r="M4228" s="2" t="s">
        <v>251</v>
      </c>
      <c r="N4228" s="2" t="s">
        <v>21</v>
      </c>
      <c r="O4228">
        <f t="shared" si="132"/>
        <v>0.85199999999999676</v>
      </c>
      <c r="P4228">
        <f t="shared" ref="P4228:P4291" si="133">IF(G4228=G4227, P4227+J4228, J4228)</f>
        <v>16.095000000000006</v>
      </c>
    </row>
    <row r="4229" spans="1:16" x14ac:dyDescent="0.35">
      <c r="A4229" s="9" t="s">
        <v>253</v>
      </c>
      <c r="B4229" s="2">
        <v>55.088999999999999</v>
      </c>
      <c r="C4229" s="2">
        <v>55.226999999999997</v>
      </c>
      <c r="D4229" s="2">
        <v>54.63</v>
      </c>
      <c r="E4229" s="2">
        <v>54.683999999999997</v>
      </c>
      <c r="F4229" s="2">
        <v>17304254</v>
      </c>
      <c r="G4229" s="2" t="s">
        <v>576</v>
      </c>
      <c r="H4229" s="2" t="s">
        <v>577</v>
      </c>
      <c r="I4229" s="2" t="s">
        <v>578</v>
      </c>
      <c r="J4229" s="4">
        <v>-0.52</v>
      </c>
      <c r="K4229" s="2" t="s">
        <v>250</v>
      </c>
      <c r="L4229" s="2">
        <v>2023</v>
      </c>
      <c r="M4229" s="2" t="s">
        <v>251</v>
      </c>
      <c r="N4229" s="2" t="s">
        <v>23</v>
      </c>
      <c r="O4229">
        <f t="shared" si="132"/>
        <v>0.5969999999999942</v>
      </c>
      <c r="P4229">
        <f t="shared" si="133"/>
        <v>15.575000000000006</v>
      </c>
    </row>
    <row r="4230" spans="1:16" x14ac:dyDescent="0.35">
      <c r="A4230" s="9" t="s">
        <v>254</v>
      </c>
      <c r="B4230" s="2">
        <v>54.63</v>
      </c>
      <c r="C4230" s="2">
        <v>55.006</v>
      </c>
      <c r="D4230" s="2">
        <v>54.488</v>
      </c>
      <c r="E4230" s="2">
        <v>54.756999999999998</v>
      </c>
      <c r="F4230" s="2">
        <v>14583199</v>
      </c>
      <c r="G4230" s="2" t="s">
        <v>576</v>
      </c>
      <c r="H4230" s="2" t="s">
        <v>577</v>
      </c>
      <c r="I4230" s="2" t="s">
        <v>578</v>
      </c>
      <c r="J4230" s="3">
        <v>0.13300000000000001</v>
      </c>
      <c r="K4230" s="2" t="s">
        <v>250</v>
      </c>
      <c r="L4230" s="2">
        <v>2023</v>
      </c>
      <c r="M4230" s="2" t="s">
        <v>251</v>
      </c>
      <c r="N4230" s="2" t="s">
        <v>21</v>
      </c>
      <c r="O4230">
        <f t="shared" si="132"/>
        <v>0.51800000000000068</v>
      </c>
      <c r="P4230">
        <f t="shared" si="133"/>
        <v>15.708000000000006</v>
      </c>
    </row>
    <row r="4231" spans="1:16" x14ac:dyDescent="0.35">
      <c r="A4231" s="9" t="s">
        <v>255</v>
      </c>
      <c r="B4231" s="2">
        <v>55.052</v>
      </c>
      <c r="C4231" s="2">
        <v>55.331000000000003</v>
      </c>
      <c r="D4231" s="2">
        <v>54.905999999999999</v>
      </c>
      <c r="E4231" s="2">
        <v>55.012</v>
      </c>
      <c r="F4231" s="2">
        <v>15079300</v>
      </c>
      <c r="G4231" s="2" t="s">
        <v>576</v>
      </c>
      <c r="H4231" s="2" t="s">
        <v>577</v>
      </c>
      <c r="I4231" s="2" t="s">
        <v>578</v>
      </c>
      <c r="J4231" s="3">
        <v>0.46700000000000003</v>
      </c>
      <c r="K4231" s="2" t="s">
        <v>250</v>
      </c>
      <c r="L4231" s="2">
        <v>2023</v>
      </c>
      <c r="M4231" s="2" t="s">
        <v>251</v>
      </c>
      <c r="N4231" s="2" t="s">
        <v>21</v>
      </c>
      <c r="O4231">
        <f t="shared" si="132"/>
        <v>0.42500000000000426</v>
      </c>
      <c r="P4231">
        <f t="shared" si="133"/>
        <v>16.175000000000004</v>
      </c>
    </row>
    <row r="4232" spans="1:16" x14ac:dyDescent="0.35">
      <c r="A4232" s="9" t="s">
        <v>256</v>
      </c>
      <c r="B4232" s="2">
        <v>55.075000000000003</v>
      </c>
      <c r="C4232" s="2">
        <v>55.222000000000001</v>
      </c>
      <c r="D4232" s="2">
        <v>54.325000000000003</v>
      </c>
      <c r="E4232" s="2">
        <v>54.564</v>
      </c>
      <c r="F4232" s="2">
        <v>15649740</v>
      </c>
      <c r="G4232" s="2" t="s">
        <v>576</v>
      </c>
      <c r="H4232" s="2" t="s">
        <v>577</v>
      </c>
      <c r="I4232" s="2" t="s">
        <v>578</v>
      </c>
      <c r="J4232" s="4">
        <v>-0.81499999999999995</v>
      </c>
      <c r="K4232" s="2" t="s">
        <v>250</v>
      </c>
      <c r="L4232" s="2">
        <v>2023</v>
      </c>
      <c r="M4232" s="2" t="s">
        <v>251</v>
      </c>
      <c r="N4232" s="2" t="s">
        <v>23</v>
      </c>
      <c r="O4232">
        <f t="shared" si="132"/>
        <v>0.89699999999999847</v>
      </c>
      <c r="P4232">
        <f t="shared" si="133"/>
        <v>15.360000000000005</v>
      </c>
    </row>
    <row r="4233" spans="1:16" x14ac:dyDescent="0.35">
      <c r="A4233" s="9" t="s">
        <v>257</v>
      </c>
      <c r="B4233" s="2">
        <v>54.587000000000003</v>
      </c>
      <c r="C4233" s="2">
        <v>54.637</v>
      </c>
      <c r="D4233" s="2">
        <v>54.213999999999999</v>
      </c>
      <c r="E4233" s="2">
        <v>54.438000000000002</v>
      </c>
      <c r="F4233" s="2">
        <v>15136707</v>
      </c>
      <c r="G4233" s="2" t="s">
        <v>576</v>
      </c>
      <c r="H4233" s="2" t="s">
        <v>577</v>
      </c>
      <c r="I4233" s="2" t="s">
        <v>578</v>
      </c>
      <c r="J4233" s="4">
        <v>-0.23100000000000001</v>
      </c>
      <c r="K4233" s="2" t="s">
        <v>250</v>
      </c>
      <c r="L4233" s="2">
        <v>2023</v>
      </c>
      <c r="M4233" s="2" t="s">
        <v>251</v>
      </c>
      <c r="N4233" s="2" t="s">
        <v>23</v>
      </c>
      <c r="O4233">
        <f t="shared" si="132"/>
        <v>0.42300000000000182</v>
      </c>
      <c r="P4233">
        <f t="shared" si="133"/>
        <v>15.129000000000005</v>
      </c>
    </row>
    <row r="4234" spans="1:16" x14ac:dyDescent="0.35">
      <c r="A4234" s="9" t="s">
        <v>258</v>
      </c>
      <c r="B4234" s="2">
        <v>54.646999999999998</v>
      </c>
      <c r="C4234" s="2">
        <v>55.274999999999999</v>
      </c>
      <c r="D4234" s="2">
        <v>54.430999999999997</v>
      </c>
      <c r="E4234" s="2">
        <v>55.192</v>
      </c>
      <c r="F4234" s="2">
        <v>14374346</v>
      </c>
      <c r="G4234" s="2" t="s">
        <v>576</v>
      </c>
      <c r="H4234" s="2" t="s">
        <v>577</v>
      </c>
      <c r="I4234" s="2" t="s">
        <v>578</v>
      </c>
      <c r="J4234" s="3">
        <v>1.385</v>
      </c>
      <c r="K4234" s="2" t="s">
        <v>250</v>
      </c>
      <c r="L4234" s="2">
        <v>2023</v>
      </c>
      <c r="M4234" s="2" t="s">
        <v>251</v>
      </c>
      <c r="N4234" s="2" t="s">
        <v>21</v>
      </c>
      <c r="O4234">
        <f t="shared" si="132"/>
        <v>0.84400000000000119</v>
      </c>
      <c r="P4234">
        <f t="shared" si="133"/>
        <v>16.514000000000006</v>
      </c>
    </row>
    <row r="4235" spans="1:16" x14ac:dyDescent="0.35">
      <c r="A4235" s="9" t="s">
        <v>259</v>
      </c>
      <c r="B4235" s="2">
        <v>55.255000000000003</v>
      </c>
      <c r="C4235" s="2">
        <v>55.749000000000002</v>
      </c>
      <c r="D4235" s="2">
        <v>55.143999999999998</v>
      </c>
      <c r="E4235" s="2">
        <v>55.686999999999998</v>
      </c>
      <c r="F4235" s="2">
        <v>15466072</v>
      </c>
      <c r="G4235" s="2" t="s">
        <v>576</v>
      </c>
      <c r="H4235" s="2" t="s">
        <v>577</v>
      </c>
      <c r="I4235" s="2" t="s">
        <v>578</v>
      </c>
      <c r="J4235" s="3">
        <v>0.89700000000000002</v>
      </c>
      <c r="K4235" s="2" t="s">
        <v>250</v>
      </c>
      <c r="L4235" s="2">
        <v>2023</v>
      </c>
      <c r="M4235" s="2" t="s">
        <v>251</v>
      </c>
      <c r="N4235" s="2" t="s">
        <v>21</v>
      </c>
      <c r="O4235">
        <f t="shared" si="132"/>
        <v>0.60500000000000398</v>
      </c>
      <c r="P4235">
        <f t="shared" si="133"/>
        <v>17.411000000000005</v>
      </c>
    </row>
    <row r="4236" spans="1:16" x14ac:dyDescent="0.35">
      <c r="A4236" s="9" t="s">
        <v>260</v>
      </c>
      <c r="B4236" s="2">
        <v>55.848999999999997</v>
      </c>
      <c r="C4236" s="2">
        <v>56.173000000000002</v>
      </c>
      <c r="D4236" s="2">
        <v>55.543999999999997</v>
      </c>
      <c r="E4236" s="2">
        <v>55.677</v>
      </c>
      <c r="F4236" s="2">
        <v>19866029</v>
      </c>
      <c r="G4236" s="2" t="s">
        <v>576</v>
      </c>
      <c r="H4236" s="2" t="s">
        <v>577</v>
      </c>
      <c r="I4236" s="2" t="s">
        <v>578</v>
      </c>
      <c r="J4236" s="4">
        <v>-1.7999999999999999E-2</v>
      </c>
      <c r="K4236" s="2" t="s">
        <v>250</v>
      </c>
      <c r="L4236" s="2">
        <v>2023</v>
      </c>
      <c r="M4236" s="2" t="s">
        <v>251</v>
      </c>
      <c r="N4236" s="2" t="s">
        <v>23</v>
      </c>
      <c r="O4236">
        <f t="shared" si="132"/>
        <v>0.62900000000000489</v>
      </c>
      <c r="P4236">
        <f t="shared" si="133"/>
        <v>17.393000000000004</v>
      </c>
    </row>
    <row r="4237" spans="1:16" x14ac:dyDescent="0.35">
      <c r="A4237" s="9" t="s">
        <v>261</v>
      </c>
      <c r="B4237" s="2">
        <v>55.918999999999997</v>
      </c>
      <c r="C4237" s="2">
        <v>56.436999999999998</v>
      </c>
      <c r="D4237" s="2">
        <v>55.63</v>
      </c>
      <c r="E4237" s="2">
        <v>56.384</v>
      </c>
      <c r="F4237" s="2">
        <v>35902797</v>
      </c>
      <c r="G4237" s="2" t="s">
        <v>576</v>
      </c>
      <c r="H4237" s="2" t="s">
        <v>577</v>
      </c>
      <c r="I4237" s="2" t="s">
        <v>578</v>
      </c>
      <c r="J4237" s="3">
        <v>1.27</v>
      </c>
      <c r="K4237" s="2" t="s">
        <v>250</v>
      </c>
      <c r="L4237" s="2">
        <v>2023</v>
      </c>
      <c r="M4237" s="2" t="s">
        <v>251</v>
      </c>
      <c r="N4237" s="2" t="s">
        <v>21</v>
      </c>
      <c r="O4237">
        <f t="shared" si="132"/>
        <v>0.80699999999999505</v>
      </c>
      <c r="P4237">
        <f t="shared" si="133"/>
        <v>18.663000000000004</v>
      </c>
    </row>
    <row r="4238" spans="1:16" x14ac:dyDescent="0.35">
      <c r="A4238" s="9" t="s">
        <v>262</v>
      </c>
      <c r="B4238" s="2">
        <v>52.720999999999997</v>
      </c>
      <c r="C4238" s="2">
        <v>52.953000000000003</v>
      </c>
      <c r="D4238" s="2">
        <v>51.642000000000003</v>
      </c>
      <c r="E4238" s="2">
        <v>51.820999999999998</v>
      </c>
      <c r="F4238" s="2">
        <v>98021303</v>
      </c>
      <c r="G4238" s="2" t="s">
        <v>576</v>
      </c>
      <c r="H4238" s="2" t="s">
        <v>577</v>
      </c>
      <c r="I4238" s="2" t="s">
        <v>578</v>
      </c>
      <c r="J4238" s="4">
        <v>-8.093</v>
      </c>
      <c r="K4238" s="2" t="s">
        <v>250</v>
      </c>
      <c r="L4238" s="2">
        <v>2023</v>
      </c>
      <c r="M4238" s="2" t="s">
        <v>251</v>
      </c>
      <c r="N4238" s="2" t="s">
        <v>23</v>
      </c>
      <c r="O4238">
        <f t="shared" si="132"/>
        <v>1.3109999999999999</v>
      </c>
      <c r="P4238">
        <f t="shared" si="133"/>
        <v>10.570000000000004</v>
      </c>
    </row>
    <row r="4239" spans="1:16" x14ac:dyDescent="0.35">
      <c r="A4239" s="9" t="s">
        <v>263</v>
      </c>
      <c r="B4239" s="2">
        <v>51.790999999999997</v>
      </c>
      <c r="C4239" s="2">
        <v>52.319000000000003</v>
      </c>
      <c r="D4239" s="2">
        <v>51.478999999999999</v>
      </c>
      <c r="E4239" s="2">
        <v>51.591999999999999</v>
      </c>
      <c r="F4239" s="2">
        <v>42691375</v>
      </c>
      <c r="G4239" s="2" t="s">
        <v>576</v>
      </c>
      <c r="H4239" s="2" t="s">
        <v>577</v>
      </c>
      <c r="I4239" s="2" t="s">
        <v>578</v>
      </c>
      <c r="J4239" s="4">
        <v>-0.442</v>
      </c>
      <c r="K4239" s="2" t="s">
        <v>250</v>
      </c>
      <c r="L4239" s="2">
        <v>2023</v>
      </c>
      <c r="M4239" s="2" t="s">
        <v>251</v>
      </c>
      <c r="N4239" s="2" t="s">
        <v>23</v>
      </c>
      <c r="O4239">
        <f t="shared" si="132"/>
        <v>0.84000000000000341</v>
      </c>
      <c r="P4239">
        <f t="shared" si="133"/>
        <v>10.128000000000004</v>
      </c>
    </row>
    <row r="4240" spans="1:16" x14ac:dyDescent="0.35">
      <c r="A4240" s="9" t="s">
        <v>264</v>
      </c>
      <c r="B4240" s="2">
        <v>51.655000000000001</v>
      </c>
      <c r="C4240" s="2">
        <v>51.811</v>
      </c>
      <c r="D4240" s="2">
        <v>51.478999999999999</v>
      </c>
      <c r="E4240" s="2">
        <v>51.575000000000003</v>
      </c>
      <c r="F4240" s="2">
        <v>26803023</v>
      </c>
      <c r="G4240" s="2" t="s">
        <v>576</v>
      </c>
      <c r="H4240" s="2" t="s">
        <v>577</v>
      </c>
      <c r="I4240" s="2" t="s">
        <v>578</v>
      </c>
      <c r="J4240" s="4">
        <v>-3.2000000000000001E-2</v>
      </c>
      <c r="K4240" s="2" t="s">
        <v>250</v>
      </c>
      <c r="L4240" s="2">
        <v>2023</v>
      </c>
      <c r="M4240" s="2" t="s">
        <v>251</v>
      </c>
      <c r="N4240" s="2" t="s">
        <v>23</v>
      </c>
      <c r="O4240">
        <f t="shared" si="132"/>
        <v>0.33200000000000074</v>
      </c>
      <c r="P4240">
        <f t="shared" si="133"/>
        <v>10.096000000000004</v>
      </c>
    </row>
    <row r="4241" spans="1:16" x14ac:dyDescent="0.35">
      <c r="A4241" s="9" t="s">
        <v>265</v>
      </c>
      <c r="B4241" s="2">
        <v>51.628</v>
      </c>
      <c r="C4241" s="2">
        <v>52.09</v>
      </c>
      <c r="D4241" s="2">
        <v>51.186999999999998</v>
      </c>
      <c r="E4241" s="2">
        <v>51.761000000000003</v>
      </c>
      <c r="F4241" s="2">
        <v>29491322</v>
      </c>
      <c r="G4241" s="2" t="s">
        <v>576</v>
      </c>
      <c r="H4241" s="2" t="s">
        <v>577</v>
      </c>
      <c r="I4241" s="2" t="s">
        <v>578</v>
      </c>
      <c r="J4241" s="3">
        <v>0.36099999999999999</v>
      </c>
      <c r="K4241" s="2" t="s">
        <v>250</v>
      </c>
      <c r="L4241" s="2">
        <v>2023</v>
      </c>
      <c r="M4241" s="2" t="s">
        <v>251</v>
      </c>
      <c r="N4241" s="2" t="s">
        <v>21</v>
      </c>
      <c r="O4241">
        <f t="shared" si="132"/>
        <v>0.9030000000000058</v>
      </c>
      <c r="P4241">
        <f t="shared" si="133"/>
        <v>10.457000000000004</v>
      </c>
    </row>
    <row r="4242" spans="1:16" x14ac:dyDescent="0.35">
      <c r="A4242" s="9" t="s">
        <v>266</v>
      </c>
      <c r="B4242" s="2">
        <v>51.715000000000003</v>
      </c>
      <c r="C4242" s="2">
        <v>51.823999999999998</v>
      </c>
      <c r="D4242" s="2">
        <v>51.27</v>
      </c>
      <c r="E4242" s="2">
        <v>51.366</v>
      </c>
      <c r="F4242" s="2">
        <v>26531698</v>
      </c>
      <c r="G4242" s="2" t="s">
        <v>576</v>
      </c>
      <c r="H4242" s="2" t="s">
        <v>577</v>
      </c>
      <c r="I4242" s="2" t="s">
        <v>578</v>
      </c>
      <c r="J4242" s="4">
        <v>-0.76300000000000001</v>
      </c>
      <c r="K4242" s="2" t="s">
        <v>250</v>
      </c>
      <c r="L4242" s="2">
        <v>2023</v>
      </c>
      <c r="M4242" s="2" t="s">
        <v>251</v>
      </c>
      <c r="N4242" s="2" t="s">
        <v>23</v>
      </c>
      <c r="O4242">
        <f t="shared" si="132"/>
        <v>0.55399999999999494</v>
      </c>
      <c r="P4242">
        <f t="shared" si="133"/>
        <v>9.6940000000000044</v>
      </c>
    </row>
    <row r="4243" spans="1:16" x14ac:dyDescent="0.35">
      <c r="A4243" s="9" t="s">
        <v>267</v>
      </c>
      <c r="B4243" s="2">
        <v>51.524999999999999</v>
      </c>
      <c r="C4243" s="2">
        <v>51.850999999999999</v>
      </c>
      <c r="D4243" s="2">
        <v>51.375999999999998</v>
      </c>
      <c r="E4243" s="2">
        <v>51.828000000000003</v>
      </c>
      <c r="F4243" s="2">
        <v>14027074</v>
      </c>
      <c r="G4243" s="2" t="s">
        <v>576</v>
      </c>
      <c r="H4243" s="2" t="s">
        <v>577</v>
      </c>
      <c r="I4243" s="2" t="s">
        <v>578</v>
      </c>
      <c r="J4243" s="3">
        <v>0.89900000000000002</v>
      </c>
      <c r="K4243" s="2" t="s">
        <v>250</v>
      </c>
      <c r="L4243" s="2">
        <v>2023</v>
      </c>
      <c r="M4243" s="2" t="s">
        <v>251</v>
      </c>
      <c r="N4243" s="2" t="s">
        <v>21</v>
      </c>
      <c r="O4243">
        <f t="shared" si="132"/>
        <v>0.47500000000000142</v>
      </c>
      <c r="P4243">
        <f t="shared" si="133"/>
        <v>10.593000000000004</v>
      </c>
    </row>
    <row r="4244" spans="1:16" x14ac:dyDescent="0.35">
      <c r="A4244" s="9" t="s">
        <v>268</v>
      </c>
      <c r="B4244" s="2">
        <v>51.790999999999997</v>
      </c>
      <c r="C4244" s="2">
        <v>52.259</v>
      </c>
      <c r="D4244" s="2">
        <v>51.790999999999997</v>
      </c>
      <c r="E4244" s="2">
        <v>52.063000000000002</v>
      </c>
      <c r="F4244" s="2">
        <v>23480531</v>
      </c>
      <c r="G4244" s="2" t="s">
        <v>576</v>
      </c>
      <c r="H4244" s="2" t="s">
        <v>577</v>
      </c>
      <c r="I4244" s="2" t="s">
        <v>578</v>
      </c>
      <c r="J4244" s="3">
        <v>0.45500000000000002</v>
      </c>
      <c r="K4244" s="2" t="s">
        <v>250</v>
      </c>
      <c r="L4244" s="2">
        <v>2023</v>
      </c>
      <c r="M4244" s="2" t="s">
        <v>251</v>
      </c>
      <c r="N4244" s="2" t="s">
        <v>21</v>
      </c>
      <c r="O4244">
        <f t="shared" si="132"/>
        <v>0.46800000000000352</v>
      </c>
      <c r="P4244">
        <f t="shared" si="133"/>
        <v>11.048000000000004</v>
      </c>
    </row>
    <row r="4245" spans="1:16" x14ac:dyDescent="0.35">
      <c r="A4245" s="9" t="s">
        <v>269</v>
      </c>
      <c r="B4245" s="2">
        <v>52.027000000000001</v>
      </c>
      <c r="C4245" s="2">
        <v>52.779000000000003</v>
      </c>
      <c r="D4245" s="2">
        <v>52.027000000000001</v>
      </c>
      <c r="E4245" s="2">
        <v>52.683999999999997</v>
      </c>
      <c r="F4245" s="2">
        <v>23622437</v>
      </c>
      <c r="G4245" s="2" t="s">
        <v>576</v>
      </c>
      <c r="H4245" s="2" t="s">
        <v>577</v>
      </c>
      <c r="I4245" s="2" t="s">
        <v>578</v>
      </c>
      <c r="J4245" s="3">
        <v>1.1930000000000001</v>
      </c>
      <c r="K4245" s="2" t="s">
        <v>250</v>
      </c>
      <c r="L4245" s="2">
        <v>2023</v>
      </c>
      <c r="M4245" s="2" t="s">
        <v>251</v>
      </c>
      <c r="N4245" s="2" t="s">
        <v>21</v>
      </c>
      <c r="O4245">
        <f t="shared" si="132"/>
        <v>0.75200000000000244</v>
      </c>
      <c r="P4245">
        <f t="shared" si="133"/>
        <v>12.241000000000003</v>
      </c>
    </row>
    <row r="4246" spans="1:16" x14ac:dyDescent="0.35">
      <c r="A4246" s="9" t="s">
        <v>270</v>
      </c>
      <c r="B4246" s="2">
        <v>52.726999999999997</v>
      </c>
      <c r="C4246" s="2">
        <v>52.726999999999997</v>
      </c>
      <c r="D4246" s="2">
        <v>51.677999999999997</v>
      </c>
      <c r="E4246" s="2">
        <v>51.834000000000003</v>
      </c>
      <c r="F4246" s="2">
        <v>30007522</v>
      </c>
      <c r="G4246" s="2" t="s">
        <v>576</v>
      </c>
      <c r="H4246" s="2" t="s">
        <v>577</v>
      </c>
      <c r="I4246" s="2" t="s">
        <v>578</v>
      </c>
      <c r="J4246" s="4">
        <v>-1.6140000000000001</v>
      </c>
      <c r="K4246" s="2" t="s">
        <v>250</v>
      </c>
      <c r="L4246" s="2">
        <v>2023</v>
      </c>
      <c r="M4246" s="2" t="s">
        <v>251</v>
      </c>
      <c r="N4246" s="2" t="s">
        <v>23</v>
      </c>
      <c r="O4246">
        <f t="shared" si="132"/>
        <v>1.0489999999999995</v>
      </c>
      <c r="P4246">
        <f t="shared" si="133"/>
        <v>10.627000000000002</v>
      </c>
    </row>
    <row r="4247" spans="1:16" x14ac:dyDescent="0.35">
      <c r="A4247" s="9" t="s">
        <v>271</v>
      </c>
      <c r="B4247" s="2">
        <v>51.814</v>
      </c>
      <c r="C4247" s="2">
        <v>51.923999999999999</v>
      </c>
      <c r="D4247" s="2">
        <v>51.313000000000002</v>
      </c>
      <c r="E4247" s="2">
        <v>51.704999999999998</v>
      </c>
      <c r="F4247" s="2">
        <v>30036932</v>
      </c>
      <c r="G4247" s="2" t="s">
        <v>576</v>
      </c>
      <c r="H4247" s="2" t="s">
        <v>577</v>
      </c>
      <c r="I4247" s="2" t="s">
        <v>578</v>
      </c>
      <c r="J4247" s="4">
        <v>-0.249</v>
      </c>
      <c r="K4247" s="2" t="s">
        <v>250</v>
      </c>
      <c r="L4247" s="2">
        <v>2023</v>
      </c>
      <c r="M4247" s="2" t="s">
        <v>251</v>
      </c>
      <c r="N4247" s="2" t="s">
        <v>23</v>
      </c>
      <c r="O4247">
        <f t="shared" si="132"/>
        <v>0.6109999999999971</v>
      </c>
      <c r="P4247">
        <f t="shared" si="133"/>
        <v>10.378000000000002</v>
      </c>
    </row>
    <row r="4248" spans="1:16" x14ac:dyDescent="0.35">
      <c r="A4248" s="9" t="s">
        <v>272</v>
      </c>
      <c r="B4248" s="2">
        <v>51.601999999999997</v>
      </c>
      <c r="C4248" s="2">
        <v>51.677999999999997</v>
      </c>
      <c r="D4248" s="2">
        <v>50.688000000000002</v>
      </c>
      <c r="E4248" s="2">
        <v>51.256</v>
      </c>
      <c r="F4248" s="2">
        <v>39419534</v>
      </c>
      <c r="G4248" s="2" t="s">
        <v>576</v>
      </c>
      <c r="H4248" s="2" t="s">
        <v>577</v>
      </c>
      <c r="I4248" s="2" t="s">
        <v>578</v>
      </c>
      <c r="J4248" s="4">
        <v>-0.86699999999999999</v>
      </c>
      <c r="K4248" s="2" t="s">
        <v>273</v>
      </c>
      <c r="L4248" s="2">
        <v>2023</v>
      </c>
      <c r="M4248" s="2" t="s">
        <v>274</v>
      </c>
      <c r="N4248" s="2" t="s">
        <v>23</v>
      </c>
      <c r="O4248">
        <f t="shared" si="132"/>
        <v>0.98999999999999488</v>
      </c>
      <c r="P4248">
        <f t="shared" si="133"/>
        <v>9.5110000000000028</v>
      </c>
    </row>
    <row r="4249" spans="1:16" x14ac:dyDescent="0.35">
      <c r="A4249" s="9" t="s">
        <v>275</v>
      </c>
      <c r="B4249" s="2">
        <v>50.917999999999999</v>
      </c>
      <c r="C4249" s="2">
        <v>51.451999999999998</v>
      </c>
      <c r="D4249" s="2">
        <v>50.914000000000001</v>
      </c>
      <c r="E4249" s="2">
        <v>51.243000000000002</v>
      </c>
      <c r="F4249" s="2">
        <v>24975606</v>
      </c>
      <c r="G4249" s="2" t="s">
        <v>576</v>
      </c>
      <c r="H4249" s="2" t="s">
        <v>577</v>
      </c>
      <c r="I4249" s="2" t="s">
        <v>578</v>
      </c>
      <c r="J4249" s="4">
        <v>-2.5999999999999999E-2</v>
      </c>
      <c r="K4249" s="2" t="s">
        <v>273</v>
      </c>
      <c r="L4249" s="2">
        <v>2023</v>
      </c>
      <c r="M4249" s="2" t="s">
        <v>274</v>
      </c>
      <c r="N4249" s="2" t="s">
        <v>23</v>
      </c>
      <c r="O4249">
        <f t="shared" si="132"/>
        <v>0.5379999999999967</v>
      </c>
      <c r="P4249">
        <f t="shared" si="133"/>
        <v>9.485000000000003</v>
      </c>
    </row>
    <row r="4250" spans="1:16" x14ac:dyDescent="0.35">
      <c r="A4250" s="9" t="s">
        <v>276</v>
      </c>
      <c r="B4250" s="2">
        <v>51.292999999999999</v>
      </c>
      <c r="C4250" s="2">
        <v>51.758000000000003</v>
      </c>
      <c r="D4250" s="2">
        <v>51.057000000000002</v>
      </c>
      <c r="E4250" s="2">
        <v>51.718000000000004</v>
      </c>
      <c r="F4250" s="2">
        <v>21965108</v>
      </c>
      <c r="G4250" s="2" t="s">
        <v>576</v>
      </c>
      <c r="H4250" s="2" t="s">
        <v>577</v>
      </c>
      <c r="I4250" s="2" t="s">
        <v>578</v>
      </c>
      <c r="J4250" s="3">
        <v>0.92700000000000005</v>
      </c>
      <c r="K4250" s="2" t="s">
        <v>273</v>
      </c>
      <c r="L4250" s="2">
        <v>2023</v>
      </c>
      <c r="M4250" s="2" t="s">
        <v>274</v>
      </c>
      <c r="N4250" s="2" t="s">
        <v>21</v>
      </c>
      <c r="O4250">
        <f t="shared" si="132"/>
        <v>0.70100000000000051</v>
      </c>
      <c r="P4250">
        <f t="shared" si="133"/>
        <v>10.412000000000003</v>
      </c>
    </row>
    <row r="4251" spans="1:16" x14ac:dyDescent="0.35">
      <c r="A4251" s="9" t="s">
        <v>277</v>
      </c>
      <c r="B4251" s="2">
        <v>51.658000000000001</v>
      </c>
      <c r="C4251" s="2">
        <v>51.750999999999998</v>
      </c>
      <c r="D4251" s="2">
        <v>51.027000000000001</v>
      </c>
      <c r="E4251" s="2">
        <v>51.156999999999996</v>
      </c>
      <c r="F4251" s="2">
        <v>26545624</v>
      </c>
      <c r="G4251" s="2" t="s">
        <v>576</v>
      </c>
      <c r="H4251" s="2" t="s">
        <v>577</v>
      </c>
      <c r="I4251" s="2" t="s">
        <v>578</v>
      </c>
      <c r="J4251" s="4">
        <v>-1.085</v>
      </c>
      <c r="K4251" s="2" t="s">
        <v>273</v>
      </c>
      <c r="L4251" s="2">
        <v>2023</v>
      </c>
      <c r="M4251" s="2" t="s">
        <v>274</v>
      </c>
      <c r="N4251" s="2" t="s">
        <v>23</v>
      </c>
      <c r="O4251">
        <f t="shared" si="132"/>
        <v>0.72399999999999665</v>
      </c>
      <c r="P4251">
        <f t="shared" si="133"/>
        <v>9.3270000000000017</v>
      </c>
    </row>
    <row r="4252" spans="1:16" x14ac:dyDescent="0.35">
      <c r="A4252" s="9" t="s">
        <v>278</v>
      </c>
      <c r="B4252" s="2">
        <v>51.45</v>
      </c>
      <c r="C4252" s="2">
        <v>51.512999999999998</v>
      </c>
      <c r="D4252" s="2">
        <v>50.741999999999997</v>
      </c>
      <c r="E4252" s="2">
        <v>50.82</v>
      </c>
      <c r="F4252" s="2">
        <v>25362579</v>
      </c>
      <c r="G4252" s="2" t="s">
        <v>576</v>
      </c>
      <c r="H4252" s="2" t="s">
        <v>577</v>
      </c>
      <c r="I4252" s="2" t="s">
        <v>578</v>
      </c>
      <c r="J4252" s="4">
        <v>-0.65800000000000003</v>
      </c>
      <c r="K4252" s="2" t="s">
        <v>273</v>
      </c>
      <c r="L4252" s="2">
        <v>2023</v>
      </c>
      <c r="M4252" s="2" t="s">
        <v>274</v>
      </c>
      <c r="N4252" s="2" t="s">
        <v>23</v>
      </c>
      <c r="O4252">
        <f t="shared" si="132"/>
        <v>0.7710000000000008</v>
      </c>
      <c r="P4252">
        <f t="shared" si="133"/>
        <v>8.6690000000000023</v>
      </c>
    </row>
    <row r="4253" spans="1:16" x14ac:dyDescent="0.35">
      <c r="A4253" s="9" t="s">
        <v>279</v>
      </c>
      <c r="B4253" s="2">
        <v>50.667000000000002</v>
      </c>
      <c r="C4253" s="2">
        <v>50.737000000000002</v>
      </c>
      <c r="D4253" s="2">
        <v>50.08</v>
      </c>
      <c r="E4253" s="2">
        <v>50.286999999999999</v>
      </c>
      <c r="F4253" s="2">
        <v>34069461</v>
      </c>
      <c r="G4253" s="2" t="s">
        <v>576</v>
      </c>
      <c r="H4253" s="2" t="s">
        <v>577</v>
      </c>
      <c r="I4253" s="2" t="s">
        <v>578</v>
      </c>
      <c r="J4253" s="4">
        <v>-1.0489999999999999</v>
      </c>
      <c r="K4253" s="2" t="s">
        <v>273</v>
      </c>
      <c r="L4253" s="2">
        <v>2023</v>
      </c>
      <c r="M4253" s="2" t="s">
        <v>274</v>
      </c>
      <c r="N4253" s="2" t="s">
        <v>23</v>
      </c>
      <c r="O4253">
        <f t="shared" si="132"/>
        <v>0.65700000000000358</v>
      </c>
      <c r="P4253">
        <f t="shared" si="133"/>
        <v>7.6200000000000028</v>
      </c>
    </row>
    <row r="4254" spans="1:16" x14ac:dyDescent="0.35">
      <c r="A4254" s="9" t="s">
        <v>280</v>
      </c>
      <c r="B4254" s="2">
        <v>50.38</v>
      </c>
      <c r="C4254" s="2">
        <v>50.482999999999997</v>
      </c>
      <c r="D4254" s="2">
        <v>49.847000000000001</v>
      </c>
      <c r="E4254" s="2">
        <v>50.412999999999997</v>
      </c>
      <c r="F4254" s="2">
        <v>31883262</v>
      </c>
      <c r="G4254" s="2" t="s">
        <v>576</v>
      </c>
      <c r="H4254" s="2" t="s">
        <v>577</v>
      </c>
      <c r="I4254" s="2" t="s">
        <v>578</v>
      </c>
      <c r="J4254" s="3">
        <v>0.252</v>
      </c>
      <c r="K4254" s="2" t="s">
        <v>273</v>
      </c>
      <c r="L4254" s="2">
        <v>2023</v>
      </c>
      <c r="M4254" s="2" t="s">
        <v>274</v>
      </c>
      <c r="N4254" s="2" t="s">
        <v>21</v>
      </c>
      <c r="O4254">
        <f t="shared" si="132"/>
        <v>0.63599999999999568</v>
      </c>
      <c r="P4254">
        <f t="shared" si="133"/>
        <v>7.8720000000000026</v>
      </c>
    </row>
    <row r="4255" spans="1:16" x14ac:dyDescent="0.35">
      <c r="A4255" s="9" t="s">
        <v>281</v>
      </c>
      <c r="B4255" s="2">
        <v>50.406999999999996</v>
      </c>
      <c r="C4255" s="2">
        <v>50.567</v>
      </c>
      <c r="D4255" s="2">
        <v>50.076999999999998</v>
      </c>
      <c r="E4255" s="2">
        <v>50.453000000000003</v>
      </c>
      <c r="F4255" s="2">
        <v>21382020</v>
      </c>
      <c r="G4255" s="2" t="s">
        <v>576</v>
      </c>
      <c r="H4255" s="2" t="s">
        <v>577</v>
      </c>
      <c r="I4255" s="2" t="s">
        <v>578</v>
      </c>
      <c r="J4255" s="3">
        <v>7.9000000000000001E-2</v>
      </c>
      <c r="K4255" s="2" t="s">
        <v>273</v>
      </c>
      <c r="L4255" s="2">
        <v>2023</v>
      </c>
      <c r="M4255" s="2" t="s">
        <v>274</v>
      </c>
      <c r="N4255" s="2" t="s">
        <v>21</v>
      </c>
      <c r="O4255">
        <f t="shared" si="132"/>
        <v>0.49000000000000199</v>
      </c>
      <c r="P4255">
        <f t="shared" si="133"/>
        <v>7.9510000000000023</v>
      </c>
    </row>
    <row r="4256" spans="1:16" x14ac:dyDescent="0.35">
      <c r="A4256" s="9" t="s">
        <v>282</v>
      </c>
      <c r="B4256" s="2">
        <v>50.517000000000003</v>
      </c>
      <c r="C4256" s="2">
        <v>51.35</v>
      </c>
      <c r="D4256" s="2">
        <v>50.213000000000001</v>
      </c>
      <c r="E4256" s="2">
        <v>51.35</v>
      </c>
      <c r="F4256" s="2">
        <v>35348679</v>
      </c>
      <c r="G4256" s="2" t="s">
        <v>576</v>
      </c>
      <c r="H4256" s="2" t="s">
        <v>577</v>
      </c>
      <c r="I4256" s="2" t="s">
        <v>578</v>
      </c>
      <c r="J4256" s="3">
        <v>1.7769999999999999</v>
      </c>
      <c r="K4256" s="2" t="s">
        <v>273</v>
      </c>
      <c r="L4256" s="2">
        <v>2023</v>
      </c>
      <c r="M4256" s="2" t="s">
        <v>274</v>
      </c>
      <c r="N4256" s="2" t="s">
        <v>21</v>
      </c>
      <c r="O4256">
        <f t="shared" si="132"/>
        <v>1.1370000000000005</v>
      </c>
      <c r="P4256">
        <f t="shared" si="133"/>
        <v>9.7280000000000015</v>
      </c>
    </row>
    <row r="4257" spans="1:16" x14ac:dyDescent="0.35">
      <c r="A4257" s="9" t="s">
        <v>283</v>
      </c>
      <c r="B4257" s="2">
        <v>51.173000000000002</v>
      </c>
      <c r="C4257" s="2">
        <v>51.313000000000002</v>
      </c>
      <c r="D4257" s="2">
        <v>50.643000000000001</v>
      </c>
      <c r="E4257" s="2">
        <v>50.722999999999999</v>
      </c>
      <c r="F4257" s="2">
        <v>30891255</v>
      </c>
      <c r="G4257" s="2" t="s">
        <v>576</v>
      </c>
      <c r="H4257" s="2" t="s">
        <v>577</v>
      </c>
      <c r="I4257" s="2" t="s">
        <v>578</v>
      </c>
      <c r="J4257" s="4">
        <v>-1.22</v>
      </c>
      <c r="K4257" s="2" t="s">
        <v>273</v>
      </c>
      <c r="L4257" s="2">
        <v>2023</v>
      </c>
      <c r="M4257" s="2" t="s">
        <v>274</v>
      </c>
      <c r="N4257" s="2" t="s">
        <v>23</v>
      </c>
      <c r="O4257">
        <f t="shared" si="132"/>
        <v>0.67000000000000171</v>
      </c>
      <c r="P4257">
        <f t="shared" si="133"/>
        <v>8.5080000000000009</v>
      </c>
    </row>
    <row r="4258" spans="1:16" x14ac:dyDescent="0.35">
      <c r="A4258" s="9" t="s">
        <v>284</v>
      </c>
      <c r="B4258" s="2">
        <v>50.593000000000004</v>
      </c>
      <c r="C4258" s="2">
        <v>51.152999999999999</v>
      </c>
      <c r="D4258" s="2">
        <v>50.512999999999998</v>
      </c>
      <c r="E4258" s="2">
        <v>50.912999999999997</v>
      </c>
      <c r="F4258" s="2">
        <v>70003587</v>
      </c>
      <c r="G4258" s="2" t="s">
        <v>576</v>
      </c>
      <c r="H4258" s="2" t="s">
        <v>577</v>
      </c>
      <c r="I4258" s="2" t="s">
        <v>578</v>
      </c>
      <c r="J4258" s="3">
        <v>0.375</v>
      </c>
      <c r="K4258" s="2" t="s">
        <v>273</v>
      </c>
      <c r="L4258" s="2">
        <v>2023</v>
      </c>
      <c r="M4258" s="2" t="s">
        <v>274</v>
      </c>
      <c r="N4258" s="2" t="s">
        <v>21</v>
      </c>
      <c r="O4258">
        <f t="shared" si="132"/>
        <v>0.64000000000000057</v>
      </c>
      <c r="P4258">
        <f t="shared" si="133"/>
        <v>8.8830000000000009</v>
      </c>
    </row>
    <row r="4259" spans="1:16" x14ac:dyDescent="0.35">
      <c r="A4259" s="9" t="s">
        <v>285</v>
      </c>
      <c r="B4259" s="2">
        <v>51.116999999999997</v>
      </c>
      <c r="C4259" s="2">
        <v>51.69</v>
      </c>
      <c r="D4259" s="2">
        <v>51.042999999999999</v>
      </c>
      <c r="E4259" s="2">
        <v>51.656999999999996</v>
      </c>
      <c r="F4259" s="2">
        <v>26316012</v>
      </c>
      <c r="G4259" s="2" t="s">
        <v>576</v>
      </c>
      <c r="H4259" s="2" t="s">
        <v>577</v>
      </c>
      <c r="I4259" s="2" t="s">
        <v>578</v>
      </c>
      <c r="J4259" s="3">
        <v>1.46</v>
      </c>
      <c r="K4259" s="2" t="s">
        <v>273</v>
      </c>
      <c r="L4259" s="2">
        <v>2023</v>
      </c>
      <c r="M4259" s="2" t="s">
        <v>274</v>
      </c>
      <c r="N4259" s="2" t="s">
        <v>21</v>
      </c>
      <c r="O4259">
        <f t="shared" si="132"/>
        <v>0.64699999999999847</v>
      </c>
      <c r="P4259">
        <f t="shared" si="133"/>
        <v>10.343</v>
      </c>
    </row>
    <row r="4260" spans="1:16" x14ac:dyDescent="0.35">
      <c r="A4260" s="9" t="s">
        <v>286</v>
      </c>
      <c r="B4260" s="2">
        <v>51.613</v>
      </c>
      <c r="C4260" s="2">
        <v>51.896999999999998</v>
      </c>
      <c r="D4260" s="2">
        <v>51.363</v>
      </c>
      <c r="E4260" s="2">
        <v>51.843000000000004</v>
      </c>
      <c r="F4260" s="2">
        <v>24417093</v>
      </c>
      <c r="G4260" s="2" t="s">
        <v>576</v>
      </c>
      <c r="H4260" s="2" t="s">
        <v>577</v>
      </c>
      <c r="I4260" s="2" t="s">
        <v>578</v>
      </c>
      <c r="J4260" s="3">
        <v>0.36099999999999999</v>
      </c>
      <c r="K4260" s="2" t="s">
        <v>273</v>
      </c>
      <c r="L4260" s="2">
        <v>2023</v>
      </c>
      <c r="M4260" s="2" t="s">
        <v>274</v>
      </c>
      <c r="N4260" s="2" t="s">
        <v>21</v>
      </c>
      <c r="O4260">
        <f t="shared" si="132"/>
        <v>0.53399999999999892</v>
      </c>
      <c r="P4260">
        <f t="shared" si="133"/>
        <v>10.704000000000001</v>
      </c>
    </row>
    <row r="4261" spans="1:16" x14ac:dyDescent="0.35">
      <c r="A4261" s="9" t="s">
        <v>287</v>
      </c>
      <c r="B4261" s="2">
        <v>51.807000000000002</v>
      </c>
      <c r="C4261" s="2">
        <v>52.046999999999997</v>
      </c>
      <c r="D4261" s="2">
        <v>51.207000000000001</v>
      </c>
      <c r="E4261" s="2">
        <v>51.237000000000002</v>
      </c>
      <c r="F4261" s="2">
        <v>21967701</v>
      </c>
      <c r="G4261" s="2" t="s">
        <v>576</v>
      </c>
      <c r="H4261" s="2" t="s">
        <v>577</v>
      </c>
      <c r="I4261" s="2" t="s">
        <v>578</v>
      </c>
      <c r="J4261" s="4">
        <v>-1.17</v>
      </c>
      <c r="K4261" s="2" t="s">
        <v>273</v>
      </c>
      <c r="L4261" s="2">
        <v>2023</v>
      </c>
      <c r="M4261" s="2" t="s">
        <v>274</v>
      </c>
      <c r="N4261" s="2" t="s">
        <v>23</v>
      </c>
      <c r="O4261">
        <f t="shared" si="132"/>
        <v>0.83999999999999631</v>
      </c>
      <c r="P4261">
        <f t="shared" si="133"/>
        <v>9.5340000000000007</v>
      </c>
    </row>
    <row r="4262" spans="1:16" x14ac:dyDescent="0.35">
      <c r="A4262" s="9" t="s">
        <v>288</v>
      </c>
      <c r="B4262" s="2">
        <v>51.332999999999998</v>
      </c>
      <c r="C4262" s="2">
        <v>51.686999999999998</v>
      </c>
      <c r="D4262" s="2">
        <v>51.302</v>
      </c>
      <c r="E4262" s="2">
        <v>51.6</v>
      </c>
      <c r="F4262" s="2">
        <v>20087784</v>
      </c>
      <c r="G4262" s="2" t="s">
        <v>576</v>
      </c>
      <c r="H4262" s="2" t="s">
        <v>577</v>
      </c>
      <c r="I4262" s="2" t="s">
        <v>578</v>
      </c>
      <c r="J4262" s="3">
        <v>0.70899999999999996</v>
      </c>
      <c r="K4262" s="2" t="s">
        <v>273</v>
      </c>
      <c r="L4262" s="2">
        <v>2023</v>
      </c>
      <c r="M4262" s="2" t="s">
        <v>274</v>
      </c>
      <c r="N4262" s="2" t="s">
        <v>21</v>
      </c>
      <c r="O4262">
        <f t="shared" si="132"/>
        <v>0.38499999999999801</v>
      </c>
      <c r="P4262">
        <f t="shared" si="133"/>
        <v>10.243</v>
      </c>
    </row>
    <row r="4263" spans="1:16" x14ac:dyDescent="0.35">
      <c r="A4263" s="9" t="s">
        <v>289</v>
      </c>
      <c r="B4263" s="2">
        <v>51.817</v>
      </c>
      <c r="C4263" s="2">
        <v>52.383000000000003</v>
      </c>
      <c r="D4263" s="2">
        <v>51.718000000000004</v>
      </c>
      <c r="E4263" s="2">
        <v>52.216999999999999</v>
      </c>
      <c r="F4263" s="2">
        <v>19405641</v>
      </c>
      <c r="G4263" s="2" t="s">
        <v>576</v>
      </c>
      <c r="H4263" s="2" t="s">
        <v>577</v>
      </c>
      <c r="I4263" s="2" t="s">
        <v>578</v>
      </c>
      <c r="J4263" s="3">
        <v>1.1950000000000001</v>
      </c>
      <c r="K4263" s="2" t="s">
        <v>273</v>
      </c>
      <c r="L4263" s="2">
        <v>2023</v>
      </c>
      <c r="M4263" s="2" t="s">
        <v>274</v>
      </c>
      <c r="N4263" s="2" t="s">
        <v>21</v>
      </c>
      <c r="O4263">
        <f t="shared" si="132"/>
        <v>0.66499999999999915</v>
      </c>
      <c r="P4263">
        <f t="shared" si="133"/>
        <v>11.438000000000001</v>
      </c>
    </row>
    <row r="4264" spans="1:16" x14ac:dyDescent="0.35">
      <c r="A4264" s="9" t="s">
        <v>290</v>
      </c>
      <c r="B4264" s="2">
        <v>52.216999999999999</v>
      </c>
      <c r="C4264" s="2">
        <v>52.33</v>
      </c>
      <c r="D4264" s="2">
        <v>52.036999999999999</v>
      </c>
      <c r="E4264" s="2">
        <v>52.137</v>
      </c>
      <c r="F4264" s="2">
        <v>11679963</v>
      </c>
      <c r="G4264" s="2" t="s">
        <v>576</v>
      </c>
      <c r="H4264" s="2" t="s">
        <v>577</v>
      </c>
      <c r="I4264" s="2" t="s">
        <v>578</v>
      </c>
      <c r="J4264" s="4">
        <v>-0.153</v>
      </c>
      <c r="K4264" s="2" t="s">
        <v>273</v>
      </c>
      <c r="L4264" s="2">
        <v>2023</v>
      </c>
      <c r="M4264" s="2" t="s">
        <v>274</v>
      </c>
      <c r="N4264" s="2" t="s">
        <v>23</v>
      </c>
      <c r="O4264">
        <f t="shared" si="132"/>
        <v>0.29299999999999926</v>
      </c>
      <c r="P4264">
        <f t="shared" si="133"/>
        <v>11.285</v>
      </c>
    </row>
    <row r="4265" spans="1:16" x14ac:dyDescent="0.35">
      <c r="A4265" s="9" t="s">
        <v>291</v>
      </c>
      <c r="B4265" s="2">
        <v>52.103000000000002</v>
      </c>
      <c r="C4265" s="2">
        <v>52.648000000000003</v>
      </c>
      <c r="D4265" s="2">
        <v>52.052999999999997</v>
      </c>
      <c r="E4265" s="2">
        <v>52.627000000000002</v>
      </c>
      <c r="F4265" s="2">
        <v>19895964</v>
      </c>
      <c r="G4265" s="2" t="s">
        <v>576</v>
      </c>
      <c r="H4265" s="2" t="s">
        <v>577</v>
      </c>
      <c r="I4265" s="2" t="s">
        <v>578</v>
      </c>
      <c r="J4265" s="3">
        <v>0.94</v>
      </c>
      <c r="K4265" s="2" t="s">
        <v>273</v>
      </c>
      <c r="L4265" s="2">
        <v>2023</v>
      </c>
      <c r="M4265" s="2" t="s">
        <v>274</v>
      </c>
      <c r="N4265" s="2" t="s">
        <v>21</v>
      </c>
      <c r="O4265">
        <f t="shared" si="132"/>
        <v>0.59500000000000597</v>
      </c>
      <c r="P4265">
        <f t="shared" si="133"/>
        <v>12.225</v>
      </c>
    </row>
    <row r="4266" spans="1:16" x14ac:dyDescent="0.35">
      <c r="A4266" s="9" t="s">
        <v>292</v>
      </c>
      <c r="B4266" s="2">
        <v>52.59</v>
      </c>
      <c r="C4266" s="2">
        <v>52.777000000000001</v>
      </c>
      <c r="D4266" s="2">
        <v>52.5</v>
      </c>
      <c r="E4266" s="2">
        <v>52.523000000000003</v>
      </c>
      <c r="F4266" s="2">
        <v>16776066</v>
      </c>
      <c r="G4266" s="2" t="s">
        <v>576</v>
      </c>
      <c r="H4266" s="2" t="s">
        <v>577</v>
      </c>
      <c r="I4266" s="2" t="s">
        <v>578</v>
      </c>
      <c r="J4266" s="4">
        <v>-0.19600000000000001</v>
      </c>
      <c r="K4266" s="2" t="s">
        <v>273</v>
      </c>
      <c r="L4266" s="2">
        <v>2023</v>
      </c>
      <c r="M4266" s="2" t="s">
        <v>274</v>
      </c>
      <c r="N4266" s="2" t="s">
        <v>23</v>
      </c>
      <c r="O4266">
        <f t="shared" si="132"/>
        <v>0.27700000000000102</v>
      </c>
      <c r="P4266">
        <f t="shared" si="133"/>
        <v>12.029</v>
      </c>
    </row>
    <row r="4267" spans="1:16" x14ac:dyDescent="0.35">
      <c r="A4267" s="9" t="s">
        <v>293</v>
      </c>
      <c r="B4267" s="2">
        <v>52.51</v>
      </c>
      <c r="C4267" s="2">
        <v>52.692999999999998</v>
      </c>
      <c r="D4267" s="2">
        <v>52.387</v>
      </c>
      <c r="E4267" s="2">
        <v>52.55</v>
      </c>
      <c r="F4267" s="2">
        <v>21948198</v>
      </c>
      <c r="G4267" s="2" t="s">
        <v>576</v>
      </c>
      <c r="H4267" s="2" t="s">
        <v>577</v>
      </c>
      <c r="I4267" s="2" t="s">
        <v>578</v>
      </c>
      <c r="J4267" s="3">
        <v>5.0999999999999997E-2</v>
      </c>
      <c r="K4267" s="2" t="s">
        <v>273</v>
      </c>
      <c r="L4267" s="2">
        <v>2023</v>
      </c>
      <c r="M4267" s="2" t="s">
        <v>274</v>
      </c>
      <c r="N4267" s="2" t="s">
        <v>21</v>
      </c>
      <c r="O4267">
        <f t="shared" si="132"/>
        <v>0.30599999999999739</v>
      </c>
      <c r="P4267">
        <f t="shared" si="133"/>
        <v>12.08</v>
      </c>
    </row>
    <row r="4268" spans="1:16" x14ac:dyDescent="0.35">
      <c r="A4268" s="9" t="s">
        <v>294</v>
      </c>
      <c r="B4268" s="2">
        <v>52.417000000000002</v>
      </c>
      <c r="C4268" s="2">
        <v>53.177999999999997</v>
      </c>
      <c r="D4268" s="2">
        <v>52.396999999999998</v>
      </c>
      <c r="E4268" s="2">
        <v>53.097000000000001</v>
      </c>
      <c r="F4268" s="2">
        <v>23539677</v>
      </c>
      <c r="G4268" s="2" t="s">
        <v>576</v>
      </c>
      <c r="H4268" s="2" t="s">
        <v>577</v>
      </c>
      <c r="I4268" s="2" t="s">
        <v>578</v>
      </c>
      <c r="J4268" s="3">
        <v>1.04</v>
      </c>
      <c r="K4268" s="2" t="s">
        <v>295</v>
      </c>
      <c r="L4268" s="2">
        <v>2024</v>
      </c>
      <c r="M4268" s="2" t="s">
        <v>19</v>
      </c>
      <c r="N4268" s="2" t="s">
        <v>21</v>
      </c>
      <c r="O4268">
        <f t="shared" si="132"/>
        <v>0.78099999999999881</v>
      </c>
      <c r="P4268">
        <f t="shared" si="133"/>
        <v>13.120000000000001</v>
      </c>
    </row>
    <row r="4269" spans="1:16" x14ac:dyDescent="0.35">
      <c r="A4269" s="9" t="s">
        <v>296</v>
      </c>
      <c r="B4269" s="2">
        <v>53.256999999999998</v>
      </c>
      <c r="C4269" s="2">
        <v>53.433</v>
      </c>
      <c r="D4269" s="2">
        <v>52.976999999999997</v>
      </c>
      <c r="E4269" s="2">
        <v>53.1</v>
      </c>
      <c r="F4269" s="2">
        <v>18756060</v>
      </c>
      <c r="G4269" s="2" t="s">
        <v>576</v>
      </c>
      <c r="H4269" s="2" t="s">
        <v>577</v>
      </c>
      <c r="I4269" s="2" t="s">
        <v>578</v>
      </c>
      <c r="J4269" s="3">
        <v>6.0000000000000001E-3</v>
      </c>
      <c r="K4269" s="2" t="s">
        <v>295</v>
      </c>
      <c r="L4269" s="2">
        <v>2024</v>
      </c>
      <c r="M4269" s="2" t="s">
        <v>19</v>
      </c>
      <c r="N4269" s="2" t="s">
        <v>21</v>
      </c>
      <c r="O4269">
        <f t="shared" si="132"/>
        <v>0.45600000000000307</v>
      </c>
      <c r="P4269">
        <f t="shared" si="133"/>
        <v>13.126000000000001</v>
      </c>
    </row>
    <row r="4270" spans="1:16" x14ac:dyDescent="0.35">
      <c r="A4270" s="9" t="s">
        <v>297</v>
      </c>
      <c r="B4270" s="2">
        <v>53.07</v>
      </c>
      <c r="C4270" s="2">
        <v>53.18</v>
      </c>
      <c r="D4270" s="2">
        <v>52.497</v>
      </c>
      <c r="E4270" s="2">
        <v>52.587000000000003</v>
      </c>
      <c r="F4270" s="2">
        <v>19282470</v>
      </c>
      <c r="G4270" s="2" t="s">
        <v>576</v>
      </c>
      <c r="H4270" s="2" t="s">
        <v>577</v>
      </c>
      <c r="I4270" s="2" t="s">
        <v>578</v>
      </c>
      <c r="J4270" s="4">
        <v>-0.96699999999999997</v>
      </c>
      <c r="K4270" s="2" t="s">
        <v>295</v>
      </c>
      <c r="L4270" s="2">
        <v>2024</v>
      </c>
      <c r="M4270" s="2" t="s">
        <v>19</v>
      </c>
      <c r="N4270" s="2" t="s">
        <v>23</v>
      </c>
      <c r="O4270">
        <f t="shared" si="132"/>
        <v>0.68299999999999983</v>
      </c>
      <c r="P4270">
        <f t="shared" si="133"/>
        <v>12.159000000000001</v>
      </c>
    </row>
    <row r="4271" spans="1:16" x14ac:dyDescent="0.35">
      <c r="A4271" s="9" t="s">
        <v>298</v>
      </c>
      <c r="B4271" s="2">
        <v>52.64</v>
      </c>
      <c r="C4271" s="2">
        <v>52.7</v>
      </c>
      <c r="D4271" s="2">
        <v>51.866999999999997</v>
      </c>
      <c r="E4271" s="2">
        <v>52.237000000000002</v>
      </c>
      <c r="F4271" s="2">
        <v>21709503</v>
      </c>
      <c r="G4271" s="2" t="s">
        <v>576</v>
      </c>
      <c r="H4271" s="2" t="s">
        <v>577</v>
      </c>
      <c r="I4271" s="2" t="s">
        <v>578</v>
      </c>
      <c r="J4271" s="4">
        <v>-0.66600000000000004</v>
      </c>
      <c r="K4271" s="2" t="s">
        <v>295</v>
      </c>
      <c r="L4271" s="2">
        <v>2024</v>
      </c>
      <c r="M4271" s="2" t="s">
        <v>19</v>
      </c>
      <c r="N4271" s="2" t="s">
        <v>23</v>
      </c>
      <c r="O4271">
        <f t="shared" si="132"/>
        <v>0.83300000000000551</v>
      </c>
      <c r="P4271">
        <f t="shared" si="133"/>
        <v>11.493</v>
      </c>
    </row>
    <row r="4272" spans="1:16" x14ac:dyDescent="0.35">
      <c r="A4272" s="9" t="s">
        <v>299</v>
      </c>
      <c r="B4272" s="2">
        <v>52.232999999999997</v>
      </c>
      <c r="C4272" s="2">
        <v>52.765000000000001</v>
      </c>
      <c r="D4272" s="2">
        <v>52.225000000000001</v>
      </c>
      <c r="E4272" s="2">
        <v>52.75</v>
      </c>
      <c r="F4272" s="2">
        <v>20680878</v>
      </c>
      <c r="G4272" s="2" t="s">
        <v>576</v>
      </c>
      <c r="H4272" s="2" t="s">
        <v>577</v>
      </c>
      <c r="I4272" s="2" t="s">
        <v>578</v>
      </c>
      <c r="J4272" s="3">
        <v>0.98299999999999998</v>
      </c>
      <c r="K4272" s="2" t="s">
        <v>295</v>
      </c>
      <c r="L4272" s="2">
        <v>2024</v>
      </c>
      <c r="M4272" s="2" t="s">
        <v>19</v>
      </c>
      <c r="N4272" s="2" t="s">
        <v>21</v>
      </c>
      <c r="O4272">
        <f t="shared" si="132"/>
        <v>0.53999999999999915</v>
      </c>
      <c r="P4272">
        <f t="shared" si="133"/>
        <v>12.476000000000001</v>
      </c>
    </row>
    <row r="4273" spans="1:16" x14ac:dyDescent="0.35">
      <c r="A4273" s="9" t="s">
        <v>300</v>
      </c>
      <c r="B4273" s="2">
        <v>52.643000000000001</v>
      </c>
      <c r="C4273" s="2">
        <v>53.113</v>
      </c>
      <c r="D4273" s="2">
        <v>52.576999999999998</v>
      </c>
      <c r="E4273" s="2">
        <v>53.103000000000002</v>
      </c>
      <c r="F4273" s="2">
        <v>23322378</v>
      </c>
      <c r="G4273" s="2" t="s">
        <v>576</v>
      </c>
      <c r="H4273" s="2" t="s">
        <v>577</v>
      </c>
      <c r="I4273" s="2" t="s">
        <v>578</v>
      </c>
      <c r="J4273" s="3">
        <v>0.67</v>
      </c>
      <c r="K4273" s="2" t="s">
        <v>295</v>
      </c>
      <c r="L4273" s="2">
        <v>2024</v>
      </c>
      <c r="M4273" s="2" t="s">
        <v>19</v>
      </c>
      <c r="N4273" s="2" t="s">
        <v>21</v>
      </c>
      <c r="O4273">
        <f t="shared" si="132"/>
        <v>0.53600000000000136</v>
      </c>
      <c r="P4273">
        <f t="shared" si="133"/>
        <v>13.146000000000001</v>
      </c>
    </row>
    <row r="4274" spans="1:16" x14ac:dyDescent="0.35">
      <c r="A4274" s="9" t="s">
        <v>301</v>
      </c>
      <c r="B4274" s="2">
        <v>53.186999999999998</v>
      </c>
      <c r="C4274" s="2">
        <v>53.832999999999998</v>
      </c>
      <c r="D4274" s="2">
        <v>53.186999999999998</v>
      </c>
      <c r="E4274" s="2">
        <v>53.762999999999998</v>
      </c>
      <c r="F4274" s="2">
        <v>20122038</v>
      </c>
      <c r="G4274" s="2" t="s">
        <v>576</v>
      </c>
      <c r="H4274" s="2" t="s">
        <v>577</v>
      </c>
      <c r="I4274" s="2" t="s">
        <v>578</v>
      </c>
      <c r="J4274" s="3">
        <v>1.2430000000000001</v>
      </c>
      <c r="K4274" s="2" t="s">
        <v>295</v>
      </c>
      <c r="L4274" s="2">
        <v>2024</v>
      </c>
      <c r="M4274" s="2" t="s">
        <v>19</v>
      </c>
      <c r="N4274" s="2" t="s">
        <v>21</v>
      </c>
      <c r="O4274">
        <f t="shared" si="132"/>
        <v>0.6460000000000008</v>
      </c>
      <c r="P4274">
        <f t="shared" si="133"/>
        <v>14.389000000000001</v>
      </c>
    </row>
    <row r="4275" spans="1:16" x14ac:dyDescent="0.35">
      <c r="A4275" s="9" t="s">
        <v>302</v>
      </c>
      <c r="B4275" s="2">
        <v>53.783000000000001</v>
      </c>
      <c r="C4275" s="2">
        <v>53.963000000000001</v>
      </c>
      <c r="D4275" s="2">
        <v>53.39</v>
      </c>
      <c r="E4275" s="2">
        <v>53.703000000000003</v>
      </c>
      <c r="F4275" s="2">
        <v>14355207</v>
      </c>
      <c r="G4275" s="2" t="s">
        <v>576</v>
      </c>
      <c r="H4275" s="2" t="s">
        <v>577</v>
      </c>
      <c r="I4275" s="2" t="s">
        <v>578</v>
      </c>
      <c r="J4275" s="4">
        <v>-0.112</v>
      </c>
      <c r="K4275" s="2" t="s">
        <v>295</v>
      </c>
      <c r="L4275" s="2">
        <v>2024</v>
      </c>
      <c r="M4275" s="2" t="s">
        <v>19</v>
      </c>
      <c r="N4275" s="2" t="s">
        <v>23</v>
      </c>
      <c r="O4275">
        <f t="shared" si="132"/>
        <v>0.5730000000000004</v>
      </c>
      <c r="P4275">
        <f t="shared" si="133"/>
        <v>14.277000000000001</v>
      </c>
    </row>
    <row r="4276" spans="1:16" x14ac:dyDescent="0.35">
      <c r="A4276" s="9" t="s">
        <v>303</v>
      </c>
      <c r="B4276" s="2">
        <v>53.79</v>
      </c>
      <c r="C4276" s="2">
        <v>53.847999999999999</v>
      </c>
      <c r="D4276" s="2">
        <v>53.46</v>
      </c>
      <c r="E4276" s="2">
        <v>53.773000000000003</v>
      </c>
      <c r="F4276" s="2">
        <v>13628967</v>
      </c>
      <c r="G4276" s="2" t="s">
        <v>576</v>
      </c>
      <c r="H4276" s="2" t="s">
        <v>577</v>
      </c>
      <c r="I4276" s="2" t="s">
        <v>578</v>
      </c>
      <c r="J4276" s="3">
        <v>0.13</v>
      </c>
      <c r="K4276" s="2" t="s">
        <v>295</v>
      </c>
      <c r="L4276" s="2">
        <v>2024</v>
      </c>
      <c r="M4276" s="2" t="s">
        <v>19</v>
      </c>
      <c r="N4276" s="2" t="s">
        <v>21</v>
      </c>
      <c r="O4276">
        <f t="shared" si="132"/>
        <v>0.38799999999999812</v>
      </c>
      <c r="P4276">
        <f t="shared" si="133"/>
        <v>14.407000000000002</v>
      </c>
    </row>
    <row r="4277" spans="1:16" x14ac:dyDescent="0.35">
      <c r="A4277" s="9" t="s">
        <v>304</v>
      </c>
      <c r="B4277" s="2">
        <v>53.813000000000002</v>
      </c>
      <c r="C4277" s="2">
        <v>54.133000000000003</v>
      </c>
      <c r="D4277" s="2">
        <v>53.743000000000002</v>
      </c>
      <c r="E4277" s="2">
        <v>53.942999999999998</v>
      </c>
      <c r="F4277" s="2">
        <v>17032590</v>
      </c>
      <c r="G4277" s="2" t="s">
        <v>576</v>
      </c>
      <c r="H4277" s="2" t="s">
        <v>577</v>
      </c>
      <c r="I4277" s="2" t="s">
        <v>578</v>
      </c>
      <c r="J4277" s="3">
        <v>0.316</v>
      </c>
      <c r="K4277" s="2" t="s">
        <v>295</v>
      </c>
      <c r="L4277" s="2">
        <v>2024</v>
      </c>
      <c r="M4277" s="2" t="s">
        <v>19</v>
      </c>
      <c r="N4277" s="2" t="s">
        <v>21</v>
      </c>
      <c r="O4277">
        <f t="shared" si="132"/>
        <v>0.39000000000000057</v>
      </c>
      <c r="P4277">
        <f t="shared" si="133"/>
        <v>14.723000000000003</v>
      </c>
    </row>
    <row r="4278" spans="1:16" x14ac:dyDescent="0.35">
      <c r="A4278" s="9" t="s">
        <v>305</v>
      </c>
      <c r="B4278" s="2">
        <v>53.792999999999999</v>
      </c>
      <c r="C4278" s="2">
        <v>53.994999999999997</v>
      </c>
      <c r="D4278" s="2">
        <v>53.542999999999999</v>
      </c>
      <c r="E4278" s="2">
        <v>53.69</v>
      </c>
      <c r="F4278" s="2">
        <v>14827662</v>
      </c>
      <c r="G4278" s="2" t="s">
        <v>576</v>
      </c>
      <c r="H4278" s="2" t="s">
        <v>577</v>
      </c>
      <c r="I4278" s="2" t="s">
        <v>578</v>
      </c>
      <c r="J4278" s="4">
        <v>-0.47</v>
      </c>
      <c r="K4278" s="2" t="s">
        <v>295</v>
      </c>
      <c r="L4278" s="2">
        <v>2024</v>
      </c>
      <c r="M4278" s="2" t="s">
        <v>19</v>
      </c>
      <c r="N4278" s="2" t="s">
        <v>23</v>
      </c>
      <c r="O4278">
        <f t="shared" si="132"/>
        <v>0.45199999999999818</v>
      </c>
      <c r="P4278">
        <f t="shared" si="133"/>
        <v>14.253000000000002</v>
      </c>
    </row>
    <row r="4279" spans="1:16" x14ac:dyDescent="0.35">
      <c r="A4279" s="9" t="s">
        <v>306</v>
      </c>
      <c r="B4279" s="2">
        <v>53.72</v>
      </c>
      <c r="C4279" s="2">
        <v>54.463000000000001</v>
      </c>
      <c r="D4279" s="2">
        <v>53.56</v>
      </c>
      <c r="E4279" s="2">
        <v>54.412999999999997</v>
      </c>
      <c r="F4279" s="2">
        <v>18190611</v>
      </c>
      <c r="G4279" s="2" t="s">
        <v>576</v>
      </c>
      <c r="H4279" s="2" t="s">
        <v>577</v>
      </c>
      <c r="I4279" s="2" t="s">
        <v>578</v>
      </c>
      <c r="J4279" s="3">
        <v>1.347</v>
      </c>
      <c r="K4279" s="2" t="s">
        <v>295</v>
      </c>
      <c r="L4279" s="2">
        <v>2024</v>
      </c>
      <c r="M4279" s="2" t="s">
        <v>19</v>
      </c>
      <c r="N4279" s="2" t="s">
        <v>21</v>
      </c>
      <c r="O4279">
        <f t="shared" si="132"/>
        <v>0.90299999999999869</v>
      </c>
      <c r="P4279">
        <f t="shared" si="133"/>
        <v>15.600000000000001</v>
      </c>
    </row>
    <row r="4280" spans="1:16" x14ac:dyDescent="0.35">
      <c r="A4280" s="9" t="s">
        <v>307</v>
      </c>
      <c r="B4280" s="2">
        <v>54.476999999999997</v>
      </c>
      <c r="C4280" s="2">
        <v>54.523000000000003</v>
      </c>
      <c r="D4280" s="2">
        <v>53.813000000000002</v>
      </c>
      <c r="E4280" s="2">
        <v>54.127000000000002</v>
      </c>
      <c r="F4280" s="2">
        <v>19175295</v>
      </c>
      <c r="G4280" s="2" t="s">
        <v>576</v>
      </c>
      <c r="H4280" s="2" t="s">
        <v>577</v>
      </c>
      <c r="I4280" s="2" t="s">
        <v>578</v>
      </c>
      <c r="J4280" s="4">
        <v>-0.52700000000000002</v>
      </c>
      <c r="K4280" s="2" t="s">
        <v>295</v>
      </c>
      <c r="L4280" s="2">
        <v>2024</v>
      </c>
      <c r="M4280" s="2" t="s">
        <v>19</v>
      </c>
      <c r="N4280" s="2" t="s">
        <v>23</v>
      </c>
      <c r="O4280">
        <f t="shared" si="132"/>
        <v>0.71000000000000085</v>
      </c>
      <c r="P4280">
        <f t="shared" si="133"/>
        <v>15.073000000000002</v>
      </c>
    </row>
    <row r="4281" spans="1:16" x14ac:dyDescent="0.35">
      <c r="A4281" s="9" t="s">
        <v>308</v>
      </c>
      <c r="B4281" s="2">
        <v>54.262999999999998</v>
      </c>
      <c r="C4281" s="2">
        <v>54.317</v>
      </c>
      <c r="D4281" s="2">
        <v>53.832999999999998</v>
      </c>
      <c r="E4281" s="2">
        <v>54.13</v>
      </c>
      <c r="F4281" s="2">
        <v>13938381</v>
      </c>
      <c r="G4281" s="2" t="s">
        <v>576</v>
      </c>
      <c r="H4281" s="2" t="s">
        <v>577</v>
      </c>
      <c r="I4281" s="2" t="s">
        <v>578</v>
      </c>
      <c r="J4281" s="3">
        <v>6.0000000000000001E-3</v>
      </c>
      <c r="K4281" s="2" t="s">
        <v>295</v>
      </c>
      <c r="L4281" s="2">
        <v>2024</v>
      </c>
      <c r="M4281" s="2" t="s">
        <v>19</v>
      </c>
      <c r="N4281" s="2" t="s">
        <v>21</v>
      </c>
      <c r="O4281">
        <f t="shared" si="132"/>
        <v>0.48400000000000176</v>
      </c>
      <c r="P4281">
        <f t="shared" si="133"/>
        <v>15.079000000000002</v>
      </c>
    </row>
    <row r="4282" spans="1:16" x14ac:dyDescent="0.35">
      <c r="A4282" s="9" t="s">
        <v>309</v>
      </c>
      <c r="B4282" s="2">
        <v>54.04</v>
      </c>
      <c r="C4282" s="2">
        <v>54.283000000000001</v>
      </c>
      <c r="D4282" s="2">
        <v>53.923000000000002</v>
      </c>
      <c r="E4282" s="2">
        <v>54.267000000000003</v>
      </c>
      <c r="F4282" s="2">
        <v>12066516</v>
      </c>
      <c r="G4282" s="2" t="s">
        <v>576</v>
      </c>
      <c r="H4282" s="2" t="s">
        <v>577</v>
      </c>
      <c r="I4282" s="2" t="s">
        <v>578</v>
      </c>
      <c r="J4282" s="3">
        <v>0.253</v>
      </c>
      <c r="K4282" s="2" t="s">
        <v>295</v>
      </c>
      <c r="L4282" s="2">
        <v>2024</v>
      </c>
      <c r="M4282" s="2" t="s">
        <v>19</v>
      </c>
      <c r="N4282" s="2" t="s">
        <v>21</v>
      </c>
      <c r="O4282">
        <f t="shared" si="132"/>
        <v>0.35999999999999943</v>
      </c>
      <c r="P4282">
        <f t="shared" si="133"/>
        <v>15.332000000000003</v>
      </c>
    </row>
    <row r="4283" spans="1:16" x14ac:dyDescent="0.35">
      <c r="A4283" s="9" t="s">
        <v>310</v>
      </c>
      <c r="B4283" s="2">
        <v>54.3</v>
      </c>
      <c r="C4283" s="2">
        <v>54.354999999999997</v>
      </c>
      <c r="D4283" s="2">
        <v>53.44</v>
      </c>
      <c r="E4283" s="2">
        <v>53.5</v>
      </c>
      <c r="F4283" s="2">
        <v>22932861</v>
      </c>
      <c r="G4283" s="2" t="s">
        <v>576</v>
      </c>
      <c r="H4283" s="2" t="s">
        <v>577</v>
      </c>
      <c r="I4283" s="2" t="s">
        <v>578</v>
      </c>
      <c r="J4283" s="4">
        <v>-1.413</v>
      </c>
      <c r="K4283" s="2" t="s">
        <v>295</v>
      </c>
      <c r="L4283" s="2">
        <v>2024</v>
      </c>
      <c r="M4283" s="2" t="s">
        <v>19</v>
      </c>
      <c r="N4283" s="2" t="s">
        <v>23</v>
      </c>
      <c r="O4283">
        <f t="shared" si="132"/>
        <v>0.91499999999999915</v>
      </c>
      <c r="P4283">
        <f t="shared" si="133"/>
        <v>13.919000000000002</v>
      </c>
    </row>
    <row r="4284" spans="1:16" x14ac:dyDescent="0.35">
      <c r="A4284" s="9" t="s">
        <v>311</v>
      </c>
      <c r="B4284" s="2">
        <v>53.8</v>
      </c>
      <c r="C4284" s="2">
        <v>54.29</v>
      </c>
      <c r="D4284" s="2">
        <v>53.472999999999999</v>
      </c>
      <c r="E4284" s="2">
        <v>54.28</v>
      </c>
      <c r="F4284" s="2">
        <v>16369602</v>
      </c>
      <c r="G4284" s="2" t="s">
        <v>576</v>
      </c>
      <c r="H4284" s="2" t="s">
        <v>577</v>
      </c>
      <c r="I4284" s="2" t="s">
        <v>578</v>
      </c>
      <c r="J4284" s="3">
        <v>1.458</v>
      </c>
      <c r="K4284" s="2" t="s">
        <v>295</v>
      </c>
      <c r="L4284" s="2">
        <v>2024</v>
      </c>
      <c r="M4284" s="2" t="s">
        <v>19</v>
      </c>
      <c r="N4284" s="2" t="s">
        <v>21</v>
      </c>
      <c r="O4284">
        <f t="shared" si="132"/>
        <v>0.81700000000000017</v>
      </c>
      <c r="P4284">
        <f t="shared" si="133"/>
        <v>15.377000000000002</v>
      </c>
    </row>
    <row r="4285" spans="1:16" x14ac:dyDescent="0.35">
      <c r="A4285" s="9" t="s">
        <v>312</v>
      </c>
      <c r="B4285" s="2">
        <v>54.35</v>
      </c>
      <c r="C4285" s="2">
        <v>54.792999999999999</v>
      </c>
      <c r="D4285" s="2">
        <v>54.22</v>
      </c>
      <c r="E4285" s="2">
        <v>54.756999999999998</v>
      </c>
      <c r="F4285" s="2">
        <v>15746310</v>
      </c>
      <c r="G4285" s="2" t="s">
        <v>576</v>
      </c>
      <c r="H4285" s="2" t="s">
        <v>577</v>
      </c>
      <c r="I4285" s="2" t="s">
        <v>578</v>
      </c>
      <c r="J4285" s="3">
        <v>0.878</v>
      </c>
      <c r="K4285" s="2" t="s">
        <v>295</v>
      </c>
      <c r="L4285" s="2">
        <v>2024</v>
      </c>
      <c r="M4285" s="2" t="s">
        <v>19</v>
      </c>
      <c r="N4285" s="2" t="s">
        <v>21</v>
      </c>
      <c r="O4285">
        <f t="shared" si="132"/>
        <v>0.5730000000000004</v>
      </c>
      <c r="P4285">
        <f t="shared" si="133"/>
        <v>16.255000000000003</v>
      </c>
    </row>
    <row r="4286" spans="1:16" x14ac:dyDescent="0.35">
      <c r="A4286" s="9" t="s">
        <v>313</v>
      </c>
      <c r="B4286" s="2">
        <v>54.783000000000001</v>
      </c>
      <c r="C4286" s="2">
        <v>55.134999999999998</v>
      </c>
      <c r="D4286" s="2">
        <v>54.506999999999998</v>
      </c>
      <c r="E4286" s="2">
        <v>55.012999999999998</v>
      </c>
      <c r="F4286" s="2">
        <v>18240312</v>
      </c>
      <c r="G4286" s="2" t="s">
        <v>576</v>
      </c>
      <c r="H4286" s="2" t="s">
        <v>577</v>
      </c>
      <c r="I4286" s="2" t="s">
        <v>578</v>
      </c>
      <c r="J4286" s="3">
        <v>0.46899999999999997</v>
      </c>
      <c r="K4286" s="2" t="s">
        <v>295</v>
      </c>
      <c r="L4286" s="2">
        <v>2024</v>
      </c>
      <c r="M4286" s="2" t="s">
        <v>19</v>
      </c>
      <c r="N4286" s="2" t="s">
        <v>21</v>
      </c>
      <c r="O4286">
        <f t="shared" si="132"/>
        <v>0.62800000000000011</v>
      </c>
      <c r="P4286">
        <f t="shared" si="133"/>
        <v>16.724000000000004</v>
      </c>
    </row>
    <row r="4287" spans="1:16" x14ac:dyDescent="0.35">
      <c r="A4287" s="9" t="s">
        <v>314</v>
      </c>
      <c r="B4287" s="2">
        <v>54.9</v>
      </c>
      <c r="C4287" s="2">
        <v>55.268000000000001</v>
      </c>
      <c r="D4287" s="2">
        <v>54.54</v>
      </c>
      <c r="E4287" s="2">
        <v>55.197000000000003</v>
      </c>
      <c r="F4287" s="2">
        <v>15270012</v>
      </c>
      <c r="G4287" s="2" t="s">
        <v>576</v>
      </c>
      <c r="H4287" s="2" t="s">
        <v>577</v>
      </c>
      <c r="I4287" s="2" t="s">
        <v>578</v>
      </c>
      <c r="J4287" s="3">
        <v>0.33300000000000002</v>
      </c>
      <c r="K4287" s="2" t="s">
        <v>295</v>
      </c>
      <c r="L4287" s="2">
        <v>2024</v>
      </c>
      <c r="M4287" s="2" t="s">
        <v>19</v>
      </c>
      <c r="N4287" s="2" t="s">
        <v>21</v>
      </c>
      <c r="O4287">
        <f t="shared" si="132"/>
        <v>0.72800000000000153</v>
      </c>
      <c r="P4287">
        <f t="shared" si="133"/>
        <v>17.057000000000002</v>
      </c>
    </row>
    <row r="4288" spans="1:16" x14ac:dyDescent="0.35">
      <c r="A4288" s="9" t="s">
        <v>315</v>
      </c>
      <c r="B4288" s="2">
        <v>55.933</v>
      </c>
      <c r="C4288" s="2">
        <v>55.933</v>
      </c>
      <c r="D4288" s="2">
        <v>55.036999999999999</v>
      </c>
      <c r="E4288" s="2">
        <v>55.082999999999998</v>
      </c>
      <c r="F4288" s="2">
        <v>26134875</v>
      </c>
      <c r="G4288" s="2" t="s">
        <v>576</v>
      </c>
      <c r="H4288" s="2" t="s">
        <v>577</v>
      </c>
      <c r="I4288" s="2" t="s">
        <v>578</v>
      </c>
      <c r="J4288" s="4">
        <v>-0.20499999999999999</v>
      </c>
      <c r="K4288" s="2" t="s">
        <v>295</v>
      </c>
      <c r="L4288" s="2">
        <v>2024</v>
      </c>
      <c r="M4288" s="2" t="s">
        <v>19</v>
      </c>
      <c r="N4288" s="2" t="s">
        <v>23</v>
      </c>
      <c r="O4288">
        <f t="shared" si="132"/>
        <v>0.8960000000000008</v>
      </c>
      <c r="P4288">
        <f t="shared" si="133"/>
        <v>16.852000000000004</v>
      </c>
    </row>
    <row r="4289" spans="1:16" x14ac:dyDescent="0.35">
      <c r="A4289" s="9" t="s">
        <v>316</v>
      </c>
      <c r="B4289" s="2">
        <v>55.232999999999997</v>
      </c>
      <c r="C4289" s="2">
        <v>56.118000000000002</v>
      </c>
      <c r="D4289" s="2">
        <v>55.06</v>
      </c>
      <c r="E4289" s="2">
        <v>56.103000000000002</v>
      </c>
      <c r="F4289" s="2">
        <v>20792553</v>
      </c>
      <c r="G4289" s="2" t="s">
        <v>576</v>
      </c>
      <c r="H4289" s="2" t="s">
        <v>577</v>
      </c>
      <c r="I4289" s="2" t="s">
        <v>578</v>
      </c>
      <c r="J4289" s="3">
        <v>1.8520000000000001</v>
      </c>
      <c r="K4289" s="2" t="s">
        <v>317</v>
      </c>
      <c r="L4289" s="2">
        <v>2024</v>
      </c>
      <c r="M4289" s="2" t="s">
        <v>43</v>
      </c>
      <c r="N4289" s="2" t="s">
        <v>21</v>
      </c>
      <c r="O4289">
        <f t="shared" si="132"/>
        <v>1.0579999999999998</v>
      </c>
      <c r="P4289">
        <f t="shared" si="133"/>
        <v>18.704000000000004</v>
      </c>
    </row>
    <row r="4290" spans="1:16" x14ac:dyDescent="0.35">
      <c r="A4290" s="9" t="s">
        <v>318</v>
      </c>
      <c r="B4290" s="2">
        <v>56.05</v>
      </c>
      <c r="C4290" s="2">
        <v>56.857999999999997</v>
      </c>
      <c r="D4290" s="2">
        <v>55.972999999999999</v>
      </c>
      <c r="E4290" s="2">
        <v>56.523000000000003</v>
      </c>
      <c r="F4290" s="2">
        <v>21670686</v>
      </c>
      <c r="G4290" s="2" t="s">
        <v>576</v>
      </c>
      <c r="H4290" s="2" t="s">
        <v>577</v>
      </c>
      <c r="I4290" s="2" t="s">
        <v>578</v>
      </c>
      <c r="J4290" s="3">
        <v>0.749</v>
      </c>
      <c r="K4290" s="2" t="s">
        <v>317</v>
      </c>
      <c r="L4290" s="2">
        <v>2024</v>
      </c>
      <c r="M4290" s="2" t="s">
        <v>43</v>
      </c>
      <c r="N4290" s="2" t="s">
        <v>21</v>
      </c>
      <c r="O4290">
        <f t="shared" si="132"/>
        <v>0.88499999999999801</v>
      </c>
      <c r="P4290">
        <f t="shared" si="133"/>
        <v>19.453000000000003</v>
      </c>
    </row>
    <row r="4291" spans="1:16" x14ac:dyDescent="0.35">
      <c r="A4291" s="9" t="s">
        <v>319</v>
      </c>
      <c r="B4291" s="2">
        <v>56.67</v>
      </c>
      <c r="C4291" s="2">
        <v>56.67</v>
      </c>
      <c r="D4291" s="2">
        <v>56.023000000000003</v>
      </c>
      <c r="E4291" s="2">
        <v>56.22</v>
      </c>
      <c r="F4291" s="2">
        <v>19145070</v>
      </c>
      <c r="G4291" s="2" t="s">
        <v>576</v>
      </c>
      <c r="H4291" s="2" t="s">
        <v>577</v>
      </c>
      <c r="I4291" s="2" t="s">
        <v>578</v>
      </c>
      <c r="J4291" s="4">
        <v>-0.53700000000000003</v>
      </c>
      <c r="K4291" s="2" t="s">
        <v>317</v>
      </c>
      <c r="L4291" s="2">
        <v>2024</v>
      </c>
      <c r="M4291" s="2" t="s">
        <v>43</v>
      </c>
      <c r="N4291" s="2" t="s">
        <v>23</v>
      </c>
      <c r="O4291">
        <f t="shared" ref="O4291:O4354" si="134">C4291-D4291</f>
        <v>0.64699999999999847</v>
      </c>
      <c r="P4291">
        <f t="shared" si="133"/>
        <v>18.916000000000004</v>
      </c>
    </row>
    <row r="4292" spans="1:16" x14ac:dyDescent="0.35">
      <c r="A4292" s="9" t="s">
        <v>320</v>
      </c>
      <c r="B4292" s="2">
        <v>56.262999999999998</v>
      </c>
      <c r="C4292" s="2">
        <v>56.65</v>
      </c>
      <c r="D4292" s="2">
        <v>56.113</v>
      </c>
      <c r="E4292" s="2">
        <v>56.603000000000002</v>
      </c>
      <c r="F4292" s="2">
        <v>14189784</v>
      </c>
      <c r="G4292" s="2" t="s">
        <v>576</v>
      </c>
      <c r="H4292" s="2" t="s">
        <v>577</v>
      </c>
      <c r="I4292" s="2" t="s">
        <v>578</v>
      </c>
      <c r="J4292" s="3">
        <v>0.68200000000000005</v>
      </c>
      <c r="K4292" s="2" t="s">
        <v>317</v>
      </c>
      <c r="L4292" s="2">
        <v>2024</v>
      </c>
      <c r="M4292" s="2" t="s">
        <v>43</v>
      </c>
      <c r="N4292" s="2" t="s">
        <v>21</v>
      </c>
      <c r="O4292">
        <f t="shared" si="134"/>
        <v>0.53699999999999903</v>
      </c>
      <c r="P4292">
        <f t="shared" ref="P4292:P4355" si="135">IF(G4292=G4291, P4291+J4292, J4292)</f>
        <v>19.598000000000003</v>
      </c>
    </row>
    <row r="4293" spans="1:16" x14ac:dyDescent="0.35">
      <c r="A4293" s="9" t="s">
        <v>321</v>
      </c>
      <c r="B4293" s="2">
        <v>56.756999999999998</v>
      </c>
      <c r="C4293" s="2">
        <v>56.887</v>
      </c>
      <c r="D4293" s="2">
        <v>56.4</v>
      </c>
      <c r="E4293" s="2">
        <v>56.46</v>
      </c>
      <c r="F4293" s="2">
        <v>17082465</v>
      </c>
      <c r="G4293" s="2" t="s">
        <v>576</v>
      </c>
      <c r="H4293" s="2" t="s">
        <v>577</v>
      </c>
      <c r="I4293" s="2" t="s">
        <v>578</v>
      </c>
      <c r="J4293" s="4">
        <v>-0.253</v>
      </c>
      <c r="K4293" s="2" t="s">
        <v>317</v>
      </c>
      <c r="L4293" s="2">
        <v>2024</v>
      </c>
      <c r="M4293" s="2" t="s">
        <v>43</v>
      </c>
      <c r="N4293" s="2" t="s">
        <v>23</v>
      </c>
      <c r="O4293">
        <f t="shared" si="134"/>
        <v>0.48700000000000188</v>
      </c>
      <c r="P4293">
        <f t="shared" si="135"/>
        <v>19.345000000000002</v>
      </c>
    </row>
    <row r="4294" spans="1:16" x14ac:dyDescent="0.35">
      <c r="A4294" s="9" t="s">
        <v>322</v>
      </c>
      <c r="B4294" s="2">
        <v>56.46</v>
      </c>
      <c r="C4294" s="2">
        <v>56.85</v>
      </c>
      <c r="D4294" s="2">
        <v>56.38</v>
      </c>
      <c r="E4294" s="2">
        <v>56.457000000000001</v>
      </c>
      <c r="F4294" s="2">
        <v>14427927</v>
      </c>
      <c r="G4294" s="2" t="s">
        <v>576</v>
      </c>
      <c r="H4294" s="2" t="s">
        <v>577</v>
      </c>
      <c r="I4294" s="2" t="s">
        <v>578</v>
      </c>
      <c r="J4294" s="4">
        <v>-6.0000000000000001E-3</v>
      </c>
      <c r="K4294" s="2" t="s">
        <v>317</v>
      </c>
      <c r="L4294" s="2">
        <v>2024</v>
      </c>
      <c r="M4294" s="2" t="s">
        <v>43</v>
      </c>
      <c r="N4294" s="2" t="s">
        <v>23</v>
      </c>
      <c r="O4294">
        <f t="shared" si="134"/>
        <v>0.46999999999999886</v>
      </c>
      <c r="P4294">
        <f t="shared" si="135"/>
        <v>19.339000000000002</v>
      </c>
    </row>
    <row r="4295" spans="1:16" x14ac:dyDescent="0.35">
      <c r="A4295" s="9" t="s">
        <v>323</v>
      </c>
      <c r="B4295" s="2">
        <v>56.463000000000001</v>
      </c>
      <c r="C4295" s="2">
        <v>56.576999999999998</v>
      </c>
      <c r="D4295" s="2">
        <v>56.307000000000002</v>
      </c>
      <c r="E4295" s="2">
        <v>56.427</v>
      </c>
      <c r="F4295" s="2">
        <v>14329866</v>
      </c>
      <c r="G4295" s="2" t="s">
        <v>576</v>
      </c>
      <c r="H4295" s="2" t="s">
        <v>577</v>
      </c>
      <c r="I4295" s="2" t="s">
        <v>578</v>
      </c>
      <c r="J4295" s="4">
        <v>-5.2999999999999999E-2</v>
      </c>
      <c r="K4295" s="2" t="s">
        <v>317</v>
      </c>
      <c r="L4295" s="2">
        <v>2024</v>
      </c>
      <c r="M4295" s="2" t="s">
        <v>43</v>
      </c>
      <c r="N4295" s="2" t="s">
        <v>23</v>
      </c>
      <c r="O4295">
        <f t="shared" si="134"/>
        <v>0.26999999999999602</v>
      </c>
      <c r="P4295">
        <f t="shared" si="135"/>
        <v>19.286000000000001</v>
      </c>
    </row>
    <row r="4296" spans="1:16" x14ac:dyDescent="0.35">
      <c r="A4296" s="9" t="s">
        <v>324</v>
      </c>
      <c r="B4296" s="2">
        <v>56.41</v>
      </c>
      <c r="C4296" s="2">
        <v>56.786999999999999</v>
      </c>
      <c r="D4296" s="2">
        <v>56.35</v>
      </c>
      <c r="E4296" s="2">
        <v>56.767000000000003</v>
      </c>
      <c r="F4296" s="2">
        <v>14795040</v>
      </c>
      <c r="G4296" s="2" t="s">
        <v>576</v>
      </c>
      <c r="H4296" s="2" t="s">
        <v>577</v>
      </c>
      <c r="I4296" s="2" t="s">
        <v>578</v>
      </c>
      <c r="J4296" s="3">
        <v>0.60299999999999998</v>
      </c>
      <c r="K4296" s="2" t="s">
        <v>317</v>
      </c>
      <c r="L4296" s="2">
        <v>2024</v>
      </c>
      <c r="M4296" s="2" t="s">
        <v>43</v>
      </c>
      <c r="N4296" s="2" t="s">
        <v>21</v>
      </c>
      <c r="O4296">
        <f t="shared" si="134"/>
        <v>0.43699999999999761</v>
      </c>
      <c r="P4296">
        <f t="shared" si="135"/>
        <v>19.889000000000003</v>
      </c>
    </row>
    <row r="4297" spans="1:16" x14ac:dyDescent="0.35">
      <c r="A4297" s="9" t="s">
        <v>325</v>
      </c>
      <c r="B4297" s="2">
        <v>56.872999999999998</v>
      </c>
      <c r="C4297" s="2">
        <v>57.023000000000003</v>
      </c>
      <c r="D4297" s="2">
        <v>56.09</v>
      </c>
      <c r="E4297" s="2">
        <v>56.38</v>
      </c>
      <c r="F4297" s="2">
        <v>18574215</v>
      </c>
      <c r="G4297" s="2" t="s">
        <v>576</v>
      </c>
      <c r="H4297" s="2" t="s">
        <v>577</v>
      </c>
      <c r="I4297" s="2" t="s">
        <v>578</v>
      </c>
      <c r="J4297" s="4">
        <v>-0.68100000000000005</v>
      </c>
      <c r="K4297" s="2" t="s">
        <v>317</v>
      </c>
      <c r="L4297" s="2">
        <v>2024</v>
      </c>
      <c r="M4297" s="2" t="s">
        <v>43</v>
      </c>
      <c r="N4297" s="2" t="s">
        <v>23</v>
      </c>
      <c r="O4297">
        <f t="shared" si="134"/>
        <v>0.93299999999999983</v>
      </c>
      <c r="P4297">
        <f t="shared" si="135"/>
        <v>19.208000000000002</v>
      </c>
    </row>
    <row r="4298" spans="1:16" x14ac:dyDescent="0.35">
      <c r="A4298" s="9" t="s">
        <v>326</v>
      </c>
      <c r="B4298" s="2">
        <v>56.25</v>
      </c>
      <c r="C4298" s="2">
        <v>56.292000000000002</v>
      </c>
      <c r="D4298" s="2">
        <v>55.847000000000001</v>
      </c>
      <c r="E4298" s="2">
        <v>56.2</v>
      </c>
      <c r="F4298" s="2">
        <v>18484602</v>
      </c>
      <c r="G4298" s="2" t="s">
        <v>576</v>
      </c>
      <c r="H4298" s="2" t="s">
        <v>577</v>
      </c>
      <c r="I4298" s="2" t="s">
        <v>578</v>
      </c>
      <c r="J4298" s="4">
        <v>-0.31900000000000001</v>
      </c>
      <c r="K4298" s="2" t="s">
        <v>317</v>
      </c>
      <c r="L4298" s="2">
        <v>2024</v>
      </c>
      <c r="M4298" s="2" t="s">
        <v>43</v>
      </c>
      <c r="N4298" s="2" t="s">
        <v>23</v>
      </c>
      <c r="O4298">
        <f t="shared" si="134"/>
        <v>0.44500000000000028</v>
      </c>
      <c r="P4298">
        <f t="shared" si="135"/>
        <v>18.889000000000003</v>
      </c>
    </row>
    <row r="4299" spans="1:16" x14ac:dyDescent="0.35">
      <c r="A4299" s="9" t="s">
        <v>327</v>
      </c>
      <c r="B4299" s="2">
        <v>56.6</v>
      </c>
      <c r="C4299" s="2">
        <v>56.616999999999997</v>
      </c>
      <c r="D4299" s="2">
        <v>55.99</v>
      </c>
      <c r="E4299" s="2">
        <v>56.43</v>
      </c>
      <c r="F4299" s="2">
        <v>16948857</v>
      </c>
      <c r="G4299" s="2" t="s">
        <v>576</v>
      </c>
      <c r="H4299" s="2" t="s">
        <v>577</v>
      </c>
      <c r="I4299" s="2" t="s">
        <v>578</v>
      </c>
      <c r="J4299" s="3">
        <v>0.40899999999999997</v>
      </c>
      <c r="K4299" s="2" t="s">
        <v>317</v>
      </c>
      <c r="L4299" s="2">
        <v>2024</v>
      </c>
      <c r="M4299" s="2" t="s">
        <v>43</v>
      </c>
      <c r="N4299" s="2" t="s">
        <v>21</v>
      </c>
      <c r="O4299">
        <f t="shared" si="134"/>
        <v>0.62699999999999534</v>
      </c>
      <c r="P4299">
        <f t="shared" si="135"/>
        <v>19.298000000000002</v>
      </c>
    </row>
    <row r="4300" spans="1:16" x14ac:dyDescent="0.35">
      <c r="A4300" s="9" t="s">
        <v>328</v>
      </c>
      <c r="B4300" s="2">
        <v>56.762999999999998</v>
      </c>
      <c r="C4300" s="2">
        <v>57.31</v>
      </c>
      <c r="D4300" s="2">
        <v>56.43</v>
      </c>
      <c r="E4300" s="2">
        <v>56.786999999999999</v>
      </c>
      <c r="F4300" s="2">
        <v>22373541</v>
      </c>
      <c r="G4300" s="2" t="s">
        <v>576</v>
      </c>
      <c r="H4300" s="2" t="s">
        <v>577</v>
      </c>
      <c r="I4300" s="2" t="s">
        <v>578</v>
      </c>
      <c r="J4300" s="3">
        <v>0.63200000000000001</v>
      </c>
      <c r="K4300" s="2" t="s">
        <v>317</v>
      </c>
      <c r="L4300" s="2">
        <v>2024</v>
      </c>
      <c r="M4300" s="2" t="s">
        <v>43</v>
      </c>
      <c r="N4300" s="2" t="s">
        <v>21</v>
      </c>
      <c r="O4300">
        <f t="shared" si="134"/>
        <v>0.88000000000000256</v>
      </c>
      <c r="P4300">
        <f t="shared" si="135"/>
        <v>19.930000000000003</v>
      </c>
    </row>
    <row r="4301" spans="1:16" x14ac:dyDescent="0.35">
      <c r="A4301" s="9" t="s">
        <v>329</v>
      </c>
      <c r="B4301" s="2">
        <v>59.493000000000002</v>
      </c>
      <c r="C4301" s="2">
        <v>60.45</v>
      </c>
      <c r="D4301" s="2">
        <v>58.41</v>
      </c>
      <c r="E4301" s="2">
        <v>58.62</v>
      </c>
      <c r="F4301" s="2">
        <v>71788614</v>
      </c>
      <c r="G4301" s="2" t="s">
        <v>576</v>
      </c>
      <c r="H4301" s="2" t="s">
        <v>577</v>
      </c>
      <c r="I4301" s="2" t="s">
        <v>578</v>
      </c>
      <c r="J4301" s="3">
        <v>3.2280000000000002</v>
      </c>
      <c r="K4301" s="2" t="s">
        <v>317</v>
      </c>
      <c r="L4301" s="2">
        <v>2024</v>
      </c>
      <c r="M4301" s="2" t="s">
        <v>43</v>
      </c>
      <c r="N4301" s="2" t="s">
        <v>21</v>
      </c>
      <c r="O4301">
        <f t="shared" si="134"/>
        <v>2.0400000000000063</v>
      </c>
      <c r="P4301">
        <f t="shared" si="135"/>
        <v>23.158000000000005</v>
      </c>
    </row>
    <row r="4302" spans="1:16" x14ac:dyDescent="0.35">
      <c r="A4302" s="9" t="s">
        <v>330</v>
      </c>
      <c r="B4302" s="2">
        <v>58.332999999999998</v>
      </c>
      <c r="C4302" s="2">
        <v>58.527000000000001</v>
      </c>
      <c r="D4302" s="2">
        <v>57.6</v>
      </c>
      <c r="E4302" s="2">
        <v>57.9</v>
      </c>
      <c r="F4302" s="2">
        <v>40551531</v>
      </c>
      <c r="G4302" s="2" t="s">
        <v>576</v>
      </c>
      <c r="H4302" s="2" t="s">
        <v>577</v>
      </c>
      <c r="I4302" s="2" t="s">
        <v>578</v>
      </c>
      <c r="J4302" s="4">
        <v>-1.228</v>
      </c>
      <c r="K4302" s="2" t="s">
        <v>317</v>
      </c>
      <c r="L4302" s="2">
        <v>2024</v>
      </c>
      <c r="M4302" s="2" t="s">
        <v>43</v>
      </c>
      <c r="N4302" s="2" t="s">
        <v>23</v>
      </c>
      <c r="O4302">
        <f t="shared" si="134"/>
        <v>0.9269999999999996</v>
      </c>
      <c r="P4302">
        <f t="shared" si="135"/>
        <v>21.930000000000003</v>
      </c>
    </row>
    <row r="4303" spans="1:16" x14ac:dyDescent="0.35">
      <c r="A4303" s="9" t="s">
        <v>331</v>
      </c>
      <c r="B4303" s="2">
        <v>57.96</v>
      </c>
      <c r="C4303" s="2">
        <v>58.49</v>
      </c>
      <c r="D4303" s="2">
        <v>57.77</v>
      </c>
      <c r="E4303" s="2">
        <v>58.47</v>
      </c>
      <c r="F4303" s="2">
        <v>29512935</v>
      </c>
      <c r="G4303" s="2" t="s">
        <v>576</v>
      </c>
      <c r="H4303" s="2" t="s">
        <v>577</v>
      </c>
      <c r="I4303" s="2" t="s">
        <v>578</v>
      </c>
      <c r="J4303" s="3">
        <v>0.98399999999999999</v>
      </c>
      <c r="K4303" s="2" t="s">
        <v>317</v>
      </c>
      <c r="L4303" s="2">
        <v>2024</v>
      </c>
      <c r="M4303" s="2" t="s">
        <v>43</v>
      </c>
      <c r="N4303" s="2" t="s">
        <v>21</v>
      </c>
      <c r="O4303">
        <f t="shared" si="134"/>
        <v>0.71999999999999886</v>
      </c>
      <c r="P4303">
        <f t="shared" si="135"/>
        <v>22.914000000000001</v>
      </c>
    </row>
    <row r="4304" spans="1:16" x14ac:dyDescent="0.35">
      <c r="A4304" s="9" t="s">
        <v>332</v>
      </c>
      <c r="B4304" s="2">
        <v>58.697000000000003</v>
      </c>
      <c r="C4304" s="2">
        <v>59.216999999999999</v>
      </c>
      <c r="D4304" s="2">
        <v>58.436999999999998</v>
      </c>
      <c r="E4304" s="2">
        <v>58.52</v>
      </c>
      <c r="F4304" s="2">
        <v>74365767</v>
      </c>
      <c r="G4304" s="2" t="s">
        <v>576</v>
      </c>
      <c r="H4304" s="2" t="s">
        <v>577</v>
      </c>
      <c r="I4304" s="2" t="s">
        <v>578</v>
      </c>
      <c r="J4304" s="3">
        <v>8.5999999999999993E-2</v>
      </c>
      <c r="K4304" s="2" t="s">
        <v>317</v>
      </c>
      <c r="L4304" s="2">
        <v>2024</v>
      </c>
      <c r="M4304" s="2" t="s">
        <v>43</v>
      </c>
      <c r="N4304" s="2" t="s">
        <v>21</v>
      </c>
      <c r="O4304">
        <f t="shared" si="134"/>
        <v>0.78000000000000114</v>
      </c>
      <c r="P4304">
        <f t="shared" si="135"/>
        <v>23</v>
      </c>
    </row>
    <row r="4305" spans="1:16" x14ac:dyDescent="0.35">
      <c r="A4305" s="9" t="s">
        <v>333</v>
      </c>
      <c r="B4305" s="2">
        <v>59.12</v>
      </c>
      <c r="C4305" s="2">
        <v>59.84</v>
      </c>
      <c r="D4305" s="2">
        <v>58.18</v>
      </c>
      <c r="E4305" s="2">
        <v>59.6</v>
      </c>
      <c r="F4305" s="2">
        <v>32154765</v>
      </c>
      <c r="G4305" s="2" t="s">
        <v>576</v>
      </c>
      <c r="H4305" s="2" t="s">
        <v>577</v>
      </c>
      <c r="I4305" s="2" t="s">
        <v>578</v>
      </c>
      <c r="J4305" s="3">
        <v>1.8460000000000001</v>
      </c>
      <c r="K4305" s="2" t="s">
        <v>317</v>
      </c>
      <c r="L4305" s="2">
        <v>2024</v>
      </c>
      <c r="M4305" s="2" t="s">
        <v>43</v>
      </c>
      <c r="N4305" s="2" t="s">
        <v>21</v>
      </c>
      <c r="O4305">
        <f t="shared" si="134"/>
        <v>1.6600000000000037</v>
      </c>
      <c r="P4305">
        <f t="shared" si="135"/>
        <v>24.846</v>
      </c>
    </row>
    <row r="4306" spans="1:16" x14ac:dyDescent="0.35">
      <c r="A4306" s="9" t="s">
        <v>334</v>
      </c>
      <c r="B4306" s="2">
        <v>59.64</v>
      </c>
      <c r="C4306" s="2">
        <v>59.8</v>
      </c>
      <c r="D4306" s="2">
        <v>59.22</v>
      </c>
      <c r="E4306" s="2">
        <v>59.59</v>
      </c>
      <c r="F4306" s="2">
        <v>18012749</v>
      </c>
      <c r="G4306" s="2" t="s">
        <v>576</v>
      </c>
      <c r="H4306" s="2" t="s">
        <v>577</v>
      </c>
      <c r="I4306" s="2" t="s">
        <v>578</v>
      </c>
      <c r="J4306" s="4">
        <v>-1.7000000000000001E-2</v>
      </c>
      <c r="K4306" s="2" t="s">
        <v>317</v>
      </c>
      <c r="L4306" s="2">
        <v>2024</v>
      </c>
      <c r="M4306" s="2" t="s">
        <v>43</v>
      </c>
      <c r="N4306" s="2" t="s">
        <v>23</v>
      </c>
      <c r="O4306">
        <f t="shared" si="134"/>
        <v>0.57999999999999829</v>
      </c>
      <c r="P4306">
        <f t="shared" si="135"/>
        <v>24.829000000000001</v>
      </c>
    </row>
    <row r="4307" spans="1:16" x14ac:dyDescent="0.35">
      <c r="A4307" s="9" t="s">
        <v>335</v>
      </c>
      <c r="B4307" s="2">
        <v>59.55</v>
      </c>
      <c r="C4307" s="2">
        <v>59.76</v>
      </c>
      <c r="D4307" s="2">
        <v>59.31</v>
      </c>
      <c r="E4307" s="2">
        <v>59.62</v>
      </c>
      <c r="F4307" s="2">
        <v>14803289</v>
      </c>
      <c r="G4307" s="2" t="s">
        <v>576</v>
      </c>
      <c r="H4307" s="2" t="s">
        <v>577</v>
      </c>
      <c r="I4307" s="2" t="s">
        <v>578</v>
      </c>
      <c r="J4307" s="3">
        <v>0.05</v>
      </c>
      <c r="K4307" s="2" t="s">
        <v>317</v>
      </c>
      <c r="L4307" s="2">
        <v>2024</v>
      </c>
      <c r="M4307" s="2" t="s">
        <v>43</v>
      </c>
      <c r="N4307" s="2" t="s">
        <v>21</v>
      </c>
      <c r="O4307">
        <f t="shared" si="134"/>
        <v>0.44999999999999574</v>
      </c>
      <c r="P4307">
        <f t="shared" si="135"/>
        <v>24.879000000000001</v>
      </c>
    </row>
    <row r="4308" spans="1:16" x14ac:dyDescent="0.35">
      <c r="A4308" s="9" t="s">
        <v>336</v>
      </c>
      <c r="B4308" s="2">
        <v>59.45</v>
      </c>
      <c r="C4308" s="2">
        <v>59.49</v>
      </c>
      <c r="D4308" s="2">
        <v>58.59</v>
      </c>
      <c r="E4308" s="2">
        <v>58.61</v>
      </c>
      <c r="F4308" s="2">
        <v>29245142</v>
      </c>
      <c r="G4308" s="2" t="s">
        <v>576</v>
      </c>
      <c r="H4308" s="2" t="s">
        <v>577</v>
      </c>
      <c r="I4308" s="2" t="s">
        <v>578</v>
      </c>
      <c r="J4308" s="4">
        <v>-1.694</v>
      </c>
      <c r="K4308" s="2" t="s">
        <v>317</v>
      </c>
      <c r="L4308" s="2">
        <v>2024</v>
      </c>
      <c r="M4308" s="2" t="s">
        <v>43</v>
      </c>
      <c r="N4308" s="2" t="s">
        <v>23</v>
      </c>
      <c r="O4308">
        <f t="shared" si="134"/>
        <v>0.89999999999999858</v>
      </c>
      <c r="P4308">
        <f t="shared" si="135"/>
        <v>23.185000000000002</v>
      </c>
    </row>
    <row r="4309" spans="1:16" x14ac:dyDescent="0.35">
      <c r="A4309" s="9" t="s">
        <v>337</v>
      </c>
      <c r="B4309" s="2">
        <v>58.8</v>
      </c>
      <c r="C4309" s="2">
        <v>58.85</v>
      </c>
      <c r="D4309" s="2">
        <v>58.2</v>
      </c>
      <c r="E4309" s="2">
        <v>58.76</v>
      </c>
      <c r="F4309" s="2">
        <v>19030919</v>
      </c>
      <c r="G4309" s="2" t="s">
        <v>576</v>
      </c>
      <c r="H4309" s="2" t="s">
        <v>577</v>
      </c>
      <c r="I4309" s="2" t="s">
        <v>578</v>
      </c>
      <c r="J4309" s="3">
        <v>0.25600000000000001</v>
      </c>
      <c r="K4309" s="2" t="s">
        <v>338</v>
      </c>
      <c r="L4309" s="2">
        <v>2024</v>
      </c>
      <c r="M4309" s="2" t="s">
        <v>64</v>
      </c>
      <c r="N4309" s="2" t="s">
        <v>21</v>
      </c>
      <c r="O4309">
        <f t="shared" si="134"/>
        <v>0.64999999999999858</v>
      </c>
      <c r="P4309">
        <f t="shared" si="135"/>
        <v>23.441000000000003</v>
      </c>
    </row>
    <row r="4310" spans="1:16" x14ac:dyDescent="0.35">
      <c r="A4310" s="9" t="s">
        <v>339</v>
      </c>
      <c r="B4310" s="2">
        <v>58.5</v>
      </c>
      <c r="C4310" s="2">
        <v>59.39</v>
      </c>
      <c r="D4310" s="2">
        <v>58.4</v>
      </c>
      <c r="E4310" s="2">
        <v>59.3</v>
      </c>
      <c r="F4310" s="2">
        <v>16033298</v>
      </c>
      <c r="G4310" s="2" t="s">
        <v>576</v>
      </c>
      <c r="H4310" s="2" t="s">
        <v>577</v>
      </c>
      <c r="I4310" s="2" t="s">
        <v>578</v>
      </c>
      <c r="J4310" s="3">
        <v>0.91900000000000004</v>
      </c>
      <c r="K4310" s="2" t="s">
        <v>338</v>
      </c>
      <c r="L4310" s="2">
        <v>2024</v>
      </c>
      <c r="M4310" s="2" t="s">
        <v>64</v>
      </c>
      <c r="N4310" s="2" t="s">
        <v>21</v>
      </c>
      <c r="O4310">
        <f t="shared" si="134"/>
        <v>0.99000000000000199</v>
      </c>
      <c r="P4310">
        <f t="shared" si="135"/>
        <v>24.360000000000003</v>
      </c>
    </row>
    <row r="4311" spans="1:16" x14ac:dyDescent="0.35">
      <c r="A4311" s="9" t="s">
        <v>340</v>
      </c>
      <c r="B4311" s="2">
        <v>59.87</v>
      </c>
      <c r="C4311" s="2">
        <v>60.34</v>
      </c>
      <c r="D4311" s="2">
        <v>59.575000000000003</v>
      </c>
      <c r="E4311" s="2">
        <v>60.04</v>
      </c>
      <c r="F4311" s="2">
        <v>19676884</v>
      </c>
      <c r="G4311" s="2" t="s">
        <v>576</v>
      </c>
      <c r="H4311" s="2" t="s">
        <v>577</v>
      </c>
      <c r="I4311" s="2" t="s">
        <v>578</v>
      </c>
      <c r="J4311" s="3">
        <v>1.248</v>
      </c>
      <c r="K4311" s="2" t="s">
        <v>338</v>
      </c>
      <c r="L4311" s="2">
        <v>2024</v>
      </c>
      <c r="M4311" s="2" t="s">
        <v>64</v>
      </c>
      <c r="N4311" s="2" t="s">
        <v>21</v>
      </c>
      <c r="O4311">
        <f t="shared" si="134"/>
        <v>0.76500000000000057</v>
      </c>
      <c r="P4311">
        <f t="shared" si="135"/>
        <v>25.608000000000004</v>
      </c>
    </row>
    <row r="4312" spans="1:16" x14ac:dyDescent="0.35">
      <c r="A4312" s="9" t="s">
        <v>341</v>
      </c>
      <c r="B4312" s="2">
        <v>60.12</v>
      </c>
      <c r="C4312" s="2">
        <v>60.62</v>
      </c>
      <c r="D4312" s="2">
        <v>60.04</v>
      </c>
      <c r="E4312" s="2">
        <v>60.57</v>
      </c>
      <c r="F4312" s="2">
        <v>12698714</v>
      </c>
      <c r="G4312" s="2" t="s">
        <v>576</v>
      </c>
      <c r="H4312" s="2" t="s">
        <v>577</v>
      </c>
      <c r="I4312" s="2" t="s">
        <v>578</v>
      </c>
      <c r="J4312" s="3">
        <v>0.88300000000000001</v>
      </c>
      <c r="K4312" s="2" t="s">
        <v>338</v>
      </c>
      <c r="L4312" s="2">
        <v>2024</v>
      </c>
      <c r="M4312" s="2" t="s">
        <v>64</v>
      </c>
      <c r="N4312" s="2" t="s">
        <v>21</v>
      </c>
      <c r="O4312">
        <f t="shared" si="134"/>
        <v>0.57999999999999829</v>
      </c>
      <c r="P4312">
        <f t="shared" si="135"/>
        <v>26.491000000000003</v>
      </c>
    </row>
    <row r="4313" spans="1:16" x14ac:dyDescent="0.35">
      <c r="A4313" s="9" t="s">
        <v>342</v>
      </c>
      <c r="B4313" s="2">
        <v>61</v>
      </c>
      <c r="C4313" s="2">
        <v>61.07</v>
      </c>
      <c r="D4313" s="2">
        <v>60.344999999999999</v>
      </c>
      <c r="E4313" s="2">
        <v>60.36</v>
      </c>
      <c r="F4313" s="2">
        <v>16195303</v>
      </c>
      <c r="G4313" s="2" t="s">
        <v>576</v>
      </c>
      <c r="H4313" s="2" t="s">
        <v>577</v>
      </c>
      <c r="I4313" s="2" t="s">
        <v>578</v>
      </c>
      <c r="J4313" s="4">
        <v>-0.34699999999999998</v>
      </c>
      <c r="K4313" s="2" t="s">
        <v>338</v>
      </c>
      <c r="L4313" s="2">
        <v>2024</v>
      </c>
      <c r="M4313" s="2" t="s">
        <v>64</v>
      </c>
      <c r="N4313" s="2" t="s">
        <v>23</v>
      </c>
      <c r="O4313">
        <f t="shared" si="134"/>
        <v>0.72500000000000142</v>
      </c>
      <c r="P4313">
        <f t="shared" si="135"/>
        <v>26.144000000000002</v>
      </c>
    </row>
    <row r="4314" spans="1:16" x14ac:dyDescent="0.35">
      <c r="A4314" s="9" t="s">
        <v>343</v>
      </c>
      <c r="B4314" s="2">
        <v>60</v>
      </c>
      <c r="C4314" s="2">
        <v>60.28</v>
      </c>
      <c r="D4314" s="2">
        <v>59.73</v>
      </c>
      <c r="E4314" s="2">
        <v>60.12</v>
      </c>
      <c r="F4314" s="2">
        <v>12143645</v>
      </c>
      <c r="G4314" s="2" t="s">
        <v>576</v>
      </c>
      <c r="H4314" s="2" t="s">
        <v>577</v>
      </c>
      <c r="I4314" s="2" t="s">
        <v>578</v>
      </c>
      <c r="J4314" s="4">
        <v>-0.39800000000000002</v>
      </c>
      <c r="K4314" s="2" t="s">
        <v>338</v>
      </c>
      <c r="L4314" s="2">
        <v>2024</v>
      </c>
      <c r="M4314" s="2" t="s">
        <v>64</v>
      </c>
      <c r="N4314" s="2" t="s">
        <v>23</v>
      </c>
      <c r="O4314">
        <f t="shared" si="134"/>
        <v>0.55000000000000426</v>
      </c>
      <c r="P4314">
        <f t="shared" si="135"/>
        <v>25.746000000000002</v>
      </c>
    </row>
    <row r="4315" spans="1:16" x14ac:dyDescent="0.35">
      <c r="A4315" s="9" t="s">
        <v>344</v>
      </c>
      <c r="B4315" s="2">
        <v>60.1</v>
      </c>
      <c r="C4315" s="2">
        <v>60.71</v>
      </c>
      <c r="D4315" s="2">
        <v>59.87</v>
      </c>
      <c r="E4315" s="2">
        <v>60.66</v>
      </c>
      <c r="F4315" s="2">
        <v>14153969</v>
      </c>
      <c r="G4315" s="2" t="s">
        <v>576</v>
      </c>
      <c r="H4315" s="2" t="s">
        <v>577</v>
      </c>
      <c r="I4315" s="2" t="s">
        <v>578</v>
      </c>
      <c r="J4315" s="3">
        <v>0.89800000000000002</v>
      </c>
      <c r="K4315" s="2" t="s">
        <v>338</v>
      </c>
      <c r="L4315" s="2">
        <v>2024</v>
      </c>
      <c r="M4315" s="2" t="s">
        <v>64</v>
      </c>
      <c r="N4315" s="2" t="s">
        <v>21</v>
      </c>
      <c r="O4315">
        <f t="shared" si="134"/>
        <v>0.84000000000000341</v>
      </c>
      <c r="P4315">
        <f t="shared" si="135"/>
        <v>26.644000000000002</v>
      </c>
    </row>
    <row r="4316" spans="1:16" x14ac:dyDescent="0.35">
      <c r="A4316" s="9" t="s">
        <v>345</v>
      </c>
      <c r="B4316" s="2">
        <v>60.95</v>
      </c>
      <c r="C4316" s="2">
        <v>61.564999999999998</v>
      </c>
      <c r="D4316" s="2">
        <v>60.645000000000003</v>
      </c>
      <c r="E4316" s="2">
        <v>61.41</v>
      </c>
      <c r="F4316" s="2">
        <v>16613062</v>
      </c>
      <c r="G4316" s="2" t="s">
        <v>576</v>
      </c>
      <c r="H4316" s="2" t="s">
        <v>577</v>
      </c>
      <c r="I4316" s="2" t="s">
        <v>578</v>
      </c>
      <c r="J4316" s="3">
        <v>1.236</v>
      </c>
      <c r="K4316" s="2" t="s">
        <v>338</v>
      </c>
      <c r="L4316" s="2">
        <v>2024</v>
      </c>
      <c r="M4316" s="2" t="s">
        <v>64</v>
      </c>
      <c r="N4316" s="2" t="s">
        <v>21</v>
      </c>
      <c r="O4316">
        <f t="shared" si="134"/>
        <v>0.9199999999999946</v>
      </c>
      <c r="P4316">
        <f t="shared" si="135"/>
        <v>27.880000000000003</v>
      </c>
    </row>
    <row r="4317" spans="1:16" x14ac:dyDescent="0.35">
      <c r="A4317" s="9" t="s">
        <v>346</v>
      </c>
      <c r="B4317" s="2">
        <v>61.26</v>
      </c>
      <c r="C4317" s="2">
        <v>61.454999999999998</v>
      </c>
      <c r="D4317" s="2">
        <v>60.88</v>
      </c>
      <c r="E4317" s="2">
        <v>61.28</v>
      </c>
      <c r="F4317" s="2">
        <v>15935187</v>
      </c>
      <c r="G4317" s="2" t="s">
        <v>576</v>
      </c>
      <c r="H4317" s="2" t="s">
        <v>577</v>
      </c>
      <c r="I4317" s="2" t="s">
        <v>578</v>
      </c>
      <c r="J4317" s="4">
        <v>-0.21199999999999999</v>
      </c>
      <c r="K4317" s="2" t="s">
        <v>338</v>
      </c>
      <c r="L4317" s="2">
        <v>2024</v>
      </c>
      <c r="M4317" s="2" t="s">
        <v>64</v>
      </c>
      <c r="N4317" s="2" t="s">
        <v>23</v>
      </c>
      <c r="O4317">
        <f t="shared" si="134"/>
        <v>0.57499999999999574</v>
      </c>
      <c r="P4317">
        <f t="shared" si="135"/>
        <v>27.668000000000003</v>
      </c>
    </row>
    <row r="4318" spans="1:16" x14ac:dyDescent="0.35">
      <c r="A4318" s="9" t="s">
        <v>347</v>
      </c>
      <c r="B4318" s="2">
        <v>61.28</v>
      </c>
      <c r="C4318" s="2">
        <v>61.44</v>
      </c>
      <c r="D4318" s="2">
        <v>60.594999999999999</v>
      </c>
      <c r="E4318" s="2">
        <v>61.02</v>
      </c>
      <c r="F4318" s="2">
        <v>16584660</v>
      </c>
      <c r="G4318" s="2" t="s">
        <v>576</v>
      </c>
      <c r="H4318" s="2" t="s">
        <v>577</v>
      </c>
      <c r="I4318" s="2" t="s">
        <v>578</v>
      </c>
      <c r="J4318" s="4">
        <v>-0.42399999999999999</v>
      </c>
      <c r="K4318" s="2" t="s">
        <v>338</v>
      </c>
      <c r="L4318" s="2">
        <v>2024</v>
      </c>
      <c r="M4318" s="2" t="s">
        <v>64</v>
      </c>
      <c r="N4318" s="2" t="s">
        <v>23</v>
      </c>
      <c r="O4318">
        <f t="shared" si="134"/>
        <v>0.84499999999999886</v>
      </c>
      <c r="P4318">
        <f t="shared" si="135"/>
        <v>27.244000000000003</v>
      </c>
    </row>
    <row r="4319" spans="1:16" x14ac:dyDescent="0.35">
      <c r="A4319" s="9" t="s">
        <v>348</v>
      </c>
      <c r="B4319" s="2">
        <v>60.68</v>
      </c>
      <c r="C4319" s="2">
        <v>61.15</v>
      </c>
      <c r="D4319" s="2">
        <v>60.46</v>
      </c>
      <c r="E4319" s="2">
        <v>60.68</v>
      </c>
      <c r="F4319" s="2">
        <v>50946329</v>
      </c>
      <c r="G4319" s="2" t="s">
        <v>576</v>
      </c>
      <c r="H4319" s="2" t="s">
        <v>577</v>
      </c>
      <c r="I4319" s="2" t="s">
        <v>578</v>
      </c>
      <c r="J4319" s="4">
        <v>-0.55700000000000005</v>
      </c>
      <c r="K4319" s="2" t="s">
        <v>338</v>
      </c>
      <c r="L4319" s="2">
        <v>2024</v>
      </c>
      <c r="M4319" s="2" t="s">
        <v>64</v>
      </c>
      <c r="N4319" s="2" t="s">
        <v>23</v>
      </c>
      <c r="O4319">
        <f t="shared" si="134"/>
        <v>0.68999999999999773</v>
      </c>
      <c r="P4319">
        <f t="shared" si="135"/>
        <v>26.687000000000005</v>
      </c>
    </row>
    <row r="4320" spans="1:16" x14ac:dyDescent="0.35">
      <c r="A4320" s="9" t="s">
        <v>349</v>
      </c>
      <c r="B4320" s="2">
        <v>60.69</v>
      </c>
      <c r="C4320" s="2">
        <v>60.9</v>
      </c>
      <c r="D4320" s="2">
        <v>60.39</v>
      </c>
      <c r="E4320" s="2">
        <v>60.86</v>
      </c>
      <c r="F4320" s="2">
        <v>16801658</v>
      </c>
      <c r="G4320" s="2" t="s">
        <v>576</v>
      </c>
      <c r="H4320" s="2" t="s">
        <v>577</v>
      </c>
      <c r="I4320" s="2" t="s">
        <v>578</v>
      </c>
      <c r="J4320" s="3">
        <v>0.29699999999999999</v>
      </c>
      <c r="K4320" s="2" t="s">
        <v>338</v>
      </c>
      <c r="L4320" s="2">
        <v>2024</v>
      </c>
      <c r="M4320" s="2" t="s">
        <v>64</v>
      </c>
      <c r="N4320" s="2" t="s">
        <v>21</v>
      </c>
      <c r="O4320">
        <f t="shared" si="134"/>
        <v>0.50999999999999801</v>
      </c>
      <c r="P4320">
        <f t="shared" si="135"/>
        <v>26.984000000000005</v>
      </c>
    </row>
    <row r="4321" spans="1:16" x14ac:dyDescent="0.35">
      <c r="A4321" s="9" t="s">
        <v>350</v>
      </c>
      <c r="B4321" s="2">
        <v>60.97</v>
      </c>
      <c r="C4321" s="2">
        <v>61.07</v>
      </c>
      <c r="D4321" s="2">
        <v>60.6</v>
      </c>
      <c r="E4321" s="2">
        <v>60.87</v>
      </c>
      <c r="F4321" s="2">
        <v>12353624</v>
      </c>
      <c r="G4321" s="2" t="s">
        <v>576</v>
      </c>
      <c r="H4321" s="2" t="s">
        <v>577</v>
      </c>
      <c r="I4321" s="2" t="s">
        <v>578</v>
      </c>
      <c r="J4321" s="3">
        <v>1.6E-2</v>
      </c>
      <c r="K4321" s="2" t="s">
        <v>338</v>
      </c>
      <c r="L4321" s="2">
        <v>2024</v>
      </c>
      <c r="M4321" s="2" t="s">
        <v>64</v>
      </c>
      <c r="N4321" s="2" t="s">
        <v>21</v>
      </c>
      <c r="O4321">
        <f t="shared" si="134"/>
        <v>0.46999999999999886</v>
      </c>
      <c r="P4321">
        <f t="shared" si="135"/>
        <v>27.000000000000004</v>
      </c>
    </row>
    <row r="4322" spans="1:16" x14ac:dyDescent="0.35">
      <c r="A4322" s="9" t="s">
        <v>351</v>
      </c>
      <c r="B4322" s="2">
        <v>60.84</v>
      </c>
      <c r="C4322" s="2">
        <v>61.28</v>
      </c>
      <c r="D4322" s="2">
        <v>60.74</v>
      </c>
      <c r="E4322" s="2">
        <v>61.25</v>
      </c>
      <c r="F4322" s="2">
        <v>12007593</v>
      </c>
      <c r="G4322" s="2" t="s">
        <v>576</v>
      </c>
      <c r="H4322" s="2" t="s">
        <v>577</v>
      </c>
      <c r="I4322" s="2" t="s">
        <v>578</v>
      </c>
      <c r="J4322" s="3">
        <v>0.624</v>
      </c>
      <c r="K4322" s="2" t="s">
        <v>338</v>
      </c>
      <c r="L4322" s="2">
        <v>2024</v>
      </c>
      <c r="M4322" s="2" t="s">
        <v>64</v>
      </c>
      <c r="N4322" s="2" t="s">
        <v>21</v>
      </c>
      <c r="O4322">
        <f t="shared" si="134"/>
        <v>0.53999999999999915</v>
      </c>
      <c r="P4322">
        <f t="shared" si="135"/>
        <v>27.624000000000002</v>
      </c>
    </row>
    <row r="4323" spans="1:16" x14ac:dyDescent="0.35">
      <c r="A4323" s="9" t="s">
        <v>352</v>
      </c>
      <c r="B4323" s="2">
        <v>61.28</v>
      </c>
      <c r="C4323" s="2">
        <v>61.655000000000001</v>
      </c>
      <c r="D4323" s="2">
        <v>61.05</v>
      </c>
      <c r="E4323" s="2">
        <v>61.45</v>
      </c>
      <c r="F4323" s="2">
        <v>14265872</v>
      </c>
      <c r="G4323" s="2" t="s">
        <v>576</v>
      </c>
      <c r="H4323" s="2" t="s">
        <v>577</v>
      </c>
      <c r="I4323" s="2" t="s">
        <v>578</v>
      </c>
      <c r="J4323" s="3">
        <v>0.32700000000000001</v>
      </c>
      <c r="K4323" s="2" t="s">
        <v>338</v>
      </c>
      <c r="L4323" s="2">
        <v>2024</v>
      </c>
      <c r="M4323" s="2" t="s">
        <v>64</v>
      </c>
      <c r="N4323" s="2" t="s">
        <v>21</v>
      </c>
      <c r="O4323">
        <f t="shared" si="134"/>
        <v>0.60500000000000398</v>
      </c>
      <c r="P4323">
        <f t="shared" si="135"/>
        <v>27.951000000000004</v>
      </c>
    </row>
    <row r="4324" spans="1:16" x14ac:dyDescent="0.35">
      <c r="A4324" s="9" t="s">
        <v>353</v>
      </c>
      <c r="B4324" s="2">
        <v>61.32</v>
      </c>
      <c r="C4324" s="2">
        <v>61.526000000000003</v>
      </c>
      <c r="D4324" s="2">
        <v>60.85</v>
      </c>
      <c r="E4324" s="2">
        <v>60.87</v>
      </c>
      <c r="F4324" s="2">
        <v>14029440</v>
      </c>
      <c r="G4324" s="2" t="s">
        <v>576</v>
      </c>
      <c r="H4324" s="2" t="s">
        <v>577</v>
      </c>
      <c r="I4324" s="2" t="s">
        <v>578</v>
      </c>
      <c r="J4324" s="4">
        <v>-0.94399999999999995</v>
      </c>
      <c r="K4324" s="2" t="s">
        <v>338</v>
      </c>
      <c r="L4324" s="2">
        <v>2024</v>
      </c>
      <c r="M4324" s="2" t="s">
        <v>64</v>
      </c>
      <c r="N4324" s="2" t="s">
        <v>23</v>
      </c>
      <c r="O4324">
        <f t="shared" si="134"/>
        <v>0.67600000000000193</v>
      </c>
      <c r="P4324">
        <f t="shared" si="135"/>
        <v>27.007000000000005</v>
      </c>
    </row>
    <row r="4325" spans="1:16" x14ac:dyDescent="0.35">
      <c r="A4325" s="9" t="s">
        <v>354</v>
      </c>
      <c r="B4325" s="2">
        <v>60.87</v>
      </c>
      <c r="C4325" s="2">
        <v>60.984999999999999</v>
      </c>
      <c r="D4325" s="2">
        <v>60.36</v>
      </c>
      <c r="E4325" s="2">
        <v>60.57</v>
      </c>
      <c r="F4325" s="2">
        <v>14186627</v>
      </c>
      <c r="G4325" s="2" t="s">
        <v>576</v>
      </c>
      <c r="H4325" s="2" t="s">
        <v>577</v>
      </c>
      <c r="I4325" s="2" t="s">
        <v>578</v>
      </c>
      <c r="J4325" s="4">
        <v>-0.49299999999999999</v>
      </c>
      <c r="K4325" s="2" t="s">
        <v>338</v>
      </c>
      <c r="L4325" s="2">
        <v>2024</v>
      </c>
      <c r="M4325" s="2" t="s">
        <v>64</v>
      </c>
      <c r="N4325" s="2" t="s">
        <v>23</v>
      </c>
      <c r="O4325">
        <f t="shared" si="134"/>
        <v>0.625</v>
      </c>
      <c r="P4325">
        <f t="shared" si="135"/>
        <v>26.514000000000006</v>
      </c>
    </row>
    <row r="4326" spans="1:16" x14ac:dyDescent="0.35">
      <c r="A4326" s="9" t="s">
        <v>355</v>
      </c>
      <c r="B4326" s="2">
        <v>60.46</v>
      </c>
      <c r="C4326" s="2">
        <v>60.83</v>
      </c>
      <c r="D4326" s="2">
        <v>60.23</v>
      </c>
      <c r="E4326" s="2">
        <v>60.51</v>
      </c>
      <c r="F4326" s="2">
        <v>13738342</v>
      </c>
      <c r="G4326" s="2" t="s">
        <v>576</v>
      </c>
      <c r="H4326" s="2" t="s">
        <v>577</v>
      </c>
      <c r="I4326" s="2" t="s">
        <v>578</v>
      </c>
      <c r="J4326" s="4">
        <v>-9.9000000000000005E-2</v>
      </c>
      <c r="K4326" s="2" t="s">
        <v>338</v>
      </c>
      <c r="L4326" s="2">
        <v>2024</v>
      </c>
      <c r="M4326" s="2" t="s">
        <v>64</v>
      </c>
      <c r="N4326" s="2" t="s">
        <v>23</v>
      </c>
      <c r="O4326">
        <f t="shared" si="134"/>
        <v>0.60000000000000142</v>
      </c>
      <c r="P4326">
        <f t="shared" si="135"/>
        <v>26.415000000000006</v>
      </c>
    </row>
    <row r="4327" spans="1:16" x14ac:dyDescent="0.35">
      <c r="A4327" s="9" t="s">
        <v>356</v>
      </c>
      <c r="B4327" s="2">
        <v>60.87</v>
      </c>
      <c r="C4327" s="2">
        <v>61.05</v>
      </c>
      <c r="D4327" s="2">
        <v>60.38</v>
      </c>
      <c r="E4327" s="2">
        <v>60.72</v>
      </c>
      <c r="F4327" s="2">
        <v>14363410</v>
      </c>
      <c r="G4327" s="2" t="s">
        <v>576</v>
      </c>
      <c r="H4327" s="2" t="s">
        <v>577</v>
      </c>
      <c r="I4327" s="2" t="s">
        <v>578</v>
      </c>
      <c r="J4327" s="3">
        <v>0.34699999999999998</v>
      </c>
      <c r="K4327" s="2" t="s">
        <v>338</v>
      </c>
      <c r="L4327" s="2">
        <v>2024</v>
      </c>
      <c r="M4327" s="2" t="s">
        <v>64</v>
      </c>
      <c r="N4327" s="2" t="s">
        <v>21</v>
      </c>
      <c r="O4327">
        <f t="shared" si="134"/>
        <v>0.6699999999999946</v>
      </c>
      <c r="P4327">
        <f t="shared" si="135"/>
        <v>26.762000000000008</v>
      </c>
    </row>
    <row r="4328" spans="1:16" x14ac:dyDescent="0.35">
      <c r="A4328" s="9" t="s">
        <v>357</v>
      </c>
      <c r="B4328" s="2">
        <v>60.66</v>
      </c>
      <c r="C4328" s="2">
        <v>60.77</v>
      </c>
      <c r="D4328" s="2">
        <v>60.16</v>
      </c>
      <c r="E4328" s="2">
        <v>60.17</v>
      </c>
      <c r="F4328" s="2">
        <v>17535100</v>
      </c>
      <c r="G4328" s="2" t="s">
        <v>576</v>
      </c>
      <c r="H4328" s="2" t="s">
        <v>577</v>
      </c>
      <c r="I4328" s="2" t="s">
        <v>578</v>
      </c>
      <c r="J4328" s="4">
        <v>-0.90600000000000003</v>
      </c>
      <c r="K4328" s="2" t="s">
        <v>338</v>
      </c>
      <c r="L4328" s="2">
        <v>2024</v>
      </c>
      <c r="M4328" s="2" t="s">
        <v>64</v>
      </c>
      <c r="N4328" s="2" t="s">
        <v>23</v>
      </c>
      <c r="O4328">
        <f t="shared" si="134"/>
        <v>0.61000000000000654</v>
      </c>
      <c r="P4328">
        <f t="shared" si="135"/>
        <v>25.856000000000009</v>
      </c>
    </row>
    <row r="4329" spans="1:16" x14ac:dyDescent="0.35">
      <c r="A4329" s="9" t="s">
        <v>358</v>
      </c>
      <c r="B4329" s="2">
        <v>60.31</v>
      </c>
      <c r="C4329" s="2">
        <v>60.76</v>
      </c>
      <c r="D4329" s="2">
        <v>59.93</v>
      </c>
      <c r="E4329" s="2">
        <v>60</v>
      </c>
      <c r="F4329" s="2">
        <v>13837599</v>
      </c>
      <c r="G4329" s="2" t="s">
        <v>576</v>
      </c>
      <c r="H4329" s="2" t="s">
        <v>577</v>
      </c>
      <c r="I4329" s="2" t="s">
        <v>578</v>
      </c>
      <c r="J4329" s="4">
        <v>-0.28299999999999997</v>
      </c>
      <c r="K4329" s="2" t="s">
        <v>359</v>
      </c>
      <c r="L4329" s="2">
        <v>2024</v>
      </c>
      <c r="M4329" s="2" t="s">
        <v>89</v>
      </c>
      <c r="N4329" s="2" t="s">
        <v>23</v>
      </c>
      <c r="O4329">
        <f t="shared" si="134"/>
        <v>0.82999999999999829</v>
      </c>
      <c r="P4329">
        <f t="shared" si="135"/>
        <v>25.573000000000008</v>
      </c>
    </row>
    <row r="4330" spans="1:16" x14ac:dyDescent="0.35">
      <c r="A4330" s="9" t="s">
        <v>360</v>
      </c>
      <c r="B4330" s="2">
        <v>59.9</v>
      </c>
      <c r="C4330" s="2">
        <v>60.1</v>
      </c>
      <c r="D4330" s="2">
        <v>58.88</v>
      </c>
      <c r="E4330" s="2">
        <v>59.16</v>
      </c>
      <c r="F4330" s="2">
        <v>19510121</v>
      </c>
      <c r="G4330" s="2" t="s">
        <v>576</v>
      </c>
      <c r="H4330" s="2" t="s">
        <v>577</v>
      </c>
      <c r="I4330" s="2" t="s">
        <v>578</v>
      </c>
      <c r="J4330" s="4">
        <v>-1.4</v>
      </c>
      <c r="K4330" s="2" t="s">
        <v>359</v>
      </c>
      <c r="L4330" s="2">
        <v>2024</v>
      </c>
      <c r="M4330" s="2" t="s">
        <v>89</v>
      </c>
      <c r="N4330" s="2" t="s">
        <v>23</v>
      </c>
      <c r="O4330">
        <f t="shared" si="134"/>
        <v>1.2199999999999989</v>
      </c>
      <c r="P4330">
        <f t="shared" si="135"/>
        <v>24.173000000000009</v>
      </c>
    </row>
    <row r="4331" spans="1:16" x14ac:dyDescent="0.35">
      <c r="A4331" s="9" t="s">
        <v>361</v>
      </c>
      <c r="B4331" s="2">
        <v>59.38</v>
      </c>
      <c r="C4331" s="2">
        <v>59.5</v>
      </c>
      <c r="D4331" s="2">
        <v>58.94</v>
      </c>
      <c r="E4331" s="2">
        <v>59.43</v>
      </c>
      <c r="F4331" s="2">
        <v>14615103</v>
      </c>
      <c r="G4331" s="2" t="s">
        <v>576</v>
      </c>
      <c r="H4331" s="2" t="s">
        <v>577</v>
      </c>
      <c r="I4331" s="2" t="s">
        <v>578</v>
      </c>
      <c r="J4331" s="3">
        <v>0.45600000000000002</v>
      </c>
      <c r="K4331" s="2" t="s">
        <v>359</v>
      </c>
      <c r="L4331" s="2">
        <v>2024</v>
      </c>
      <c r="M4331" s="2" t="s">
        <v>89</v>
      </c>
      <c r="N4331" s="2" t="s">
        <v>21</v>
      </c>
      <c r="O4331">
        <f t="shared" si="134"/>
        <v>0.56000000000000227</v>
      </c>
      <c r="P4331">
        <f t="shared" si="135"/>
        <v>24.629000000000008</v>
      </c>
    </row>
    <row r="4332" spans="1:16" x14ac:dyDescent="0.35">
      <c r="A4332" s="9" t="s">
        <v>362</v>
      </c>
      <c r="B4332" s="2">
        <v>59.54</v>
      </c>
      <c r="C4332" s="2">
        <v>59.81</v>
      </c>
      <c r="D4332" s="2">
        <v>59.29</v>
      </c>
      <c r="E4332" s="2">
        <v>59.5</v>
      </c>
      <c r="F4332" s="2">
        <v>14436126</v>
      </c>
      <c r="G4332" s="2" t="s">
        <v>576</v>
      </c>
      <c r="H4332" s="2" t="s">
        <v>577</v>
      </c>
      <c r="I4332" s="2" t="s">
        <v>578</v>
      </c>
      <c r="J4332" s="3">
        <v>0.11799999999999999</v>
      </c>
      <c r="K4332" s="2" t="s">
        <v>359</v>
      </c>
      <c r="L4332" s="2">
        <v>2024</v>
      </c>
      <c r="M4332" s="2" t="s">
        <v>89</v>
      </c>
      <c r="N4332" s="2" t="s">
        <v>21</v>
      </c>
      <c r="O4332">
        <f t="shared" si="134"/>
        <v>0.52000000000000313</v>
      </c>
      <c r="P4332">
        <f t="shared" si="135"/>
        <v>24.747000000000007</v>
      </c>
    </row>
    <row r="4333" spans="1:16" x14ac:dyDescent="0.35">
      <c r="A4333" s="9" t="s">
        <v>363</v>
      </c>
      <c r="B4333" s="2">
        <v>59.55</v>
      </c>
      <c r="C4333" s="2">
        <v>60.04</v>
      </c>
      <c r="D4333" s="2">
        <v>59.49</v>
      </c>
      <c r="E4333" s="2">
        <v>59.85</v>
      </c>
      <c r="F4333" s="2">
        <v>10335909</v>
      </c>
      <c r="G4333" s="2" t="s">
        <v>576</v>
      </c>
      <c r="H4333" s="2" t="s">
        <v>577</v>
      </c>
      <c r="I4333" s="2" t="s">
        <v>578</v>
      </c>
      <c r="J4333" s="3">
        <v>0.58799999999999997</v>
      </c>
      <c r="K4333" s="2" t="s">
        <v>359</v>
      </c>
      <c r="L4333" s="2">
        <v>2024</v>
      </c>
      <c r="M4333" s="2" t="s">
        <v>89</v>
      </c>
      <c r="N4333" s="2" t="s">
        <v>21</v>
      </c>
      <c r="O4333">
        <f t="shared" si="134"/>
        <v>0.54999999999999716</v>
      </c>
      <c r="P4333">
        <f t="shared" si="135"/>
        <v>25.335000000000008</v>
      </c>
    </row>
    <row r="4334" spans="1:16" x14ac:dyDescent="0.35">
      <c r="A4334" s="9" t="s">
        <v>364</v>
      </c>
      <c r="B4334" s="2">
        <v>59.6</v>
      </c>
      <c r="C4334" s="2">
        <v>60.04</v>
      </c>
      <c r="D4334" s="2">
        <v>59.42</v>
      </c>
      <c r="E4334" s="2">
        <v>59.78</v>
      </c>
      <c r="F4334" s="2">
        <v>11070120</v>
      </c>
      <c r="G4334" s="2" t="s">
        <v>576</v>
      </c>
      <c r="H4334" s="2" t="s">
        <v>577</v>
      </c>
      <c r="I4334" s="2" t="s">
        <v>578</v>
      </c>
      <c r="J4334" s="4">
        <v>-0.11700000000000001</v>
      </c>
      <c r="K4334" s="2" t="s">
        <v>359</v>
      </c>
      <c r="L4334" s="2">
        <v>2024</v>
      </c>
      <c r="M4334" s="2" t="s">
        <v>89</v>
      </c>
      <c r="N4334" s="2" t="s">
        <v>23</v>
      </c>
      <c r="O4334">
        <f t="shared" si="134"/>
        <v>0.61999999999999744</v>
      </c>
      <c r="P4334">
        <f t="shared" si="135"/>
        <v>25.218000000000007</v>
      </c>
    </row>
    <row r="4335" spans="1:16" x14ac:dyDescent="0.35">
      <c r="A4335" s="9" t="s">
        <v>365</v>
      </c>
      <c r="B4335" s="2">
        <v>59.87</v>
      </c>
      <c r="C4335" s="2">
        <v>59.97</v>
      </c>
      <c r="D4335" s="2">
        <v>59.3</v>
      </c>
      <c r="E4335" s="2">
        <v>59.79</v>
      </c>
      <c r="F4335" s="2">
        <v>10015922</v>
      </c>
      <c r="G4335" s="2" t="s">
        <v>576</v>
      </c>
      <c r="H4335" s="2" t="s">
        <v>577</v>
      </c>
      <c r="I4335" s="2" t="s">
        <v>578</v>
      </c>
      <c r="J4335" s="3">
        <v>1.7000000000000001E-2</v>
      </c>
      <c r="K4335" s="2" t="s">
        <v>359</v>
      </c>
      <c r="L4335" s="2">
        <v>2024</v>
      </c>
      <c r="M4335" s="2" t="s">
        <v>89</v>
      </c>
      <c r="N4335" s="2" t="s">
        <v>21</v>
      </c>
      <c r="O4335">
        <f t="shared" si="134"/>
        <v>0.67000000000000171</v>
      </c>
      <c r="P4335">
        <f t="shared" si="135"/>
        <v>25.235000000000007</v>
      </c>
    </row>
    <row r="4336" spans="1:16" x14ac:dyDescent="0.35">
      <c r="A4336" s="9" t="s">
        <v>366</v>
      </c>
      <c r="B4336" s="2">
        <v>59.62</v>
      </c>
      <c r="C4336" s="2">
        <v>60.76</v>
      </c>
      <c r="D4336" s="2">
        <v>59.39</v>
      </c>
      <c r="E4336" s="2">
        <v>60.62</v>
      </c>
      <c r="F4336" s="2">
        <v>15097558</v>
      </c>
      <c r="G4336" s="2" t="s">
        <v>576</v>
      </c>
      <c r="H4336" s="2" t="s">
        <v>577</v>
      </c>
      <c r="I4336" s="2" t="s">
        <v>578</v>
      </c>
      <c r="J4336" s="3">
        <v>1.3879999999999999</v>
      </c>
      <c r="K4336" s="2" t="s">
        <v>359</v>
      </c>
      <c r="L4336" s="2">
        <v>2024</v>
      </c>
      <c r="M4336" s="2" t="s">
        <v>89</v>
      </c>
      <c r="N4336" s="2" t="s">
        <v>21</v>
      </c>
      <c r="O4336">
        <f t="shared" si="134"/>
        <v>1.3699999999999974</v>
      </c>
      <c r="P4336">
        <f t="shared" si="135"/>
        <v>26.623000000000005</v>
      </c>
    </row>
    <row r="4337" spans="1:16" x14ac:dyDescent="0.35">
      <c r="A4337" s="9" t="s">
        <v>367</v>
      </c>
      <c r="B4337" s="2">
        <v>60.75</v>
      </c>
      <c r="C4337" s="2">
        <v>60.89</v>
      </c>
      <c r="D4337" s="2">
        <v>60.07</v>
      </c>
      <c r="E4337" s="2">
        <v>60.09</v>
      </c>
      <c r="F4337" s="2">
        <v>10987600</v>
      </c>
      <c r="G4337" s="2" t="s">
        <v>576</v>
      </c>
      <c r="H4337" s="2" t="s">
        <v>577</v>
      </c>
      <c r="I4337" s="2" t="s">
        <v>578</v>
      </c>
      <c r="J4337" s="4">
        <v>-0.874</v>
      </c>
      <c r="K4337" s="2" t="s">
        <v>359</v>
      </c>
      <c r="L4337" s="2">
        <v>2024</v>
      </c>
      <c r="M4337" s="2" t="s">
        <v>89</v>
      </c>
      <c r="N4337" s="2" t="s">
        <v>23</v>
      </c>
      <c r="O4337">
        <f t="shared" si="134"/>
        <v>0.82000000000000028</v>
      </c>
      <c r="P4337">
        <f t="shared" si="135"/>
        <v>25.749000000000006</v>
      </c>
    </row>
    <row r="4338" spans="1:16" x14ac:dyDescent="0.35">
      <c r="A4338" s="9" t="s">
        <v>368</v>
      </c>
      <c r="B4338" s="2">
        <v>60</v>
      </c>
      <c r="C4338" s="2">
        <v>60.72</v>
      </c>
      <c r="D4338" s="2">
        <v>59.95</v>
      </c>
      <c r="E4338" s="2">
        <v>60.14</v>
      </c>
      <c r="F4338" s="2">
        <v>12280569</v>
      </c>
      <c r="G4338" s="2" t="s">
        <v>576</v>
      </c>
      <c r="H4338" s="2" t="s">
        <v>577</v>
      </c>
      <c r="I4338" s="2" t="s">
        <v>578</v>
      </c>
      <c r="J4338" s="3">
        <v>8.3000000000000004E-2</v>
      </c>
      <c r="K4338" s="2" t="s">
        <v>359</v>
      </c>
      <c r="L4338" s="2">
        <v>2024</v>
      </c>
      <c r="M4338" s="2" t="s">
        <v>89</v>
      </c>
      <c r="N4338" s="2" t="s">
        <v>21</v>
      </c>
      <c r="O4338">
        <f t="shared" si="134"/>
        <v>0.76999999999999602</v>
      </c>
      <c r="P4338">
        <f t="shared" si="135"/>
        <v>25.832000000000004</v>
      </c>
    </row>
    <row r="4339" spans="1:16" x14ac:dyDescent="0.35">
      <c r="A4339" s="9" t="s">
        <v>369</v>
      </c>
      <c r="B4339" s="2">
        <v>60.51</v>
      </c>
      <c r="C4339" s="2">
        <v>60.7</v>
      </c>
      <c r="D4339" s="2">
        <v>59.91</v>
      </c>
      <c r="E4339" s="2">
        <v>59.93</v>
      </c>
      <c r="F4339" s="2">
        <v>10557182</v>
      </c>
      <c r="G4339" s="2" t="s">
        <v>576</v>
      </c>
      <c r="H4339" s="2" t="s">
        <v>577</v>
      </c>
      <c r="I4339" s="2" t="s">
        <v>578</v>
      </c>
      <c r="J4339" s="4">
        <v>-0.34899999999999998</v>
      </c>
      <c r="K4339" s="2" t="s">
        <v>359</v>
      </c>
      <c r="L4339" s="2">
        <v>2024</v>
      </c>
      <c r="M4339" s="2" t="s">
        <v>89</v>
      </c>
      <c r="N4339" s="2" t="s">
        <v>23</v>
      </c>
      <c r="O4339">
        <f t="shared" si="134"/>
        <v>0.79000000000000625</v>
      </c>
      <c r="P4339">
        <f t="shared" si="135"/>
        <v>25.483000000000004</v>
      </c>
    </row>
    <row r="4340" spans="1:16" x14ac:dyDescent="0.35">
      <c r="A4340" s="9" t="s">
        <v>370</v>
      </c>
      <c r="B4340" s="2">
        <v>60.03</v>
      </c>
      <c r="C4340" s="2">
        <v>60.29</v>
      </c>
      <c r="D4340" s="2">
        <v>59.78</v>
      </c>
      <c r="E4340" s="2">
        <v>59.84</v>
      </c>
      <c r="F4340" s="2">
        <v>14726259</v>
      </c>
      <c r="G4340" s="2" t="s">
        <v>576</v>
      </c>
      <c r="H4340" s="2" t="s">
        <v>577</v>
      </c>
      <c r="I4340" s="2" t="s">
        <v>578</v>
      </c>
      <c r="J4340" s="4">
        <v>-0.15</v>
      </c>
      <c r="K4340" s="2" t="s">
        <v>359</v>
      </c>
      <c r="L4340" s="2">
        <v>2024</v>
      </c>
      <c r="M4340" s="2" t="s">
        <v>89</v>
      </c>
      <c r="N4340" s="2" t="s">
        <v>23</v>
      </c>
      <c r="O4340">
        <f t="shared" si="134"/>
        <v>0.50999999999999801</v>
      </c>
      <c r="P4340">
        <f t="shared" si="135"/>
        <v>25.333000000000006</v>
      </c>
    </row>
    <row r="4341" spans="1:16" x14ac:dyDescent="0.35">
      <c r="A4341" s="9" t="s">
        <v>371</v>
      </c>
      <c r="B4341" s="2">
        <v>60.15</v>
      </c>
      <c r="C4341" s="2">
        <v>60.43</v>
      </c>
      <c r="D4341" s="2">
        <v>59.57</v>
      </c>
      <c r="E4341" s="2">
        <v>59.65</v>
      </c>
      <c r="F4341" s="2">
        <v>15329693</v>
      </c>
      <c r="G4341" s="2" t="s">
        <v>576</v>
      </c>
      <c r="H4341" s="2" t="s">
        <v>577</v>
      </c>
      <c r="I4341" s="2" t="s">
        <v>578</v>
      </c>
      <c r="J4341" s="4">
        <v>-0.318</v>
      </c>
      <c r="K4341" s="2" t="s">
        <v>359</v>
      </c>
      <c r="L4341" s="2">
        <v>2024</v>
      </c>
      <c r="M4341" s="2" t="s">
        <v>89</v>
      </c>
      <c r="N4341" s="2" t="s">
        <v>23</v>
      </c>
      <c r="O4341">
        <f t="shared" si="134"/>
        <v>0.85999999999999943</v>
      </c>
      <c r="P4341">
        <f t="shared" si="135"/>
        <v>25.015000000000004</v>
      </c>
    </row>
    <row r="4342" spans="1:16" x14ac:dyDescent="0.35">
      <c r="A4342" s="9" t="s">
        <v>372</v>
      </c>
      <c r="B4342" s="2">
        <v>59.83</v>
      </c>
      <c r="C4342" s="2">
        <v>59.935000000000002</v>
      </c>
      <c r="D4342" s="2">
        <v>59.22</v>
      </c>
      <c r="E4342" s="2">
        <v>59.26</v>
      </c>
      <c r="F4342" s="2">
        <v>12061538</v>
      </c>
      <c r="G4342" s="2" t="s">
        <v>576</v>
      </c>
      <c r="H4342" s="2" t="s">
        <v>577</v>
      </c>
      <c r="I4342" s="2" t="s">
        <v>578</v>
      </c>
      <c r="J4342" s="4">
        <v>-0.65400000000000003</v>
      </c>
      <c r="K4342" s="2" t="s">
        <v>359</v>
      </c>
      <c r="L4342" s="2">
        <v>2024</v>
      </c>
      <c r="M4342" s="2" t="s">
        <v>89</v>
      </c>
      <c r="N4342" s="2" t="s">
        <v>23</v>
      </c>
      <c r="O4342">
        <f t="shared" si="134"/>
        <v>0.71500000000000341</v>
      </c>
      <c r="P4342">
        <f t="shared" si="135"/>
        <v>24.361000000000004</v>
      </c>
    </row>
    <row r="4343" spans="1:16" x14ac:dyDescent="0.35">
      <c r="A4343" s="9" t="s">
        <v>373</v>
      </c>
      <c r="B4343" s="2">
        <v>59.45</v>
      </c>
      <c r="C4343" s="2">
        <v>59.67</v>
      </c>
      <c r="D4343" s="2">
        <v>58.97</v>
      </c>
      <c r="E4343" s="2">
        <v>59.515000000000001</v>
      </c>
      <c r="F4343" s="2">
        <v>14159473</v>
      </c>
      <c r="G4343" s="2" t="s">
        <v>576</v>
      </c>
      <c r="H4343" s="2" t="s">
        <v>577</v>
      </c>
      <c r="I4343" s="2" t="s">
        <v>578</v>
      </c>
      <c r="J4343" s="3">
        <v>0.43</v>
      </c>
      <c r="K4343" s="2" t="s">
        <v>359</v>
      </c>
      <c r="L4343" s="2">
        <v>2024</v>
      </c>
      <c r="M4343" s="2" t="s">
        <v>89</v>
      </c>
      <c r="N4343" s="2" t="s">
        <v>21</v>
      </c>
      <c r="O4343">
        <f t="shared" si="134"/>
        <v>0.70000000000000284</v>
      </c>
      <c r="P4343">
        <f t="shared" si="135"/>
        <v>24.791000000000004</v>
      </c>
    </row>
    <row r="4344" spans="1:16" x14ac:dyDescent="0.35">
      <c r="A4344" s="9" t="s">
        <v>374</v>
      </c>
      <c r="B4344" s="2">
        <v>59.56</v>
      </c>
      <c r="C4344" s="2">
        <v>60.395000000000003</v>
      </c>
      <c r="D4344" s="2">
        <v>59.04</v>
      </c>
      <c r="E4344" s="2">
        <v>60.14</v>
      </c>
      <c r="F4344" s="2">
        <v>14909983</v>
      </c>
      <c r="G4344" s="2" t="s">
        <v>576</v>
      </c>
      <c r="H4344" s="2" t="s">
        <v>577</v>
      </c>
      <c r="I4344" s="2" t="s">
        <v>578</v>
      </c>
      <c r="J4344" s="3">
        <v>1.05</v>
      </c>
      <c r="K4344" s="2" t="s">
        <v>359</v>
      </c>
      <c r="L4344" s="2">
        <v>2024</v>
      </c>
      <c r="M4344" s="2" t="s">
        <v>89</v>
      </c>
      <c r="N4344" s="2" t="s">
        <v>21</v>
      </c>
      <c r="O4344">
        <f t="shared" si="134"/>
        <v>1.355000000000004</v>
      </c>
      <c r="P4344">
        <f t="shared" si="135"/>
        <v>25.841000000000005</v>
      </c>
    </row>
    <row r="4345" spans="1:16" x14ac:dyDescent="0.35">
      <c r="A4345" s="9" t="s">
        <v>375</v>
      </c>
      <c r="B4345" s="2">
        <v>60.25</v>
      </c>
      <c r="C4345" s="2">
        <v>60.35</v>
      </c>
      <c r="D4345" s="2">
        <v>58.555</v>
      </c>
      <c r="E4345" s="2">
        <v>59.09</v>
      </c>
      <c r="F4345" s="2">
        <v>17963945</v>
      </c>
      <c r="G4345" s="2" t="s">
        <v>576</v>
      </c>
      <c r="H4345" s="2" t="s">
        <v>577</v>
      </c>
      <c r="I4345" s="2" t="s">
        <v>578</v>
      </c>
      <c r="J4345" s="4">
        <v>-1.746</v>
      </c>
      <c r="K4345" s="2" t="s">
        <v>359</v>
      </c>
      <c r="L4345" s="2">
        <v>2024</v>
      </c>
      <c r="M4345" s="2" t="s">
        <v>89</v>
      </c>
      <c r="N4345" s="2" t="s">
        <v>23</v>
      </c>
      <c r="O4345">
        <f t="shared" si="134"/>
        <v>1.7950000000000017</v>
      </c>
      <c r="P4345">
        <f t="shared" si="135"/>
        <v>24.095000000000006</v>
      </c>
    </row>
    <row r="4346" spans="1:16" x14ac:dyDescent="0.35">
      <c r="A4346" s="9" t="s">
        <v>376</v>
      </c>
      <c r="B4346" s="2">
        <v>58.975000000000001</v>
      </c>
      <c r="C4346" s="2">
        <v>60.04</v>
      </c>
      <c r="D4346" s="2">
        <v>58.81</v>
      </c>
      <c r="E4346" s="2">
        <v>59.87</v>
      </c>
      <c r="F4346" s="2">
        <v>18529138</v>
      </c>
      <c r="G4346" s="2" t="s">
        <v>576</v>
      </c>
      <c r="H4346" s="2" t="s">
        <v>577</v>
      </c>
      <c r="I4346" s="2" t="s">
        <v>578</v>
      </c>
      <c r="J4346" s="3">
        <v>1.32</v>
      </c>
      <c r="K4346" s="2" t="s">
        <v>359</v>
      </c>
      <c r="L4346" s="2">
        <v>2024</v>
      </c>
      <c r="M4346" s="2" t="s">
        <v>89</v>
      </c>
      <c r="N4346" s="2" t="s">
        <v>21</v>
      </c>
      <c r="O4346">
        <f t="shared" si="134"/>
        <v>1.2299999999999969</v>
      </c>
      <c r="P4346">
        <f t="shared" si="135"/>
        <v>25.415000000000006</v>
      </c>
    </row>
    <row r="4347" spans="1:16" x14ac:dyDescent="0.35">
      <c r="A4347" s="9" t="s">
        <v>377</v>
      </c>
      <c r="B4347" s="2">
        <v>60.05</v>
      </c>
      <c r="C4347" s="2">
        <v>60.53</v>
      </c>
      <c r="D4347" s="2">
        <v>59.832999999999998</v>
      </c>
      <c r="E4347" s="2">
        <v>60.21</v>
      </c>
      <c r="F4347" s="2">
        <v>19262954</v>
      </c>
      <c r="G4347" s="2" t="s">
        <v>576</v>
      </c>
      <c r="H4347" s="2" t="s">
        <v>577</v>
      </c>
      <c r="I4347" s="2" t="s">
        <v>578</v>
      </c>
      <c r="J4347" s="3">
        <v>0.56799999999999995</v>
      </c>
      <c r="K4347" s="2" t="s">
        <v>359</v>
      </c>
      <c r="L4347" s="2">
        <v>2024</v>
      </c>
      <c r="M4347" s="2" t="s">
        <v>89</v>
      </c>
      <c r="N4347" s="2" t="s">
        <v>21</v>
      </c>
      <c r="O4347">
        <f t="shared" si="134"/>
        <v>0.69700000000000273</v>
      </c>
      <c r="P4347">
        <f t="shared" si="135"/>
        <v>25.983000000000008</v>
      </c>
    </row>
    <row r="4348" spans="1:16" x14ac:dyDescent="0.35">
      <c r="A4348" s="9" t="s">
        <v>378</v>
      </c>
      <c r="B4348" s="2">
        <v>60.11</v>
      </c>
      <c r="C4348" s="2">
        <v>60.39</v>
      </c>
      <c r="D4348" s="2">
        <v>60</v>
      </c>
      <c r="E4348" s="2">
        <v>60.16</v>
      </c>
      <c r="F4348" s="2">
        <v>11045224</v>
      </c>
      <c r="G4348" s="2" t="s">
        <v>576</v>
      </c>
      <c r="H4348" s="2" t="s">
        <v>577</v>
      </c>
      <c r="I4348" s="2" t="s">
        <v>578</v>
      </c>
      <c r="J4348" s="4">
        <v>-8.3000000000000004E-2</v>
      </c>
      <c r="K4348" s="2" t="s">
        <v>359</v>
      </c>
      <c r="L4348" s="2">
        <v>2024</v>
      </c>
      <c r="M4348" s="2" t="s">
        <v>89</v>
      </c>
      <c r="N4348" s="2" t="s">
        <v>23</v>
      </c>
      <c r="O4348">
        <f t="shared" si="134"/>
        <v>0.39000000000000057</v>
      </c>
      <c r="P4348">
        <f t="shared" si="135"/>
        <v>25.900000000000009</v>
      </c>
    </row>
    <row r="4349" spans="1:16" x14ac:dyDescent="0.35">
      <c r="A4349" s="9" t="s">
        <v>379</v>
      </c>
      <c r="B4349" s="2">
        <v>60.18</v>
      </c>
      <c r="C4349" s="2">
        <v>60.39</v>
      </c>
      <c r="D4349" s="2">
        <v>59.94</v>
      </c>
      <c r="E4349" s="2">
        <v>60.24</v>
      </c>
      <c r="F4349" s="2">
        <v>9788575</v>
      </c>
      <c r="G4349" s="2" t="s">
        <v>576</v>
      </c>
      <c r="H4349" s="2" t="s">
        <v>577</v>
      </c>
      <c r="I4349" s="2" t="s">
        <v>578</v>
      </c>
      <c r="J4349" s="3">
        <v>0.13300000000000001</v>
      </c>
      <c r="K4349" s="2" t="s">
        <v>359</v>
      </c>
      <c r="L4349" s="2">
        <v>2024</v>
      </c>
      <c r="M4349" s="2" t="s">
        <v>89</v>
      </c>
      <c r="N4349" s="2" t="s">
        <v>21</v>
      </c>
      <c r="O4349">
        <f t="shared" si="134"/>
        <v>0.45000000000000284</v>
      </c>
      <c r="P4349">
        <f t="shared" si="135"/>
        <v>26.033000000000008</v>
      </c>
    </row>
    <row r="4350" spans="1:16" x14ac:dyDescent="0.35">
      <c r="A4350" s="9" t="s">
        <v>380</v>
      </c>
      <c r="B4350" s="2">
        <v>60.2</v>
      </c>
      <c r="C4350" s="2">
        <v>60.3</v>
      </c>
      <c r="D4350" s="2">
        <v>59.16</v>
      </c>
      <c r="E4350" s="2">
        <v>59.35</v>
      </c>
      <c r="F4350" s="2">
        <v>14209155</v>
      </c>
      <c r="G4350" s="2" t="s">
        <v>576</v>
      </c>
      <c r="H4350" s="2" t="s">
        <v>577</v>
      </c>
      <c r="I4350" s="2" t="s">
        <v>578</v>
      </c>
      <c r="J4350" s="4">
        <v>-1.4770000000000001</v>
      </c>
      <c r="K4350" s="2" t="s">
        <v>359</v>
      </c>
      <c r="L4350" s="2">
        <v>2024</v>
      </c>
      <c r="M4350" s="2" t="s">
        <v>89</v>
      </c>
      <c r="N4350" s="2" t="s">
        <v>23</v>
      </c>
      <c r="O4350">
        <f t="shared" si="134"/>
        <v>1.1400000000000006</v>
      </c>
      <c r="P4350">
        <f t="shared" si="135"/>
        <v>24.556000000000008</v>
      </c>
    </row>
    <row r="4351" spans="1:16" x14ac:dyDescent="0.35">
      <c r="A4351" s="9" t="s">
        <v>381</v>
      </c>
      <c r="B4351" s="2">
        <v>59.31</v>
      </c>
      <c r="C4351" s="2">
        <v>59.41</v>
      </c>
      <c r="D4351" s="2">
        <v>58.72</v>
      </c>
      <c r="E4351" s="2">
        <v>58.85</v>
      </c>
      <c r="F4351" s="2">
        <v>15470975</v>
      </c>
      <c r="G4351" s="2" t="s">
        <v>576</v>
      </c>
      <c r="H4351" s="2" t="s">
        <v>577</v>
      </c>
      <c r="I4351" s="2" t="s">
        <v>578</v>
      </c>
      <c r="J4351" s="4">
        <v>-0.84199999999999997</v>
      </c>
      <c r="K4351" s="2" t="s">
        <v>382</v>
      </c>
      <c r="L4351" s="2">
        <v>2024</v>
      </c>
      <c r="M4351" s="2" t="s">
        <v>110</v>
      </c>
      <c r="N4351" s="2" t="s">
        <v>23</v>
      </c>
      <c r="O4351">
        <f t="shared" si="134"/>
        <v>0.68999999999999773</v>
      </c>
      <c r="P4351">
        <f t="shared" si="135"/>
        <v>23.714000000000009</v>
      </c>
    </row>
    <row r="4352" spans="1:16" x14ac:dyDescent="0.35">
      <c r="A4352" s="9" t="s">
        <v>383</v>
      </c>
      <c r="B4352" s="2">
        <v>58.94</v>
      </c>
      <c r="C4352" s="2">
        <v>59.884999999999998</v>
      </c>
      <c r="D4352" s="2">
        <v>58.58</v>
      </c>
      <c r="E4352" s="2">
        <v>59.71</v>
      </c>
      <c r="F4352" s="2">
        <v>17574115</v>
      </c>
      <c r="G4352" s="2" t="s">
        <v>576</v>
      </c>
      <c r="H4352" s="2" t="s">
        <v>577</v>
      </c>
      <c r="I4352" s="2" t="s">
        <v>578</v>
      </c>
      <c r="J4352" s="3">
        <v>1.4610000000000001</v>
      </c>
      <c r="K4352" s="2" t="s">
        <v>382</v>
      </c>
      <c r="L4352" s="2">
        <v>2024</v>
      </c>
      <c r="M4352" s="2" t="s">
        <v>110</v>
      </c>
      <c r="N4352" s="2" t="s">
        <v>21</v>
      </c>
      <c r="O4352">
        <f t="shared" si="134"/>
        <v>1.3049999999999997</v>
      </c>
      <c r="P4352">
        <f t="shared" si="135"/>
        <v>25.175000000000008</v>
      </c>
    </row>
    <row r="4353" spans="1:16" x14ac:dyDescent="0.35">
      <c r="A4353" s="9" t="s">
        <v>384</v>
      </c>
      <c r="B4353" s="2">
        <v>59.62</v>
      </c>
      <c r="C4353" s="2">
        <v>59.98</v>
      </c>
      <c r="D4353" s="2">
        <v>59.14</v>
      </c>
      <c r="E4353" s="2">
        <v>59.82</v>
      </c>
      <c r="F4353" s="2">
        <v>14207397</v>
      </c>
      <c r="G4353" s="2" t="s">
        <v>576</v>
      </c>
      <c r="H4353" s="2" t="s">
        <v>577</v>
      </c>
      <c r="I4353" s="2" t="s">
        <v>578</v>
      </c>
      <c r="J4353" s="3">
        <v>0.184</v>
      </c>
      <c r="K4353" s="2" t="s">
        <v>382</v>
      </c>
      <c r="L4353" s="2">
        <v>2024</v>
      </c>
      <c r="M4353" s="2" t="s">
        <v>110</v>
      </c>
      <c r="N4353" s="2" t="s">
        <v>21</v>
      </c>
      <c r="O4353">
        <f t="shared" si="134"/>
        <v>0.83999999999999631</v>
      </c>
      <c r="P4353">
        <f t="shared" si="135"/>
        <v>25.359000000000009</v>
      </c>
    </row>
    <row r="4354" spans="1:16" x14ac:dyDescent="0.35">
      <c r="A4354" s="9" t="s">
        <v>385</v>
      </c>
      <c r="B4354" s="2">
        <v>60</v>
      </c>
      <c r="C4354" s="2">
        <v>60</v>
      </c>
      <c r="D4354" s="2">
        <v>59.39</v>
      </c>
      <c r="E4354" s="2">
        <v>59.87</v>
      </c>
      <c r="F4354" s="2">
        <v>11119402</v>
      </c>
      <c r="G4354" s="2" t="s">
        <v>576</v>
      </c>
      <c r="H4354" s="2" t="s">
        <v>577</v>
      </c>
      <c r="I4354" s="2" t="s">
        <v>578</v>
      </c>
      <c r="J4354" s="3">
        <v>8.4000000000000005E-2</v>
      </c>
      <c r="K4354" s="2" t="s">
        <v>382</v>
      </c>
      <c r="L4354" s="2">
        <v>2024</v>
      </c>
      <c r="M4354" s="2" t="s">
        <v>110</v>
      </c>
      <c r="N4354" s="2" t="s">
        <v>21</v>
      </c>
      <c r="O4354">
        <f t="shared" si="134"/>
        <v>0.60999999999999943</v>
      </c>
      <c r="P4354">
        <f t="shared" si="135"/>
        <v>25.443000000000008</v>
      </c>
    </row>
    <row r="4355" spans="1:16" x14ac:dyDescent="0.35">
      <c r="A4355" s="9" t="s">
        <v>386</v>
      </c>
      <c r="B4355" s="2">
        <v>60.17</v>
      </c>
      <c r="C4355" s="2">
        <v>60.8</v>
      </c>
      <c r="D4355" s="2">
        <v>60.05</v>
      </c>
      <c r="E4355" s="2">
        <v>60.62</v>
      </c>
      <c r="F4355" s="2">
        <v>14520240</v>
      </c>
      <c r="G4355" s="2" t="s">
        <v>576</v>
      </c>
      <c r="H4355" s="2" t="s">
        <v>577</v>
      </c>
      <c r="I4355" s="2" t="s">
        <v>578</v>
      </c>
      <c r="J4355" s="3">
        <v>1.2529999999999999</v>
      </c>
      <c r="K4355" s="2" t="s">
        <v>382</v>
      </c>
      <c r="L4355" s="2">
        <v>2024</v>
      </c>
      <c r="M4355" s="2" t="s">
        <v>110</v>
      </c>
      <c r="N4355" s="2" t="s">
        <v>21</v>
      </c>
      <c r="O4355">
        <f t="shared" ref="O4355:O4418" si="136">C4355-D4355</f>
        <v>0.75</v>
      </c>
      <c r="P4355">
        <f t="shared" si="135"/>
        <v>26.696000000000009</v>
      </c>
    </row>
    <row r="4356" spans="1:16" x14ac:dyDescent="0.35">
      <c r="A4356" s="9" t="s">
        <v>387</v>
      </c>
      <c r="B4356" s="2">
        <v>60.63</v>
      </c>
      <c r="C4356" s="2">
        <v>60.844999999999999</v>
      </c>
      <c r="D4356" s="2">
        <v>60.22</v>
      </c>
      <c r="E4356" s="2">
        <v>60.3</v>
      </c>
      <c r="F4356" s="2">
        <v>11015695</v>
      </c>
      <c r="G4356" s="2" t="s">
        <v>576</v>
      </c>
      <c r="H4356" s="2" t="s">
        <v>577</v>
      </c>
      <c r="I4356" s="2" t="s">
        <v>578</v>
      </c>
      <c r="J4356" s="4">
        <v>-0.52800000000000002</v>
      </c>
      <c r="K4356" s="2" t="s">
        <v>382</v>
      </c>
      <c r="L4356" s="2">
        <v>2024</v>
      </c>
      <c r="M4356" s="2" t="s">
        <v>110</v>
      </c>
      <c r="N4356" s="2" t="s">
        <v>23</v>
      </c>
      <c r="O4356">
        <f t="shared" si="136"/>
        <v>0.625</v>
      </c>
      <c r="P4356">
        <f t="shared" ref="P4356:P4419" si="137">IF(G4356=G4355, P4355+J4356, J4356)</f>
        <v>26.16800000000001</v>
      </c>
    </row>
    <row r="4357" spans="1:16" x14ac:dyDescent="0.35">
      <c r="A4357" s="9" t="s">
        <v>388</v>
      </c>
      <c r="B4357" s="2">
        <v>60.2</v>
      </c>
      <c r="C4357" s="2">
        <v>60.58</v>
      </c>
      <c r="D4357" s="2">
        <v>59.95</v>
      </c>
      <c r="E4357" s="2">
        <v>60.44</v>
      </c>
      <c r="F4357" s="2">
        <v>14550463</v>
      </c>
      <c r="G4357" s="2" t="s">
        <v>576</v>
      </c>
      <c r="H4357" s="2" t="s">
        <v>577</v>
      </c>
      <c r="I4357" s="2" t="s">
        <v>578</v>
      </c>
      <c r="J4357" s="3">
        <v>0.23200000000000001</v>
      </c>
      <c r="K4357" s="2" t="s">
        <v>382</v>
      </c>
      <c r="L4357" s="2">
        <v>2024</v>
      </c>
      <c r="M4357" s="2" t="s">
        <v>110</v>
      </c>
      <c r="N4357" s="2" t="s">
        <v>21</v>
      </c>
      <c r="O4357">
        <f t="shared" si="136"/>
        <v>0.62999999999999545</v>
      </c>
      <c r="P4357">
        <f t="shared" si="137"/>
        <v>26.400000000000009</v>
      </c>
    </row>
    <row r="4358" spans="1:16" x14ac:dyDescent="0.35">
      <c r="A4358" s="9" t="s">
        <v>389</v>
      </c>
      <c r="B4358" s="2">
        <v>60.41</v>
      </c>
      <c r="C4358" s="2">
        <v>60.58</v>
      </c>
      <c r="D4358" s="2">
        <v>60.16</v>
      </c>
      <c r="E4358" s="2">
        <v>60.48</v>
      </c>
      <c r="F4358" s="2">
        <v>12356612</v>
      </c>
      <c r="G4358" s="2" t="s">
        <v>576</v>
      </c>
      <c r="H4358" s="2" t="s">
        <v>577</v>
      </c>
      <c r="I4358" s="2" t="s">
        <v>578</v>
      </c>
      <c r="J4358" s="3">
        <v>6.6000000000000003E-2</v>
      </c>
      <c r="K4358" s="2" t="s">
        <v>382</v>
      </c>
      <c r="L4358" s="2">
        <v>2024</v>
      </c>
      <c r="M4358" s="2" t="s">
        <v>110</v>
      </c>
      <c r="N4358" s="2" t="s">
        <v>21</v>
      </c>
      <c r="O4358">
        <f t="shared" si="136"/>
        <v>0.42000000000000171</v>
      </c>
      <c r="P4358">
        <f t="shared" si="137"/>
        <v>26.466000000000008</v>
      </c>
    </row>
    <row r="4359" spans="1:16" x14ac:dyDescent="0.35">
      <c r="A4359" s="9" t="s">
        <v>390</v>
      </c>
      <c r="B4359" s="2">
        <v>60.62</v>
      </c>
      <c r="C4359" s="2">
        <v>61.344999999999999</v>
      </c>
      <c r="D4359" s="2">
        <v>60.29</v>
      </c>
      <c r="E4359" s="2">
        <v>60.41</v>
      </c>
      <c r="F4359" s="2">
        <v>19260522</v>
      </c>
      <c r="G4359" s="2" t="s">
        <v>576</v>
      </c>
      <c r="H4359" s="2" t="s">
        <v>577</v>
      </c>
      <c r="I4359" s="2" t="s">
        <v>578</v>
      </c>
      <c r="J4359" s="4">
        <v>-0.11600000000000001</v>
      </c>
      <c r="K4359" s="2" t="s">
        <v>382</v>
      </c>
      <c r="L4359" s="2">
        <v>2024</v>
      </c>
      <c r="M4359" s="2" t="s">
        <v>110</v>
      </c>
      <c r="N4359" s="2" t="s">
        <v>23</v>
      </c>
      <c r="O4359">
        <f t="shared" si="136"/>
        <v>1.0549999999999997</v>
      </c>
      <c r="P4359">
        <f t="shared" si="137"/>
        <v>26.350000000000009</v>
      </c>
    </row>
    <row r="4360" spans="1:16" x14ac:dyDescent="0.35">
      <c r="A4360" s="9" t="s">
        <v>391</v>
      </c>
      <c r="B4360" s="2">
        <v>60.52</v>
      </c>
      <c r="C4360" s="2">
        <v>60.55</v>
      </c>
      <c r="D4360" s="2">
        <v>59.435000000000002</v>
      </c>
      <c r="E4360" s="2">
        <v>59.86</v>
      </c>
      <c r="F4360" s="2">
        <v>18780139</v>
      </c>
      <c r="G4360" s="2" t="s">
        <v>576</v>
      </c>
      <c r="H4360" s="2" t="s">
        <v>577</v>
      </c>
      <c r="I4360" s="2" t="s">
        <v>578</v>
      </c>
      <c r="J4360" s="4">
        <v>-0.91</v>
      </c>
      <c r="K4360" s="2" t="s">
        <v>382</v>
      </c>
      <c r="L4360" s="2">
        <v>2024</v>
      </c>
      <c r="M4360" s="2" t="s">
        <v>110</v>
      </c>
      <c r="N4360" s="2" t="s">
        <v>23</v>
      </c>
      <c r="O4360">
        <f t="shared" si="136"/>
        <v>1.1149999999999949</v>
      </c>
      <c r="P4360">
        <f t="shared" si="137"/>
        <v>25.440000000000008</v>
      </c>
    </row>
    <row r="4361" spans="1:16" x14ac:dyDescent="0.35">
      <c r="A4361" s="9" t="s">
        <v>392</v>
      </c>
      <c r="B4361" s="2">
        <v>59.83</v>
      </c>
      <c r="C4361" s="2">
        <v>59.94</v>
      </c>
      <c r="D4361" s="2">
        <v>59.47</v>
      </c>
      <c r="E4361" s="2">
        <v>59.83</v>
      </c>
      <c r="F4361" s="2">
        <v>22240558</v>
      </c>
      <c r="G4361" s="2" t="s">
        <v>576</v>
      </c>
      <c r="H4361" s="2" t="s">
        <v>577</v>
      </c>
      <c r="I4361" s="2" t="s">
        <v>578</v>
      </c>
      <c r="J4361" s="4">
        <v>-0.05</v>
      </c>
      <c r="K4361" s="2" t="s">
        <v>382</v>
      </c>
      <c r="L4361" s="2">
        <v>2024</v>
      </c>
      <c r="M4361" s="2" t="s">
        <v>110</v>
      </c>
      <c r="N4361" s="2" t="s">
        <v>23</v>
      </c>
      <c r="O4361">
        <f t="shared" si="136"/>
        <v>0.46999999999999886</v>
      </c>
      <c r="P4361">
        <f t="shared" si="137"/>
        <v>25.390000000000008</v>
      </c>
    </row>
    <row r="4362" spans="1:16" x14ac:dyDescent="0.35">
      <c r="A4362" s="9" t="s">
        <v>393</v>
      </c>
      <c r="B4362" s="2">
        <v>64.22</v>
      </c>
      <c r="C4362" s="2">
        <v>64.415000000000006</v>
      </c>
      <c r="D4362" s="2">
        <v>62.94</v>
      </c>
      <c r="E4362" s="2">
        <v>64.010000000000005</v>
      </c>
      <c r="F4362" s="2">
        <v>60545613</v>
      </c>
      <c r="G4362" s="2" t="s">
        <v>576</v>
      </c>
      <c r="H4362" s="2" t="s">
        <v>577</v>
      </c>
      <c r="I4362" s="2" t="s">
        <v>578</v>
      </c>
      <c r="J4362" s="3">
        <v>6.9859999999999998</v>
      </c>
      <c r="K4362" s="2" t="s">
        <v>382</v>
      </c>
      <c r="L4362" s="2">
        <v>2024</v>
      </c>
      <c r="M4362" s="2" t="s">
        <v>110</v>
      </c>
      <c r="N4362" s="2" t="s">
        <v>21</v>
      </c>
      <c r="O4362">
        <f t="shared" si="136"/>
        <v>1.4750000000000085</v>
      </c>
      <c r="P4362">
        <f t="shared" si="137"/>
        <v>32.376000000000005</v>
      </c>
    </row>
    <row r="4363" spans="1:16" x14ac:dyDescent="0.35">
      <c r="A4363" s="9" t="s">
        <v>394</v>
      </c>
      <c r="B4363" s="2">
        <v>64.239999999999995</v>
      </c>
      <c r="C4363" s="2">
        <v>64.88</v>
      </c>
      <c r="D4363" s="2">
        <v>63.63</v>
      </c>
      <c r="E4363" s="2">
        <v>64.650000000000006</v>
      </c>
      <c r="F4363" s="2">
        <v>29330381</v>
      </c>
      <c r="G4363" s="2" t="s">
        <v>576</v>
      </c>
      <c r="H4363" s="2" t="s">
        <v>577</v>
      </c>
      <c r="I4363" s="2" t="s">
        <v>578</v>
      </c>
      <c r="J4363" s="3">
        <v>1</v>
      </c>
      <c r="K4363" s="2" t="s">
        <v>382</v>
      </c>
      <c r="L4363" s="2">
        <v>2024</v>
      </c>
      <c r="M4363" s="2" t="s">
        <v>110</v>
      </c>
      <c r="N4363" s="2" t="s">
        <v>21</v>
      </c>
      <c r="O4363">
        <f t="shared" si="136"/>
        <v>1.2499999999999929</v>
      </c>
      <c r="P4363">
        <f t="shared" si="137"/>
        <v>33.376000000000005</v>
      </c>
    </row>
    <row r="4364" spans="1:16" x14ac:dyDescent="0.35">
      <c r="A4364" s="9" t="s">
        <v>395</v>
      </c>
      <c r="B4364" s="2">
        <v>64.42</v>
      </c>
      <c r="C4364" s="2">
        <v>64.760000000000005</v>
      </c>
      <c r="D4364" s="2">
        <v>63.87</v>
      </c>
      <c r="E4364" s="2">
        <v>64.180000000000007</v>
      </c>
      <c r="F4364" s="2">
        <v>15001391</v>
      </c>
      <c r="G4364" s="2" t="s">
        <v>576</v>
      </c>
      <c r="H4364" s="2" t="s">
        <v>577</v>
      </c>
      <c r="I4364" s="2" t="s">
        <v>578</v>
      </c>
      <c r="J4364" s="4">
        <v>-0.72699999999999998</v>
      </c>
      <c r="K4364" s="2" t="s">
        <v>382</v>
      </c>
      <c r="L4364" s="2">
        <v>2024</v>
      </c>
      <c r="M4364" s="2" t="s">
        <v>110</v>
      </c>
      <c r="N4364" s="2" t="s">
        <v>23</v>
      </c>
      <c r="O4364">
        <f t="shared" si="136"/>
        <v>0.89000000000000767</v>
      </c>
      <c r="P4364">
        <f t="shared" si="137"/>
        <v>32.649000000000008</v>
      </c>
    </row>
    <row r="4365" spans="1:16" x14ac:dyDescent="0.35">
      <c r="A4365" s="9" t="s">
        <v>396</v>
      </c>
      <c r="B4365" s="2">
        <v>64.53</v>
      </c>
      <c r="C4365" s="2">
        <v>65.19</v>
      </c>
      <c r="D4365" s="2">
        <v>64.45</v>
      </c>
      <c r="E4365" s="2">
        <v>65.150000000000006</v>
      </c>
      <c r="F4365" s="2">
        <v>17131691</v>
      </c>
      <c r="G4365" s="2" t="s">
        <v>576</v>
      </c>
      <c r="H4365" s="2" t="s">
        <v>577</v>
      </c>
      <c r="I4365" s="2" t="s">
        <v>578</v>
      </c>
      <c r="J4365" s="3">
        <v>1.5109999999999999</v>
      </c>
      <c r="K4365" s="2" t="s">
        <v>382</v>
      </c>
      <c r="L4365" s="2">
        <v>2024</v>
      </c>
      <c r="M4365" s="2" t="s">
        <v>110</v>
      </c>
      <c r="N4365" s="2" t="s">
        <v>21</v>
      </c>
      <c r="O4365">
        <f t="shared" si="136"/>
        <v>0.73999999999999488</v>
      </c>
      <c r="P4365">
        <f t="shared" si="137"/>
        <v>34.160000000000011</v>
      </c>
    </row>
    <row r="4366" spans="1:16" x14ac:dyDescent="0.35">
      <c r="A4366" s="9" t="s">
        <v>397</v>
      </c>
      <c r="B4366" s="2">
        <v>64.98</v>
      </c>
      <c r="C4366" s="2">
        <v>65.69</v>
      </c>
      <c r="D4366" s="2">
        <v>64.73</v>
      </c>
      <c r="E4366" s="2">
        <v>65.25</v>
      </c>
      <c r="F4366" s="2">
        <v>14879434</v>
      </c>
      <c r="G4366" s="2" t="s">
        <v>576</v>
      </c>
      <c r="H4366" s="2" t="s">
        <v>577</v>
      </c>
      <c r="I4366" s="2" t="s">
        <v>578</v>
      </c>
      <c r="J4366" s="3">
        <v>0.153</v>
      </c>
      <c r="K4366" s="2" t="s">
        <v>382</v>
      </c>
      <c r="L4366" s="2">
        <v>2024</v>
      </c>
      <c r="M4366" s="2" t="s">
        <v>110</v>
      </c>
      <c r="N4366" s="2" t="s">
        <v>21</v>
      </c>
      <c r="O4366">
        <f t="shared" si="136"/>
        <v>0.95999999999999375</v>
      </c>
      <c r="P4366">
        <f t="shared" si="137"/>
        <v>34.313000000000009</v>
      </c>
    </row>
    <row r="4367" spans="1:16" x14ac:dyDescent="0.35">
      <c r="A4367" s="9" t="s">
        <v>398</v>
      </c>
      <c r="B4367" s="2">
        <v>65.17</v>
      </c>
      <c r="C4367" s="2">
        <v>65.515000000000001</v>
      </c>
      <c r="D4367" s="2">
        <v>64.56</v>
      </c>
      <c r="E4367" s="2">
        <v>64.84</v>
      </c>
      <c r="F4367" s="2">
        <v>16222946</v>
      </c>
      <c r="G4367" s="2" t="s">
        <v>576</v>
      </c>
      <c r="H4367" s="2" t="s">
        <v>577</v>
      </c>
      <c r="I4367" s="2" t="s">
        <v>578</v>
      </c>
      <c r="J4367" s="4">
        <v>-0.628</v>
      </c>
      <c r="K4367" s="2" t="s">
        <v>382</v>
      </c>
      <c r="L4367" s="2">
        <v>2024</v>
      </c>
      <c r="M4367" s="2" t="s">
        <v>110</v>
      </c>
      <c r="N4367" s="2" t="s">
        <v>23</v>
      </c>
      <c r="O4367">
        <f t="shared" si="136"/>
        <v>0.95499999999999829</v>
      </c>
      <c r="P4367">
        <f t="shared" si="137"/>
        <v>33.685000000000009</v>
      </c>
    </row>
    <row r="4368" spans="1:16" x14ac:dyDescent="0.35">
      <c r="A4368" s="9" t="s">
        <v>399</v>
      </c>
      <c r="B4368" s="2">
        <v>65.13</v>
      </c>
      <c r="C4368" s="2">
        <v>65.69</v>
      </c>
      <c r="D4368" s="2">
        <v>65.010000000000005</v>
      </c>
      <c r="E4368" s="2">
        <v>65.38</v>
      </c>
      <c r="F4368" s="2">
        <v>11795024</v>
      </c>
      <c r="G4368" s="2" t="s">
        <v>576</v>
      </c>
      <c r="H4368" s="2" t="s">
        <v>577</v>
      </c>
      <c r="I4368" s="2" t="s">
        <v>578</v>
      </c>
      <c r="J4368" s="3">
        <v>0.83299999999999996</v>
      </c>
      <c r="K4368" s="2" t="s">
        <v>382</v>
      </c>
      <c r="L4368" s="2">
        <v>2024</v>
      </c>
      <c r="M4368" s="2" t="s">
        <v>110</v>
      </c>
      <c r="N4368" s="2" t="s">
        <v>21</v>
      </c>
      <c r="O4368">
        <f t="shared" si="136"/>
        <v>0.67999999999999261</v>
      </c>
      <c r="P4368">
        <f t="shared" si="137"/>
        <v>34.518000000000008</v>
      </c>
    </row>
    <row r="4369" spans="1:16" x14ac:dyDescent="0.35">
      <c r="A4369" s="9" t="s">
        <v>400</v>
      </c>
      <c r="B4369" s="2">
        <v>65.22</v>
      </c>
      <c r="C4369" s="2">
        <v>65.47</v>
      </c>
      <c r="D4369" s="2">
        <v>64.739999999999995</v>
      </c>
      <c r="E4369" s="2">
        <v>65.040000000000006</v>
      </c>
      <c r="F4369" s="2">
        <v>13349619</v>
      </c>
      <c r="G4369" s="2" t="s">
        <v>576</v>
      </c>
      <c r="H4369" s="2" t="s">
        <v>577</v>
      </c>
      <c r="I4369" s="2" t="s">
        <v>578</v>
      </c>
      <c r="J4369" s="4">
        <v>-0.52</v>
      </c>
      <c r="K4369" s="2" t="s">
        <v>382</v>
      </c>
      <c r="L4369" s="2">
        <v>2024</v>
      </c>
      <c r="M4369" s="2" t="s">
        <v>110</v>
      </c>
      <c r="N4369" s="2" t="s">
        <v>23</v>
      </c>
      <c r="O4369">
        <f t="shared" si="136"/>
        <v>0.73000000000000398</v>
      </c>
      <c r="P4369">
        <f t="shared" si="137"/>
        <v>33.998000000000005</v>
      </c>
    </row>
    <row r="4370" spans="1:16" x14ac:dyDescent="0.35">
      <c r="A4370" s="9" t="s">
        <v>401</v>
      </c>
      <c r="B4370" s="2">
        <v>64.75</v>
      </c>
      <c r="C4370" s="2">
        <v>65.209999999999994</v>
      </c>
      <c r="D4370" s="2">
        <v>64.650000000000006</v>
      </c>
      <c r="E4370" s="2">
        <v>64.92</v>
      </c>
      <c r="F4370" s="2">
        <v>11538552</v>
      </c>
      <c r="G4370" s="2" t="s">
        <v>576</v>
      </c>
      <c r="H4370" s="2" t="s">
        <v>577</v>
      </c>
      <c r="I4370" s="2" t="s">
        <v>578</v>
      </c>
      <c r="J4370" s="4">
        <v>-0.185</v>
      </c>
      <c r="K4370" s="2" t="s">
        <v>382</v>
      </c>
      <c r="L4370" s="2">
        <v>2024</v>
      </c>
      <c r="M4370" s="2" t="s">
        <v>110</v>
      </c>
      <c r="N4370" s="2" t="s">
        <v>23</v>
      </c>
      <c r="O4370">
        <f t="shared" si="136"/>
        <v>0.55999999999998806</v>
      </c>
      <c r="P4370">
        <f t="shared" si="137"/>
        <v>33.813000000000002</v>
      </c>
    </row>
    <row r="4371" spans="1:16" x14ac:dyDescent="0.35">
      <c r="A4371" s="9" t="s">
        <v>402</v>
      </c>
      <c r="B4371" s="2">
        <v>64.930000000000007</v>
      </c>
      <c r="C4371" s="2">
        <v>65.171000000000006</v>
      </c>
      <c r="D4371" s="2">
        <v>64.77</v>
      </c>
      <c r="E4371" s="2">
        <v>64.89</v>
      </c>
      <c r="F4371" s="2">
        <v>13053481</v>
      </c>
      <c r="G4371" s="2" t="s">
        <v>576</v>
      </c>
      <c r="H4371" s="2" t="s">
        <v>577</v>
      </c>
      <c r="I4371" s="2" t="s">
        <v>578</v>
      </c>
      <c r="J4371" s="4">
        <v>-4.5999999999999999E-2</v>
      </c>
      <c r="K4371" s="2" t="s">
        <v>382</v>
      </c>
      <c r="L4371" s="2">
        <v>2024</v>
      </c>
      <c r="M4371" s="2" t="s">
        <v>110</v>
      </c>
      <c r="N4371" s="2" t="s">
        <v>23</v>
      </c>
      <c r="O4371">
        <f t="shared" si="136"/>
        <v>0.40100000000001046</v>
      </c>
      <c r="P4371">
        <f t="shared" si="137"/>
        <v>33.767000000000003</v>
      </c>
    </row>
    <row r="4372" spans="1:16" x14ac:dyDescent="0.35">
      <c r="A4372" s="9" t="s">
        <v>403</v>
      </c>
      <c r="B4372" s="2">
        <v>64.67</v>
      </c>
      <c r="C4372" s="2">
        <v>65.900000000000006</v>
      </c>
      <c r="D4372" s="2">
        <v>64.16</v>
      </c>
      <c r="E4372" s="2">
        <v>65.760000000000005</v>
      </c>
      <c r="F4372" s="2">
        <v>27632223</v>
      </c>
      <c r="G4372" s="2" t="s">
        <v>576</v>
      </c>
      <c r="H4372" s="2" t="s">
        <v>577</v>
      </c>
      <c r="I4372" s="2" t="s">
        <v>578</v>
      </c>
      <c r="J4372" s="3">
        <v>1.341</v>
      </c>
      <c r="K4372" s="2" t="s">
        <v>382</v>
      </c>
      <c r="L4372" s="2">
        <v>2024</v>
      </c>
      <c r="M4372" s="2" t="s">
        <v>110</v>
      </c>
      <c r="N4372" s="2" t="s">
        <v>21</v>
      </c>
      <c r="O4372">
        <f t="shared" si="136"/>
        <v>1.7400000000000091</v>
      </c>
      <c r="P4372">
        <f t="shared" si="137"/>
        <v>35.108000000000004</v>
      </c>
    </row>
    <row r="4373" spans="1:16" x14ac:dyDescent="0.35">
      <c r="A4373" s="9" t="s">
        <v>404</v>
      </c>
      <c r="B4373" s="2">
        <v>65.510000000000005</v>
      </c>
      <c r="C4373" s="2">
        <v>65.84</v>
      </c>
      <c r="D4373" s="2">
        <v>65.16</v>
      </c>
      <c r="E4373" s="2">
        <v>65.819999999999993</v>
      </c>
      <c r="F4373" s="2">
        <v>11578709</v>
      </c>
      <c r="G4373" s="2" t="s">
        <v>576</v>
      </c>
      <c r="H4373" s="2" t="s">
        <v>577</v>
      </c>
      <c r="I4373" s="2" t="s">
        <v>578</v>
      </c>
      <c r="J4373" s="3">
        <v>9.0999999999999998E-2</v>
      </c>
      <c r="K4373" s="2" t="s">
        <v>405</v>
      </c>
      <c r="L4373" s="2">
        <v>2024</v>
      </c>
      <c r="M4373" s="2" t="s">
        <v>135</v>
      </c>
      <c r="N4373" s="2" t="s">
        <v>21</v>
      </c>
      <c r="O4373">
        <f t="shared" si="136"/>
        <v>0.68000000000000682</v>
      </c>
      <c r="P4373">
        <f t="shared" si="137"/>
        <v>35.199000000000005</v>
      </c>
    </row>
    <row r="4374" spans="1:16" x14ac:dyDescent="0.35">
      <c r="A4374" s="9" t="s">
        <v>406</v>
      </c>
      <c r="B4374" s="2">
        <v>65.989999999999995</v>
      </c>
      <c r="C4374" s="2">
        <v>66.635000000000005</v>
      </c>
      <c r="D4374" s="2">
        <v>65.834999999999994</v>
      </c>
      <c r="E4374" s="2">
        <v>66.599999999999994</v>
      </c>
      <c r="F4374" s="2">
        <v>14780755</v>
      </c>
      <c r="G4374" s="2" t="s">
        <v>576</v>
      </c>
      <c r="H4374" s="2" t="s">
        <v>577</v>
      </c>
      <c r="I4374" s="2" t="s">
        <v>578</v>
      </c>
      <c r="J4374" s="3">
        <v>1.1850000000000001</v>
      </c>
      <c r="K4374" s="2" t="s">
        <v>405</v>
      </c>
      <c r="L4374" s="2">
        <v>2024</v>
      </c>
      <c r="M4374" s="2" t="s">
        <v>135</v>
      </c>
      <c r="N4374" s="2" t="s">
        <v>21</v>
      </c>
      <c r="O4374">
        <f t="shared" si="136"/>
        <v>0.80000000000001137</v>
      </c>
      <c r="P4374">
        <f t="shared" si="137"/>
        <v>36.384000000000007</v>
      </c>
    </row>
    <row r="4375" spans="1:16" x14ac:dyDescent="0.35">
      <c r="A4375" s="9" t="s">
        <v>407</v>
      </c>
      <c r="B4375" s="2">
        <v>66.569999999999993</v>
      </c>
      <c r="C4375" s="2">
        <v>67.150000000000006</v>
      </c>
      <c r="D4375" s="2">
        <v>66.28</v>
      </c>
      <c r="E4375" s="2">
        <v>67.09</v>
      </c>
      <c r="F4375" s="2">
        <v>14982667</v>
      </c>
      <c r="G4375" s="2" t="s">
        <v>576</v>
      </c>
      <c r="H4375" s="2" t="s">
        <v>577</v>
      </c>
      <c r="I4375" s="2" t="s">
        <v>578</v>
      </c>
      <c r="J4375" s="3">
        <v>0.73599999999999999</v>
      </c>
      <c r="K4375" s="2" t="s">
        <v>405</v>
      </c>
      <c r="L4375" s="2">
        <v>2024</v>
      </c>
      <c r="M4375" s="2" t="s">
        <v>135</v>
      </c>
      <c r="N4375" s="2" t="s">
        <v>21</v>
      </c>
      <c r="O4375">
        <f t="shared" si="136"/>
        <v>0.87000000000000455</v>
      </c>
      <c r="P4375">
        <f t="shared" si="137"/>
        <v>37.120000000000005</v>
      </c>
    </row>
    <row r="4376" spans="1:16" x14ac:dyDescent="0.35">
      <c r="A4376" s="9" t="s">
        <v>408</v>
      </c>
      <c r="B4376" s="2">
        <v>67.06</v>
      </c>
      <c r="C4376" s="2">
        <v>67.44</v>
      </c>
      <c r="D4376" s="2">
        <v>66.77</v>
      </c>
      <c r="E4376" s="2">
        <v>67.150000000000006</v>
      </c>
      <c r="F4376" s="2">
        <v>13256005</v>
      </c>
      <c r="G4376" s="2" t="s">
        <v>576</v>
      </c>
      <c r="H4376" s="2" t="s">
        <v>577</v>
      </c>
      <c r="I4376" s="2" t="s">
        <v>578</v>
      </c>
      <c r="J4376" s="3">
        <v>8.8999999999999996E-2</v>
      </c>
      <c r="K4376" s="2" t="s">
        <v>405</v>
      </c>
      <c r="L4376" s="2">
        <v>2024</v>
      </c>
      <c r="M4376" s="2" t="s">
        <v>135</v>
      </c>
      <c r="N4376" s="2" t="s">
        <v>21</v>
      </c>
      <c r="O4376">
        <f t="shared" si="136"/>
        <v>0.67000000000000171</v>
      </c>
      <c r="P4376">
        <f t="shared" si="137"/>
        <v>37.209000000000003</v>
      </c>
    </row>
    <row r="4377" spans="1:16" x14ac:dyDescent="0.35">
      <c r="A4377" s="9" t="s">
        <v>409</v>
      </c>
      <c r="B4377" s="2">
        <v>67.400000000000006</v>
      </c>
      <c r="C4377" s="2">
        <v>67.564999999999998</v>
      </c>
      <c r="D4377" s="2">
        <v>65.635000000000005</v>
      </c>
      <c r="E4377" s="2">
        <v>65.88</v>
      </c>
      <c r="F4377" s="2">
        <v>20213211</v>
      </c>
      <c r="G4377" s="2" t="s">
        <v>576</v>
      </c>
      <c r="H4377" s="2" t="s">
        <v>577</v>
      </c>
      <c r="I4377" s="2" t="s">
        <v>578</v>
      </c>
      <c r="J4377" s="4">
        <v>-1.891</v>
      </c>
      <c r="K4377" s="2" t="s">
        <v>405</v>
      </c>
      <c r="L4377" s="2">
        <v>2024</v>
      </c>
      <c r="M4377" s="2" t="s">
        <v>135</v>
      </c>
      <c r="N4377" s="2" t="s">
        <v>23</v>
      </c>
      <c r="O4377">
        <f t="shared" si="136"/>
        <v>1.9299999999999926</v>
      </c>
      <c r="P4377">
        <f t="shared" si="137"/>
        <v>35.318000000000005</v>
      </c>
    </row>
    <row r="4378" spans="1:16" x14ac:dyDescent="0.35">
      <c r="A4378" s="9" t="s">
        <v>410</v>
      </c>
      <c r="B4378" s="2">
        <v>67.19</v>
      </c>
      <c r="C4378" s="2">
        <v>67.33</v>
      </c>
      <c r="D4378" s="2">
        <v>66.27</v>
      </c>
      <c r="E4378" s="2">
        <v>66.959999999999994</v>
      </c>
      <c r="F4378" s="2">
        <v>21667416</v>
      </c>
      <c r="G4378" s="2" t="s">
        <v>576</v>
      </c>
      <c r="H4378" s="2" t="s">
        <v>577</v>
      </c>
      <c r="I4378" s="2" t="s">
        <v>578</v>
      </c>
      <c r="J4378" s="3">
        <v>1.639</v>
      </c>
      <c r="K4378" s="2" t="s">
        <v>405</v>
      </c>
      <c r="L4378" s="2">
        <v>2024</v>
      </c>
      <c r="M4378" s="2" t="s">
        <v>135</v>
      </c>
      <c r="N4378" s="2" t="s">
        <v>21</v>
      </c>
      <c r="O4378">
        <f t="shared" si="136"/>
        <v>1.0600000000000023</v>
      </c>
      <c r="P4378">
        <f t="shared" si="137"/>
        <v>36.957000000000008</v>
      </c>
    </row>
    <row r="4379" spans="1:16" x14ac:dyDescent="0.35">
      <c r="A4379" s="9" t="s">
        <v>411</v>
      </c>
      <c r="B4379" s="2">
        <v>66.95</v>
      </c>
      <c r="C4379" s="2">
        <v>66.959999999999994</v>
      </c>
      <c r="D4379" s="2">
        <v>66.349999999999994</v>
      </c>
      <c r="E4379" s="2">
        <v>66.73</v>
      </c>
      <c r="F4379" s="2">
        <v>13367514</v>
      </c>
      <c r="G4379" s="2" t="s">
        <v>576</v>
      </c>
      <c r="H4379" s="2" t="s">
        <v>577</v>
      </c>
      <c r="I4379" s="2" t="s">
        <v>578</v>
      </c>
      <c r="J4379" s="4">
        <v>-0.34300000000000003</v>
      </c>
      <c r="K4379" s="2" t="s">
        <v>405</v>
      </c>
      <c r="L4379" s="2">
        <v>2024</v>
      </c>
      <c r="M4379" s="2" t="s">
        <v>135</v>
      </c>
      <c r="N4379" s="2" t="s">
        <v>23</v>
      </c>
      <c r="O4379">
        <f t="shared" si="136"/>
        <v>0.60999999999999943</v>
      </c>
      <c r="P4379">
        <f t="shared" si="137"/>
        <v>36.614000000000004</v>
      </c>
    </row>
    <row r="4380" spans="1:16" x14ac:dyDescent="0.35">
      <c r="A4380" s="9" t="s">
        <v>412</v>
      </c>
      <c r="B4380" s="2">
        <v>66.849999999999994</v>
      </c>
      <c r="C4380" s="2">
        <v>66.94</v>
      </c>
      <c r="D4380" s="2">
        <v>65.897999999999996</v>
      </c>
      <c r="E4380" s="2">
        <v>66.31</v>
      </c>
      <c r="F4380" s="2">
        <v>11704704</v>
      </c>
      <c r="G4380" s="2" t="s">
        <v>576</v>
      </c>
      <c r="H4380" s="2" t="s">
        <v>577</v>
      </c>
      <c r="I4380" s="2" t="s">
        <v>578</v>
      </c>
      <c r="J4380" s="4">
        <v>-0.629</v>
      </c>
      <c r="K4380" s="2" t="s">
        <v>405</v>
      </c>
      <c r="L4380" s="2">
        <v>2024</v>
      </c>
      <c r="M4380" s="2" t="s">
        <v>135</v>
      </c>
      <c r="N4380" s="2" t="s">
        <v>23</v>
      </c>
      <c r="O4380">
        <f t="shared" si="136"/>
        <v>1.0420000000000016</v>
      </c>
      <c r="P4380">
        <f t="shared" si="137"/>
        <v>35.985000000000007</v>
      </c>
    </row>
    <row r="4381" spans="1:16" x14ac:dyDescent="0.35">
      <c r="A4381" s="9" t="s">
        <v>413</v>
      </c>
      <c r="B4381" s="2">
        <v>66.3</v>
      </c>
      <c r="C4381" s="2">
        <v>66.760000000000005</v>
      </c>
      <c r="D4381" s="2">
        <v>65.948999999999998</v>
      </c>
      <c r="E4381" s="2">
        <v>66.7</v>
      </c>
      <c r="F4381" s="2">
        <v>11196603</v>
      </c>
      <c r="G4381" s="2" t="s">
        <v>576</v>
      </c>
      <c r="H4381" s="2" t="s">
        <v>577</v>
      </c>
      <c r="I4381" s="2" t="s">
        <v>578</v>
      </c>
      <c r="J4381" s="3">
        <v>0.58799999999999997</v>
      </c>
      <c r="K4381" s="2" t="s">
        <v>405</v>
      </c>
      <c r="L4381" s="2">
        <v>2024</v>
      </c>
      <c r="M4381" s="2" t="s">
        <v>135</v>
      </c>
      <c r="N4381" s="2" t="s">
        <v>21</v>
      </c>
      <c r="O4381">
        <f t="shared" si="136"/>
        <v>0.81100000000000705</v>
      </c>
      <c r="P4381">
        <f t="shared" si="137"/>
        <v>36.573000000000008</v>
      </c>
    </row>
    <row r="4382" spans="1:16" x14ac:dyDescent="0.35">
      <c r="A4382" s="9" t="s">
        <v>414</v>
      </c>
      <c r="B4382" s="2">
        <v>66.540000000000006</v>
      </c>
      <c r="C4382" s="2">
        <v>67.11</v>
      </c>
      <c r="D4382" s="2">
        <v>66.3</v>
      </c>
      <c r="E4382" s="2">
        <v>67.02</v>
      </c>
      <c r="F4382" s="2">
        <v>12590146</v>
      </c>
      <c r="G4382" s="2" t="s">
        <v>576</v>
      </c>
      <c r="H4382" s="2" t="s">
        <v>577</v>
      </c>
      <c r="I4382" s="2" t="s">
        <v>578</v>
      </c>
      <c r="J4382" s="3">
        <v>0.48</v>
      </c>
      <c r="K4382" s="2" t="s">
        <v>405</v>
      </c>
      <c r="L4382" s="2">
        <v>2024</v>
      </c>
      <c r="M4382" s="2" t="s">
        <v>135</v>
      </c>
      <c r="N4382" s="2" t="s">
        <v>21</v>
      </c>
      <c r="O4382">
        <f t="shared" si="136"/>
        <v>0.81000000000000227</v>
      </c>
      <c r="P4382">
        <f t="shared" si="137"/>
        <v>37.053000000000004</v>
      </c>
    </row>
    <row r="4383" spans="1:16" x14ac:dyDescent="0.35">
      <c r="A4383" s="9" t="s">
        <v>415</v>
      </c>
      <c r="B4383" s="2">
        <v>66.92</v>
      </c>
      <c r="C4383" s="2">
        <v>67.44</v>
      </c>
      <c r="D4383" s="2">
        <v>66.412000000000006</v>
      </c>
      <c r="E4383" s="2">
        <v>67.42</v>
      </c>
      <c r="F4383" s="2">
        <v>12103044</v>
      </c>
      <c r="G4383" s="2" t="s">
        <v>576</v>
      </c>
      <c r="H4383" s="2" t="s">
        <v>577</v>
      </c>
      <c r="I4383" s="2" t="s">
        <v>578</v>
      </c>
      <c r="J4383" s="3">
        <v>0.59699999999999998</v>
      </c>
      <c r="K4383" s="2" t="s">
        <v>405</v>
      </c>
      <c r="L4383" s="2">
        <v>2024</v>
      </c>
      <c r="M4383" s="2" t="s">
        <v>135</v>
      </c>
      <c r="N4383" s="2" t="s">
        <v>21</v>
      </c>
      <c r="O4383">
        <f t="shared" si="136"/>
        <v>1.0279999999999916</v>
      </c>
      <c r="P4383">
        <f t="shared" si="137"/>
        <v>37.650000000000006</v>
      </c>
    </row>
    <row r="4384" spans="1:16" x14ac:dyDescent="0.35">
      <c r="A4384" s="9" t="s">
        <v>416</v>
      </c>
      <c r="B4384" s="2">
        <v>67.63</v>
      </c>
      <c r="C4384" s="2">
        <v>67.87</v>
      </c>
      <c r="D4384" s="2">
        <v>67.295000000000002</v>
      </c>
      <c r="E4384" s="2">
        <v>67.599999999999994</v>
      </c>
      <c r="F4384" s="2">
        <v>12093549</v>
      </c>
      <c r="G4384" s="2" t="s">
        <v>576</v>
      </c>
      <c r="H4384" s="2" t="s">
        <v>577</v>
      </c>
      <c r="I4384" s="2" t="s">
        <v>578</v>
      </c>
      <c r="J4384" s="3">
        <v>0.26700000000000002</v>
      </c>
      <c r="K4384" s="2" t="s">
        <v>405</v>
      </c>
      <c r="L4384" s="2">
        <v>2024</v>
      </c>
      <c r="M4384" s="2" t="s">
        <v>135</v>
      </c>
      <c r="N4384" s="2" t="s">
        <v>21</v>
      </c>
      <c r="O4384">
        <f t="shared" si="136"/>
        <v>0.57500000000000284</v>
      </c>
      <c r="P4384">
        <f t="shared" si="137"/>
        <v>37.917000000000009</v>
      </c>
    </row>
    <row r="4385" spans="1:16" x14ac:dyDescent="0.35">
      <c r="A4385" s="9" t="s">
        <v>417</v>
      </c>
      <c r="B4385" s="2">
        <v>67.349999999999994</v>
      </c>
      <c r="C4385" s="2">
        <v>68.13</v>
      </c>
      <c r="D4385" s="2">
        <v>67.3</v>
      </c>
      <c r="E4385" s="2">
        <v>68.010000000000005</v>
      </c>
      <c r="F4385" s="2">
        <v>13860763</v>
      </c>
      <c r="G4385" s="2" t="s">
        <v>576</v>
      </c>
      <c r="H4385" s="2" t="s">
        <v>577</v>
      </c>
      <c r="I4385" s="2" t="s">
        <v>578</v>
      </c>
      <c r="J4385" s="3">
        <v>0.60699999999999998</v>
      </c>
      <c r="K4385" s="2" t="s">
        <v>405</v>
      </c>
      <c r="L4385" s="2">
        <v>2024</v>
      </c>
      <c r="M4385" s="2" t="s">
        <v>135</v>
      </c>
      <c r="N4385" s="2" t="s">
        <v>21</v>
      </c>
      <c r="O4385">
        <f t="shared" si="136"/>
        <v>0.82999999999999829</v>
      </c>
      <c r="P4385">
        <f t="shared" si="137"/>
        <v>38.524000000000008</v>
      </c>
    </row>
    <row r="4386" spans="1:16" x14ac:dyDescent="0.35">
      <c r="A4386" s="9" t="s">
        <v>418</v>
      </c>
      <c r="B4386" s="2">
        <v>68.260000000000005</v>
      </c>
      <c r="C4386" s="2">
        <v>68.55</v>
      </c>
      <c r="D4386" s="2">
        <v>67.83</v>
      </c>
      <c r="E4386" s="2">
        <v>67.91</v>
      </c>
      <c r="F4386" s="2">
        <v>25891526</v>
      </c>
      <c r="G4386" s="2" t="s">
        <v>576</v>
      </c>
      <c r="H4386" s="2" t="s">
        <v>577</v>
      </c>
      <c r="I4386" s="2" t="s">
        <v>578</v>
      </c>
      <c r="J4386" s="4">
        <v>-0.14699999999999999</v>
      </c>
      <c r="K4386" s="2" t="s">
        <v>405</v>
      </c>
      <c r="L4386" s="2">
        <v>2024</v>
      </c>
      <c r="M4386" s="2" t="s">
        <v>135</v>
      </c>
      <c r="N4386" s="2" t="s">
        <v>23</v>
      </c>
      <c r="O4386">
        <f t="shared" si="136"/>
        <v>0.71999999999999886</v>
      </c>
      <c r="P4386">
        <f t="shared" si="137"/>
        <v>38.37700000000001</v>
      </c>
    </row>
    <row r="4387" spans="1:16" x14ac:dyDescent="0.35">
      <c r="A4387" s="9" t="s">
        <v>419</v>
      </c>
      <c r="B4387" s="2">
        <v>68.05</v>
      </c>
      <c r="C4387" s="2">
        <v>69.040000000000006</v>
      </c>
      <c r="D4387" s="2">
        <v>67.900000000000006</v>
      </c>
      <c r="E4387" s="2">
        <v>68.900000000000006</v>
      </c>
      <c r="F4387" s="2">
        <v>12470448</v>
      </c>
      <c r="G4387" s="2" t="s">
        <v>576</v>
      </c>
      <c r="H4387" s="2" t="s">
        <v>577</v>
      </c>
      <c r="I4387" s="2" t="s">
        <v>578</v>
      </c>
      <c r="J4387" s="3">
        <v>1.458</v>
      </c>
      <c r="K4387" s="2" t="s">
        <v>405</v>
      </c>
      <c r="L4387" s="2">
        <v>2024</v>
      </c>
      <c r="M4387" s="2" t="s">
        <v>135</v>
      </c>
      <c r="N4387" s="2" t="s">
        <v>21</v>
      </c>
      <c r="O4387">
        <f t="shared" si="136"/>
        <v>1.1400000000000006</v>
      </c>
      <c r="P4387">
        <f t="shared" si="137"/>
        <v>39.835000000000008</v>
      </c>
    </row>
    <row r="4388" spans="1:16" x14ac:dyDescent="0.35">
      <c r="A4388" s="9" t="s">
        <v>420</v>
      </c>
      <c r="B4388" s="2">
        <v>67.17</v>
      </c>
      <c r="C4388" s="2">
        <v>67.59</v>
      </c>
      <c r="D4388" s="2">
        <v>66.55</v>
      </c>
      <c r="E4388" s="2">
        <v>67.42</v>
      </c>
      <c r="F4388" s="2">
        <v>20904039</v>
      </c>
      <c r="G4388" s="2" t="s">
        <v>576</v>
      </c>
      <c r="H4388" s="2" t="s">
        <v>577</v>
      </c>
      <c r="I4388" s="2" t="s">
        <v>578</v>
      </c>
      <c r="J4388" s="4">
        <v>-2.1480000000000001</v>
      </c>
      <c r="K4388" s="2" t="s">
        <v>405</v>
      </c>
      <c r="L4388" s="2">
        <v>2024</v>
      </c>
      <c r="M4388" s="2" t="s">
        <v>135</v>
      </c>
      <c r="N4388" s="2" t="s">
        <v>23</v>
      </c>
      <c r="O4388">
        <f t="shared" si="136"/>
        <v>1.0400000000000063</v>
      </c>
      <c r="P4388">
        <f t="shared" si="137"/>
        <v>37.687000000000005</v>
      </c>
    </row>
    <row r="4389" spans="1:16" x14ac:dyDescent="0.35">
      <c r="A4389" s="9" t="s">
        <v>421</v>
      </c>
      <c r="B4389" s="2">
        <v>67.400000000000006</v>
      </c>
      <c r="C4389" s="2">
        <v>68.599999999999994</v>
      </c>
      <c r="D4389" s="2">
        <v>67.209999999999994</v>
      </c>
      <c r="E4389" s="2">
        <v>68.290000000000006</v>
      </c>
      <c r="F4389" s="2">
        <v>14177522</v>
      </c>
      <c r="G4389" s="2" t="s">
        <v>576</v>
      </c>
      <c r="H4389" s="2" t="s">
        <v>577</v>
      </c>
      <c r="I4389" s="2" t="s">
        <v>578</v>
      </c>
      <c r="J4389" s="3">
        <v>1.29</v>
      </c>
      <c r="K4389" s="2" t="s">
        <v>405</v>
      </c>
      <c r="L4389" s="2">
        <v>2024</v>
      </c>
      <c r="M4389" s="2" t="s">
        <v>135</v>
      </c>
      <c r="N4389" s="2" t="s">
        <v>21</v>
      </c>
      <c r="O4389">
        <f t="shared" si="136"/>
        <v>1.3900000000000006</v>
      </c>
      <c r="P4389">
        <f t="shared" si="137"/>
        <v>38.977000000000004</v>
      </c>
    </row>
    <row r="4390" spans="1:16" x14ac:dyDescent="0.35">
      <c r="A4390" s="9" t="s">
        <v>422</v>
      </c>
      <c r="B4390" s="2">
        <v>68.290000000000006</v>
      </c>
      <c r="C4390" s="2">
        <v>68.58</v>
      </c>
      <c r="D4390" s="2">
        <v>67.665000000000006</v>
      </c>
      <c r="E4390" s="2">
        <v>67.88</v>
      </c>
      <c r="F4390" s="2">
        <v>12899186</v>
      </c>
      <c r="G4390" s="2" t="s">
        <v>576</v>
      </c>
      <c r="H4390" s="2" t="s">
        <v>577</v>
      </c>
      <c r="I4390" s="2" t="s">
        <v>578</v>
      </c>
      <c r="J4390" s="4">
        <v>-0.6</v>
      </c>
      <c r="K4390" s="2" t="s">
        <v>405</v>
      </c>
      <c r="L4390" s="2">
        <v>2024</v>
      </c>
      <c r="M4390" s="2" t="s">
        <v>135</v>
      </c>
      <c r="N4390" s="2" t="s">
        <v>23</v>
      </c>
      <c r="O4390">
        <f t="shared" si="136"/>
        <v>0.91499999999999204</v>
      </c>
      <c r="P4390">
        <f t="shared" si="137"/>
        <v>38.377000000000002</v>
      </c>
    </row>
    <row r="4391" spans="1:16" x14ac:dyDescent="0.35">
      <c r="A4391" s="9" t="s">
        <v>423</v>
      </c>
      <c r="B4391" s="2">
        <v>67.87</v>
      </c>
      <c r="C4391" s="2">
        <v>68.097999999999999</v>
      </c>
      <c r="D4391" s="2">
        <v>67.319999999999993</v>
      </c>
      <c r="E4391" s="2">
        <v>67.709999999999994</v>
      </c>
      <c r="F4391" s="2">
        <v>18816720</v>
      </c>
      <c r="G4391" s="2" t="s">
        <v>576</v>
      </c>
      <c r="H4391" s="2" t="s">
        <v>577</v>
      </c>
      <c r="I4391" s="2" t="s">
        <v>578</v>
      </c>
      <c r="J4391" s="4">
        <v>-0.25</v>
      </c>
      <c r="K4391" s="2" t="s">
        <v>405</v>
      </c>
      <c r="L4391" s="2">
        <v>2024</v>
      </c>
      <c r="M4391" s="2" t="s">
        <v>135</v>
      </c>
      <c r="N4391" s="2" t="s">
        <v>23</v>
      </c>
      <c r="O4391">
        <f t="shared" si="136"/>
        <v>0.7780000000000058</v>
      </c>
      <c r="P4391">
        <f t="shared" si="137"/>
        <v>38.127000000000002</v>
      </c>
    </row>
    <row r="4392" spans="1:16" x14ac:dyDescent="0.35">
      <c r="A4392" s="9" t="s">
        <v>424</v>
      </c>
      <c r="B4392" s="2">
        <v>67.89</v>
      </c>
      <c r="C4392" s="2">
        <v>68.239999999999995</v>
      </c>
      <c r="D4392" s="2">
        <v>67.25</v>
      </c>
      <c r="E4392" s="2">
        <v>67.48</v>
      </c>
      <c r="F4392" s="2">
        <v>8666021</v>
      </c>
      <c r="G4392" s="2" t="s">
        <v>576</v>
      </c>
      <c r="H4392" s="2" t="s">
        <v>577</v>
      </c>
      <c r="I4392" s="2" t="s">
        <v>578</v>
      </c>
      <c r="J4392" s="4">
        <v>-0.34</v>
      </c>
      <c r="K4392" s="2" t="s">
        <v>425</v>
      </c>
      <c r="L4392" s="2">
        <v>2024</v>
      </c>
      <c r="M4392" s="2" t="s">
        <v>158</v>
      </c>
      <c r="N4392" s="2" t="s">
        <v>23</v>
      </c>
      <c r="O4392">
        <f t="shared" si="136"/>
        <v>0.98999999999999488</v>
      </c>
      <c r="P4392">
        <f t="shared" si="137"/>
        <v>37.786999999999999</v>
      </c>
    </row>
    <row r="4393" spans="1:16" x14ac:dyDescent="0.35">
      <c r="A4393" s="9" t="s">
        <v>426</v>
      </c>
      <c r="B4393" s="2">
        <v>67.44</v>
      </c>
      <c r="C4393" s="2">
        <v>68.084999999999994</v>
      </c>
      <c r="D4393" s="2">
        <v>67.260000000000005</v>
      </c>
      <c r="E4393" s="2">
        <v>68.069999999999993</v>
      </c>
      <c r="F4393" s="2">
        <v>9436487</v>
      </c>
      <c r="G4393" s="2" t="s">
        <v>576</v>
      </c>
      <c r="H4393" s="2" t="s">
        <v>577</v>
      </c>
      <c r="I4393" s="2" t="s">
        <v>578</v>
      </c>
      <c r="J4393" s="3">
        <v>0.874</v>
      </c>
      <c r="K4393" s="2" t="s">
        <v>425</v>
      </c>
      <c r="L4393" s="2">
        <v>2024</v>
      </c>
      <c r="M4393" s="2" t="s">
        <v>158</v>
      </c>
      <c r="N4393" s="2" t="s">
        <v>21</v>
      </c>
      <c r="O4393">
        <f t="shared" si="136"/>
        <v>0.82499999999998863</v>
      </c>
      <c r="P4393">
        <f t="shared" si="137"/>
        <v>38.661000000000001</v>
      </c>
    </row>
    <row r="4394" spans="1:16" x14ac:dyDescent="0.35">
      <c r="A4394" s="9" t="s">
        <v>427</v>
      </c>
      <c r="B4394" s="2">
        <v>67.81</v>
      </c>
      <c r="C4394" s="2">
        <v>68.25</v>
      </c>
      <c r="D4394" s="2">
        <v>67.62</v>
      </c>
      <c r="E4394" s="2">
        <v>68.239999999999995</v>
      </c>
      <c r="F4394" s="2">
        <v>6287545</v>
      </c>
      <c r="G4394" s="2" t="s">
        <v>576</v>
      </c>
      <c r="H4394" s="2" t="s">
        <v>577</v>
      </c>
      <c r="I4394" s="2" t="s">
        <v>578</v>
      </c>
      <c r="J4394" s="3">
        <v>0.25</v>
      </c>
      <c r="K4394" s="2" t="s">
        <v>425</v>
      </c>
      <c r="L4394" s="2">
        <v>2024</v>
      </c>
      <c r="M4394" s="2" t="s">
        <v>158</v>
      </c>
      <c r="N4394" s="2" t="s">
        <v>21</v>
      </c>
      <c r="O4394">
        <f t="shared" si="136"/>
        <v>0.62999999999999545</v>
      </c>
      <c r="P4394">
        <f t="shared" si="137"/>
        <v>38.911000000000001</v>
      </c>
    </row>
    <row r="4395" spans="1:16" x14ac:dyDescent="0.35">
      <c r="A4395" s="9" t="s">
        <v>428</v>
      </c>
      <c r="B4395" s="2">
        <v>68.16</v>
      </c>
      <c r="C4395" s="2">
        <v>70.150000000000006</v>
      </c>
      <c r="D4395" s="2">
        <v>68.099999999999994</v>
      </c>
      <c r="E4395" s="2">
        <v>70.040000000000006</v>
      </c>
      <c r="F4395" s="2">
        <v>21586100</v>
      </c>
      <c r="G4395" s="2" t="s">
        <v>576</v>
      </c>
      <c r="H4395" s="2" t="s">
        <v>577</v>
      </c>
      <c r="I4395" s="2" t="s">
        <v>578</v>
      </c>
      <c r="J4395" s="3">
        <v>2.6379999999999999</v>
      </c>
      <c r="K4395" s="2" t="s">
        <v>425</v>
      </c>
      <c r="L4395" s="2">
        <v>2024</v>
      </c>
      <c r="M4395" s="2" t="s">
        <v>158</v>
      </c>
      <c r="N4395" s="2" t="s">
        <v>21</v>
      </c>
      <c r="O4395">
        <f t="shared" si="136"/>
        <v>2.0500000000000114</v>
      </c>
      <c r="P4395">
        <f t="shared" si="137"/>
        <v>41.548999999999999</v>
      </c>
    </row>
    <row r="4396" spans="1:16" x14ac:dyDescent="0.35">
      <c r="A4396" s="9" t="s">
        <v>429</v>
      </c>
      <c r="B4396" s="2">
        <v>69.900000000000006</v>
      </c>
      <c r="C4396" s="2">
        <v>70.14</v>
      </c>
      <c r="D4396" s="2">
        <v>69.349999999999994</v>
      </c>
      <c r="E4396" s="2">
        <v>69.680000000000007</v>
      </c>
      <c r="F4396" s="2">
        <v>12077679</v>
      </c>
      <c r="G4396" s="2" t="s">
        <v>576</v>
      </c>
      <c r="H4396" s="2" t="s">
        <v>577</v>
      </c>
      <c r="I4396" s="2" t="s">
        <v>578</v>
      </c>
      <c r="J4396" s="4">
        <v>-0.51400000000000001</v>
      </c>
      <c r="K4396" s="2" t="s">
        <v>425</v>
      </c>
      <c r="L4396" s="2">
        <v>2024</v>
      </c>
      <c r="M4396" s="2" t="s">
        <v>158</v>
      </c>
      <c r="N4396" s="2" t="s">
        <v>23</v>
      </c>
      <c r="O4396">
        <f t="shared" si="136"/>
        <v>0.79000000000000625</v>
      </c>
      <c r="P4396">
        <f t="shared" si="137"/>
        <v>41.034999999999997</v>
      </c>
    </row>
    <row r="4397" spans="1:16" x14ac:dyDescent="0.35">
      <c r="A4397" s="9" t="s">
        <v>430</v>
      </c>
      <c r="B4397" s="2">
        <v>69.900000000000006</v>
      </c>
      <c r="C4397" s="2">
        <v>70.25</v>
      </c>
      <c r="D4397" s="2">
        <v>69.67</v>
      </c>
      <c r="E4397" s="2">
        <v>69.900000000000006</v>
      </c>
      <c r="F4397" s="2">
        <v>9781831</v>
      </c>
      <c r="G4397" s="2" t="s">
        <v>576</v>
      </c>
      <c r="H4397" s="2" t="s">
        <v>577</v>
      </c>
      <c r="I4397" s="2" t="s">
        <v>578</v>
      </c>
      <c r="J4397" s="3">
        <v>0.316</v>
      </c>
      <c r="K4397" s="2" t="s">
        <v>425</v>
      </c>
      <c r="L4397" s="2">
        <v>2024</v>
      </c>
      <c r="M4397" s="2" t="s">
        <v>158</v>
      </c>
      <c r="N4397" s="2" t="s">
        <v>21</v>
      </c>
      <c r="O4397">
        <f t="shared" si="136"/>
        <v>0.57999999999999829</v>
      </c>
      <c r="P4397">
        <f t="shared" si="137"/>
        <v>41.350999999999999</v>
      </c>
    </row>
    <row r="4398" spans="1:16" x14ac:dyDescent="0.35">
      <c r="A4398" s="9" t="s">
        <v>431</v>
      </c>
      <c r="B4398" s="2">
        <v>70.099999999999994</v>
      </c>
      <c r="C4398" s="2">
        <v>70.44</v>
      </c>
      <c r="D4398" s="2">
        <v>69.72</v>
      </c>
      <c r="E4398" s="2">
        <v>70.41</v>
      </c>
      <c r="F4398" s="2">
        <v>10803405</v>
      </c>
      <c r="G4398" s="2" t="s">
        <v>576</v>
      </c>
      <c r="H4398" s="2" t="s">
        <v>577</v>
      </c>
      <c r="I4398" s="2" t="s">
        <v>578</v>
      </c>
      <c r="J4398" s="3">
        <v>0.73</v>
      </c>
      <c r="K4398" s="2" t="s">
        <v>425</v>
      </c>
      <c r="L4398" s="2">
        <v>2024</v>
      </c>
      <c r="M4398" s="2" t="s">
        <v>158</v>
      </c>
      <c r="N4398" s="2" t="s">
        <v>21</v>
      </c>
      <c r="O4398">
        <f t="shared" si="136"/>
        <v>0.71999999999999886</v>
      </c>
      <c r="P4398">
        <f t="shared" si="137"/>
        <v>42.080999999999996</v>
      </c>
    </row>
    <row r="4399" spans="1:16" x14ac:dyDescent="0.35">
      <c r="A4399" s="9" t="s">
        <v>432</v>
      </c>
      <c r="B4399" s="2">
        <v>70.180000000000007</v>
      </c>
      <c r="C4399" s="2">
        <v>70.45</v>
      </c>
      <c r="D4399" s="2">
        <v>69.260000000000005</v>
      </c>
      <c r="E4399" s="2">
        <v>69.8</v>
      </c>
      <c r="F4399" s="2">
        <v>15624796</v>
      </c>
      <c r="G4399" s="2" t="s">
        <v>576</v>
      </c>
      <c r="H4399" s="2" t="s">
        <v>577</v>
      </c>
      <c r="I4399" s="2" t="s">
        <v>578</v>
      </c>
      <c r="J4399" s="4">
        <v>-0.86599999999999999</v>
      </c>
      <c r="K4399" s="2" t="s">
        <v>425</v>
      </c>
      <c r="L4399" s="2">
        <v>2024</v>
      </c>
      <c r="M4399" s="2" t="s">
        <v>158</v>
      </c>
      <c r="N4399" s="2" t="s">
        <v>23</v>
      </c>
      <c r="O4399">
        <f t="shared" si="136"/>
        <v>1.1899999999999977</v>
      </c>
      <c r="P4399">
        <f t="shared" si="137"/>
        <v>41.214999999999996</v>
      </c>
    </row>
    <row r="4400" spans="1:16" x14ac:dyDescent="0.35">
      <c r="A4400" s="9" t="s">
        <v>433</v>
      </c>
      <c r="B4400" s="2">
        <v>69.900000000000006</v>
      </c>
      <c r="C4400" s="2">
        <v>70.03</v>
      </c>
      <c r="D4400" s="2">
        <v>69.17</v>
      </c>
      <c r="E4400" s="2">
        <v>69.239999999999995</v>
      </c>
      <c r="F4400" s="2">
        <v>12145317</v>
      </c>
      <c r="G4400" s="2" t="s">
        <v>576</v>
      </c>
      <c r="H4400" s="2" t="s">
        <v>577</v>
      </c>
      <c r="I4400" s="2" t="s">
        <v>578</v>
      </c>
      <c r="J4400" s="4">
        <v>-0.80200000000000005</v>
      </c>
      <c r="K4400" s="2" t="s">
        <v>425</v>
      </c>
      <c r="L4400" s="2">
        <v>2024</v>
      </c>
      <c r="M4400" s="2" t="s">
        <v>158</v>
      </c>
      <c r="N4400" s="2" t="s">
        <v>23</v>
      </c>
      <c r="O4400">
        <f t="shared" si="136"/>
        <v>0.85999999999999943</v>
      </c>
      <c r="P4400">
        <f t="shared" si="137"/>
        <v>40.412999999999997</v>
      </c>
    </row>
    <row r="4401" spans="1:16" x14ac:dyDescent="0.35">
      <c r="A4401" s="9" t="s">
        <v>434</v>
      </c>
      <c r="B4401" s="2">
        <v>69.3</v>
      </c>
      <c r="C4401" s="2">
        <v>69.974999999999994</v>
      </c>
      <c r="D4401" s="2">
        <v>69.3</v>
      </c>
      <c r="E4401" s="2">
        <v>69.61</v>
      </c>
      <c r="F4401" s="2">
        <v>10171137</v>
      </c>
      <c r="G4401" s="2" t="s">
        <v>576</v>
      </c>
      <c r="H4401" s="2" t="s">
        <v>577</v>
      </c>
      <c r="I4401" s="2" t="s">
        <v>578</v>
      </c>
      <c r="J4401" s="3">
        <v>0.53400000000000003</v>
      </c>
      <c r="K4401" s="2" t="s">
        <v>425</v>
      </c>
      <c r="L4401" s="2">
        <v>2024</v>
      </c>
      <c r="M4401" s="2" t="s">
        <v>158</v>
      </c>
      <c r="N4401" s="2" t="s">
        <v>21</v>
      </c>
      <c r="O4401">
        <f t="shared" si="136"/>
        <v>0.67499999999999716</v>
      </c>
      <c r="P4401">
        <f t="shared" si="137"/>
        <v>40.946999999999996</v>
      </c>
    </row>
    <row r="4402" spans="1:16" x14ac:dyDescent="0.35">
      <c r="A4402" s="9" t="s">
        <v>435</v>
      </c>
      <c r="B4402" s="2">
        <v>69.819999999999993</v>
      </c>
      <c r="C4402" s="2">
        <v>70.239999999999995</v>
      </c>
      <c r="D4402" s="2">
        <v>69.58</v>
      </c>
      <c r="E4402" s="2">
        <v>69.989999999999995</v>
      </c>
      <c r="F4402" s="2">
        <v>9836824</v>
      </c>
      <c r="G4402" s="2" t="s">
        <v>576</v>
      </c>
      <c r="H4402" s="2" t="s">
        <v>577</v>
      </c>
      <c r="I4402" s="2" t="s">
        <v>578</v>
      </c>
      <c r="J4402" s="3">
        <v>0.54600000000000004</v>
      </c>
      <c r="K4402" s="2" t="s">
        <v>425</v>
      </c>
      <c r="L4402" s="2">
        <v>2024</v>
      </c>
      <c r="M4402" s="2" t="s">
        <v>158</v>
      </c>
      <c r="N4402" s="2" t="s">
        <v>21</v>
      </c>
      <c r="O4402">
        <f t="shared" si="136"/>
        <v>0.65999999999999659</v>
      </c>
      <c r="P4402">
        <f t="shared" si="137"/>
        <v>41.492999999999995</v>
      </c>
    </row>
    <row r="4403" spans="1:16" x14ac:dyDescent="0.35">
      <c r="A4403" s="9" t="s">
        <v>436</v>
      </c>
      <c r="B4403" s="2">
        <v>70.180000000000007</v>
      </c>
      <c r="C4403" s="2">
        <v>71.099999999999994</v>
      </c>
      <c r="D4403" s="2">
        <v>69.95</v>
      </c>
      <c r="E4403" s="2">
        <v>71.03</v>
      </c>
      <c r="F4403" s="2">
        <v>13533791</v>
      </c>
      <c r="G4403" s="2" t="s">
        <v>576</v>
      </c>
      <c r="H4403" s="2" t="s">
        <v>577</v>
      </c>
      <c r="I4403" s="2" t="s">
        <v>578</v>
      </c>
      <c r="J4403" s="3">
        <v>1.486</v>
      </c>
      <c r="K4403" s="2" t="s">
        <v>425</v>
      </c>
      <c r="L4403" s="2">
        <v>2024</v>
      </c>
      <c r="M4403" s="2" t="s">
        <v>158</v>
      </c>
      <c r="N4403" s="2" t="s">
        <v>21</v>
      </c>
      <c r="O4403">
        <f t="shared" si="136"/>
        <v>1.1499999999999915</v>
      </c>
      <c r="P4403">
        <f t="shared" si="137"/>
        <v>42.978999999999992</v>
      </c>
    </row>
    <row r="4404" spans="1:16" x14ac:dyDescent="0.35">
      <c r="A4404" s="9" t="s">
        <v>437</v>
      </c>
      <c r="B4404" s="2">
        <v>70.680000000000007</v>
      </c>
      <c r="C4404" s="2">
        <v>71.19</v>
      </c>
      <c r="D4404" s="2">
        <v>70.430000000000007</v>
      </c>
      <c r="E4404" s="2">
        <v>70.819999999999993</v>
      </c>
      <c r="F4404" s="2">
        <v>10682742</v>
      </c>
      <c r="G4404" s="2" t="s">
        <v>576</v>
      </c>
      <c r="H4404" s="2" t="s">
        <v>577</v>
      </c>
      <c r="I4404" s="2" t="s">
        <v>578</v>
      </c>
      <c r="J4404" s="4">
        <v>-0.29599999999999999</v>
      </c>
      <c r="K4404" s="2" t="s">
        <v>425</v>
      </c>
      <c r="L4404" s="2">
        <v>2024</v>
      </c>
      <c r="M4404" s="2" t="s">
        <v>158</v>
      </c>
      <c r="N4404" s="2" t="s">
        <v>23</v>
      </c>
      <c r="O4404">
        <f t="shared" si="136"/>
        <v>0.75999999999999091</v>
      </c>
      <c r="P4404">
        <f t="shared" si="137"/>
        <v>42.682999999999993</v>
      </c>
    </row>
    <row r="4405" spans="1:16" x14ac:dyDescent="0.35">
      <c r="A4405" s="9" t="s">
        <v>438</v>
      </c>
      <c r="B4405" s="2">
        <v>71.2</v>
      </c>
      <c r="C4405" s="2">
        <v>71.33</v>
      </c>
      <c r="D4405" s="2">
        <v>70.650000000000006</v>
      </c>
      <c r="E4405" s="2">
        <v>70.75</v>
      </c>
      <c r="F4405" s="2">
        <v>11665526</v>
      </c>
      <c r="G4405" s="2" t="s">
        <v>576</v>
      </c>
      <c r="H4405" s="2" t="s">
        <v>577</v>
      </c>
      <c r="I4405" s="2" t="s">
        <v>578</v>
      </c>
      <c r="J4405" s="4">
        <v>-9.9000000000000005E-2</v>
      </c>
      <c r="K4405" s="2" t="s">
        <v>425</v>
      </c>
      <c r="L4405" s="2">
        <v>2024</v>
      </c>
      <c r="M4405" s="2" t="s">
        <v>158</v>
      </c>
      <c r="N4405" s="2" t="s">
        <v>23</v>
      </c>
      <c r="O4405">
        <f t="shared" si="136"/>
        <v>0.67999999999999261</v>
      </c>
      <c r="P4405">
        <f t="shared" si="137"/>
        <v>42.583999999999996</v>
      </c>
    </row>
    <row r="4406" spans="1:16" x14ac:dyDescent="0.35">
      <c r="A4406" s="9" t="s">
        <v>439</v>
      </c>
      <c r="B4406" s="2">
        <v>70.86</v>
      </c>
      <c r="C4406" s="2">
        <v>71.260000000000005</v>
      </c>
      <c r="D4406" s="2">
        <v>70.23</v>
      </c>
      <c r="E4406" s="2">
        <v>70.38</v>
      </c>
      <c r="F4406" s="2">
        <v>12666130</v>
      </c>
      <c r="G4406" s="2" t="s">
        <v>576</v>
      </c>
      <c r="H4406" s="2" t="s">
        <v>577</v>
      </c>
      <c r="I4406" s="2" t="s">
        <v>578</v>
      </c>
      <c r="J4406" s="4">
        <v>-0.52300000000000002</v>
      </c>
      <c r="K4406" s="2" t="s">
        <v>425</v>
      </c>
      <c r="L4406" s="2">
        <v>2024</v>
      </c>
      <c r="M4406" s="2" t="s">
        <v>158</v>
      </c>
      <c r="N4406" s="2" t="s">
        <v>23</v>
      </c>
      <c r="O4406">
        <f t="shared" si="136"/>
        <v>1.0300000000000011</v>
      </c>
      <c r="P4406">
        <f t="shared" si="137"/>
        <v>42.060999999999993</v>
      </c>
    </row>
    <row r="4407" spans="1:16" x14ac:dyDescent="0.35">
      <c r="A4407" s="9" t="s">
        <v>440</v>
      </c>
      <c r="B4407" s="2">
        <v>70.47</v>
      </c>
      <c r="C4407" s="2">
        <v>70.7</v>
      </c>
      <c r="D4407" s="2">
        <v>70.11</v>
      </c>
      <c r="E4407" s="2">
        <v>70.650000000000006</v>
      </c>
      <c r="F4407" s="2">
        <v>9263561</v>
      </c>
      <c r="G4407" s="2" t="s">
        <v>576</v>
      </c>
      <c r="H4407" s="2" t="s">
        <v>577</v>
      </c>
      <c r="I4407" s="2" t="s">
        <v>578</v>
      </c>
      <c r="J4407" s="3">
        <v>0.38400000000000001</v>
      </c>
      <c r="K4407" s="2" t="s">
        <v>425</v>
      </c>
      <c r="L4407" s="2">
        <v>2024</v>
      </c>
      <c r="M4407" s="2" t="s">
        <v>158</v>
      </c>
      <c r="N4407" s="2" t="s">
        <v>21</v>
      </c>
      <c r="O4407">
        <f t="shared" si="136"/>
        <v>0.59000000000000341</v>
      </c>
      <c r="P4407">
        <f t="shared" si="137"/>
        <v>42.444999999999993</v>
      </c>
    </row>
    <row r="4408" spans="1:16" x14ac:dyDescent="0.35">
      <c r="A4408" s="9" t="s">
        <v>441</v>
      </c>
      <c r="B4408" s="2">
        <v>70.52</v>
      </c>
      <c r="C4408" s="2">
        <v>70.84</v>
      </c>
      <c r="D4408" s="2">
        <v>70.34</v>
      </c>
      <c r="E4408" s="2">
        <v>70.599999999999994</v>
      </c>
      <c r="F4408" s="2">
        <v>22490783</v>
      </c>
      <c r="G4408" s="2" t="s">
        <v>576</v>
      </c>
      <c r="H4408" s="2" t="s">
        <v>577</v>
      </c>
      <c r="I4408" s="2" t="s">
        <v>578</v>
      </c>
      <c r="J4408" s="4">
        <v>-7.0999999999999994E-2</v>
      </c>
      <c r="K4408" s="2" t="s">
        <v>425</v>
      </c>
      <c r="L4408" s="2">
        <v>2024</v>
      </c>
      <c r="M4408" s="2" t="s">
        <v>158</v>
      </c>
      <c r="N4408" s="2" t="s">
        <v>23</v>
      </c>
      <c r="O4408">
        <f t="shared" si="136"/>
        <v>0.5</v>
      </c>
      <c r="P4408">
        <f t="shared" si="137"/>
        <v>42.373999999999995</v>
      </c>
    </row>
    <row r="4409" spans="1:16" x14ac:dyDescent="0.35">
      <c r="A4409" s="9" t="s">
        <v>442</v>
      </c>
      <c r="B4409" s="2">
        <v>70.599999999999994</v>
      </c>
      <c r="C4409" s="2">
        <v>70.77</v>
      </c>
      <c r="D4409" s="2">
        <v>69.95</v>
      </c>
      <c r="E4409" s="2">
        <v>70.02</v>
      </c>
      <c r="F4409" s="2">
        <v>18821199</v>
      </c>
      <c r="G4409" s="2" t="s">
        <v>576</v>
      </c>
      <c r="H4409" s="2" t="s">
        <v>577</v>
      </c>
      <c r="I4409" s="2" t="s">
        <v>578</v>
      </c>
      <c r="J4409" s="4">
        <v>-0.82199999999999995</v>
      </c>
      <c r="K4409" s="2" t="s">
        <v>425</v>
      </c>
      <c r="L4409" s="2">
        <v>2024</v>
      </c>
      <c r="M4409" s="2" t="s">
        <v>158</v>
      </c>
      <c r="N4409" s="2" t="s">
        <v>23</v>
      </c>
      <c r="O4409">
        <f t="shared" si="136"/>
        <v>0.81999999999999318</v>
      </c>
      <c r="P4409">
        <f t="shared" si="137"/>
        <v>41.551999999999992</v>
      </c>
    </row>
    <row r="4410" spans="1:16" x14ac:dyDescent="0.35">
      <c r="A4410" s="9" t="s">
        <v>443</v>
      </c>
      <c r="B4410" s="2">
        <v>70.23</v>
      </c>
      <c r="C4410" s="2">
        <v>70.234999999999999</v>
      </c>
      <c r="D4410" s="2">
        <v>68.83</v>
      </c>
      <c r="E4410" s="2">
        <v>69.78</v>
      </c>
      <c r="F4410" s="2">
        <v>16789306</v>
      </c>
      <c r="G4410" s="2" t="s">
        <v>576</v>
      </c>
      <c r="H4410" s="2" t="s">
        <v>577</v>
      </c>
      <c r="I4410" s="2" t="s">
        <v>578</v>
      </c>
      <c r="J4410" s="4">
        <v>-0.34300000000000003</v>
      </c>
      <c r="K4410" s="2" t="s">
        <v>425</v>
      </c>
      <c r="L4410" s="2">
        <v>2024</v>
      </c>
      <c r="M4410" s="2" t="s">
        <v>158</v>
      </c>
      <c r="N4410" s="2" t="s">
        <v>23</v>
      </c>
      <c r="O4410">
        <f t="shared" si="136"/>
        <v>1.4050000000000011</v>
      </c>
      <c r="P4410">
        <f t="shared" si="137"/>
        <v>41.208999999999989</v>
      </c>
    </row>
    <row r="4411" spans="1:16" x14ac:dyDescent="0.35">
      <c r="A4411" s="9" t="s">
        <v>444</v>
      </c>
      <c r="B4411" s="2">
        <v>69.849999999999994</v>
      </c>
      <c r="C4411" s="2">
        <v>69.900000000000006</v>
      </c>
      <c r="D4411" s="2">
        <v>69.13</v>
      </c>
      <c r="E4411" s="2">
        <v>69.62</v>
      </c>
      <c r="F4411" s="2">
        <v>10315305</v>
      </c>
      <c r="G4411" s="2" t="s">
        <v>576</v>
      </c>
      <c r="H4411" s="2" t="s">
        <v>577</v>
      </c>
      <c r="I4411" s="2" t="s">
        <v>578</v>
      </c>
      <c r="J4411" s="4">
        <v>-0.22900000000000001</v>
      </c>
      <c r="K4411" s="2" t="s">
        <v>425</v>
      </c>
      <c r="L4411" s="2">
        <v>2024</v>
      </c>
      <c r="M4411" s="2" t="s">
        <v>158</v>
      </c>
      <c r="N4411" s="2" t="s">
        <v>23</v>
      </c>
      <c r="O4411">
        <f t="shared" si="136"/>
        <v>0.77000000000001023</v>
      </c>
      <c r="P4411">
        <f t="shared" si="137"/>
        <v>40.97999999999999</v>
      </c>
    </row>
    <row r="4412" spans="1:16" x14ac:dyDescent="0.35">
      <c r="A4412" s="9" t="s">
        <v>445</v>
      </c>
      <c r="B4412" s="2">
        <v>69.55</v>
      </c>
      <c r="C4412" s="2">
        <v>69.844999999999999</v>
      </c>
      <c r="D4412" s="2">
        <v>68.98</v>
      </c>
      <c r="E4412" s="2">
        <v>69.19</v>
      </c>
      <c r="F4412" s="2">
        <v>12522469</v>
      </c>
      <c r="G4412" s="2" t="s">
        <v>576</v>
      </c>
      <c r="H4412" s="2" t="s">
        <v>577</v>
      </c>
      <c r="I4412" s="2" t="s">
        <v>578</v>
      </c>
      <c r="J4412" s="4">
        <v>-0.61799999999999999</v>
      </c>
      <c r="K4412" s="2" t="s">
        <v>425</v>
      </c>
      <c r="L4412" s="2">
        <v>2024</v>
      </c>
      <c r="M4412" s="2" t="s">
        <v>158</v>
      </c>
      <c r="N4412" s="2" t="s">
        <v>23</v>
      </c>
      <c r="O4412">
        <f t="shared" si="136"/>
        <v>0.86499999999999488</v>
      </c>
      <c r="P4412">
        <f t="shared" si="137"/>
        <v>40.361999999999988</v>
      </c>
    </row>
    <row r="4413" spans="1:16" x14ac:dyDescent="0.35">
      <c r="A4413" s="9" t="s">
        <v>446</v>
      </c>
      <c r="B4413" s="2">
        <v>69.180000000000007</v>
      </c>
      <c r="C4413" s="2">
        <v>69.25</v>
      </c>
      <c r="D4413" s="2">
        <v>68.290000000000006</v>
      </c>
      <c r="E4413" s="2">
        <v>68.64</v>
      </c>
      <c r="F4413" s="2">
        <v>22908760</v>
      </c>
      <c r="G4413" s="2" t="s">
        <v>576</v>
      </c>
      <c r="H4413" s="2" t="s">
        <v>577</v>
      </c>
      <c r="I4413" s="2" t="s">
        <v>578</v>
      </c>
      <c r="J4413" s="4">
        <v>-0.79500000000000004</v>
      </c>
      <c r="K4413" s="2" t="s">
        <v>425</v>
      </c>
      <c r="L4413" s="2">
        <v>2024</v>
      </c>
      <c r="M4413" s="2" t="s">
        <v>158</v>
      </c>
      <c r="N4413" s="2" t="s">
        <v>23</v>
      </c>
      <c r="O4413">
        <f t="shared" si="136"/>
        <v>0.95999999999999375</v>
      </c>
      <c r="P4413">
        <f t="shared" si="137"/>
        <v>39.566999999999986</v>
      </c>
    </row>
    <row r="4414" spans="1:16" x14ac:dyDescent="0.35">
      <c r="A4414" s="9" t="s">
        <v>447</v>
      </c>
      <c r="B4414" s="2">
        <v>68.91</v>
      </c>
      <c r="C4414" s="2">
        <v>69.8</v>
      </c>
      <c r="D4414" s="2">
        <v>68.52</v>
      </c>
      <c r="E4414" s="2">
        <v>69.790000000000006</v>
      </c>
      <c r="F4414" s="2">
        <v>17275532</v>
      </c>
      <c r="G4414" s="2" t="s">
        <v>576</v>
      </c>
      <c r="H4414" s="2" t="s">
        <v>577</v>
      </c>
      <c r="I4414" s="2" t="s">
        <v>578</v>
      </c>
      <c r="J4414" s="3">
        <v>1.675</v>
      </c>
      <c r="K4414" s="2" t="s">
        <v>448</v>
      </c>
      <c r="L4414" s="2">
        <v>2024</v>
      </c>
      <c r="M4414" s="2" t="s">
        <v>180</v>
      </c>
      <c r="N4414" s="2" t="s">
        <v>21</v>
      </c>
      <c r="O4414">
        <f t="shared" si="136"/>
        <v>1.2800000000000011</v>
      </c>
      <c r="P4414">
        <f t="shared" si="137"/>
        <v>41.241999999999983</v>
      </c>
    </row>
    <row r="4415" spans="1:16" x14ac:dyDescent="0.35">
      <c r="A4415" s="9" t="s">
        <v>449</v>
      </c>
      <c r="B4415" s="2">
        <v>69.599999999999994</v>
      </c>
      <c r="C4415" s="2">
        <v>70.234999999999999</v>
      </c>
      <c r="D4415" s="2">
        <v>67.739999999999995</v>
      </c>
      <c r="E4415" s="2">
        <v>68.459999999999994</v>
      </c>
      <c r="F4415" s="2">
        <v>23578664</v>
      </c>
      <c r="G4415" s="2" t="s">
        <v>576</v>
      </c>
      <c r="H4415" s="2" t="s">
        <v>577</v>
      </c>
      <c r="I4415" s="2" t="s">
        <v>578</v>
      </c>
      <c r="J4415" s="4">
        <v>-1.9059999999999999</v>
      </c>
      <c r="K4415" s="2" t="s">
        <v>448</v>
      </c>
      <c r="L4415" s="2">
        <v>2024</v>
      </c>
      <c r="M4415" s="2" t="s">
        <v>180</v>
      </c>
      <c r="N4415" s="2" t="s">
        <v>23</v>
      </c>
      <c r="O4415">
        <f t="shared" si="136"/>
        <v>2.4950000000000045</v>
      </c>
      <c r="P4415">
        <f t="shared" si="137"/>
        <v>39.335999999999984</v>
      </c>
    </row>
    <row r="4416" spans="1:16" x14ac:dyDescent="0.35">
      <c r="A4416" s="9" t="s">
        <v>450</v>
      </c>
      <c r="B4416" s="2">
        <v>68.099999999999994</v>
      </c>
      <c r="C4416" s="2">
        <v>68.58</v>
      </c>
      <c r="D4416" s="2">
        <v>66.91</v>
      </c>
      <c r="E4416" s="2">
        <v>67.59</v>
      </c>
      <c r="F4416" s="2">
        <v>20770455</v>
      </c>
      <c r="G4416" s="2" t="s">
        <v>576</v>
      </c>
      <c r="H4416" s="2" t="s">
        <v>577</v>
      </c>
      <c r="I4416" s="2" t="s">
        <v>578</v>
      </c>
      <c r="J4416" s="4">
        <v>-1.2709999999999999</v>
      </c>
      <c r="K4416" s="2" t="s">
        <v>448</v>
      </c>
      <c r="L4416" s="2">
        <v>2024</v>
      </c>
      <c r="M4416" s="2" t="s">
        <v>180</v>
      </c>
      <c r="N4416" s="2" t="s">
        <v>23</v>
      </c>
      <c r="O4416">
        <f t="shared" si="136"/>
        <v>1.6700000000000017</v>
      </c>
      <c r="P4416">
        <f t="shared" si="137"/>
        <v>38.064999999999984</v>
      </c>
    </row>
    <row r="4417" spans="1:16" x14ac:dyDescent="0.35">
      <c r="A4417" s="9" t="s">
        <v>451</v>
      </c>
      <c r="B4417" s="2">
        <v>67.84</v>
      </c>
      <c r="C4417" s="2">
        <v>68.63</v>
      </c>
      <c r="D4417" s="2">
        <v>67.680000000000007</v>
      </c>
      <c r="E4417" s="2">
        <v>67.739999999999995</v>
      </c>
      <c r="F4417" s="2">
        <v>14815072</v>
      </c>
      <c r="G4417" s="2" t="s">
        <v>576</v>
      </c>
      <c r="H4417" s="2" t="s">
        <v>577</v>
      </c>
      <c r="I4417" s="2" t="s">
        <v>578</v>
      </c>
      <c r="J4417" s="3">
        <v>0.222</v>
      </c>
      <c r="K4417" s="2" t="s">
        <v>448</v>
      </c>
      <c r="L4417" s="2">
        <v>2024</v>
      </c>
      <c r="M4417" s="2" t="s">
        <v>180</v>
      </c>
      <c r="N4417" s="2" t="s">
        <v>21</v>
      </c>
      <c r="O4417">
        <f t="shared" si="136"/>
        <v>0.94999999999998863</v>
      </c>
      <c r="P4417">
        <f t="shared" si="137"/>
        <v>38.286999999999985</v>
      </c>
    </row>
    <row r="4418" spans="1:16" x14ac:dyDescent="0.35">
      <c r="A4418" s="9" t="s">
        <v>452</v>
      </c>
      <c r="B4418" s="2">
        <v>67.87</v>
      </c>
      <c r="C4418" s="2">
        <v>68.010000000000005</v>
      </c>
      <c r="D4418" s="2">
        <v>66.81</v>
      </c>
      <c r="E4418" s="2">
        <v>66.91</v>
      </c>
      <c r="F4418" s="2">
        <v>18499200</v>
      </c>
      <c r="G4418" s="2" t="s">
        <v>576</v>
      </c>
      <c r="H4418" s="2" t="s">
        <v>577</v>
      </c>
      <c r="I4418" s="2" t="s">
        <v>578</v>
      </c>
      <c r="J4418" s="4">
        <v>-1.2250000000000001</v>
      </c>
      <c r="K4418" s="2" t="s">
        <v>448</v>
      </c>
      <c r="L4418" s="2">
        <v>2024</v>
      </c>
      <c r="M4418" s="2" t="s">
        <v>180</v>
      </c>
      <c r="N4418" s="2" t="s">
        <v>23</v>
      </c>
      <c r="O4418">
        <f t="shared" si="136"/>
        <v>1.2000000000000028</v>
      </c>
      <c r="P4418">
        <f t="shared" si="137"/>
        <v>37.061999999999983</v>
      </c>
    </row>
    <row r="4419" spans="1:16" x14ac:dyDescent="0.35">
      <c r="A4419" s="9" t="s">
        <v>453</v>
      </c>
      <c r="B4419" s="2">
        <v>66.84</v>
      </c>
      <c r="C4419" s="2">
        <v>67.92</v>
      </c>
      <c r="D4419" s="2">
        <v>66.67</v>
      </c>
      <c r="E4419" s="2">
        <v>67.66</v>
      </c>
      <c r="F4419" s="2">
        <v>12489819</v>
      </c>
      <c r="G4419" s="2" t="s">
        <v>576</v>
      </c>
      <c r="H4419" s="2" t="s">
        <v>577</v>
      </c>
      <c r="I4419" s="2" t="s">
        <v>578</v>
      </c>
      <c r="J4419" s="3">
        <v>1.121</v>
      </c>
      <c r="K4419" s="2" t="s">
        <v>448</v>
      </c>
      <c r="L4419" s="2">
        <v>2024</v>
      </c>
      <c r="M4419" s="2" t="s">
        <v>180</v>
      </c>
      <c r="N4419" s="2" t="s">
        <v>21</v>
      </c>
      <c r="O4419">
        <f t="shared" ref="O4419:O4482" si="138">C4419-D4419</f>
        <v>1.25</v>
      </c>
      <c r="P4419">
        <f t="shared" si="137"/>
        <v>38.182999999999986</v>
      </c>
    </row>
    <row r="4420" spans="1:16" x14ac:dyDescent="0.35">
      <c r="A4420" s="9" t="s">
        <v>454</v>
      </c>
      <c r="B4420" s="2">
        <v>67.849999999999994</v>
      </c>
      <c r="C4420" s="2">
        <v>68.22</v>
      </c>
      <c r="D4420" s="2">
        <v>67.33</v>
      </c>
      <c r="E4420" s="2">
        <v>67.95</v>
      </c>
      <c r="F4420" s="2">
        <v>13805576</v>
      </c>
      <c r="G4420" s="2" t="s">
        <v>576</v>
      </c>
      <c r="H4420" s="2" t="s">
        <v>577</v>
      </c>
      <c r="I4420" s="2" t="s">
        <v>578</v>
      </c>
      <c r="J4420" s="3">
        <v>0.42899999999999999</v>
      </c>
      <c r="K4420" s="2" t="s">
        <v>448</v>
      </c>
      <c r="L4420" s="2">
        <v>2024</v>
      </c>
      <c r="M4420" s="2" t="s">
        <v>180</v>
      </c>
      <c r="N4420" s="2" t="s">
        <v>21</v>
      </c>
      <c r="O4420">
        <f t="shared" si="138"/>
        <v>0.89000000000000057</v>
      </c>
      <c r="P4420">
        <f t="shared" ref="P4420:P4483" si="139">IF(G4420=G4419, P4419+J4420, J4420)</f>
        <v>38.611999999999988</v>
      </c>
    </row>
    <row r="4421" spans="1:16" x14ac:dyDescent="0.35">
      <c r="A4421" s="9" t="s">
        <v>455</v>
      </c>
      <c r="B4421" s="2">
        <v>68.34</v>
      </c>
      <c r="C4421" s="2">
        <v>69.224999999999994</v>
      </c>
      <c r="D4421" s="2">
        <v>68.069999999999993</v>
      </c>
      <c r="E4421" s="2">
        <v>68.7</v>
      </c>
      <c r="F4421" s="2">
        <v>17385278</v>
      </c>
      <c r="G4421" s="2" t="s">
        <v>576</v>
      </c>
      <c r="H4421" s="2" t="s">
        <v>577</v>
      </c>
      <c r="I4421" s="2" t="s">
        <v>578</v>
      </c>
      <c r="J4421" s="3">
        <v>1.1040000000000001</v>
      </c>
      <c r="K4421" s="2" t="s">
        <v>448</v>
      </c>
      <c r="L4421" s="2">
        <v>2024</v>
      </c>
      <c r="M4421" s="2" t="s">
        <v>180</v>
      </c>
      <c r="N4421" s="2" t="s">
        <v>21</v>
      </c>
      <c r="O4421">
        <f t="shared" si="138"/>
        <v>1.1550000000000011</v>
      </c>
      <c r="P4421">
        <f t="shared" si="139"/>
        <v>39.715999999999987</v>
      </c>
    </row>
    <row r="4422" spans="1:16" x14ac:dyDescent="0.35">
      <c r="A4422" s="9" t="s">
        <v>456</v>
      </c>
      <c r="B4422" s="2">
        <v>68.430000000000007</v>
      </c>
      <c r="C4422" s="2">
        <v>68.61</v>
      </c>
      <c r="D4422" s="2">
        <v>67.14</v>
      </c>
      <c r="E4422" s="2">
        <v>68.13</v>
      </c>
      <c r="F4422" s="2">
        <v>26557901</v>
      </c>
      <c r="G4422" s="2" t="s">
        <v>576</v>
      </c>
      <c r="H4422" s="2" t="s">
        <v>577</v>
      </c>
      <c r="I4422" s="2" t="s">
        <v>578</v>
      </c>
      <c r="J4422" s="4">
        <v>-0.83</v>
      </c>
      <c r="K4422" s="2" t="s">
        <v>448</v>
      </c>
      <c r="L4422" s="2">
        <v>2024</v>
      </c>
      <c r="M4422" s="2" t="s">
        <v>180</v>
      </c>
      <c r="N4422" s="2" t="s">
        <v>23</v>
      </c>
      <c r="O4422">
        <f t="shared" si="138"/>
        <v>1.4699999999999989</v>
      </c>
      <c r="P4422">
        <f t="shared" si="139"/>
        <v>38.885999999999989</v>
      </c>
    </row>
    <row r="4423" spans="1:16" x14ac:dyDescent="0.35">
      <c r="A4423" s="9" t="s">
        <v>457</v>
      </c>
      <c r="B4423" s="2">
        <v>67.92</v>
      </c>
      <c r="C4423" s="2">
        <v>68.790000000000006</v>
      </c>
      <c r="D4423" s="2">
        <v>67.849999999999994</v>
      </c>
      <c r="E4423" s="2">
        <v>68.66</v>
      </c>
      <c r="F4423" s="2">
        <v>22928551</v>
      </c>
      <c r="G4423" s="2" t="s">
        <v>576</v>
      </c>
      <c r="H4423" s="2" t="s">
        <v>577</v>
      </c>
      <c r="I4423" s="2" t="s">
        <v>578</v>
      </c>
      <c r="J4423" s="3">
        <v>0.77800000000000002</v>
      </c>
      <c r="K4423" s="2" t="s">
        <v>448</v>
      </c>
      <c r="L4423" s="2">
        <v>2024</v>
      </c>
      <c r="M4423" s="2" t="s">
        <v>180</v>
      </c>
      <c r="N4423" s="2" t="s">
        <v>21</v>
      </c>
      <c r="O4423">
        <f t="shared" si="138"/>
        <v>0.94000000000001194</v>
      </c>
      <c r="P4423">
        <f t="shared" si="139"/>
        <v>39.663999999999987</v>
      </c>
    </row>
    <row r="4424" spans="1:16" x14ac:dyDescent="0.35">
      <c r="A4424" s="9" t="s">
        <v>458</v>
      </c>
      <c r="B4424" s="2">
        <v>74.12</v>
      </c>
      <c r="C4424" s="2">
        <v>74.44</v>
      </c>
      <c r="D4424" s="2">
        <v>72.78</v>
      </c>
      <c r="E4424" s="2">
        <v>73.180000000000007</v>
      </c>
      <c r="F4424" s="2">
        <v>49567500</v>
      </c>
      <c r="G4424" s="2" t="s">
        <v>576</v>
      </c>
      <c r="H4424" s="2" t="s">
        <v>577</v>
      </c>
      <c r="I4424" s="2" t="s">
        <v>578</v>
      </c>
      <c r="J4424" s="3">
        <v>6.5830000000000002</v>
      </c>
      <c r="K4424" s="2" t="s">
        <v>448</v>
      </c>
      <c r="L4424" s="2">
        <v>2024</v>
      </c>
      <c r="M4424" s="2" t="s">
        <v>180</v>
      </c>
      <c r="N4424" s="2" t="s">
        <v>21</v>
      </c>
      <c r="O4424">
        <f t="shared" si="138"/>
        <v>1.6599999999999966</v>
      </c>
      <c r="P4424">
        <f t="shared" si="139"/>
        <v>46.246999999999986</v>
      </c>
    </row>
    <row r="4425" spans="1:16" x14ac:dyDescent="0.35">
      <c r="A4425" s="9" t="s">
        <v>459</v>
      </c>
      <c r="B4425" s="2">
        <v>72.7</v>
      </c>
      <c r="C4425" s="2">
        <v>73.605000000000004</v>
      </c>
      <c r="D4425" s="2">
        <v>72.52</v>
      </c>
      <c r="E4425" s="2">
        <v>73.45</v>
      </c>
      <c r="F4425" s="2">
        <v>19872144</v>
      </c>
      <c r="G4425" s="2" t="s">
        <v>576</v>
      </c>
      <c r="H4425" s="2" t="s">
        <v>577</v>
      </c>
      <c r="I4425" s="2" t="s">
        <v>578</v>
      </c>
      <c r="J4425" s="3">
        <v>0.36899999999999999</v>
      </c>
      <c r="K4425" s="2" t="s">
        <v>448</v>
      </c>
      <c r="L4425" s="2">
        <v>2024</v>
      </c>
      <c r="M4425" s="2" t="s">
        <v>180</v>
      </c>
      <c r="N4425" s="2" t="s">
        <v>21</v>
      </c>
      <c r="O4425">
        <f t="shared" si="138"/>
        <v>1.085000000000008</v>
      </c>
      <c r="P4425">
        <f t="shared" si="139"/>
        <v>46.615999999999985</v>
      </c>
    </row>
    <row r="4426" spans="1:16" x14ac:dyDescent="0.35">
      <c r="A4426" s="9" t="s">
        <v>460</v>
      </c>
      <c r="B4426" s="2">
        <v>73.39</v>
      </c>
      <c r="C4426" s="2">
        <v>73.98</v>
      </c>
      <c r="D4426" s="2">
        <v>73.34</v>
      </c>
      <c r="E4426" s="2">
        <v>73.72</v>
      </c>
      <c r="F4426" s="2">
        <v>13709265</v>
      </c>
      <c r="G4426" s="2" t="s">
        <v>576</v>
      </c>
      <c r="H4426" s="2" t="s">
        <v>577</v>
      </c>
      <c r="I4426" s="2" t="s">
        <v>578</v>
      </c>
      <c r="J4426" s="3">
        <v>0.36799999999999999</v>
      </c>
      <c r="K4426" s="2" t="s">
        <v>448</v>
      </c>
      <c r="L4426" s="2">
        <v>2024</v>
      </c>
      <c r="M4426" s="2" t="s">
        <v>180</v>
      </c>
      <c r="N4426" s="2" t="s">
        <v>21</v>
      </c>
      <c r="O4426">
        <f t="shared" si="138"/>
        <v>0.64000000000000057</v>
      </c>
      <c r="P4426">
        <f t="shared" si="139"/>
        <v>46.983999999999988</v>
      </c>
    </row>
    <row r="4427" spans="1:16" x14ac:dyDescent="0.35">
      <c r="A4427" s="9" t="s">
        <v>461</v>
      </c>
      <c r="B4427" s="2">
        <v>73.75</v>
      </c>
      <c r="C4427" s="2">
        <v>74.75</v>
      </c>
      <c r="D4427" s="2">
        <v>73.72</v>
      </c>
      <c r="E4427" s="2">
        <v>74.540000000000006</v>
      </c>
      <c r="F4427" s="2">
        <v>14433985</v>
      </c>
      <c r="G4427" s="2" t="s">
        <v>576</v>
      </c>
      <c r="H4427" s="2" t="s">
        <v>577</v>
      </c>
      <c r="I4427" s="2" t="s">
        <v>578</v>
      </c>
      <c r="J4427" s="3">
        <v>1.1120000000000001</v>
      </c>
      <c r="K4427" s="2" t="s">
        <v>448</v>
      </c>
      <c r="L4427" s="2">
        <v>2024</v>
      </c>
      <c r="M4427" s="2" t="s">
        <v>180</v>
      </c>
      <c r="N4427" s="2" t="s">
        <v>21</v>
      </c>
      <c r="O4427">
        <f t="shared" si="138"/>
        <v>1.0300000000000011</v>
      </c>
      <c r="P4427">
        <f t="shared" si="139"/>
        <v>48.095999999999989</v>
      </c>
    </row>
    <row r="4428" spans="1:16" x14ac:dyDescent="0.35">
      <c r="A4428" s="9" t="s">
        <v>462</v>
      </c>
      <c r="B4428" s="2">
        <v>75.3</v>
      </c>
      <c r="C4428" s="2">
        <v>75.58</v>
      </c>
      <c r="D4428" s="2">
        <v>74.59</v>
      </c>
      <c r="E4428" s="2">
        <v>75.239999999999995</v>
      </c>
      <c r="F4428" s="2">
        <v>14831992</v>
      </c>
      <c r="G4428" s="2" t="s">
        <v>576</v>
      </c>
      <c r="H4428" s="2" t="s">
        <v>577</v>
      </c>
      <c r="I4428" s="2" t="s">
        <v>578</v>
      </c>
      <c r="J4428" s="3">
        <v>0.93899999999999995</v>
      </c>
      <c r="K4428" s="2" t="s">
        <v>448</v>
      </c>
      <c r="L4428" s="2">
        <v>2024</v>
      </c>
      <c r="M4428" s="2" t="s">
        <v>180</v>
      </c>
      <c r="N4428" s="2" t="s">
        <v>21</v>
      </c>
      <c r="O4428">
        <f t="shared" si="138"/>
        <v>0.98999999999999488</v>
      </c>
      <c r="P4428">
        <f t="shared" si="139"/>
        <v>49.034999999999989</v>
      </c>
    </row>
    <row r="4429" spans="1:16" x14ac:dyDescent="0.35">
      <c r="A4429" s="9" t="s">
        <v>463</v>
      </c>
      <c r="B4429" s="2">
        <v>75.37</v>
      </c>
      <c r="C4429" s="2">
        <v>76.22</v>
      </c>
      <c r="D4429" s="2">
        <v>75.150000000000006</v>
      </c>
      <c r="E4429" s="2">
        <v>75.58</v>
      </c>
      <c r="F4429" s="2">
        <v>16511139</v>
      </c>
      <c r="G4429" s="2" t="s">
        <v>576</v>
      </c>
      <c r="H4429" s="2" t="s">
        <v>577</v>
      </c>
      <c r="I4429" s="2" t="s">
        <v>578</v>
      </c>
      <c r="J4429" s="3">
        <v>0.45200000000000001</v>
      </c>
      <c r="K4429" s="2" t="s">
        <v>448</v>
      </c>
      <c r="L4429" s="2">
        <v>2024</v>
      </c>
      <c r="M4429" s="2" t="s">
        <v>180</v>
      </c>
      <c r="N4429" s="2" t="s">
        <v>21</v>
      </c>
      <c r="O4429">
        <f t="shared" si="138"/>
        <v>1.0699999999999932</v>
      </c>
      <c r="P4429">
        <f t="shared" si="139"/>
        <v>49.486999999999988</v>
      </c>
    </row>
    <row r="4430" spans="1:16" x14ac:dyDescent="0.35">
      <c r="A4430" s="9" t="s">
        <v>464</v>
      </c>
      <c r="B4430" s="2">
        <v>75.599999999999994</v>
      </c>
      <c r="C4430" s="2">
        <v>75.81</v>
      </c>
      <c r="D4430" s="2">
        <v>75.007999999999996</v>
      </c>
      <c r="E4430" s="2">
        <v>75.7</v>
      </c>
      <c r="F4430" s="2">
        <v>12299093</v>
      </c>
      <c r="G4430" s="2" t="s">
        <v>576</v>
      </c>
      <c r="H4430" s="2" t="s">
        <v>577</v>
      </c>
      <c r="I4430" s="2" t="s">
        <v>578</v>
      </c>
      <c r="J4430" s="3">
        <v>0.159</v>
      </c>
      <c r="K4430" s="2" t="s">
        <v>448</v>
      </c>
      <c r="L4430" s="2">
        <v>2024</v>
      </c>
      <c r="M4430" s="2" t="s">
        <v>180</v>
      </c>
      <c r="N4430" s="2" t="s">
        <v>21</v>
      </c>
      <c r="O4430">
        <f t="shared" si="138"/>
        <v>0.80200000000000671</v>
      </c>
      <c r="P4430">
        <f t="shared" si="139"/>
        <v>49.645999999999987</v>
      </c>
    </row>
    <row r="4431" spans="1:16" x14ac:dyDescent="0.35">
      <c r="A4431" s="9" t="s">
        <v>465</v>
      </c>
      <c r="B4431" s="2">
        <v>75.900000000000006</v>
      </c>
      <c r="C4431" s="2">
        <v>76.204999999999998</v>
      </c>
      <c r="D4431" s="2">
        <v>75.569999999999993</v>
      </c>
      <c r="E4431" s="2">
        <v>76.03</v>
      </c>
      <c r="F4431" s="2">
        <v>9508215</v>
      </c>
      <c r="G4431" s="2" t="s">
        <v>576</v>
      </c>
      <c r="H4431" s="2" t="s">
        <v>577</v>
      </c>
      <c r="I4431" s="2" t="s">
        <v>578</v>
      </c>
      <c r="J4431" s="3">
        <v>0.436</v>
      </c>
      <c r="K4431" s="2" t="s">
        <v>448</v>
      </c>
      <c r="L4431" s="2">
        <v>2024</v>
      </c>
      <c r="M4431" s="2" t="s">
        <v>180</v>
      </c>
      <c r="N4431" s="2" t="s">
        <v>21</v>
      </c>
      <c r="O4431">
        <f t="shared" si="138"/>
        <v>0.63500000000000512</v>
      </c>
      <c r="P4431">
        <f t="shared" si="139"/>
        <v>50.081999999999987</v>
      </c>
    </row>
    <row r="4432" spans="1:16" x14ac:dyDescent="0.35">
      <c r="A4432" s="9" t="s">
        <v>466</v>
      </c>
      <c r="B4432" s="2">
        <v>76.45</v>
      </c>
      <c r="C4432" s="2">
        <v>76.45</v>
      </c>
      <c r="D4432" s="2">
        <v>75.77</v>
      </c>
      <c r="E4432" s="2">
        <v>76.13</v>
      </c>
      <c r="F4432" s="2">
        <v>11557762</v>
      </c>
      <c r="G4432" s="2" t="s">
        <v>576</v>
      </c>
      <c r="H4432" s="2" t="s">
        <v>577</v>
      </c>
      <c r="I4432" s="2" t="s">
        <v>578</v>
      </c>
      <c r="J4432" s="3">
        <v>0.13200000000000001</v>
      </c>
      <c r="K4432" s="2" t="s">
        <v>448</v>
      </c>
      <c r="L4432" s="2">
        <v>2024</v>
      </c>
      <c r="M4432" s="2" t="s">
        <v>180</v>
      </c>
      <c r="N4432" s="2" t="s">
        <v>21</v>
      </c>
      <c r="O4432">
        <f t="shared" si="138"/>
        <v>0.68000000000000682</v>
      </c>
      <c r="P4432">
        <f t="shared" si="139"/>
        <v>50.213999999999984</v>
      </c>
    </row>
    <row r="4433" spans="1:16" x14ac:dyDescent="0.35">
      <c r="A4433" s="9" t="s">
        <v>467</v>
      </c>
      <c r="B4433" s="2">
        <v>76.28</v>
      </c>
      <c r="C4433" s="2">
        <v>76.430000000000007</v>
      </c>
      <c r="D4433" s="2">
        <v>75.805000000000007</v>
      </c>
      <c r="E4433" s="2">
        <v>76.08</v>
      </c>
      <c r="F4433" s="2">
        <v>9814264</v>
      </c>
      <c r="G4433" s="2" t="s">
        <v>576</v>
      </c>
      <c r="H4433" s="2" t="s">
        <v>577</v>
      </c>
      <c r="I4433" s="2" t="s">
        <v>578</v>
      </c>
      <c r="J4433" s="4">
        <v>-6.6000000000000003E-2</v>
      </c>
      <c r="K4433" s="2" t="s">
        <v>448</v>
      </c>
      <c r="L4433" s="2">
        <v>2024</v>
      </c>
      <c r="M4433" s="2" t="s">
        <v>180</v>
      </c>
      <c r="N4433" s="2" t="s">
        <v>23</v>
      </c>
      <c r="O4433">
        <f t="shared" si="138"/>
        <v>0.625</v>
      </c>
      <c r="P4433">
        <f t="shared" si="139"/>
        <v>50.147999999999982</v>
      </c>
    </row>
    <row r="4434" spans="1:16" x14ac:dyDescent="0.35">
      <c r="A4434" s="9" t="s">
        <v>468</v>
      </c>
      <c r="B4434" s="2">
        <v>75.989999999999995</v>
      </c>
      <c r="C4434" s="2">
        <v>76.47</v>
      </c>
      <c r="D4434" s="2">
        <v>75.67</v>
      </c>
      <c r="E4434" s="2">
        <v>76.42</v>
      </c>
      <c r="F4434" s="2">
        <v>11856787</v>
      </c>
      <c r="G4434" s="2" t="s">
        <v>576</v>
      </c>
      <c r="H4434" s="2" t="s">
        <v>577</v>
      </c>
      <c r="I4434" s="2" t="s">
        <v>578</v>
      </c>
      <c r="J4434" s="3">
        <v>0.44700000000000001</v>
      </c>
      <c r="K4434" s="2" t="s">
        <v>448</v>
      </c>
      <c r="L4434" s="2">
        <v>2024</v>
      </c>
      <c r="M4434" s="2" t="s">
        <v>180</v>
      </c>
      <c r="N4434" s="2" t="s">
        <v>21</v>
      </c>
      <c r="O4434">
        <f t="shared" si="138"/>
        <v>0.79999999999999716</v>
      </c>
      <c r="P4434">
        <f t="shared" si="139"/>
        <v>50.594999999999985</v>
      </c>
    </row>
    <row r="4435" spans="1:16" x14ac:dyDescent="0.35">
      <c r="A4435" s="9" t="s">
        <v>469</v>
      </c>
      <c r="B4435" s="2">
        <v>76.44</v>
      </c>
      <c r="C4435" s="2">
        <v>77.474999999999994</v>
      </c>
      <c r="D4435" s="2">
        <v>76.22</v>
      </c>
      <c r="E4435" s="2">
        <v>77.23</v>
      </c>
      <c r="F4435" s="2">
        <v>23229975</v>
      </c>
      <c r="G4435" s="2" t="s">
        <v>576</v>
      </c>
      <c r="H4435" s="2" t="s">
        <v>577</v>
      </c>
      <c r="I4435" s="2" t="s">
        <v>578</v>
      </c>
      <c r="J4435" s="3">
        <v>1.06</v>
      </c>
      <c r="K4435" s="2" t="s">
        <v>448</v>
      </c>
      <c r="L4435" s="2">
        <v>2024</v>
      </c>
      <c r="M4435" s="2" t="s">
        <v>180</v>
      </c>
      <c r="N4435" s="2" t="s">
        <v>21</v>
      </c>
      <c r="O4435">
        <f t="shared" si="138"/>
        <v>1.2549999999999955</v>
      </c>
      <c r="P4435">
        <f t="shared" si="139"/>
        <v>51.654999999999987</v>
      </c>
    </row>
    <row r="4436" spans="1:16" x14ac:dyDescent="0.35">
      <c r="A4436" s="9" t="s">
        <v>470</v>
      </c>
      <c r="B4436" s="2">
        <v>77.33</v>
      </c>
      <c r="C4436" s="2">
        <v>77.81</v>
      </c>
      <c r="D4436" s="2">
        <v>76.795000000000002</v>
      </c>
      <c r="E4436" s="2">
        <v>77.17</v>
      </c>
      <c r="F4436" s="2">
        <v>22666144</v>
      </c>
      <c r="G4436" s="2" t="s">
        <v>576</v>
      </c>
      <c r="H4436" s="2" t="s">
        <v>577</v>
      </c>
      <c r="I4436" s="2" t="s">
        <v>578</v>
      </c>
      <c r="J4436" s="4">
        <v>-7.8E-2</v>
      </c>
      <c r="K4436" s="2" t="s">
        <v>471</v>
      </c>
      <c r="L4436" s="2">
        <v>2024</v>
      </c>
      <c r="M4436" s="2" t="s">
        <v>205</v>
      </c>
      <c r="N4436" s="2" t="s">
        <v>23</v>
      </c>
      <c r="O4436">
        <f t="shared" si="138"/>
        <v>1.0150000000000006</v>
      </c>
      <c r="P4436">
        <f t="shared" si="139"/>
        <v>51.576999999999984</v>
      </c>
    </row>
    <row r="4437" spans="1:16" x14ac:dyDescent="0.35">
      <c r="A4437" s="9" t="s">
        <v>472</v>
      </c>
      <c r="B4437" s="2">
        <v>77.33</v>
      </c>
      <c r="C4437" s="2">
        <v>77.48</v>
      </c>
      <c r="D4437" s="2">
        <v>76.73</v>
      </c>
      <c r="E4437" s="2">
        <v>77.239999999999995</v>
      </c>
      <c r="F4437" s="2">
        <v>18442775</v>
      </c>
      <c r="G4437" s="2" t="s">
        <v>576</v>
      </c>
      <c r="H4437" s="2" t="s">
        <v>577</v>
      </c>
      <c r="I4437" s="2" t="s">
        <v>578</v>
      </c>
      <c r="J4437" s="3">
        <v>9.0999999999999998E-2</v>
      </c>
      <c r="K4437" s="2" t="s">
        <v>471</v>
      </c>
      <c r="L4437" s="2">
        <v>2024</v>
      </c>
      <c r="M4437" s="2" t="s">
        <v>205</v>
      </c>
      <c r="N4437" s="2" t="s">
        <v>21</v>
      </c>
      <c r="O4437">
        <f t="shared" si="138"/>
        <v>0.75</v>
      </c>
      <c r="P4437">
        <f t="shared" si="139"/>
        <v>51.667999999999985</v>
      </c>
    </row>
    <row r="4438" spans="1:16" x14ac:dyDescent="0.35">
      <c r="A4438" s="9" t="s">
        <v>473</v>
      </c>
      <c r="B4438" s="2">
        <v>77.25</v>
      </c>
      <c r="C4438" s="2">
        <v>77.45</v>
      </c>
      <c r="D4438" s="2">
        <v>76.39</v>
      </c>
      <c r="E4438" s="2">
        <v>76.959999999999994</v>
      </c>
      <c r="F4438" s="2">
        <v>13082893</v>
      </c>
      <c r="G4438" s="2" t="s">
        <v>576</v>
      </c>
      <c r="H4438" s="2" t="s">
        <v>577</v>
      </c>
      <c r="I4438" s="2" t="s">
        <v>578</v>
      </c>
      <c r="J4438" s="4">
        <v>-0.36299999999999999</v>
      </c>
      <c r="K4438" s="2" t="s">
        <v>471</v>
      </c>
      <c r="L4438" s="2">
        <v>2024</v>
      </c>
      <c r="M4438" s="2" t="s">
        <v>205</v>
      </c>
      <c r="N4438" s="2" t="s">
        <v>23</v>
      </c>
      <c r="O4438">
        <f t="shared" si="138"/>
        <v>1.0600000000000023</v>
      </c>
      <c r="P4438">
        <f t="shared" si="139"/>
        <v>51.304999999999986</v>
      </c>
    </row>
    <row r="4439" spans="1:16" x14ac:dyDescent="0.35">
      <c r="A4439" s="9" t="s">
        <v>474</v>
      </c>
      <c r="B4439" s="2">
        <v>76.900000000000006</v>
      </c>
      <c r="C4439" s="2">
        <v>77.319999999999993</v>
      </c>
      <c r="D4439" s="2">
        <v>76.3</v>
      </c>
      <c r="E4439" s="2">
        <v>76.64</v>
      </c>
      <c r="F4439" s="2">
        <v>14548588</v>
      </c>
      <c r="G4439" s="2" t="s">
        <v>576</v>
      </c>
      <c r="H4439" s="2" t="s">
        <v>577</v>
      </c>
      <c r="I4439" s="2" t="s">
        <v>578</v>
      </c>
      <c r="J4439" s="4">
        <v>-0.41599999999999998</v>
      </c>
      <c r="K4439" s="2" t="s">
        <v>471</v>
      </c>
      <c r="L4439" s="2">
        <v>2024</v>
      </c>
      <c r="M4439" s="2" t="s">
        <v>205</v>
      </c>
      <c r="N4439" s="2" t="s">
        <v>23</v>
      </c>
      <c r="O4439">
        <f t="shared" si="138"/>
        <v>1.019999999999996</v>
      </c>
      <c r="P4439">
        <f t="shared" si="139"/>
        <v>50.888999999999989</v>
      </c>
    </row>
    <row r="4440" spans="1:16" x14ac:dyDescent="0.35">
      <c r="A4440" s="9" t="s">
        <v>475</v>
      </c>
      <c r="B4440" s="2">
        <v>76.849999999999994</v>
      </c>
      <c r="C4440" s="2">
        <v>77.47</v>
      </c>
      <c r="D4440" s="2">
        <v>76.489999999999995</v>
      </c>
      <c r="E4440" s="2">
        <v>77.34</v>
      </c>
      <c r="F4440" s="2">
        <v>22260226</v>
      </c>
      <c r="G4440" s="2" t="s">
        <v>576</v>
      </c>
      <c r="H4440" s="2" t="s">
        <v>577</v>
      </c>
      <c r="I4440" s="2" t="s">
        <v>578</v>
      </c>
      <c r="J4440" s="3">
        <v>0.91300000000000003</v>
      </c>
      <c r="K4440" s="2" t="s">
        <v>471</v>
      </c>
      <c r="L4440" s="2">
        <v>2024</v>
      </c>
      <c r="M4440" s="2" t="s">
        <v>205</v>
      </c>
      <c r="N4440" s="2" t="s">
        <v>21</v>
      </c>
      <c r="O4440">
        <f t="shared" si="138"/>
        <v>0.98000000000000398</v>
      </c>
      <c r="P4440">
        <f t="shared" si="139"/>
        <v>51.801999999999985</v>
      </c>
    </row>
    <row r="4441" spans="1:16" x14ac:dyDescent="0.35">
      <c r="A4441" s="9" t="s">
        <v>476</v>
      </c>
      <c r="B4441" s="2">
        <v>77.349999999999994</v>
      </c>
      <c r="C4441" s="2">
        <v>78.900000000000006</v>
      </c>
      <c r="D4441" s="2">
        <v>77.28</v>
      </c>
      <c r="E4441" s="2">
        <v>78.81</v>
      </c>
      <c r="F4441" s="2">
        <v>17686284</v>
      </c>
      <c r="G4441" s="2" t="s">
        <v>576</v>
      </c>
      <c r="H4441" s="2" t="s">
        <v>577</v>
      </c>
      <c r="I4441" s="2" t="s">
        <v>578</v>
      </c>
      <c r="J4441" s="3">
        <v>1.901</v>
      </c>
      <c r="K4441" s="2" t="s">
        <v>471</v>
      </c>
      <c r="L4441" s="2">
        <v>2024</v>
      </c>
      <c r="M4441" s="2" t="s">
        <v>205</v>
      </c>
      <c r="N4441" s="2" t="s">
        <v>21</v>
      </c>
      <c r="O4441">
        <f t="shared" si="138"/>
        <v>1.6200000000000045</v>
      </c>
      <c r="P4441">
        <f t="shared" si="139"/>
        <v>53.702999999999989</v>
      </c>
    </row>
    <row r="4442" spans="1:16" x14ac:dyDescent="0.35">
      <c r="A4442" s="9" t="s">
        <v>477</v>
      </c>
      <c r="B4442" s="2">
        <v>78.38</v>
      </c>
      <c r="C4442" s="2">
        <v>78.92</v>
      </c>
      <c r="D4442" s="2">
        <v>77.564999999999998</v>
      </c>
      <c r="E4442" s="2">
        <v>78.84</v>
      </c>
      <c r="F4442" s="2">
        <v>19518761</v>
      </c>
      <c r="G4442" s="2" t="s">
        <v>576</v>
      </c>
      <c r="H4442" s="2" t="s">
        <v>577</v>
      </c>
      <c r="I4442" s="2" t="s">
        <v>578</v>
      </c>
      <c r="J4442" s="3">
        <v>3.7999999999999999E-2</v>
      </c>
      <c r="K4442" s="2" t="s">
        <v>471</v>
      </c>
      <c r="L4442" s="2">
        <v>2024</v>
      </c>
      <c r="M4442" s="2" t="s">
        <v>205</v>
      </c>
      <c r="N4442" s="2" t="s">
        <v>21</v>
      </c>
      <c r="O4442">
        <f t="shared" si="138"/>
        <v>1.355000000000004</v>
      </c>
      <c r="P4442">
        <f t="shared" si="139"/>
        <v>53.740999999999985</v>
      </c>
    </row>
    <row r="4443" spans="1:16" x14ac:dyDescent="0.35">
      <c r="A4443" s="9" t="s">
        <v>478</v>
      </c>
      <c r="B4443" s="2">
        <v>78.989999999999995</v>
      </c>
      <c r="C4443" s="2">
        <v>79.905000000000001</v>
      </c>
      <c r="D4443" s="2">
        <v>78.622</v>
      </c>
      <c r="E4443" s="2">
        <v>79.66</v>
      </c>
      <c r="F4443" s="2">
        <v>14884852</v>
      </c>
      <c r="G4443" s="2" t="s">
        <v>576</v>
      </c>
      <c r="H4443" s="2" t="s">
        <v>577</v>
      </c>
      <c r="I4443" s="2" t="s">
        <v>578</v>
      </c>
      <c r="J4443" s="3">
        <v>1.04</v>
      </c>
      <c r="K4443" s="2" t="s">
        <v>471</v>
      </c>
      <c r="L4443" s="2">
        <v>2024</v>
      </c>
      <c r="M4443" s="2" t="s">
        <v>205</v>
      </c>
      <c r="N4443" s="2" t="s">
        <v>21</v>
      </c>
      <c r="O4443">
        <f t="shared" si="138"/>
        <v>1.2830000000000013</v>
      </c>
      <c r="P4443">
        <f t="shared" si="139"/>
        <v>54.780999999999985</v>
      </c>
    </row>
    <row r="4444" spans="1:16" x14ac:dyDescent="0.35">
      <c r="A4444" s="9" t="s">
        <v>479</v>
      </c>
      <c r="B4444" s="2">
        <v>79.819999999999993</v>
      </c>
      <c r="C4444" s="2">
        <v>80.685000000000002</v>
      </c>
      <c r="D4444" s="2">
        <v>79.69</v>
      </c>
      <c r="E4444" s="2">
        <v>80.599999999999994</v>
      </c>
      <c r="F4444" s="2">
        <v>12994100</v>
      </c>
      <c r="G4444" s="2" t="s">
        <v>576</v>
      </c>
      <c r="H4444" s="2" t="s">
        <v>577</v>
      </c>
      <c r="I4444" s="2" t="s">
        <v>578</v>
      </c>
      <c r="J4444" s="3">
        <v>1.18</v>
      </c>
      <c r="K4444" s="2" t="s">
        <v>471</v>
      </c>
      <c r="L4444" s="2">
        <v>2024</v>
      </c>
      <c r="M4444" s="2" t="s">
        <v>205</v>
      </c>
      <c r="N4444" s="2" t="s">
        <v>21</v>
      </c>
      <c r="O4444">
        <f t="shared" si="138"/>
        <v>0.99500000000000455</v>
      </c>
      <c r="P4444">
        <f t="shared" si="139"/>
        <v>55.960999999999984</v>
      </c>
    </row>
    <row r="4445" spans="1:16" x14ac:dyDescent="0.35">
      <c r="A4445" s="9" t="s">
        <v>480</v>
      </c>
      <c r="B4445" s="2">
        <v>80.84</v>
      </c>
      <c r="C4445" s="2">
        <v>81.02</v>
      </c>
      <c r="D4445" s="2">
        <v>80.14</v>
      </c>
      <c r="E4445" s="2">
        <v>80.56</v>
      </c>
      <c r="F4445" s="2">
        <v>15346367</v>
      </c>
      <c r="G4445" s="2" t="s">
        <v>576</v>
      </c>
      <c r="H4445" s="2" t="s">
        <v>577</v>
      </c>
      <c r="I4445" s="2" t="s">
        <v>578</v>
      </c>
      <c r="J4445" s="4">
        <v>-0.05</v>
      </c>
      <c r="K4445" s="2" t="s">
        <v>471</v>
      </c>
      <c r="L4445" s="2">
        <v>2024</v>
      </c>
      <c r="M4445" s="2" t="s">
        <v>205</v>
      </c>
      <c r="N4445" s="2" t="s">
        <v>23</v>
      </c>
      <c r="O4445">
        <f t="shared" si="138"/>
        <v>0.87999999999999545</v>
      </c>
      <c r="P4445">
        <f t="shared" si="139"/>
        <v>55.910999999999987</v>
      </c>
    </row>
    <row r="4446" spans="1:16" x14ac:dyDescent="0.35">
      <c r="A4446" s="9" t="s">
        <v>481</v>
      </c>
      <c r="B4446" s="2">
        <v>79.760000000000005</v>
      </c>
      <c r="C4446" s="2">
        <v>80.260000000000005</v>
      </c>
      <c r="D4446" s="2">
        <v>78.260000000000005</v>
      </c>
      <c r="E4446" s="2">
        <v>78.599999999999994</v>
      </c>
      <c r="F4446" s="2">
        <v>21065938</v>
      </c>
      <c r="G4446" s="2" t="s">
        <v>576</v>
      </c>
      <c r="H4446" s="2" t="s">
        <v>577</v>
      </c>
      <c r="I4446" s="2" t="s">
        <v>578</v>
      </c>
      <c r="J4446" s="4">
        <v>-2.4329999999999998</v>
      </c>
      <c r="K4446" s="2" t="s">
        <v>471</v>
      </c>
      <c r="L4446" s="2">
        <v>2024</v>
      </c>
      <c r="M4446" s="2" t="s">
        <v>205</v>
      </c>
      <c r="N4446" s="2" t="s">
        <v>23</v>
      </c>
      <c r="O4446">
        <f t="shared" si="138"/>
        <v>2</v>
      </c>
      <c r="P4446">
        <f t="shared" si="139"/>
        <v>53.477999999999987</v>
      </c>
    </row>
    <row r="4447" spans="1:16" x14ac:dyDescent="0.35">
      <c r="A4447" s="9" t="s">
        <v>482</v>
      </c>
      <c r="B4447" s="2">
        <v>78.64</v>
      </c>
      <c r="C4447" s="2">
        <v>79.41</v>
      </c>
      <c r="D4447" s="2">
        <v>78.28</v>
      </c>
      <c r="E4447" s="2">
        <v>79.03</v>
      </c>
      <c r="F4447" s="2">
        <v>15684878</v>
      </c>
      <c r="G4447" s="2" t="s">
        <v>576</v>
      </c>
      <c r="H4447" s="2" t="s">
        <v>577</v>
      </c>
      <c r="I4447" s="2" t="s">
        <v>578</v>
      </c>
      <c r="J4447" s="3">
        <v>0.54700000000000004</v>
      </c>
      <c r="K4447" s="2" t="s">
        <v>471</v>
      </c>
      <c r="L4447" s="2">
        <v>2024</v>
      </c>
      <c r="M4447" s="2" t="s">
        <v>205</v>
      </c>
      <c r="N4447" s="2" t="s">
        <v>21</v>
      </c>
      <c r="O4447">
        <f t="shared" si="138"/>
        <v>1.1299999999999955</v>
      </c>
      <c r="P4447">
        <f t="shared" si="139"/>
        <v>54.024999999999984</v>
      </c>
    </row>
    <row r="4448" spans="1:16" x14ac:dyDescent="0.35">
      <c r="A4448" s="9" t="s">
        <v>483</v>
      </c>
      <c r="B4448" s="2">
        <v>79.05</v>
      </c>
      <c r="C4448" s="2">
        <v>79.09</v>
      </c>
      <c r="D4448" s="2">
        <v>77.489999999999995</v>
      </c>
      <c r="E4448" s="2">
        <v>78.040000000000006</v>
      </c>
      <c r="F4448" s="2">
        <v>21525685</v>
      </c>
      <c r="G4448" s="2" t="s">
        <v>576</v>
      </c>
      <c r="H4448" s="2" t="s">
        <v>577</v>
      </c>
      <c r="I4448" s="2" t="s">
        <v>578</v>
      </c>
      <c r="J4448" s="4">
        <v>-1.2529999999999999</v>
      </c>
      <c r="K4448" s="2" t="s">
        <v>471</v>
      </c>
      <c r="L4448" s="2">
        <v>2024</v>
      </c>
      <c r="M4448" s="2" t="s">
        <v>205</v>
      </c>
      <c r="N4448" s="2" t="s">
        <v>23</v>
      </c>
      <c r="O4448">
        <f t="shared" si="138"/>
        <v>1.6000000000000085</v>
      </c>
      <c r="P4448">
        <f t="shared" si="139"/>
        <v>52.771999999999984</v>
      </c>
    </row>
    <row r="4449" spans="1:16" x14ac:dyDescent="0.35">
      <c r="A4449" s="9" t="s">
        <v>484</v>
      </c>
      <c r="B4449" s="2">
        <v>78.23</v>
      </c>
      <c r="C4449" s="2">
        <v>79.61</v>
      </c>
      <c r="D4449" s="2">
        <v>78.11</v>
      </c>
      <c r="E4449" s="2">
        <v>79.06</v>
      </c>
      <c r="F4449" s="2">
        <v>39534251</v>
      </c>
      <c r="G4449" s="2" t="s">
        <v>576</v>
      </c>
      <c r="H4449" s="2" t="s">
        <v>577</v>
      </c>
      <c r="I4449" s="2" t="s">
        <v>578</v>
      </c>
      <c r="J4449" s="3">
        <v>1.3069999999999999</v>
      </c>
      <c r="K4449" s="2" t="s">
        <v>471</v>
      </c>
      <c r="L4449" s="2">
        <v>2024</v>
      </c>
      <c r="M4449" s="2" t="s">
        <v>205</v>
      </c>
      <c r="N4449" s="2" t="s">
        <v>21</v>
      </c>
      <c r="O4449">
        <f t="shared" si="138"/>
        <v>1.5</v>
      </c>
      <c r="P4449">
        <f t="shared" si="139"/>
        <v>54.078999999999986</v>
      </c>
    </row>
    <row r="4450" spans="1:16" x14ac:dyDescent="0.35">
      <c r="A4450" s="9" t="s">
        <v>485</v>
      </c>
      <c r="B4450" s="2">
        <v>79.069999999999993</v>
      </c>
      <c r="C4450" s="2">
        <v>80.436999999999998</v>
      </c>
      <c r="D4450" s="2">
        <v>79.069999999999993</v>
      </c>
      <c r="E4450" s="2">
        <v>80.33</v>
      </c>
      <c r="F4450" s="2">
        <v>12147264</v>
      </c>
      <c r="G4450" s="2" t="s">
        <v>576</v>
      </c>
      <c r="H4450" s="2" t="s">
        <v>577</v>
      </c>
      <c r="I4450" s="2" t="s">
        <v>578</v>
      </c>
      <c r="J4450" s="3">
        <v>1.6060000000000001</v>
      </c>
      <c r="K4450" s="2" t="s">
        <v>471</v>
      </c>
      <c r="L4450" s="2">
        <v>2024</v>
      </c>
      <c r="M4450" s="2" t="s">
        <v>205</v>
      </c>
      <c r="N4450" s="2" t="s">
        <v>21</v>
      </c>
      <c r="O4450">
        <f t="shared" si="138"/>
        <v>1.3670000000000044</v>
      </c>
      <c r="P4450">
        <f t="shared" si="139"/>
        <v>55.684999999999988</v>
      </c>
    </row>
    <row r="4451" spans="1:16" x14ac:dyDescent="0.35">
      <c r="A4451" s="9" t="s">
        <v>486</v>
      </c>
      <c r="B4451" s="2">
        <v>80.48</v>
      </c>
      <c r="C4451" s="2">
        <v>80.91</v>
      </c>
      <c r="D4451" s="2">
        <v>80.239999999999995</v>
      </c>
      <c r="E4451" s="2">
        <v>80.67</v>
      </c>
      <c r="F4451" s="2">
        <v>14651133</v>
      </c>
      <c r="G4451" s="2" t="s">
        <v>576</v>
      </c>
      <c r="H4451" s="2" t="s">
        <v>577</v>
      </c>
      <c r="I4451" s="2" t="s">
        <v>578</v>
      </c>
      <c r="J4451" s="3">
        <v>0.42299999999999999</v>
      </c>
      <c r="K4451" s="2" t="s">
        <v>471</v>
      </c>
      <c r="L4451" s="2">
        <v>2024</v>
      </c>
      <c r="M4451" s="2" t="s">
        <v>205</v>
      </c>
      <c r="N4451" s="2" t="s">
        <v>21</v>
      </c>
      <c r="O4451">
        <f t="shared" si="138"/>
        <v>0.67000000000000171</v>
      </c>
      <c r="P4451">
        <f t="shared" si="139"/>
        <v>56.10799999999999</v>
      </c>
    </row>
    <row r="4452" spans="1:16" x14ac:dyDescent="0.35">
      <c r="A4452" s="9" t="s">
        <v>487</v>
      </c>
      <c r="B4452" s="2">
        <v>80.89</v>
      </c>
      <c r="C4452" s="2">
        <v>81.599999999999994</v>
      </c>
      <c r="D4452" s="2">
        <v>80.680000000000007</v>
      </c>
      <c r="E4452" s="2">
        <v>81.400000000000006</v>
      </c>
      <c r="F4452" s="2">
        <v>14163785</v>
      </c>
      <c r="G4452" s="2" t="s">
        <v>576</v>
      </c>
      <c r="H4452" s="2" t="s">
        <v>577</v>
      </c>
      <c r="I4452" s="2" t="s">
        <v>578</v>
      </c>
      <c r="J4452" s="3">
        <v>0.90500000000000003</v>
      </c>
      <c r="K4452" s="2" t="s">
        <v>471</v>
      </c>
      <c r="L4452" s="2">
        <v>2024</v>
      </c>
      <c r="M4452" s="2" t="s">
        <v>205</v>
      </c>
      <c r="N4452" s="2" t="s">
        <v>21</v>
      </c>
      <c r="O4452">
        <f t="shared" si="138"/>
        <v>0.91999999999998749</v>
      </c>
      <c r="P4452">
        <f t="shared" si="139"/>
        <v>57.012999999999991</v>
      </c>
    </row>
    <row r="4453" spans="1:16" x14ac:dyDescent="0.35">
      <c r="A4453" s="9" t="s">
        <v>488</v>
      </c>
      <c r="B4453" s="2">
        <v>81.040000000000006</v>
      </c>
      <c r="C4453" s="2">
        <v>81.2</v>
      </c>
      <c r="D4453" s="2">
        <v>79.260000000000005</v>
      </c>
      <c r="E4453" s="2">
        <v>79.92</v>
      </c>
      <c r="F4453" s="2">
        <v>17061133</v>
      </c>
      <c r="G4453" s="2" t="s">
        <v>576</v>
      </c>
      <c r="H4453" s="2" t="s">
        <v>577</v>
      </c>
      <c r="I4453" s="2" t="s">
        <v>578</v>
      </c>
      <c r="J4453" s="4">
        <v>-1.8180000000000001</v>
      </c>
      <c r="K4453" s="2" t="s">
        <v>471</v>
      </c>
      <c r="L4453" s="2">
        <v>2024</v>
      </c>
      <c r="M4453" s="2" t="s">
        <v>205</v>
      </c>
      <c r="N4453" s="2" t="s">
        <v>23</v>
      </c>
      <c r="O4453">
        <f t="shared" si="138"/>
        <v>1.9399999999999977</v>
      </c>
      <c r="P4453">
        <f t="shared" si="139"/>
        <v>55.194999999999993</v>
      </c>
    </row>
    <row r="4454" spans="1:16" x14ac:dyDescent="0.35">
      <c r="A4454" s="9" t="s">
        <v>489</v>
      </c>
      <c r="B4454" s="2">
        <v>79.900000000000006</v>
      </c>
      <c r="C4454" s="2">
        <v>80.287000000000006</v>
      </c>
      <c r="D4454" s="2">
        <v>79.599999999999994</v>
      </c>
      <c r="E4454" s="2">
        <v>79.78</v>
      </c>
      <c r="F4454" s="2">
        <v>11899050</v>
      </c>
      <c r="G4454" s="2" t="s">
        <v>576</v>
      </c>
      <c r="H4454" s="2" t="s">
        <v>577</v>
      </c>
      <c r="I4454" s="2" t="s">
        <v>578</v>
      </c>
      <c r="J4454" s="4">
        <v>-0.17499999999999999</v>
      </c>
      <c r="K4454" s="2" t="s">
        <v>471</v>
      </c>
      <c r="L4454" s="2">
        <v>2024</v>
      </c>
      <c r="M4454" s="2" t="s">
        <v>205</v>
      </c>
      <c r="N4454" s="2" t="s">
        <v>23</v>
      </c>
      <c r="O4454">
        <f t="shared" si="138"/>
        <v>0.68700000000001182</v>
      </c>
      <c r="P4454">
        <f t="shared" si="139"/>
        <v>55.019999999999996</v>
      </c>
    </row>
    <row r="4455" spans="1:16" x14ac:dyDescent="0.35">
      <c r="A4455" s="9" t="s">
        <v>490</v>
      </c>
      <c r="B4455" s="2">
        <v>79.900000000000006</v>
      </c>
      <c r="C4455" s="2">
        <v>80.94</v>
      </c>
      <c r="D4455" s="2">
        <v>79.86</v>
      </c>
      <c r="E4455" s="2">
        <v>80.75</v>
      </c>
      <c r="F4455" s="2">
        <v>19008187</v>
      </c>
      <c r="G4455" s="2" t="s">
        <v>576</v>
      </c>
      <c r="H4455" s="2" t="s">
        <v>577</v>
      </c>
      <c r="I4455" s="2" t="s">
        <v>578</v>
      </c>
      <c r="J4455" s="3">
        <v>1.216</v>
      </c>
      <c r="K4455" s="2" t="s">
        <v>471</v>
      </c>
      <c r="L4455" s="2">
        <v>2024</v>
      </c>
      <c r="M4455" s="2" t="s">
        <v>205</v>
      </c>
      <c r="N4455" s="2" t="s">
        <v>21</v>
      </c>
      <c r="O4455">
        <f t="shared" si="138"/>
        <v>1.0799999999999983</v>
      </c>
      <c r="P4455">
        <f t="shared" si="139"/>
        <v>56.235999999999997</v>
      </c>
    </row>
    <row r="4456" spans="1:16" x14ac:dyDescent="0.35">
      <c r="A4456" s="9" t="s">
        <v>491</v>
      </c>
      <c r="B4456" s="2">
        <v>80.680000000000007</v>
      </c>
      <c r="C4456" s="2">
        <v>81.53</v>
      </c>
      <c r="D4456" s="2">
        <v>80.435000000000002</v>
      </c>
      <c r="E4456" s="2">
        <v>81.27</v>
      </c>
      <c r="F4456" s="2">
        <v>16054249</v>
      </c>
      <c r="G4456" s="2" t="s">
        <v>576</v>
      </c>
      <c r="H4456" s="2" t="s">
        <v>577</v>
      </c>
      <c r="I4456" s="2" t="s">
        <v>578</v>
      </c>
      <c r="J4456" s="3">
        <v>0.64400000000000002</v>
      </c>
      <c r="K4456" s="2" t="s">
        <v>492</v>
      </c>
      <c r="L4456" s="2">
        <v>2024</v>
      </c>
      <c r="M4456" s="2" t="s">
        <v>227</v>
      </c>
      <c r="N4456" s="2" t="s">
        <v>21</v>
      </c>
      <c r="O4456">
        <f t="shared" si="138"/>
        <v>1.0949999999999989</v>
      </c>
      <c r="P4456">
        <f t="shared" si="139"/>
        <v>56.879999999999995</v>
      </c>
    </row>
    <row r="4457" spans="1:16" x14ac:dyDescent="0.35">
      <c r="A4457" s="9" t="s">
        <v>493</v>
      </c>
      <c r="B4457" s="2">
        <v>80.989999999999995</v>
      </c>
      <c r="C4457" s="2">
        <v>80.989999999999995</v>
      </c>
      <c r="D4457" s="2">
        <v>80.12</v>
      </c>
      <c r="E4457" s="2">
        <v>80.430000000000007</v>
      </c>
      <c r="F4457" s="2">
        <v>16618272</v>
      </c>
      <c r="G4457" s="2" t="s">
        <v>576</v>
      </c>
      <c r="H4457" s="2" t="s">
        <v>577</v>
      </c>
      <c r="I4457" s="2" t="s">
        <v>578</v>
      </c>
      <c r="J4457" s="4">
        <v>-1.034</v>
      </c>
      <c r="K4457" s="2" t="s">
        <v>492</v>
      </c>
      <c r="L4457" s="2">
        <v>2024</v>
      </c>
      <c r="M4457" s="2" t="s">
        <v>227</v>
      </c>
      <c r="N4457" s="2" t="s">
        <v>23</v>
      </c>
      <c r="O4457">
        <f t="shared" si="138"/>
        <v>0.86999999999999034</v>
      </c>
      <c r="P4457">
        <f t="shared" si="139"/>
        <v>55.845999999999997</v>
      </c>
    </row>
    <row r="4458" spans="1:16" x14ac:dyDescent="0.35">
      <c r="A4458" s="9" t="s">
        <v>494</v>
      </c>
      <c r="B4458" s="2">
        <v>80.3</v>
      </c>
      <c r="C4458" s="2">
        <v>80.575000000000003</v>
      </c>
      <c r="D4458" s="2">
        <v>79.849999999999994</v>
      </c>
      <c r="E4458" s="2">
        <v>80.430000000000007</v>
      </c>
      <c r="F4458" s="2">
        <v>11640421</v>
      </c>
      <c r="G4458" s="2" t="s">
        <v>576</v>
      </c>
      <c r="H4458" s="2" t="s">
        <v>577</v>
      </c>
      <c r="I4458" s="2" t="s">
        <v>578</v>
      </c>
      <c r="J4458" s="2">
        <v>0</v>
      </c>
      <c r="K4458" s="2" t="s">
        <v>492</v>
      </c>
      <c r="L4458" s="2">
        <v>2024</v>
      </c>
      <c r="M4458" s="2" t="s">
        <v>227</v>
      </c>
      <c r="N4458" s="2" t="s">
        <v>122</v>
      </c>
      <c r="O4458">
        <f t="shared" si="138"/>
        <v>0.72500000000000853</v>
      </c>
      <c r="P4458">
        <f t="shared" si="139"/>
        <v>55.845999999999997</v>
      </c>
    </row>
    <row r="4459" spans="1:16" x14ac:dyDescent="0.35">
      <c r="A4459" s="9" t="s">
        <v>495</v>
      </c>
      <c r="B4459" s="2">
        <v>80.05</v>
      </c>
      <c r="C4459" s="2">
        <v>81.114999999999995</v>
      </c>
      <c r="D4459" s="2">
        <v>79.849999999999994</v>
      </c>
      <c r="E4459" s="2">
        <v>80.94</v>
      </c>
      <c r="F4459" s="2">
        <v>11591388</v>
      </c>
      <c r="G4459" s="2" t="s">
        <v>576</v>
      </c>
      <c r="H4459" s="2" t="s">
        <v>577</v>
      </c>
      <c r="I4459" s="2" t="s">
        <v>578</v>
      </c>
      <c r="J4459" s="3">
        <v>0.63400000000000001</v>
      </c>
      <c r="K4459" s="2" t="s">
        <v>492</v>
      </c>
      <c r="L4459" s="2">
        <v>2024</v>
      </c>
      <c r="M4459" s="2" t="s">
        <v>227</v>
      </c>
      <c r="N4459" s="2" t="s">
        <v>21</v>
      </c>
      <c r="O4459">
        <f t="shared" si="138"/>
        <v>1.2650000000000006</v>
      </c>
      <c r="P4459">
        <f t="shared" si="139"/>
        <v>56.48</v>
      </c>
    </row>
    <row r="4460" spans="1:16" x14ac:dyDescent="0.35">
      <c r="A4460" s="9" t="s">
        <v>496</v>
      </c>
      <c r="B4460" s="2">
        <v>80.69</v>
      </c>
      <c r="C4460" s="2">
        <v>80.94</v>
      </c>
      <c r="D4460" s="2">
        <v>78.98</v>
      </c>
      <c r="E4460" s="2">
        <v>79.099999999999994</v>
      </c>
      <c r="F4460" s="2">
        <v>16791646</v>
      </c>
      <c r="G4460" s="2" t="s">
        <v>576</v>
      </c>
      <c r="H4460" s="2" t="s">
        <v>577</v>
      </c>
      <c r="I4460" s="2" t="s">
        <v>578</v>
      </c>
      <c r="J4460" s="4">
        <v>-2.2730000000000001</v>
      </c>
      <c r="K4460" s="2" t="s">
        <v>492</v>
      </c>
      <c r="L4460" s="2">
        <v>2024</v>
      </c>
      <c r="M4460" s="2" t="s">
        <v>227</v>
      </c>
      <c r="N4460" s="2" t="s">
        <v>23</v>
      </c>
      <c r="O4460">
        <f t="shared" si="138"/>
        <v>1.9599999999999937</v>
      </c>
      <c r="P4460">
        <f t="shared" si="139"/>
        <v>54.206999999999994</v>
      </c>
    </row>
    <row r="4461" spans="1:16" x14ac:dyDescent="0.35">
      <c r="A4461" s="9" t="s">
        <v>497</v>
      </c>
      <c r="B4461" s="2">
        <v>79.62</v>
      </c>
      <c r="C4461" s="2">
        <v>79.819999999999993</v>
      </c>
      <c r="D4461" s="2">
        <v>79.069999999999993</v>
      </c>
      <c r="E4461" s="2">
        <v>79.709999999999994</v>
      </c>
      <c r="F4461" s="2">
        <v>15269963</v>
      </c>
      <c r="G4461" s="2" t="s">
        <v>576</v>
      </c>
      <c r="H4461" s="2" t="s">
        <v>577</v>
      </c>
      <c r="I4461" s="2" t="s">
        <v>578</v>
      </c>
      <c r="J4461" s="3">
        <v>0.77100000000000002</v>
      </c>
      <c r="K4461" s="2" t="s">
        <v>492</v>
      </c>
      <c r="L4461" s="2">
        <v>2024</v>
      </c>
      <c r="M4461" s="2" t="s">
        <v>227</v>
      </c>
      <c r="N4461" s="2" t="s">
        <v>21</v>
      </c>
      <c r="O4461">
        <f t="shared" si="138"/>
        <v>0.75</v>
      </c>
      <c r="P4461">
        <f t="shared" si="139"/>
        <v>54.977999999999994</v>
      </c>
    </row>
    <row r="4462" spans="1:16" x14ac:dyDescent="0.35">
      <c r="A4462" s="9" t="s">
        <v>498</v>
      </c>
      <c r="B4462" s="2">
        <v>79.819999999999993</v>
      </c>
      <c r="C4462" s="2">
        <v>80.5</v>
      </c>
      <c r="D4462" s="2">
        <v>79.75</v>
      </c>
      <c r="E4462" s="2">
        <v>80.400000000000006</v>
      </c>
      <c r="F4462" s="2">
        <v>12413030</v>
      </c>
      <c r="G4462" s="2" t="s">
        <v>576</v>
      </c>
      <c r="H4462" s="2" t="s">
        <v>577</v>
      </c>
      <c r="I4462" s="2" t="s">
        <v>578</v>
      </c>
      <c r="J4462" s="3">
        <v>0.86599999999999999</v>
      </c>
      <c r="K4462" s="2" t="s">
        <v>492</v>
      </c>
      <c r="L4462" s="2">
        <v>2024</v>
      </c>
      <c r="M4462" s="2" t="s">
        <v>227</v>
      </c>
      <c r="N4462" s="2" t="s">
        <v>21</v>
      </c>
      <c r="O4462">
        <f t="shared" si="138"/>
        <v>0.75</v>
      </c>
      <c r="P4462">
        <f t="shared" si="139"/>
        <v>55.843999999999994</v>
      </c>
    </row>
    <row r="4463" spans="1:16" x14ac:dyDescent="0.35">
      <c r="A4463" s="9" t="s">
        <v>499</v>
      </c>
      <c r="B4463" s="2">
        <v>80.31</v>
      </c>
      <c r="C4463" s="2">
        <v>80.319999999999993</v>
      </c>
      <c r="D4463" s="2">
        <v>79.459999999999994</v>
      </c>
      <c r="E4463" s="2">
        <v>79.61</v>
      </c>
      <c r="F4463" s="2">
        <v>10812700</v>
      </c>
      <c r="G4463" s="2" t="s">
        <v>576</v>
      </c>
      <c r="H4463" s="2" t="s">
        <v>577</v>
      </c>
      <c r="I4463" s="2" t="s">
        <v>578</v>
      </c>
      <c r="J4463" s="4">
        <v>-0.98299999999999998</v>
      </c>
      <c r="K4463" s="2" t="s">
        <v>492</v>
      </c>
      <c r="L4463" s="2">
        <v>2024</v>
      </c>
      <c r="M4463" s="2" t="s">
        <v>227</v>
      </c>
      <c r="N4463" s="2" t="s">
        <v>23</v>
      </c>
      <c r="O4463">
        <f t="shared" si="138"/>
        <v>0.85999999999999943</v>
      </c>
      <c r="P4463">
        <f t="shared" si="139"/>
        <v>54.860999999999997</v>
      </c>
    </row>
    <row r="4464" spans="1:16" x14ac:dyDescent="0.35">
      <c r="A4464" s="9" t="s">
        <v>500</v>
      </c>
      <c r="B4464" s="2">
        <v>79.7</v>
      </c>
      <c r="C4464" s="2">
        <v>80.13</v>
      </c>
      <c r="D4464" s="2">
        <v>79.37</v>
      </c>
      <c r="E4464" s="2">
        <v>80.099999999999994</v>
      </c>
      <c r="F4464" s="2">
        <v>9570734</v>
      </c>
      <c r="G4464" s="2" t="s">
        <v>576</v>
      </c>
      <c r="H4464" s="2" t="s">
        <v>577</v>
      </c>
      <c r="I4464" s="2" t="s">
        <v>578</v>
      </c>
      <c r="J4464" s="3">
        <v>0.61599999999999999</v>
      </c>
      <c r="K4464" s="2" t="s">
        <v>492</v>
      </c>
      <c r="L4464" s="2">
        <v>2024</v>
      </c>
      <c r="M4464" s="2" t="s">
        <v>227</v>
      </c>
      <c r="N4464" s="2" t="s">
        <v>21</v>
      </c>
      <c r="O4464">
        <f t="shared" si="138"/>
        <v>0.75999999999999091</v>
      </c>
      <c r="P4464">
        <f t="shared" si="139"/>
        <v>55.476999999999997</v>
      </c>
    </row>
    <row r="4465" spans="1:16" x14ac:dyDescent="0.35">
      <c r="A4465" s="9" t="s">
        <v>501</v>
      </c>
      <c r="B4465" s="2">
        <v>80.05</v>
      </c>
      <c r="C4465" s="2">
        <v>80.510000000000005</v>
      </c>
      <c r="D4465" s="2">
        <v>79.760000000000005</v>
      </c>
      <c r="E4465" s="2">
        <v>80.290000000000006</v>
      </c>
      <c r="F4465" s="2">
        <v>9914477</v>
      </c>
      <c r="G4465" s="2" t="s">
        <v>576</v>
      </c>
      <c r="H4465" s="2" t="s">
        <v>577</v>
      </c>
      <c r="I4465" s="2" t="s">
        <v>578</v>
      </c>
      <c r="J4465" s="3">
        <v>0.23699999999999999</v>
      </c>
      <c r="K4465" s="2" t="s">
        <v>492</v>
      </c>
      <c r="L4465" s="2">
        <v>2024</v>
      </c>
      <c r="M4465" s="2" t="s">
        <v>227</v>
      </c>
      <c r="N4465" s="2" t="s">
        <v>21</v>
      </c>
      <c r="O4465">
        <f t="shared" si="138"/>
        <v>0.75</v>
      </c>
      <c r="P4465">
        <f t="shared" si="139"/>
        <v>55.713999999999999</v>
      </c>
    </row>
    <row r="4466" spans="1:16" x14ac:dyDescent="0.35">
      <c r="A4466" s="9" t="s">
        <v>502</v>
      </c>
      <c r="B4466" s="2">
        <v>80.67</v>
      </c>
      <c r="C4466" s="2">
        <v>81.819999999999993</v>
      </c>
      <c r="D4466" s="2">
        <v>80.510000000000005</v>
      </c>
      <c r="E4466" s="2">
        <v>81.650000000000006</v>
      </c>
      <c r="F4466" s="2">
        <v>13276221</v>
      </c>
      <c r="G4466" s="2" t="s">
        <v>576</v>
      </c>
      <c r="H4466" s="2" t="s">
        <v>577</v>
      </c>
      <c r="I4466" s="2" t="s">
        <v>578</v>
      </c>
      <c r="J4466" s="3">
        <v>1.694</v>
      </c>
      <c r="K4466" s="2" t="s">
        <v>492</v>
      </c>
      <c r="L4466" s="2">
        <v>2024</v>
      </c>
      <c r="M4466" s="2" t="s">
        <v>227</v>
      </c>
      <c r="N4466" s="2" t="s">
        <v>21</v>
      </c>
      <c r="O4466">
        <f t="shared" si="138"/>
        <v>1.3099999999999881</v>
      </c>
      <c r="P4466">
        <f t="shared" si="139"/>
        <v>57.408000000000001</v>
      </c>
    </row>
    <row r="4467" spans="1:16" x14ac:dyDescent="0.35">
      <c r="A4467" s="9" t="s">
        <v>503</v>
      </c>
      <c r="B4467" s="2">
        <v>81.53</v>
      </c>
      <c r="C4467" s="2">
        <v>81.66</v>
      </c>
      <c r="D4467" s="2">
        <v>80.62</v>
      </c>
      <c r="E4467" s="2">
        <v>81.22</v>
      </c>
      <c r="F4467" s="2">
        <v>11123254</v>
      </c>
      <c r="G4467" s="2" t="s">
        <v>576</v>
      </c>
      <c r="H4467" s="2" t="s">
        <v>577</v>
      </c>
      <c r="I4467" s="2" t="s">
        <v>578</v>
      </c>
      <c r="J4467" s="4">
        <v>-0.52700000000000002</v>
      </c>
      <c r="K4467" s="2" t="s">
        <v>492</v>
      </c>
      <c r="L4467" s="2">
        <v>2024</v>
      </c>
      <c r="M4467" s="2" t="s">
        <v>227</v>
      </c>
      <c r="N4467" s="2" t="s">
        <v>23</v>
      </c>
      <c r="O4467">
        <f t="shared" si="138"/>
        <v>1.039999999999992</v>
      </c>
      <c r="P4467">
        <f t="shared" si="139"/>
        <v>56.881</v>
      </c>
    </row>
    <row r="4468" spans="1:16" x14ac:dyDescent="0.35">
      <c r="A4468" s="9" t="s">
        <v>504</v>
      </c>
      <c r="B4468" s="2">
        <v>81.27</v>
      </c>
      <c r="C4468" s="2">
        <v>81.5</v>
      </c>
      <c r="D4468" s="2">
        <v>80.644999999999996</v>
      </c>
      <c r="E4468" s="2">
        <v>80.89</v>
      </c>
      <c r="F4468" s="2">
        <v>9424705</v>
      </c>
      <c r="G4468" s="2" t="s">
        <v>576</v>
      </c>
      <c r="H4468" s="2" t="s">
        <v>577</v>
      </c>
      <c r="I4468" s="2" t="s">
        <v>578</v>
      </c>
      <c r="J4468" s="4">
        <v>-0.40600000000000003</v>
      </c>
      <c r="K4468" s="2" t="s">
        <v>492</v>
      </c>
      <c r="L4468" s="2">
        <v>2024</v>
      </c>
      <c r="M4468" s="2" t="s">
        <v>227</v>
      </c>
      <c r="N4468" s="2" t="s">
        <v>23</v>
      </c>
      <c r="O4468">
        <f t="shared" si="138"/>
        <v>0.85500000000000398</v>
      </c>
      <c r="P4468">
        <f t="shared" si="139"/>
        <v>56.475000000000001</v>
      </c>
    </row>
    <row r="4469" spans="1:16" x14ac:dyDescent="0.35">
      <c r="A4469" s="9" t="s">
        <v>505</v>
      </c>
      <c r="B4469" s="2">
        <v>80.86</v>
      </c>
      <c r="C4469" s="2">
        <v>81.69</v>
      </c>
      <c r="D4469" s="2">
        <v>80.66</v>
      </c>
      <c r="E4469" s="2">
        <v>81.31</v>
      </c>
      <c r="F4469" s="2">
        <v>12324148</v>
      </c>
      <c r="G4469" s="2" t="s">
        <v>576</v>
      </c>
      <c r="H4469" s="2" t="s">
        <v>577</v>
      </c>
      <c r="I4469" s="2" t="s">
        <v>578</v>
      </c>
      <c r="J4469" s="3">
        <v>0.51900000000000002</v>
      </c>
      <c r="K4469" s="2" t="s">
        <v>492</v>
      </c>
      <c r="L4469" s="2">
        <v>2024</v>
      </c>
      <c r="M4469" s="2" t="s">
        <v>227</v>
      </c>
      <c r="N4469" s="2" t="s">
        <v>21</v>
      </c>
      <c r="O4469">
        <f t="shared" si="138"/>
        <v>1.0300000000000011</v>
      </c>
      <c r="P4469">
        <f t="shared" si="139"/>
        <v>56.994</v>
      </c>
    </row>
    <row r="4470" spans="1:16" x14ac:dyDescent="0.35">
      <c r="A4470" s="9" t="s">
        <v>506</v>
      </c>
      <c r="B4470" s="2">
        <v>81.23</v>
      </c>
      <c r="C4470" s="2">
        <v>81.55</v>
      </c>
      <c r="D4470" s="2">
        <v>80.72</v>
      </c>
      <c r="E4470" s="2">
        <v>80.81</v>
      </c>
      <c r="F4470" s="2">
        <v>9750376</v>
      </c>
      <c r="G4470" s="2" t="s">
        <v>576</v>
      </c>
      <c r="H4470" s="2" t="s">
        <v>577</v>
      </c>
      <c r="I4470" s="2" t="s">
        <v>578</v>
      </c>
      <c r="J4470" s="4">
        <v>-0.61499999999999999</v>
      </c>
      <c r="K4470" s="2" t="s">
        <v>492</v>
      </c>
      <c r="L4470" s="2">
        <v>2024</v>
      </c>
      <c r="M4470" s="2" t="s">
        <v>227</v>
      </c>
      <c r="N4470" s="2" t="s">
        <v>23</v>
      </c>
      <c r="O4470">
        <f t="shared" si="138"/>
        <v>0.82999999999999829</v>
      </c>
      <c r="P4470">
        <f t="shared" si="139"/>
        <v>56.378999999999998</v>
      </c>
    </row>
    <row r="4471" spans="1:16" x14ac:dyDescent="0.35">
      <c r="A4471" s="9" t="s">
        <v>507</v>
      </c>
      <c r="B4471" s="2">
        <v>81.11</v>
      </c>
      <c r="C4471" s="2">
        <v>82.224999999999994</v>
      </c>
      <c r="D4471" s="2">
        <v>80.825000000000003</v>
      </c>
      <c r="E4471" s="2">
        <v>82.02</v>
      </c>
      <c r="F4471" s="2">
        <v>12240149</v>
      </c>
      <c r="G4471" s="2" t="s">
        <v>576</v>
      </c>
      <c r="H4471" s="2" t="s">
        <v>577</v>
      </c>
      <c r="I4471" s="2" t="s">
        <v>578</v>
      </c>
      <c r="J4471" s="3">
        <v>1.4970000000000001</v>
      </c>
      <c r="K4471" s="2" t="s">
        <v>492</v>
      </c>
      <c r="L4471" s="2">
        <v>2024</v>
      </c>
      <c r="M4471" s="2" t="s">
        <v>227</v>
      </c>
      <c r="N4471" s="2" t="s">
        <v>21</v>
      </c>
      <c r="O4471">
        <f t="shared" si="138"/>
        <v>1.3999999999999915</v>
      </c>
      <c r="P4471">
        <f t="shared" si="139"/>
        <v>57.875999999999998</v>
      </c>
    </row>
    <row r="4472" spans="1:16" x14ac:dyDescent="0.35">
      <c r="A4472" s="9" t="s">
        <v>508</v>
      </c>
      <c r="B4472" s="2">
        <v>81.89</v>
      </c>
      <c r="C4472" s="2">
        <v>83.34</v>
      </c>
      <c r="D4472" s="2">
        <v>81.8</v>
      </c>
      <c r="E4472" s="2">
        <v>83.27</v>
      </c>
      <c r="F4472" s="2">
        <v>13058244</v>
      </c>
      <c r="G4472" s="2" t="s">
        <v>576</v>
      </c>
      <c r="H4472" s="2" t="s">
        <v>577</v>
      </c>
      <c r="I4472" s="2" t="s">
        <v>578</v>
      </c>
      <c r="J4472" s="3">
        <v>1.524</v>
      </c>
      <c r="K4472" s="2" t="s">
        <v>492</v>
      </c>
      <c r="L4472" s="2">
        <v>2024</v>
      </c>
      <c r="M4472" s="2" t="s">
        <v>227</v>
      </c>
      <c r="N4472" s="2" t="s">
        <v>21</v>
      </c>
      <c r="O4472">
        <f t="shared" si="138"/>
        <v>1.5400000000000063</v>
      </c>
      <c r="P4472">
        <f t="shared" si="139"/>
        <v>59.4</v>
      </c>
    </row>
    <row r="4473" spans="1:16" x14ac:dyDescent="0.35">
      <c r="A4473" s="9" t="s">
        <v>509</v>
      </c>
      <c r="B4473" s="2">
        <v>82.96</v>
      </c>
      <c r="C4473" s="2">
        <v>83.314999999999998</v>
      </c>
      <c r="D4473" s="2">
        <v>82.58</v>
      </c>
      <c r="E4473" s="2">
        <v>83.04</v>
      </c>
      <c r="F4473" s="2">
        <v>11645856</v>
      </c>
      <c r="G4473" s="2" t="s">
        <v>576</v>
      </c>
      <c r="H4473" s="2" t="s">
        <v>577</v>
      </c>
      <c r="I4473" s="2" t="s">
        <v>578</v>
      </c>
      <c r="J4473" s="4">
        <v>-0.27600000000000002</v>
      </c>
      <c r="K4473" s="2" t="s">
        <v>492</v>
      </c>
      <c r="L4473" s="2">
        <v>2024</v>
      </c>
      <c r="M4473" s="2" t="s">
        <v>227</v>
      </c>
      <c r="N4473" s="2" t="s">
        <v>23</v>
      </c>
      <c r="O4473">
        <f t="shared" si="138"/>
        <v>0.73499999999999943</v>
      </c>
      <c r="P4473">
        <f t="shared" si="139"/>
        <v>59.123999999999995</v>
      </c>
    </row>
    <row r="4474" spans="1:16" x14ac:dyDescent="0.35">
      <c r="A4474" s="9" t="s">
        <v>510</v>
      </c>
      <c r="B4474" s="2">
        <v>83.2</v>
      </c>
      <c r="C4474" s="2">
        <v>83.3</v>
      </c>
      <c r="D4474" s="2">
        <v>82.435000000000002</v>
      </c>
      <c r="E4474" s="2">
        <v>82.51</v>
      </c>
      <c r="F4474" s="2">
        <v>8959412</v>
      </c>
      <c r="G4474" s="2" t="s">
        <v>576</v>
      </c>
      <c r="H4474" s="2" t="s">
        <v>577</v>
      </c>
      <c r="I4474" s="2" t="s">
        <v>578</v>
      </c>
      <c r="J4474" s="4">
        <v>-0.63800000000000001</v>
      </c>
      <c r="K4474" s="2" t="s">
        <v>492</v>
      </c>
      <c r="L4474" s="2">
        <v>2024</v>
      </c>
      <c r="M4474" s="2" t="s">
        <v>227</v>
      </c>
      <c r="N4474" s="2" t="s">
        <v>23</v>
      </c>
      <c r="O4474">
        <f t="shared" si="138"/>
        <v>0.86499999999999488</v>
      </c>
      <c r="P4474">
        <f t="shared" si="139"/>
        <v>58.485999999999997</v>
      </c>
    </row>
    <row r="4475" spans="1:16" x14ac:dyDescent="0.35">
      <c r="A4475" s="9" t="s">
        <v>511</v>
      </c>
      <c r="B4475" s="2">
        <v>82.75</v>
      </c>
      <c r="C4475" s="2">
        <v>83.08</v>
      </c>
      <c r="D4475" s="2">
        <v>82.47</v>
      </c>
      <c r="E4475" s="2">
        <v>82.75</v>
      </c>
      <c r="F4475" s="2">
        <v>7990186</v>
      </c>
      <c r="G4475" s="2" t="s">
        <v>576</v>
      </c>
      <c r="H4475" s="2" t="s">
        <v>577</v>
      </c>
      <c r="I4475" s="2" t="s">
        <v>578</v>
      </c>
      <c r="J4475" s="3">
        <v>0.29099999999999998</v>
      </c>
      <c r="K4475" s="2" t="s">
        <v>492</v>
      </c>
      <c r="L4475" s="2">
        <v>2024</v>
      </c>
      <c r="M4475" s="2" t="s">
        <v>227</v>
      </c>
      <c r="N4475" s="2" t="s">
        <v>21</v>
      </c>
      <c r="O4475">
        <f t="shared" si="138"/>
        <v>0.60999999999999943</v>
      </c>
      <c r="P4475">
        <f t="shared" si="139"/>
        <v>58.776999999999994</v>
      </c>
    </row>
    <row r="4476" spans="1:16" x14ac:dyDescent="0.35">
      <c r="A4476" s="9" t="s">
        <v>512</v>
      </c>
      <c r="B4476" s="2">
        <v>82.67</v>
      </c>
      <c r="C4476" s="2">
        <v>82.86</v>
      </c>
      <c r="D4476" s="2">
        <v>81.665000000000006</v>
      </c>
      <c r="E4476" s="2">
        <v>81.7</v>
      </c>
      <c r="F4476" s="2">
        <v>9682403</v>
      </c>
      <c r="G4476" s="2" t="s">
        <v>576</v>
      </c>
      <c r="H4476" s="2" t="s">
        <v>577</v>
      </c>
      <c r="I4476" s="2" t="s">
        <v>578</v>
      </c>
      <c r="J4476" s="4">
        <v>-1.2689999999999999</v>
      </c>
      <c r="K4476" s="2" t="s">
        <v>492</v>
      </c>
      <c r="L4476" s="2">
        <v>2024</v>
      </c>
      <c r="M4476" s="2" t="s">
        <v>227</v>
      </c>
      <c r="N4476" s="2" t="s">
        <v>23</v>
      </c>
      <c r="O4476">
        <f t="shared" si="138"/>
        <v>1.1949999999999932</v>
      </c>
      <c r="P4476">
        <f t="shared" si="139"/>
        <v>57.507999999999996</v>
      </c>
    </row>
    <row r="4477" spans="1:16" x14ac:dyDescent="0.35">
      <c r="A4477" s="9" t="s">
        <v>513</v>
      </c>
      <c r="B4477" s="2">
        <v>81.599999999999994</v>
      </c>
      <c r="C4477" s="2">
        <v>81.83</v>
      </c>
      <c r="D4477" s="2">
        <v>81.3</v>
      </c>
      <c r="E4477" s="2">
        <v>81.39</v>
      </c>
      <c r="F4477" s="2">
        <v>9268824</v>
      </c>
      <c r="G4477" s="2" t="s">
        <v>576</v>
      </c>
      <c r="H4477" s="2" t="s">
        <v>577</v>
      </c>
      <c r="I4477" s="2" t="s">
        <v>578</v>
      </c>
      <c r="J4477" s="4">
        <v>-0.379</v>
      </c>
      <c r="K4477" s="2" t="s">
        <v>492</v>
      </c>
      <c r="L4477" s="2">
        <v>2024</v>
      </c>
      <c r="M4477" s="2" t="s">
        <v>227</v>
      </c>
      <c r="N4477" s="2" t="s">
        <v>23</v>
      </c>
      <c r="O4477">
        <f t="shared" si="138"/>
        <v>0.53000000000000114</v>
      </c>
      <c r="P4477">
        <f t="shared" si="139"/>
        <v>57.128999999999998</v>
      </c>
    </row>
    <row r="4478" spans="1:16" x14ac:dyDescent="0.35">
      <c r="A4478" s="9" t="s">
        <v>514</v>
      </c>
      <c r="B4478" s="2">
        <v>81.290000000000006</v>
      </c>
      <c r="C4478" s="2">
        <v>82.44</v>
      </c>
      <c r="D4478" s="2">
        <v>81.22</v>
      </c>
      <c r="E4478" s="2">
        <v>81.95</v>
      </c>
      <c r="F4478" s="2">
        <v>15538968</v>
      </c>
      <c r="G4478" s="2" t="s">
        <v>576</v>
      </c>
      <c r="H4478" s="2" t="s">
        <v>577</v>
      </c>
      <c r="I4478" s="2" t="s">
        <v>578</v>
      </c>
      <c r="J4478" s="3">
        <v>0.68799999999999994</v>
      </c>
      <c r="K4478" s="2" t="s">
        <v>492</v>
      </c>
      <c r="L4478" s="2">
        <v>2024</v>
      </c>
      <c r="M4478" s="2" t="s">
        <v>227</v>
      </c>
      <c r="N4478" s="2" t="s">
        <v>21</v>
      </c>
      <c r="O4478">
        <f t="shared" si="138"/>
        <v>1.2199999999999989</v>
      </c>
      <c r="P4478">
        <f t="shared" si="139"/>
        <v>57.817</v>
      </c>
    </row>
    <row r="4479" spans="1:16" x14ac:dyDescent="0.35">
      <c r="A4479" s="9" t="s">
        <v>515</v>
      </c>
      <c r="B4479" s="2">
        <v>82.53</v>
      </c>
      <c r="C4479" s="2">
        <v>82.53</v>
      </c>
      <c r="D4479" s="2">
        <v>81.540000000000006</v>
      </c>
      <c r="E4479" s="2">
        <v>82.19</v>
      </c>
      <c r="F4479" s="2">
        <v>12181833</v>
      </c>
      <c r="G4479" s="2" t="s">
        <v>576</v>
      </c>
      <c r="H4479" s="2" t="s">
        <v>577</v>
      </c>
      <c r="I4479" s="2" t="s">
        <v>578</v>
      </c>
      <c r="J4479" s="3">
        <v>0.29299999999999998</v>
      </c>
      <c r="K4479" s="2" t="s">
        <v>516</v>
      </c>
      <c r="L4479" s="2">
        <v>2024</v>
      </c>
      <c r="M4479" s="2" t="s">
        <v>251</v>
      </c>
      <c r="N4479" s="2" t="s">
        <v>21</v>
      </c>
      <c r="O4479">
        <f t="shared" si="138"/>
        <v>0.98999999999999488</v>
      </c>
      <c r="P4479">
        <f t="shared" si="139"/>
        <v>58.11</v>
      </c>
    </row>
    <row r="4480" spans="1:16" x14ac:dyDescent="0.35">
      <c r="A4480" s="9" t="s">
        <v>517</v>
      </c>
      <c r="B4480" s="2">
        <v>82.2</v>
      </c>
      <c r="C4480" s="2">
        <v>82.905000000000001</v>
      </c>
      <c r="D4480" s="2">
        <v>82</v>
      </c>
      <c r="E4480" s="2">
        <v>82.45</v>
      </c>
      <c r="F4480" s="2">
        <v>11731043</v>
      </c>
      <c r="G4480" s="2" t="s">
        <v>576</v>
      </c>
      <c r="H4480" s="2" t="s">
        <v>577</v>
      </c>
      <c r="I4480" s="2" t="s">
        <v>578</v>
      </c>
      <c r="J4480" s="3">
        <v>0.316</v>
      </c>
      <c r="K4480" s="2" t="s">
        <v>516</v>
      </c>
      <c r="L4480" s="2">
        <v>2024</v>
      </c>
      <c r="M4480" s="2" t="s">
        <v>251</v>
      </c>
      <c r="N4480" s="2" t="s">
        <v>21</v>
      </c>
      <c r="O4480">
        <f t="shared" si="138"/>
        <v>0.90500000000000114</v>
      </c>
      <c r="P4480">
        <f t="shared" si="139"/>
        <v>58.426000000000002</v>
      </c>
    </row>
    <row r="4481" spans="1:16" x14ac:dyDescent="0.35">
      <c r="A4481" s="9" t="s">
        <v>518</v>
      </c>
      <c r="B4481" s="2">
        <v>82.68</v>
      </c>
      <c r="C4481" s="2">
        <v>83.77</v>
      </c>
      <c r="D4481" s="2">
        <v>82.51</v>
      </c>
      <c r="E4481" s="2">
        <v>83.68</v>
      </c>
      <c r="F4481" s="2">
        <v>10612489</v>
      </c>
      <c r="G4481" s="2" t="s">
        <v>576</v>
      </c>
      <c r="H4481" s="2" t="s">
        <v>577</v>
      </c>
      <c r="I4481" s="2" t="s">
        <v>578</v>
      </c>
      <c r="J4481" s="3">
        <v>1.492</v>
      </c>
      <c r="K4481" s="2" t="s">
        <v>516</v>
      </c>
      <c r="L4481" s="2">
        <v>2024</v>
      </c>
      <c r="M4481" s="2" t="s">
        <v>251</v>
      </c>
      <c r="N4481" s="2" t="s">
        <v>21</v>
      </c>
      <c r="O4481">
        <f t="shared" si="138"/>
        <v>1.2599999999999909</v>
      </c>
      <c r="P4481">
        <f t="shared" si="139"/>
        <v>59.917999999999999</v>
      </c>
    </row>
    <row r="4482" spans="1:16" x14ac:dyDescent="0.35">
      <c r="A4482" s="9" t="s">
        <v>519</v>
      </c>
      <c r="B4482" s="2">
        <v>85.14</v>
      </c>
      <c r="C4482" s="2">
        <v>85.54</v>
      </c>
      <c r="D4482" s="2">
        <v>82.06</v>
      </c>
      <c r="E4482" s="2">
        <v>83.44</v>
      </c>
      <c r="F4482" s="2">
        <v>19974038</v>
      </c>
      <c r="G4482" s="2" t="s">
        <v>576</v>
      </c>
      <c r="H4482" s="2" t="s">
        <v>577</v>
      </c>
      <c r="I4482" s="2" t="s">
        <v>578</v>
      </c>
      <c r="J4482" s="4">
        <v>-0.28699999999999998</v>
      </c>
      <c r="K4482" s="2" t="s">
        <v>516</v>
      </c>
      <c r="L4482" s="2">
        <v>2024</v>
      </c>
      <c r="M4482" s="2" t="s">
        <v>251</v>
      </c>
      <c r="N4482" s="2" t="s">
        <v>23</v>
      </c>
      <c r="O4482">
        <f t="shared" si="138"/>
        <v>3.480000000000004</v>
      </c>
      <c r="P4482">
        <f t="shared" si="139"/>
        <v>59.631</v>
      </c>
    </row>
    <row r="4483" spans="1:16" x14ac:dyDescent="0.35">
      <c r="A4483" s="9" t="s">
        <v>520</v>
      </c>
      <c r="B4483" s="2">
        <v>83.72</v>
      </c>
      <c r="C4483" s="2">
        <v>84.39</v>
      </c>
      <c r="D4483" s="2">
        <v>83.42</v>
      </c>
      <c r="E4483" s="2">
        <v>83.85</v>
      </c>
      <c r="F4483" s="2">
        <v>12665777</v>
      </c>
      <c r="G4483" s="2" t="s">
        <v>576</v>
      </c>
      <c r="H4483" s="2" t="s">
        <v>577</v>
      </c>
      <c r="I4483" s="2" t="s">
        <v>578</v>
      </c>
      <c r="J4483" s="3">
        <v>0.49099999999999999</v>
      </c>
      <c r="K4483" s="2" t="s">
        <v>516</v>
      </c>
      <c r="L4483" s="2">
        <v>2024</v>
      </c>
      <c r="M4483" s="2" t="s">
        <v>251</v>
      </c>
      <c r="N4483" s="2" t="s">
        <v>21</v>
      </c>
      <c r="O4483">
        <f t="shared" ref="O4483:O4546" si="140">C4483-D4483</f>
        <v>0.96999999999999886</v>
      </c>
      <c r="P4483">
        <f t="shared" si="139"/>
        <v>60.122</v>
      </c>
    </row>
    <row r="4484" spans="1:16" x14ac:dyDescent="0.35">
      <c r="A4484" s="9" t="s">
        <v>521</v>
      </c>
      <c r="B4484" s="2">
        <v>84.28</v>
      </c>
      <c r="C4484" s="2">
        <v>85.42</v>
      </c>
      <c r="D4484" s="2">
        <v>84.23</v>
      </c>
      <c r="E4484" s="2">
        <v>84.83</v>
      </c>
      <c r="F4484" s="2">
        <v>14396543</v>
      </c>
      <c r="G4484" s="2" t="s">
        <v>576</v>
      </c>
      <c r="H4484" s="2" t="s">
        <v>577</v>
      </c>
      <c r="I4484" s="2" t="s">
        <v>578</v>
      </c>
      <c r="J4484" s="3">
        <v>1.169</v>
      </c>
      <c r="K4484" s="2" t="s">
        <v>516</v>
      </c>
      <c r="L4484" s="2">
        <v>2024</v>
      </c>
      <c r="M4484" s="2" t="s">
        <v>251</v>
      </c>
      <c r="N4484" s="2" t="s">
        <v>21</v>
      </c>
      <c r="O4484">
        <f t="shared" si="140"/>
        <v>1.1899999999999977</v>
      </c>
      <c r="P4484">
        <f t="shared" ref="P4484:P4547" si="141">IF(G4484=G4483, P4483+J4484, J4484)</f>
        <v>61.290999999999997</v>
      </c>
    </row>
    <row r="4485" spans="1:16" x14ac:dyDescent="0.35">
      <c r="A4485" s="9" t="s">
        <v>522</v>
      </c>
      <c r="B4485" s="2">
        <v>84.95</v>
      </c>
      <c r="C4485" s="2">
        <v>85.41</v>
      </c>
      <c r="D4485" s="2">
        <v>84.12</v>
      </c>
      <c r="E4485" s="2">
        <v>84.21</v>
      </c>
      <c r="F4485" s="2">
        <v>10433166</v>
      </c>
      <c r="G4485" s="2" t="s">
        <v>576</v>
      </c>
      <c r="H4485" s="2" t="s">
        <v>577</v>
      </c>
      <c r="I4485" s="2" t="s">
        <v>578</v>
      </c>
      <c r="J4485" s="4">
        <v>-0.73099999999999998</v>
      </c>
      <c r="K4485" s="2" t="s">
        <v>516</v>
      </c>
      <c r="L4485" s="2">
        <v>2024</v>
      </c>
      <c r="M4485" s="2" t="s">
        <v>251</v>
      </c>
      <c r="N4485" s="2" t="s">
        <v>23</v>
      </c>
      <c r="O4485">
        <f t="shared" si="140"/>
        <v>1.289999999999992</v>
      </c>
      <c r="P4485">
        <f t="shared" si="141"/>
        <v>60.559999999999995</v>
      </c>
    </row>
    <row r="4486" spans="1:16" x14ac:dyDescent="0.35">
      <c r="A4486" s="9" t="s">
        <v>523</v>
      </c>
      <c r="B4486" s="2">
        <v>84.5</v>
      </c>
      <c r="C4486" s="2">
        <v>85.53</v>
      </c>
      <c r="D4486" s="2">
        <v>84.5</v>
      </c>
      <c r="E4486" s="2">
        <v>84.99</v>
      </c>
      <c r="F4486" s="2">
        <v>12860194</v>
      </c>
      <c r="G4486" s="2" t="s">
        <v>576</v>
      </c>
      <c r="H4486" s="2" t="s">
        <v>577</v>
      </c>
      <c r="I4486" s="2" t="s">
        <v>578</v>
      </c>
      <c r="J4486" s="3">
        <v>0.92600000000000005</v>
      </c>
      <c r="K4486" s="2" t="s">
        <v>516</v>
      </c>
      <c r="L4486" s="2">
        <v>2024</v>
      </c>
      <c r="M4486" s="2" t="s">
        <v>251</v>
      </c>
      <c r="N4486" s="2" t="s">
        <v>21</v>
      </c>
      <c r="O4486">
        <f t="shared" si="140"/>
        <v>1.0300000000000011</v>
      </c>
      <c r="P4486">
        <f t="shared" si="141"/>
        <v>61.485999999999997</v>
      </c>
    </row>
    <row r="4487" spans="1:16" x14ac:dyDescent="0.35">
      <c r="A4487" s="9" t="s">
        <v>524</v>
      </c>
      <c r="B4487" s="2">
        <v>84.938999999999993</v>
      </c>
      <c r="C4487" s="2">
        <v>85.79</v>
      </c>
      <c r="D4487" s="2">
        <v>84.77</v>
      </c>
      <c r="E4487" s="2">
        <v>85.5</v>
      </c>
      <c r="F4487" s="2">
        <v>12802622</v>
      </c>
      <c r="G4487" s="2" t="s">
        <v>576</v>
      </c>
      <c r="H4487" s="2" t="s">
        <v>577</v>
      </c>
      <c r="I4487" s="2" t="s">
        <v>578</v>
      </c>
      <c r="J4487" s="3">
        <v>0.6</v>
      </c>
      <c r="K4487" s="2" t="s">
        <v>516</v>
      </c>
      <c r="L4487" s="2">
        <v>2024</v>
      </c>
      <c r="M4487" s="2" t="s">
        <v>251</v>
      </c>
      <c r="N4487" s="2" t="s">
        <v>21</v>
      </c>
      <c r="O4487">
        <f t="shared" si="140"/>
        <v>1.0200000000000102</v>
      </c>
      <c r="P4487">
        <f t="shared" si="141"/>
        <v>62.085999999999999</v>
      </c>
    </row>
    <row r="4488" spans="1:16" x14ac:dyDescent="0.35">
      <c r="A4488" s="9" t="s">
        <v>525</v>
      </c>
      <c r="B4488" s="2">
        <v>85.09</v>
      </c>
      <c r="C4488" s="2">
        <v>85.76</v>
      </c>
      <c r="D4488" s="2">
        <v>84.34</v>
      </c>
      <c r="E4488" s="2">
        <v>84.47</v>
      </c>
      <c r="F4488" s="2">
        <v>15740732</v>
      </c>
      <c r="G4488" s="2" t="s">
        <v>576</v>
      </c>
      <c r="H4488" s="2" t="s">
        <v>577</v>
      </c>
      <c r="I4488" s="2" t="s">
        <v>578</v>
      </c>
      <c r="J4488" s="4">
        <v>-1.2050000000000001</v>
      </c>
      <c r="K4488" s="2" t="s">
        <v>516</v>
      </c>
      <c r="L4488" s="2">
        <v>2024</v>
      </c>
      <c r="M4488" s="2" t="s">
        <v>251</v>
      </c>
      <c r="N4488" s="2" t="s">
        <v>23</v>
      </c>
      <c r="O4488">
        <f t="shared" si="140"/>
        <v>1.4200000000000017</v>
      </c>
      <c r="P4488">
        <f t="shared" si="141"/>
        <v>60.881</v>
      </c>
    </row>
    <row r="4489" spans="1:16" x14ac:dyDescent="0.35">
      <c r="A4489" s="9" t="s">
        <v>526</v>
      </c>
      <c r="B4489" s="2">
        <v>84.53</v>
      </c>
      <c r="C4489" s="2">
        <v>84.78</v>
      </c>
      <c r="D4489" s="2">
        <v>83.941999999999993</v>
      </c>
      <c r="E4489" s="2">
        <v>84.25</v>
      </c>
      <c r="F4489" s="2">
        <v>17370602</v>
      </c>
      <c r="G4489" s="2" t="s">
        <v>576</v>
      </c>
      <c r="H4489" s="2" t="s">
        <v>577</v>
      </c>
      <c r="I4489" s="2" t="s">
        <v>578</v>
      </c>
      <c r="J4489" s="4">
        <v>-0.26</v>
      </c>
      <c r="K4489" s="2" t="s">
        <v>516</v>
      </c>
      <c r="L4489" s="2">
        <v>2024</v>
      </c>
      <c r="M4489" s="2" t="s">
        <v>251</v>
      </c>
      <c r="N4489" s="2" t="s">
        <v>23</v>
      </c>
      <c r="O4489">
        <f t="shared" si="140"/>
        <v>0.83800000000000807</v>
      </c>
      <c r="P4489">
        <f t="shared" si="141"/>
        <v>60.621000000000002</v>
      </c>
    </row>
    <row r="4490" spans="1:16" x14ac:dyDescent="0.35">
      <c r="A4490" s="9" t="s">
        <v>527</v>
      </c>
      <c r="B4490" s="2">
        <v>84.82</v>
      </c>
      <c r="C4490" s="2">
        <v>84.85</v>
      </c>
      <c r="D4490" s="2">
        <v>83.66</v>
      </c>
      <c r="E4490" s="2">
        <v>84.08</v>
      </c>
      <c r="F4490" s="2">
        <v>25278121</v>
      </c>
      <c r="G4490" s="2" t="s">
        <v>576</v>
      </c>
      <c r="H4490" s="2" t="s">
        <v>577</v>
      </c>
      <c r="I4490" s="2" t="s">
        <v>578</v>
      </c>
      <c r="J4490" s="4">
        <v>-0.20200000000000001</v>
      </c>
      <c r="K4490" s="2" t="s">
        <v>516</v>
      </c>
      <c r="L4490" s="2">
        <v>2024</v>
      </c>
      <c r="M4490" s="2" t="s">
        <v>251</v>
      </c>
      <c r="N4490" s="2" t="s">
        <v>23</v>
      </c>
      <c r="O4490">
        <f t="shared" si="140"/>
        <v>1.1899999999999977</v>
      </c>
      <c r="P4490">
        <f t="shared" si="141"/>
        <v>60.419000000000004</v>
      </c>
    </row>
    <row r="4491" spans="1:16" x14ac:dyDescent="0.35">
      <c r="A4491" s="9" t="s">
        <v>528</v>
      </c>
      <c r="B4491" s="2">
        <v>86.23</v>
      </c>
      <c r="C4491" s="2">
        <v>88.29</v>
      </c>
      <c r="D4491" s="2">
        <v>85.91</v>
      </c>
      <c r="E4491" s="2">
        <v>86.6</v>
      </c>
      <c r="F4491" s="2">
        <v>36340856</v>
      </c>
      <c r="G4491" s="2" t="s">
        <v>576</v>
      </c>
      <c r="H4491" s="2" t="s">
        <v>577</v>
      </c>
      <c r="I4491" s="2" t="s">
        <v>578</v>
      </c>
      <c r="J4491" s="3">
        <v>2.9969999999999999</v>
      </c>
      <c r="K4491" s="2" t="s">
        <v>516</v>
      </c>
      <c r="L4491" s="2">
        <v>2024</v>
      </c>
      <c r="M4491" s="2" t="s">
        <v>251</v>
      </c>
      <c r="N4491" s="2" t="s">
        <v>21</v>
      </c>
      <c r="O4491">
        <f t="shared" si="140"/>
        <v>2.3800000000000097</v>
      </c>
      <c r="P4491">
        <f t="shared" si="141"/>
        <v>63.416000000000004</v>
      </c>
    </row>
    <row r="4492" spans="1:16" x14ac:dyDescent="0.35">
      <c r="A4492" s="9" t="s">
        <v>529</v>
      </c>
      <c r="B4492" s="2">
        <v>86.6</v>
      </c>
      <c r="C4492" s="2">
        <v>87.2</v>
      </c>
      <c r="D4492" s="2">
        <v>85.91</v>
      </c>
      <c r="E4492" s="2">
        <v>87.18</v>
      </c>
      <c r="F4492" s="2">
        <v>18183193</v>
      </c>
      <c r="G4492" s="2" t="s">
        <v>576</v>
      </c>
      <c r="H4492" s="2" t="s">
        <v>577</v>
      </c>
      <c r="I4492" s="2" t="s">
        <v>578</v>
      </c>
      <c r="J4492" s="3">
        <v>0.67</v>
      </c>
      <c r="K4492" s="2" t="s">
        <v>516</v>
      </c>
      <c r="L4492" s="2">
        <v>2024</v>
      </c>
      <c r="M4492" s="2" t="s">
        <v>251</v>
      </c>
      <c r="N4492" s="2" t="s">
        <v>21</v>
      </c>
      <c r="O4492">
        <f t="shared" si="140"/>
        <v>1.2900000000000063</v>
      </c>
      <c r="P4492">
        <f t="shared" si="141"/>
        <v>64.085999999999999</v>
      </c>
    </row>
    <row r="4493" spans="1:16" x14ac:dyDescent="0.35">
      <c r="A4493" s="9" t="s">
        <v>530</v>
      </c>
      <c r="B4493" s="2">
        <v>87.45</v>
      </c>
      <c r="C4493" s="2">
        <v>88.64</v>
      </c>
      <c r="D4493" s="2">
        <v>86.93</v>
      </c>
      <c r="E4493" s="2">
        <v>88.39</v>
      </c>
      <c r="F4493" s="2">
        <v>18729222</v>
      </c>
      <c r="G4493" s="2" t="s">
        <v>576</v>
      </c>
      <c r="H4493" s="2" t="s">
        <v>577</v>
      </c>
      <c r="I4493" s="2" t="s">
        <v>578</v>
      </c>
      <c r="J4493" s="3">
        <v>1.3879999999999999</v>
      </c>
      <c r="K4493" s="2" t="s">
        <v>516</v>
      </c>
      <c r="L4493" s="2">
        <v>2024</v>
      </c>
      <c r="M4493" s="2" t="s">
        <v>251</v>
      </c>
      <c r="N4493" s="2" t="s">
        <v>21</v>
      </c>
      <c r="O4493">
        <f t="shared" si="140"/>
        <v>1.7099999999999937</v>
      </c>
      <c r="P4493">
        <f t="shared" si="141"/>
        <v>65.474000000000004</v>
      </c>
    </row>
    <row r="4494" spans="1:16" x14ac:dyDescent="0.35">
      <c r="A4494" s="9" t="s">
        <v>531</v>
      </c>
      <c r="B4494" s="2">
        <v>89.194999999999993</v>
      </c>
      <c r="C4494" s="2">
        <v>90.91</v>
      </c>
      <c r="D4494" s="2">
        <v>88.93</v>
      </c>
      <c r="E4494" s="2">
        <v>90.44</v>
      </c>
      <c r="F4494" s="2">
        <v>23990645</v>
      </c>
      <c r="G4494" s="2" t="s">
        <v>576</v>
      </c>
      <c r="H4494" s="2" t="s">
        <v>577</v>
      </c>
      <c r="I4494" s="2" t="s">
        <v>578</v>
      </c>
      <c r="J4494" s="3">
        <v>2.319</v>
      </c>
      <c r="K4494" s="2" t="s">
        <v>516</v>
      </c>
      <c r="L4494" s="2">
        <v>2024</v>
      </c>
      <c r="M4494" s="2" t="s">
        <v>251</v>
      </c>
      <c r="N4494" s="2" t="s">
        <v>21</v>
      </c>
      <c r="O4494">
        <f t="shared" si="140"/>
        <v>1.9799999999999898</v>
      </c>
      <c r="P4494">
        <f t="shared" si="141"/>
        <v>67.793000000000006</v>
      </c>
    </row>
    <row r="4495" spans="1:16" x14ac:dyDescent="0.35">
      <c r="A4495" s="9" t="s">
        <v>532</v>
      </c>
      <c r="B4495" s="2">
        <v>90.64</v>
      </c>
      <c r="C4495" s="2">
        <v>90.95</v>
      </c>
      <c r="D4495" s="2">
        <v>89.06</v>
      </c>
      <c r="E4495" s="2">
        <v>89.5</v>
      </c>
      <c r="F4495" s="2">
        <v>25078633</v>
      </c>
      <c r="G4495" s="2" t="s">
        <v>576</v>
      </c>
      <c r="H4495" s="2" t="s">
        <v>577</v>
      </c>
      <c r="I4495" s="2" t="s">
        <v>578</v>
      </c>
      <c r="J4495" s="4">
        <v>-1.0389999999999999</v>
      </c>
      <c r="K4495" s="2" t="s">
        <v>516</v>
      </c>
      <c r="L4495" s="2">
        <v>2024</v>
      </c>
      <c r="M4495" s="2" t="s">
        <v>251</v>
      </c>
      <c r="N4495" s="2" t="s">
        <v>23</v>
      </c>
      <c r="O4495">
        <f t="shared" si="140"/>
        <v>1.8900000000000006</v>
      </c>
      <c r="P4495">
        <f t="shared" si="141"/>
        <v>66.754000000000005</v>
      </c>
    </row>
    <row r="4496" spans="1:16" x14ac:dyDescent="0.35">
      <c r="A4496" s="9" t="s">
        <v>533</v>
      </c>
      <c r="B4496" s="2">
        <v>89.89</v>
      </c>
      <c r="C4496" s="2">
        <v>91.88</v>
      </c>
      <c r="D4496" s="2">
        <v>89.84</v>
      </c>
      <c r="E4496" s="2">
        <v>91.31</v>
      </c>
      <c r="F4496" s="2">
        <v>16657022</v>
      </c>
      <c r="G4496" s="2" t="s">
        <v>576</v>
      </c>
      <c r="H4496" s="2" t="s">
        <v>577</v>
      </c>
      <c r="I4496" s="2" t="s">
        <v>578</v>
      </c>
      <c r="J4496" s="3">
        <v>2.0219999999999998</v>
      </c>
      <c r="K4496" s="2" t="s">
        <v>516</v>
      </c>
      <c r="L4496" s="2">
        <v>2024</v>
      </c>
      <c r="M4496" s="2" t="s">
        <v>251</v>
      </c>
      <c r="N4496" s="2" t="s">
        <v>21</v>
      </c>
      <c r="O4496">
        <f t="shared" si="140"/>
        <v>2.039999999999992</v>
      </c>
      <c r="P4496">
        <f t="shared" si="141"/>
        <v>68.77600000000001</v>
      </c>
    </row>
    <row r="4497" spans="1:16" x14ac:dyDescent="0.35">
      <c r="A4497" s="9" t="s">
        <v>534</v>
      </c>
      <c r="B4497" s="2">
        <v>92.1</v>
      </c>
      <c r="C4497" s="2">
        <v>92.25</v>
      </c>
      <c r="D4497" s="2">
        <v>91.31</v>
      </c>
      <c r="E4497" s="2">
        <v>91.88</v>
      </c>
      <c r="F4497" s="2">
        <v>14358861</v>
      </c>
      <c r="G4497" s="2" t="s">
        <v>576</v>
      </c>
      <c r="H4497" s="2" t="s">
        <v>577</v>
      </c>
      <c r="I4497" s="2" t="s">
        <v>578</v>
      </c>
      <c r="J4497" s="3">
        <v>0.624</v>
      </c>
      <c r="K4497" s="2" t="s">
        <v>516</v>
      </c>
      <c r="L4497" s="2">
        <v>2024</v>
      </c>
      <c r="M4497" s="2" t="s">
        <v>251</v>
      </c>
      <c r="N4497" s="2" t="s">
        <v>21</v>
      </c>
      <c r="O4497">
        <f t="shared" si="140"/>
        <v>0.93999999999999773</v>
      </c>
      <c r="P4497">
        <f t="shared" si="141"/>
        <v>69.400000000000006</v>
      </c>
    </row>
    <row r="4498" spans="1:16" x14ac:dyDescent="0.35">
      <c r="A4498" s="9" t="s">
        <v>535</v>
      </c>
      <c r="B4498" s="2">
        <v>92.26</v>
      </c>
      <c r="C4498" s="2">
        <v>92.64</v>
      </c>
      <c r="D4498" s="2">
        <v>91.82</v>
      </c>
      <c r="E4498" s="2">
        <v>92.5</v>
      </c>
      <c r="F4498" s="2">
        <v>11041178</v>
      </c>
      <c r="G4498" s="2" t="s">
        <v>576</v>
      </c>
      <c r="H4498" s="2" t="s">
        <v>577</v>
      </c>
      <c r="I4498" s="2" t="s">
        <v>578</v>
      </c>
      <c r="J4498" s="3">
        <v>0.67500000000000004</v>
      </c>
      <c r="K4498" s="2" t="s">
        <v>516</v>
      </c>
      <c r="L4498" s="2">
        <v>2024</v>
      </c>
      <c r="M4498" s="2" t="s">
        <v>251</v>
      </c>
      <c r="N4498" s="2" t="s">
        <v>21</v>
      </c>
      <c r="O4498">
        <f t="shared" si="140"/>
        <v>0.82000000000000739</v>
      </c>
      <c r="P4498">
        <f t="shared" si="141"/>
        <v>70.075000000000003</v>
      </c>
    </row>
    <row r="4499" spans="1:16" x14ac:dyDescent="0.35">
      <c r="A4499" s="9" t="s">
        <v>536</v>
      </c>
      <c r="B4499" s="2">
        <v>92.989000000000004</v>
      </c>
      <c r="C4499" s="2">
        <v>92.989000000000004</v>
      </c>
      <c r="D4499" s="2">
        <v>91.95</v>
      </c>
      <c r="E4499" s="2">
        <v>92.64</v>
      </c>
      <c r="F4499" s="2">
        <v>17172953</v>
      </c>
      <c r="G4499" s="2" t="s">
        <v>576</v>
      </c>
      <c r="H4499" s="2" t="s">
        <v>577</v>
      </c>
      <c r="I4499" s="2" t="s">
        <v>578</v>
      </c>
      <c r="J4499" s="3">
        <v>0.151</v>
      </c>
      <c r="K4499" s="2" t="s">
        <v>537</v>
      </c>
      <c r="L4499" s="2">
        <v>2024</v>
      </c>
      <c r="M4499" s="2" t="s">
        <v>274</v>
      </c>
      <c r="N4499" s="2" t="s">
        <v>21</v>
      </c>
      <c r="O4499">
        <f t="shared" si="140"/>
        <v>1.0390000000000015</v>
      </c>
      <c r="P4499">
        <f t="shared" si="141"/>
        <v>70.225999999999999</v>
      </c>
    </row>
    <row r="4500" spans="1:16" x14ac:dyDescent="0.35">
      <c r="A4500" s="9" t="s">
        <v>538</v>
      </c>
      <c r="B4500" s="2">
        <v>92.78</v>
      </c>
      <c r="C4500" s="2">
        <v>93.59</v>
      </c>
      <c r="D4500" s="2">
        <v>92.26</v>
      </c>
      <c r="E4500" s="2">
        <v>93.51</v>
      </c>
      <c r="F4500" s="2">
        <v>17775226</v>
      </c>
      <c r="G4500" s="2" t="s">
        <v>576</v>
      </c>
      <c r="H4500" s="2" t="s">
        <v>577</v>
      </c>
      <c r="I4500" s="2" t="s">
        <v>578</v>
      </c>
      <c r="J4500" s="3">
        <v>0.93899999999999995</v>
      </c>
      <c r="K4500" s="2" t="s">
        <v>537</v>
      </c>
      <c r="L4500" s="2">
        <v>2024</v>
      </c>
      <c r="M4500" s="2" t="s">
        <v>274</v>
      </c>
      <c r="N4500" s="2" t="s">
        <v>21</v>
      </c>
      <c r="O4500">
        <f t="shared" si="140"/>
        <v>1.3299999999999983</v>
      </c>
      <c r="P4500">
        <f t="shared" si="141"/>
        <v>71.164999999999992</v>
      </c>
    </row>
    <row r="4501" spans="1:16" x14ac:dyDescent="0.35">
      <c r="A4501" s="9" t="s">
        <v>539</v>
      </c>
      <c r="B4501" s="2">
        <v>93.45</v>
      </c>
      <c r="C4501" s="2">
        <v>94.515000000000001</v>
      </c>
      <c r="D4501" s="2">
        <v>93.05</v>
      </c>
      <c r="E4501" s="2">
        <v>94.45</v>
      </c>
      <c r="F4501" s="2">
        <v>17312575</v>
      </c>
      <c r="G4501" s="2" t="s">
        <v>576</v>
      </c>
      <c r="H4501" s="2" t="s">
        <v>577</v>
      </c>
      <c r="I4501" s="2" t="s">
        <v>578</v>
      </c>
      <c r="J4501" s="3">
        <v>1.0049999999999999</v>
      </c>
      <c r="K4501" s="2" t="s">
        <v>537</v>
      </c>
      <c r="L4501" s="2">
        <v>2024</v>
      </c>
      <c r="M4501" s="2" t="s">
        <v>274</v>
      </c>
      <c r="N4501" s="2" t="s">
        <v>21</v>
      </c>
      <c r="O4501">
        <f t="shared" si="140"/>
        <v>1.4650000000000034</v>
      </c>
      <c r="P4501">
        <f t="shared" si="141"/>
        <v>72.169999999999987</v>
      </c>
    </row>
    <row r="4502" spans="1:16" x14ac:dyDescent="0.35">
      <c r="A4502" s="9" t="s">
        <v>540</v>
      </c>
      <c r="B4502" s="2">
        <v>94.89</v>
      </c>
      <c r="C4502" s="2">
        <v>95.6</v>
      </c>
      <c r="D4502" s="2">
        <v>94.34</v>
      </c>
      <c r="E4502" s="2">
        <v>95.3</v>
      </c>
      <c r="F4502" s="2">
        <v>21932325</v>
      </c>
      <c r="G4502" s="2" t="s">
        <v>576</v>
      </c>
      <c r="H4502" s="2" t="s">
        <v>577</v>
      </c>
      <c r="I4502" s="2" t="s">
        <v>578</v>
      </c>
      <c r="J4502" s="3">
        <v>0.9</v>
      </c>
      <c r="K4502" s="2" t="s">
        <v>537</v>
      </c>
      <c r="L4502" s="2">
        <v>2024</v>
      </c>
      <c r="M4502" s="2" t="s">
        <v>274</v>
      </c>
      <c r="N4502" s="2" t="s">
        <v>21</v>
      </c>
      <c r="O4502">
        <f t="shared" si="140"/>
        <v>1.2599999999999909</v>
      </c>
      <c r="P4502">
        <f t="shared" si="141"/>
        <v>73.069999999999993</v>
      </c>
    </row>
    <row r="4503" spans="1:16" x14ac:dyDescent="0.35">
      <c r="A4503" s="9" t="s">
        <v>541</v>
      </c>
      <c r="B4503" s="2">
        <v>95.54</v>
      </c>
      <c r="C4503" s="2">
        <v>96.18</v>
      </c>
      <c r="D4503" s="2">
        <v>95.33</v>
      </c>
      <c r="E4503" s="2">
        <v>95.7</v>
      </c>
      <c r="F4503" s="2">
        <v>18803499</v>
      </c>
      <c r="G4503" s="2" t="s">
        <v>576</v>
      </c>
      <c r="H4503" s="2" t="s">
        <v>577</v>
      </c>
      <c r="I4503" s="2" t="s">
        <v>578</v>
      </c>
      <c r="J4503" s="3">
        <v>0.42</v>
      </c>
      <c r="K4503" s="2" t="s">
        <v>537</v>
      </c>
      <c r="L4503" s="2">
        <v>2024</v>
      </c>
      <c r="M4503" s="2" t="s">
        <v>274</v>
      </c>
      <c r="N4503" s="2" t="s">
        <v>21</v>
      </c>
      <c r="O4503">
        <f t="shared" si="140"/>
        <v>0.85000000000000853</v>
      </c>
      <c r="P4503">
        <f t="shared" si="141"/>
        <v>73.489999999999995</v>
      </c>
    </row>
    <row r="4504" spans="1:16" x14ac:dyDescent="0.35">
      <c r="A4504" s="9" t="s">
        <v>542</v>
      </c>
      <c r="B4504" s="2">
        <v>95.66</v>
      </c>
      <c r="C4504" s="2">
        <v>95.94</v>
      </c>
      <c r="D4504" s="2">
        <v>93.602000000000004</v>
      </c>
      <c r="E4504" s="2">
        <v>93.83</v>
      </c>
      <c r="F4504" s="2">
        <v>20931082</v>
      </c>
      <c r="G4504" s="2" t="s">
        <v>576</v>
      </c>
      <c r="H4504" s="2" t="s">
        <v>577</v>
      </c>
      <c r="I4504" s="2" t="s">
        <v>578</v>
      </c>
      <c r="J4504" s="4">
        <v>-1.954</v>
      </c>
      <c r="K4504" s="2" t="s">
        <v>537</v>
      </c>
      <c r="L4504" s="2">
        <v>2024</v>
      </c>
      <c r="M4504" s="2" t="s">
        <v>274</v>
      </c>
      <c r="N4504" s="2" t="s">
        <v>23</v>
      </c>
      <c r="O4504">
        <f t="shared" si="140"/>
        <v>2.3379999999999939</v>
      </c>
      <c r="P4504">
        <f t="shared" si="141"/>
        <v>71.536000000000001</v>
      </c>
    </row>
    <row r="4505" spans="1:16" x14ac:dyDescent="0.35">
      <c r="A4505" s="9" t="s">
        <v>543</v>
      </c>
      <c r="B4505" s="2">
        <v>94.094999999999999</v>
      </c>
      <c r="C4505" s="2">
        <v>95.24</v>
      </c>
      <c r="D4505" s="2">
        <v>93.77</v>
      </c>
      <c r="E4505" s="2">
        <v>94.55</v>
      </c>
      <c r="F4505" s="2">
        <v>13164487</v>
      </c>
      <c r="G4505" s="2" t="s">
        <v>576</v>
      </c>
      <c r="H4505" s="2" t="s">
        <v>577</v>
      </c>
      <c r="I4505" s="2" t="s">
        <v>578</v>
      </c>
      <c r="J4505" s="3">
        <v>0.76700000000000002</v>
      </c>
      <c r="K4505" s="2" t="s">
        <v>537</v>
      </c>
      <c r="L4505" s="2">
        <v>2024</v>
      </c>
      <c r="M4505" s="2" t="s">
        <v>274</v>
      </c>
      <c r="N4505" s="2" t="s">
        <v>21</v>
      </c>
      <c r="O4505">
        <f t="shared" si="140"/>
        <v>1.4699999999999989</v>
      </c>
      <c r="P4505">
        <f t="shared" si="141"/>
        <v>72.302999999999997</v>
      </c>
    </row>
    <row r="4506" spans="1:16" x14ac:dyDescent="0.35">
      <c r="A4506" s="9" t="s">
        <v>544</v>
      </c>
      <c r="B4506" s="2">
        <v>94.55</v>
      </c>
      <c r="C4506" s="2">
        <v>95.69</v>
      </c>
      <c r="D4506" s="2">
        <v>94.5</v>
      </c>
      <c r="E4506" s="2">
        <v>94.96</v>
      </c>
      <c r="F4506" s="2">
        <v>19682085</v>
      </c>
      <c r="G4506" s="2" t="s">
        <v>576</v>
      </c>
      <c r="H4506" s="2" t="s">
        <v>577</v>
      </c>
      <c r="I4506" s="2" t="s">
        <v>578</v>
      </c>
      <c r="J4506" s="3">
        <v>0.434</v>
      </c>
      <c r="K4506" s="2" t="s">
        <v>537</v>
      </c>
      <c r="L4506" s="2">
        <v>2024</v>
      </c>
      <c r="M4506" s="2" t="s">
        <v>274</v>
      </c>
      <c r="N4506" s="2" t="s">
        <v>21</v>
      </c>
      <c r="O4506">
        <f t="shared" si="140"/>
        <v>1.1899999999999977</v>
      </c>
      <c r="P4506">
        <f t="shared" si="141"/>
        <v>72.736999999999995</v>
      </c>
    </row>
    <row r="4507" spans="1:16" x14ac:dyDescent="0.35">
      <c r="A4507" s="9" t="s">
        <v>545</v>
      </c>
      <c r="B4507" s="2">
        <v>95.67</v>
      </c>
      <c r="C4507" s="2">
        <v>95.715000000000003</v>
      </c>
      <c r="D4507" s="2">
        <v>94.09</v>
      </c>
      <c r="E4507" s="2">
        <v>94.09</v>
      </c>
      <c r="F4507" s="2">
        <v>14298626</v>
      </c>
      <c r="G4507" s="2" t="s">
        <v>576</v>
      </c>
      <c r="H4507" s="2" t="s">
        <v>577</v>
      </c>
      <c r="I4507" s="2" t="s">
        <v>578</v>
      </c>
      <c r="J4507" s="4">
        <v>-0.91600000000000004</v>
      </c>
      <c r="K4507" s="2" t="s">
        <v>537</v>
      </c>
      <c r="L4507" s="2">
        <v>2024</v>
      </c>
      <c r="M4507" s="2" t="s">
        <v>274</v>
      </c>
      <c r="N4507" s="2" t="s">
        <v>23</v>
      </c>
      <c r="O4507">
        <f t="shared" si="140"/>
        <v>1.625</v>
      </c>
      <c r="P4507">
        <f t="shared" si="141"/>
        <v>71.820999999999998</v>
      </c>
    </row>
    <row r="4508" spans="1:16" x14ac:dyDescent="0.35">
      <c r="A4508" s="9" t="s">
        <v>546</v>
      </c>
      <c r="B4508" s="2">
        <v>93.813999999999993</v>
      </c>
      <c r="C4508" s="2">
        <v>94.68</v>
      </c>
      <c r="D4508" s="2">
        <v>93.04</v>
      </c>
      <c r="E4508" s="2">
        <v>94.25</v>
      </c>
      <c r="F4508" s="2">
        <v>11495854</v>
      </c>
      <c r="G4508" s="2" t="s">
        <v>576</v>
      </c>
      <c r="H4508" s="2" t="s">
        <v>577</v>
      </c>
      <c r="I4508" s="2" t="s">
        <v>578</v>
      </c>
      <c r="J4508" s="3">
        <v>0.17</v>
      </c>
      <c r="K4508" s="2" t="s">
        <v>537</v>
      </c>
      <c r="L4508" s="2">
        <v>2024</v>
      </c>
      <c r="M4508" s="2" t="s">
        <v>274</v>
      </c>
      <c r="N4508" s="2" t="s">
        <v>21</v>
      </c>
      <c r="O4508">
        <f t="shared" si="140"/>
        <v>1.6400000000000006</v>
      </c>
      <c r="P4508">
        <f t="shared" si="141"/>
        <v>71.991</v>
      </c>
    </row>
    <row r="4509" spans="1:16" x14ac:dyDescent="0.35">
      <c r="A4509" s="9" t="s">
        <v>547</v>
      </c>
      <c r="B4509" s="2">
        <v>94.42</v>
      </c>
      <c r="C4509" s="2">
        <v>95.704999999999998</v>
      </c>
      <c r="D4509" s="2">
        <v>94.105000000000004</v>
      </c>
      <c r="E4509" s="2">
        <v>94.87</v>
      </c>
      <c r="F4509" s="2">
        <v>16741989</v>
      </c>
      <c r="G4509" s="2" t="s">
        <v>576</v>
      </c>
      <c r="H4509" s="2" t="s">
        <v>577</v>
      </c>
      <c r="I4509" s="2" t="s">
        <v>578</v>
      </c>
      <c r="J4509" s="3">
        <v>0.65800000000000003</v>
      </c>
      <c r="K4509" s="2" t="s">
        <v>537</v>
      </c>
      <c r="L4509" s="2">
        <v>2024</v>
      </c>
      <c r="M4509" s="2" t="s">
        <v>274</v>
      </c>
      <c r="N4509" s="2" t="s">
        <v>21</v>
      </c>
      <c r="O4509">
        <f t="shared" si="140"/>
        <v>1.5999999999999943</v>
      </c>
      <c r="P4509">
        <f t="shared" si="141"/>
        <v>72.649000000000001</v>
      </c>
    </row>
    <row r="4510" spans="1:16" x14ac:dyDescent="0.35">
      <c r="A4510" s="9" t="s">
        <v>548</v>
      </c>
      <c r="B4510" s="2">
        <v>95.14</v>
      </c>
      <c r="C4510" s="2">
        <v>95.49</v>
      </c>
      <c r="D4510" s="2">
        <v>94.32</v>
      </c>
      <c r="E4510" s="2">
        <v>95.42</v>
      </c>
      <c r="F4510" s="2">
        <v>23560821</v>
      </c>
      <c r="G4510" s="2" t="s">
        <v>576</v>
      </c>
      <c r="H4510" s="2" t="s">
        <v>577</v>
      </c>
      <c r="I4510" s="2" t="s">
        <v>578</v>
      </c>
      <c r="J4510" s="3">
        <v>0.57999999999999996</v>
      </c>
      <c r="K4510" s="2" t="s">
        <v>537</v>
      </c>
      <c r="L4510" s="2">
        <v>2024</v>
      </c>
      <c r="M4510" s="2" t="s">
        <v>274</v>
      </c>
      <c r="N4510" s="2" t="s">
        <v>21</v>
      </c>
      <c r="O4510">
        <f t="shared" si="140"/>
        <v>1.1700000000000017</v>
      </c>
      <c r="P4510">
        <f t="shared" si="141"/>
        <v>73.228999999999999</v>
      </c>
    </row>
    <row r="4511" spans="1:16" x14ac:dyDescent="0.35">
      <c r="A4511" s="9" t="s">
        <v>549</v>
      </c>
      <c r="B4511" s="2">
        <v>95.34</v>
      </c>
      <c r="C4511" s="2">
        <v>95.894999999999996</v>
      </c>
      <c r="D4511" s="2">
        <v>93.13</v>
      </c>
      <c r="E4511" s="2">
        <v>93.55</v>
      </c>
      <c r="F4511" s="2">
        <v>24665600</v>
      </c>
      <c r="G4511" s="2" t="s">
        <v>576</v>
      </c>
      <c r="H4511" s="2" t="s">
        <v>577</v>
      </c>
      <c r="I4511" s="2" t="s">
        <v>578</v>
      </c>
      <c r="J4511" s="4">
        <v>-1.96</v>
      </c>
      <c r="K4511" s="2" t="s">
        <v>537</v>
      </c>
      <c r="L4511" s="2">
        <v>2024</v>
      </c>
      <c r="M4511" s="2" t="s">
        <v>274</v>
      </c>
      <c r="N4511" s="2" t="s">
        <v>23</v>
      </c>
      <c r="O4511">
        <f t="shared" si="140"/>
        <v>2.7650000000000006</v>
      </c>
      <c r="P4511">
        <f t="shared" si="141"/>
        <v>71.269000000000005</v>
      </c>
    </row>
    <row r="4512" spans="1:16" x14ac:dyDescent="0.35">
      <c r="A4512" s="9" t="s">
        <v>550</v>
      </c>
      <c r="B4512" s="2">
        <v>94.48</v>
      </c>
      <c r="C4512" s="2">
        <v>94.564999999999998</v>
      </c>
      <c r="D4512" s="2">
        <v>93.36</v>
      </c>
      <c r="E4512" s="2">
        <v>93.4</v>
      </c>
      <c r="F4512" s="2">
        <v>16606501</v>
      </c>
      <c r="G4512" s="2" t="s">
        <v>576</v>
      </c>
      <c r="H4512" s="2" t="s">
        <v>577</v>
      </c>
      <c r="I4512" s="2" t="s">
        <v>578</v>
      </c>
      <c r="J4512" s="4">
        <v>-0.16</v>
      </c>
      <c r="K4512" s="2" t="s">
        <v>537</v>
      </c>
      <c r="L4512" s="2">
        <v>2024</v>
      </c>
      <c r="M4512" s="2" t="s">
        <v>274</v>
      </c>
      <c r="N4512" s="2" t="s">
        <v>23</v>
      </c>
      <c r="O4512">
        <f t="shared" si="140"/>
        <v>1.2049999999999983</v>
      </c>
      <c r="P4512">
        <f t="shared" si="141"/>
        <v>71.109000000000009</v>
      </c>
    </row>
    <row r="4513" spans="1:16" x14ac:dyDescent="0.35">
      <c r="A4513" s="9" t="s">
        <v>551</v>
      </c>
      <c r="B4513" s="2">
        <v>93.01</v>
      </c>
      <c r="C4513" s="2">
        <v>93.748999999999995</v>
      </c>
      <c r="D4513" s="2">
        <v>91.63</v>
      </c>
      <c r="E4513" s="2">
        <v>92.24</v>
      </c>
      <c r="F4513" s="2">
        <v>49350586</v>
      </c>
      <c r="G4513" s="2" t="s">
        <v>576</v>
      </c>
      <c r="H4513" s="2" t="s">
        <v>577</v>
      </c>
      <c r="I4513" s="2" t="s">
        <v>578</v>
      </c>
      <c r="J4513" s="4">
        <v>-1.242</v>
      </c>
      <c r="K4513" s="2" t="s">
        <v>537</v>
      </c>
      <c r="L4513" s="2">
        <v>2024</v>
      </c>
      <c r="M4513" s="2" t="s">
        <v>274</v>
      </c>
      <c r="N4513" s="2" t="s">
        <v>23</v>
      </c>
      <c r="O4513">
        <f t="shared" si="140"/>
        <v>2.1189999999999998</v>
      </c>
      <c r="P4513">
        <f t="shared" si="141"/>
        <v>69.867000000000004</v>
      </c>
    </row>
    <row r="4514" spans="1:16" x14ac:dyDescent="0.35">
      <c r="A4514" s="9" t="s">
        <v>552</v>
      </c>
      <c r="B4514" s="2">
        <v>91.5</v>
      </c>
      <c r="C4514" s="2">
        <v>91.5</v>
      </c>
      <c r="D4514" s="2">
        <v>88.91</v>
      </c>
      <c r="E4514" s="2">
        <v>90.35</v>
      </c>
      <c r="F4514" s="2">
        <v>26205379</v>
      </c>
      <c r="G4514" s="2" t="s">
        <v>576</v>
      </c>
      <c r="H4514" s="2" t="s">
        <v>577</v>
      </c>
      <c r="I4514" s="2" t="s">
        <v>578</v>
      </c>
      <c r="J4514" s="4">
        <v>-2.0489999999999999</v>
      </c>
      <c r="K4514" s="2" t="s">
        <v>537</v>
      </c>
      <c r="L4514" s="2">
        <v>2024</v>
      </c>
      <c r="M4514" s="2" t="s">
        <v>274</v>
      </c>
      <c r="N4514" s="2" t="s">
        <v>23</v>
      </c>
      <c r="O4514">
        <f t="shared" si="140"/>
        <v>2.5900000000000034</v>
      </c>
      <c r="P4514">
        <f t="shared" si="141"/>
        <v>67.817999999999998</v>
      </c>
    </row>
    <row r="4515" spans="1:16" x14ac:dyDescent="0.35">
      <c r="A4515" s="9" t="s">
        <v>553</v>
      </c>
      <c r="B4515" s="2">
        <v>90.4</v>
      </c>
      <c r="C4515" s="2">
        <v>92.68</v>
      </c>
      <c r="D4515" s="2">
        <v>90.35</v>
      </c>
      <c r="E4515" s="2">
        <v>92.68</v>
      </c>
      <c r="F4515" s="2">
        <v>8992427</v>
      </c>
      <c r="G4515" s="2" t="s">
        <v>576</v>
      </c>
      <c r="H4515" s="2" t="s">
        <v>577</v>
      </c>
      <c r="I4515" s="2" t="s">
        <v>578</v>
      </c>
      <c r="J4515" s="3">
        <v>2.5790000000000002</v>
      </c>
      <c r="K4515" s="2" t="s">
        <v>537</v>
      </c>
      <c r="L4515" s="2">
        <v>2024</v>
      </c>
      <c r="M4515" s="2" t="s">
        <v>274</v>
      </c>
      <c r="N4515" s="2" t="s">
        <v>21</v>
      </c>
      <c r="O4515">
        <f t="shared" si="140"/>
        <v>2.3300000000000125</v>
      </c>
      <c r="P4515">
        <f t="shared" si="141"/>
        <v>70.396999999999991</v>
      </c>
    </row>
    <row r="4516" spans="1:16" x14ac:dyDescent="0.35">
      <c r="A4516" s="9" t="s">
        <v>554</v>
      </c>
      <c r="B4516" s="2">
        <v>92.54</v>
      </c>
      <c r="C4516" s="2">
        <v>92.875</v>
      </c>
      <c r="D4516" s="2">
        <v>92.17</v>
      </c>
      <c r="E4516" s="2">
        <v>92.79</v>
      </c>
      <c r="F4516" s="2">
        <v>10997611</v>
      </c>
      <c r="G4516" s="2" t="s">
        <v>576</v>
      </c>
      <c r="H4516" s="2" t="s">
        <v>577</v>
      </c>
      <c r="I4516" s="2" t="s">
        <v>578</v>
      </c>
      <c r="J4516" s="3">
        <v>0.11899999999999999</v>
      </c>
      <c r="K4516" s="2" t="s">
        <v>537</v>
      </c>
      <c r="L4516" s="2">
        <v>2024</v>
      </c>
      <c r="M4516" s="2" t="s">
        <v>274</v>
      </c>
      <c r="N4516" s="2" t="s">
        <v>21</v>
      </c>
      <c r="O4516">
        <f t="shared" si="140"/>
        <v>0.70499999999999829</v>
      </c>
      <c r="P4516">
        <f t="shared" si="141"/>
        <v>70.515999999999991</v>
      </c>
    </row>
    <row r="4517" spans="1:16" x14ac:dyDescent="0.35">
      <c r="A4517" s="9" t="s">
        <v>555</v>
      </c>
      <c r="B4517" s="2">
        <v>92.122</v>
      </c>
      <c r="C4517" s="2">
        <v>92.35</v>
      </c>
      <c r="D4517" s="2">
        <v>91.03</v>
      </c>
      <c r="E4517" s="2">
        <v>91.66</v>
      </c>
      <c r="F4517" s="2">
        <v>11384359</v>
      </c>
      <c r="G4517" s="2" t="s">
        <v>576</v>
      </c>
      <c r="H4517" s="2" t="s">
        <v>577</v>
      </c>
      <c r="I4517" s="2" t="s">
        <v>578</v>
      </c>
      <c r="J4517" s="4">
        <v>-1.218</v>
      </c>
      <c r="K4517" s="2" t="s">
        <v>537</v>
      </c>
      <c r="L4517" s="2">
        <v>2024</v>
      </c>
      <c r="M4517" s="2" t="s">
        <v>274</v>
      </c>
      <c r="N4517" s="2" t="s">
        <v>23</v>
      </c>
      <c r="O4517">
        <f t="shared" si="140"/>
        <v>1.3199999999999932</v>
      </c>
      <c r="P4517">
        <f t="shared" si="141"/>
        <v>69.297999999999988</v>
      </c>
    </row>
    <row r="4518" spans="1:16" x14ac:dyDescent="0.35">
      <c r="A4518" s="9" t="s">
        <v>556</v>
      </c>
      <c r="B4518" s="2">
        <v>90.795000000000002</v>
      </c>
      <c r="C4518" s="2">
        <v>91.07</v>
      </c>
      <c r="D4518" s="2">
        <v>90.13</v>
      </c>
      <c r="E4518" s="2">
        <v>90.57</v>
      </c>
      <c r="F4518" s="2">
        <v>9790196</v>
      </c>
      <c r="G4518" s="2" t="s">
        <v>576</v>
      </c>
      <c r="H4518" s="2" t="s">
        <v>577</v>
      </c>
      <c r="I4518" s="2" t="s">
        <v>578</v>
      </c>
      <c r="J4518" s="4">
        <v>-1.1890000000000001</v>
      </c>
      <c r="K4518" s="2" t="s">
        <v>537</v>
      </c>
      <c r="L4518" s="2">
        <v>2024</v>
      </c>
      <c r="M4518" s="2" t="s">
        <v>274</v>
      </c>
      <c r="N4518" s="2" t="s">
        <v>23</v>
      </c>
      <c r="O4518">
        <f t="shared" si="140"/>
        <v>0.93999999999999773</v>
      </c>
      <c r="P4518">
        <f t="shared" si="141"/>
        <v>68.10899999999998</v>
      </c>
    </row>
    <row r="4519" spans="1:16" x14ac:dyDescent="0.35">
      <c r="A4519" s="9" t="s">
        <v>557</v>
      </c>
      <c r="B4519" s="2">
        <v>90.56</v>
      </c>
      <c r="C4519" s="2">
        <v>90.94</v>
      </c>
      <c r="D4519" s="2">
        <v>90.055000000000007</v>
      </c>
      <c r="E4519" s="2">
        <v>90.35</v>
      </c>
      <c r="F4519" s="2">
        <v>11267652</v>
      </c>
      <c r="G4519" s="2" t="s">
        <v>576</v>
      </c>
      <c r="H4519" s="2" t="s">
        <v>577</v>
      </c>
      <c r="I4519" s="2" t="s">
        <v>578</v>
      </c>
      <c r="J4519" s="4">
        <v>-0.24299999999999999</v>
      </c>
      <c r="K4519" s="2" t="s">
        <v>537</v>
      </c>
      <c r="L4519" s="2">
        <v>2024</v>
      </c>
      <c r="M4519" s="2" t="s">
        <v>274</v>
      </c>
      <c r="N4519" s="2" t="s">
        <v>23</v>
      </c>
      <c r="O4519">
        <f t="shared" si="140"/>
        <v>0.88499999999999091</v>
      </c>
      <c r="P4519">
        <f t="shared" si="141"/>
        <v>67.865999999999985</v>
      </c>
    </row>
    <row r="4520" spans="1:16" x14ac:dyDescent="0.35">
      <c r="A4520" s="9" t="s">
        <v>14</v>
      </c>
      <c r="B4520" s="2">
        <v>109.78</v>
      </c>
      <c r="C4520" s="2">
        <v>110.02</v>
      </c>
      <c r="D4520" s="2">
        <v>105.49</v>
      </c>
      <c r="E4520" s="2">
        <v>106.51</v>
      </c>
      <c r="F4520" s="2">
        <v>15146168</v>
      </c>
      <c r="G4520" s="2" t="s">
        <v>579</v>
      </c>
      <c r="H4520" s="2" t="s">
        <v>580</v>
      </c>
      <c r="I4520" s="2" t="s">
        <v>581</v>
      </c>
      <c r="J4520" s="2"/>
      <c r="K4520" s="2" t="s">
        <v>18</v>
      </c>
      <c r="L4520" s="2">
        <v>2023</v>
      </c>
      <c r="M4520" s="2" t="s">
        <v>19</v>
      </c>
      <c r="N4520" s="2"/>
      <c r="O4520">
        <f t="shared" si="140"/>
        <v>4.5300000000000011</v>
      </c>
      <c r="P4520">
        <f t="shared" si="141"/>
        <v>0</v>
      </c>
    </row>
    <row r="4521" spans="1:16" x14ac:dyDescent="0.35">
      <c r="A4521" s="9" t="s">
        <v>20</v>
      </c>
      <c r="B4521" s="2">
        <v>104.8</v>
      </c>
      <c r="C4521" s="2">
        <v>107.155</v>
      </c>
      <c r="D4521" s="2">
        <v>104.76</v>
      </c>
      <c r="E4521" s="2">
        <v>106.82</v>
      </c>
      <c r="F4521" s="2">
        <v>18058396</v>
      </c>
      <c r="G4521" s="2" t="s">
        <v>579</v>
      </c>
      <c r="H4521" s="2" t="s">
        <v>580</v>
      </c>
      <c r="I4521" s="2" t="s">
        <v>581</v>
      </c>
      <c r="J4521" s="3">
        <v>0.29099999999999998</v>
      </c>
      <c r="K4521" s="2" t="s">
        <v>18</v>
      </c>
      <c r="L4521" s="2">
        <v>2023</v>
      </c>
      <c r="M4521" s="2" t="s">
        <v>19</v>
      </c>
      <c r="N4521" s="2" t="s">
        <v>21</v>
      </c>
      <c r="O4521">
        <f t="shared" si="140"/>
        <v>2.394999999999996</v>
      </c>
      <c r="P4521">
        <f t="shared" si="141"/>
        <v>0.29099999999999998</v>
      </c>
    </row>
    <row r="4522" spans="1:16" x14ac:dyDescent="0.35">
      <c r="A4522" s="9" t="s">
        <v>22</v>
      </c>
      <c r="B4522" s="2">
        <v>106.34</v>
      </c>
      <c r="C4522" s="2">
        <v>109.95</v>
      </c>
      <c r="D4522" s="2">
        <v>106.31</v>
      </c>
      <c r="E4522" s="2">
        <v>109.21</v>
      </c>
      <c r="F4522" s="2">
        <v>15946559</v>
      </c>
      <c r="G4522" s="2" t="s">
        <v>579</v>
      </c>
      <c r="H4522" s="2" t="s">
        <v>580</v>
      </c>
      <c r="I4522" s="2" t="s">
        <v>581</v>
      </c>
      <c r="J4522" s="3">
        <v>2.2370000000000001</v>
      </c>
      <c r="K4522" s="2" t="s">
        <v>18</v>
      </c>
      <c r="L4522" s="2">
        <v>2023</v>
      </c>
      <c r="M4522" s="2" t="s">
        <v>19</v>
      </c>
      <c r="N4522" s="2" t="s">
        <v>21</v>
      </c>
      <c r="O4522">
        <f t="shared" si="140"/>
        <v>3.6400000000000006</v>
      </c>
      <c r="P4522">
        <f t="shared" si="141"/>
        <v>2.528</v>
      </c>
    </row>
    <row r="4523" spans="1:16" x14ac:dyDescent="0.35">
      <c r="A4523" s="9" t="s">
        <v>24</v>
      </c>
      <c r="B4523" s="2">
        <v>110.08</v>
      </c>
      <c r="C4523" s="2">
        <v>111.99</v>
      </c>
      <c r="D4523" s="2">
        <v>109.67</v>
      </c>
      <c r="E4523" s="2">
        <v>110.53</v>
      </c>
      <c r="F4523" s="2">
        <v>16348131</v>
      </c>
      <c r="G4523" s="2" t="s">
        <v>579</v>
      </c>
      <c r="H4523" s="2" t="s">
        <v>580</v>
      </c>
      <c r="I4523" s="2" t="s">
        <v>581</v>
      </c>
      <c r="J4523" s="3">
        <v>1.2090000000000001</v>
      </c>
      <c r="K4523" s="2" t="s">
        <v>18</v>
      </c>
      <c r="L4523" s="2">
        <v>2023</v>
      </c>
      <c r="M4523" s="2" t="s">
        <v>19</v>
      </c>
      <c r="N4523" s="2" t="s">
        <v>21</v>
      </c>
      <c r="O4523">
        <f t="shared" si="140"/>
        <v>2.3199999999999932</v>
      </c>
      <c r="P4523">
        <f t="shared" si="141"/>
        <v>3.7370000000000001</v>
      </c>
    </row>
    <row r="4524" spans="1:16" x14ac:dyDescent="0.35">
      <c r="A4524" s="9" t="s">
        <v>25</v>
      </c>
      <c r="B4524" s="2">
        <v>111.64</v>
      </c>
      <c r="C4524" s="2">
        <v>111.64</v>
      </c>
      <c r="D4524" s="2">
        <v>107.81</v>
      </c>
      <c r="E4524" s="2">
        <v>108.47</v>
      </c>
      <c r="F4524" s="2">
        <v>17964591</v>
      </c>
      <c r="G4524" s="2" t="s">
        <v>579</v>
      </c>
      <c r="H4524" s="2" t="s">
        <v>580</v>
      </c>
      <c r="I4524" s="2" t="s">
        <v>581</v>
      </c>
      <c r="J4524" s="4">
        <v>-1.8640000000000001</v>
      </c>
      <c r="K4524" s="2" t="s">
        <v>18</v>
      </c>
      <c r="L4524" s="2">
        <v>2023</v>
      </c>
      <c r="M4524" s="2" t="s">
        <v>19</v>
      </c>
      <c r="N4524" s="2" t="s">
        <v>23</v>
      </c>
      <c r="O4524">
        <f t="shared" si="140"/>
        <v>3.8299999999999983</v>
      </c>
      <c r="P4524">
        <f t="shared" si="141"/>
        <v>1.873</v>
      </c>
    </row>
    <row r="4525" spans="1:16" x14ac:dyDescent="0.35">
      <c r="A4525" s="9" t="s">
        <v>26</v>
      </c>
      <c r="B4525" s="2">
        <v>109.79</v>
      </c>
      <c r="C4525" s="2">
        <v>110.33</v>
      </c>
      <c r="D4525" s="2">
        <v>108.005</v>
      </c>
      <c r="E4525" s="2">
        <v>110.09</v>
      </c>
      <c r="F4525" s="2">
        <v>15104595</v>
      </c>
      <c r="G4525" s="2" t="s">
        <v>579</v>
      </c>
      <c r="H4525" s="2" t="s">
        <v>580</v>
      </c>
      <c r="I4525" s="2" t="s">
        <v>581</v>
      </c>
      <c r="J4525" s="3">
        <v>1.494</v>
      </c>
      <c r="K4525" s="2" t="s">
        <v>18</v>
      </c>
      <c r="L4525" s="2">
        <v>2023</v>
      </c>
      <c r="M4525" s="2" t="s">
        <v>19</v>
      </c>
      <c r="N4525" s="2" t="s">
        <v>21</v>
      </c>
      <c r="O4525">
        <f t="shared" si="140"/>
        <v>2.3250000000000028</v>
      </c>
      <c r="P4525">
        <f t="shared" si="141"/>
        <v>3.367</v>
      </c>
    </row>
    <row r="4526" spans="1:16" x14ac:dyDescent="0.35">
      <c r="A4526" s="9" t="s">
        <v>27</v>
      </c>
      <c r="B4526" s="2">
        <v>110.99</v>
      </c>
      <c r="C4526" s="2">
        <v>111.45</v>
      </c>
      <c r="D4526" s="2">
        <v>109.08499999999999</v>
      </c>
      <c r="E4526" s="2">
        <v>111.37</v>
      </c>
      <c r="F4526" s="2">
        <v>16710366</v>
      </c>
      <c r="G4526" s="2" t="s">
        <v>579</v>
      </c>
      <c r="H4526" s="2" t="s">
        <v>580</v>
      </c>
      <c r="I4526" s="2" t="s">
        <v>581</v>
      </c>
      <c r="J4526" s="3">
        <v>1.163</v>
      </c>
      <c r="K4526" s="2" t="s">
        <v>18</v>
      </c>
      <c r="L4526" s="2">
        <v>2023</v>
      </c>
      <c r="M4526" s="2" t="s">
        <v>19</v>
      </c>
      <c r="N4526" s="2" t="s">
        <v>21</v>
      </c>
      <c r="O4526">
        <f t="shared" si="140"/>
        <v>2.3650000000000091</v>
      </c>
      <c r="P4526">
        <f t="shared" si="141"/>
        <v>4.53</v>
      </c>
    </row>
    <row r="4527" spans="1:16" x14ac:dyDescent="0.35">
      <c r="A4527" s="9" t="s">
        <v>28</v>
      </c>
      <c r="B4527" s="2">
        <v>111.82</v>
      </c>
      <c r="C4527" s="2">
        <v>113.74</v>
      </c>
      <c r="D4527" s="2">
        <v>111.74</v>
      </c>
      <c r="E4527" s="2">
        <v>113.22</v>
      </c>
      <c r="F4527" s="2">
        <v>15357321</v>
      </c>
      <c r="G4527" s="2" t="s">
        <v>579</v>
      </c>
      <c r="H4527" s="2" t="s">
        <v>580</v>
      </c>
      <c r="I4527" s="2" t="s">
        <v>581</v>
      </c>
      <c r="J4527" s="3">
        <v>1.661</v>
      </c>
      <c r="K4527" s="2" t="s">
        <v>18</v>
      </c>
      <c r="L4527" s="2">
        <v>2023</v>
      </c>
      <c r="M4527" s="2" t="s">
        <v>19</v>
      </c>
      <c r="N4527" s="2" t="s">
        <v>21</v>
      </c>
      <c r="O4527">
        <f t="shared" si="140"/>
        <v>2</v>
      </c>
      <c r="P4527">
        <f t="shared" si="141"/>
        <v>6.1910000000000007</v>
      </c>
    </row>
    <row r="4528" spans="1:16" x14ac:dyDescent="0.35">
      <c r="A4528" s="9" t="s">
        <v>29</v>
      </c>
      <c r="B4528" s="2">
        <v>113.11</v>
      </c>
      <c r="C4528" s="2">
        <v>113.49</v>
      </c>
      <c r="D4528" s="2">
        <v>112.16</v>
      </c>
      <c r="E4528" s="2">
        <v>113.15</v>
      </c>
      <c r="F4528" s="2">
        <v>12011358</v>
      </c>
      <c r="G4528" s="2" t="s">
        <v>579</v>
      </c>
      <c r="H4528" s="2" t="s">
        <v>580</v>
      </c>
      <c r="I4528" s="2" t="s">
        <v>581</v>
      </c>
      <c r="J4528" s="4">
        <v>-6.2E-2</v>
      </c>
      <c r="K4528" s="2" t="s">
        <v>18</v>
      </c>
      <c r="L4528" s="2">
        <v>2023</v>
      </c>
      <c r="M4528" s="2" t="s">
        <v>19</v>
      </c>
      <c r="N4528" s="2" t="s">
        <v>23</v>
      </c>
      <c r="O4528">
        <f t="shared" si="140"/>
        <v>1.3299999999999983</v>
      </c>
      <c r="P4528">
        <f t="shared" si="141"/>
        <v>6.1290000000000004</v>
      </c>
    </row>
    <row r="4529" spans="1:16" x14ac:dyDescent="0.35">
      <c r="A4529" s="9" t="s">
        <v>30</v>
      </c>
      <c r="B4529" s="2">
        <v>113.41</v>
      </c>
      <c r="C4529" s="2">
        <v>114.08</v>
      </c>
      <c r="D4529" s="2">
        <v>112.67</v>
      </c>
      <c r="E4529" s="2">
        <v>112.93</v>
      </c>
      <c r="F4529" s="2">
        <v>16542201</v>
      </c>
      <c r="G4529" s="2" t="s">
        <v>579</v>
      </c>
      <c r="H4529" s="2" t="s">
        <v>580</v>
      </c>
      <c r="I4529" s="2" t="s">
        <v>581</v>
      </c>
      <c r="J4529" s="4">
        <v>-0.19400000000000001</v>
      </c>
      <c r="K4529" s="2" t="s">
        <v>18</v>
      </c>
      <c r="L4529" s="2">
        <v>2023</v>
      </c>
      <c r="M4529" s="2" t="s">
        <v>19</v>
      </c>
      <c r="N4529" s="2" t="s">
        <v>23</v>
      </c>
      <c r="O4529">
        <f t="shared" si="140"/>
        <v>1.4099999999999966</v>
      </c>
      <c r="P4529">
        <f t="shared" si="141"/>
        <v>5.9350000000000005</v>
      </c>
    </row>
    <row r="4530" spans="1:16" x14ac:dyDescent="0.35">
      <c r="A4530" s="9" t="s">
        <v>31</v>
      </c>
      <c r="B4530" s="2">
        <v>113.26</v>
      </c>
      <c r="C4530" s="2">
        <v>114.12</v>
      </c>
      <c r="D4530" s="2">
        <v>110.399</v>
      </c>
      <c r="E4530" s="2">
        <v>110.61</v>
      </c>
      <c r="F4530" s="2">
        <v>16399690</v>
      </c>
      <c r="G4530" s="2" t="s">
        <v>579</v>
      </c>
      <c r="H4530" s="2" t="s">
        <v>580</v>
      </c>
      <c r="I4530" s="2" t="s">
        <v>581</v>
      </c>
      <c r="J4530" s="4">
        <v>-2.0539999999999998</v>
      </c>
      <c r="K4530" s="2" t="s">
        <v>18</v>
      </c>
      <c r="L4530" s="2">
        <v>2023</v>
      </c>
      <c r="M4530" s="2" t="s">
        <v>19</v>
      </c>
      <c r="N4530" s="2" t="s">
        <v>23</v>
      </c>
      <c r="O4530">
        <f t="shared" si="140"/>
        <v>3.7210000000000036</v>
      </c>
      <c r="P4530">
        <f t="shared" si="141"/>
        <v>3.8810000000000007</v>
      </c>
    </row>
    <row r="4531" spans="1:16" x14ac:dyDescent="0.35">
      <c r="A4531" s="9" t="s">
        <v>32</v>
      </c>
      <c r="B4531" s="2">
        <v>110.07</v>
      </c>
      <c r="C4531" s="2">
        <v>112.13</v>
      </c>
      <c r="D4531" s="2">
        <v>109.58</v>
      </c>
      <c r="E4531" s="2">
        <v>111.32</v>
      </c>
      <c r="F4531" s="2">
        <v>12928021</v>
      </c>
      <c r="G4531" s="2" t="s">
        <v>579</v>
      </c>
      <c r="H4531" s="2" t="s">
        <v>580</v>
      </c>
      <c r="I4531" s="2" t="s">
        <v>581</v>
      </c>
      <c r="J4531" s="3">
        <v>0.64200000000000002</v>
      </c>
      <c r="K4531" s="2" t="s">
        <v>18</v>
      </c>
      <c r="L4531" s="2">
        <v>2023</v>
      </c>
      <c r="M4531" s="2" t="s">
        <v>19</v>
      </c>
      <c r="N4531" s="2" t="s">
        <v>21</v>
      </c>
      <c r="O4531">
        <f t="shared" si="140"/>
        <v>2.5499999999999972</v>
      </c>
      <c r="P4531">
        <f t="shared" si="141"/>
        <v>4.5230000000000006</v>
      </c>
    </row>
    <row r="4532" spans="1:16" x14ac:dyDescent="0.35">
      <c r="A4532" s="9" t="s">
        <v>33</v>
      </c>
      <c r="B4532" s="2">
        <v>111.36</v>
      </c>
      <c r="C4532" s="2">
        <v>113.44</v>
      </c>
      <c r="D4532" s="2">
        <v>110.61</v>
      </c>
      <c r="E4532" s="2">
        <v>113.35</v>
      </c>
      <c r="F4532" s="2">
        <v>16515614</v>
      </c>
      <c r="G4532" s="2" t="s">
        <v>579</v>
      </c>
      <c r="H4532" s="2" t="s">
        <v>580</v>
      </c>
      <c r="I4532" s="2" t="s">
        <v>581</v>
      </c>
      <c r="J4532" s="3">
        <v>1.8240000000000001</v>
      </c>
      <c r="K4532" s="2" t="s">
        <v>18</v>
      </c>
      <c r="L4532" s="2">
        <v>2023</v>
      </c>
      <c r="M4532" s="2" t="s">
        <v>19</v>
      </c>
      <c r="N4532" s="2" t="s">
        <v>21</v>
      </c>
      <c r="O4532">
        <f t="shared" si="140"/>
        <v>2.8299999999999983</v>
      </c>
      <c r="P4532">
        <f t="shared" si="141"/>
        <v>6.3470000000000004</v>
      </c>
    </row>
    <row r="4533" spans="1:16" x14ac:dyDescent="0.35">
      <c r="A4533" s="9" t="s">
        <v>34</v>
      </c>
      <c r="B4533" s="2">
        <v>113.64</v>
      </c>
      <c r="C4533" s="2">
        <v>114.59</v>
      </c>
      <c r="D4533" s="2">
        <v>112.64</v>
      </c>
      <c r="E4533" s="2">
        <v>112.76</v>
      </c>
      <c r="F4533" s="2">
        <v>16584422</v>
      </c>
      <c r="G4533" s="2" t="s">
        <v>579</v>
      </c>
      <c r="H4533" s="2" t="s">
        <v>580</v>
      </c>
      <c r="I4533" s="2" t="s">
        <v>581</v>
      </c>
      <c r="J4533" s="4">
        <v>-0.52100000000000002</v>
      </c>
      <c r="K4533" s="2" t="s">
        <v>18</v>
      </c>
      <c r="L4533" s="2">
        <v>2023</v>
      </c>
      <c r="M4533" s="2" t="s">
        <v>19</v>
      </c>
      <c r="N4533" s="2" t="s">
        <v>23</v>
      </c>
      <c r="O4533">
        <f t="shared" si="140"/>
        <v>1.9500000000000028</v>
      </c>
      <c r="P4533">
        <f t="shared" si="141"/>
        <v>5.8260000000000005</v>
      </c>
    </row>
    <row r="4534" spans="1:16" x14ac:dyDescent="0.35">
      <c r="A4534" s="9" t="s">
        <v>35</v>
      </c>
      <c r="B4534" s="2">
        <v>99.23</v>
      </c>
      <c r="C4534" s="2">
        <v>114.02</v>
      </c>
      <c r="D4534" s="2">
        <v>99.23</v>
      </c>
      <c r="E4534" s="2">
        <v>113.81</v>
      </c>
      <c r="F4534" s="2">
        <v>13583025</v>
      </c>
      <c r="G4534" s="2" t="s">
        <v>579</v>
      </c>
      <c r="H4534" s="2" t="s">
        <v>580</v>
      </c>
      <c r="I4534" s="2" t="s">
        <v>581</v>
      </c>
      <c r="J4534" s="3">
        <v>0.93100000000000005</v>
      </c>
      <c r="K4534" s="2" t="s">
        <v>18</v>
      </c>
      <c r="L4534" s="2">
        <v>2023</v>
      </c>
      <c r="M4534" s="2" t="s">
        <v>19</v>
      </c>
      <c r="N4534" s="2" t="s">
        <v>21</v>
      </c>
      <c r="O4534">
        <f t="shared" si="140"/>
        <v>14.789999999999992</v>
      </c>
      <c r="P4534">
        <f t="shared" si="141"/>
        <v>6.7570000000000006</v>
      </c>
    </row>
    <row r="4535" spans="1:16" x14ac:dyDescent="0.35">
      <c r="A4535" s="9" t="s">
        <v>36</v>
      </c>
      <c r="B4535" s="2">
        <v>113.23</v>
      </c>
      <c r="C4535" s="2">
        <v>113.65</v>
      </c>
      <c r="D4535" s="2">
        <v>111.39</v>
      </c>
      <c r="E4535" s="2">
        <v>113.21</v>
      </c>
      <c r="F4535" s="2">
        <v>11912947</v>
      </c>
      <c r="G4535" s="2" t="s">
        <v>579</v>
      </c>
      <c r="H4535" s="2" t="s">
        <v>580</v>
      </c>
      <c r="I4535" s="2" t="s">
        <v>581</v>
      </c>
      <c r="J4535" s="4">
        <v>-0.52700000000000002</v>
      </c>
      <c r="K4535" s="2" t="s">
        <v>18</v>
      </c>
      <c r="L4535" s="2">
        <v>2023</v>
      </c>
      <c r="M4535" s="2" t="s">
        <v>19</v>
      </c>
      <c r="N4535" s="2" t="s">
        <v>23</v>
      </c>
      <c r="O4535">
        <f t="shared" si="140"/>
        <v>2.2600000000000051</v>
      </c>
      <c r="P4535">
        <f t="shared" si="141"/>
        <v>6.23</v>
      </c>
    </row>
    <row r="4536" spans="1:16" x14ac:dyDescent="0.35">
      <c r="A4536" s="9" t="s">
        <v>37</v>
      </c>
      <c r="B4536" s="2">
        <v>114.72</v>
      </c>
      <c r="C4536" s="2">
        <v>117.78</v>
      </c>
      <c r="D4536" s="2">
        <v>114.33499999999999</v>
      </c>
      <c r="E4536" s="2">
        <v>117.76</v>
      </c>
      <c r="F4536" s="2">
        <v>21019678</v>
      </c>
      <c r="G4536" s="2" t="s">
        <v>579</v>
      </c>
      <c r="H4536" s="2" t="s">
        <v>580</v>
      </c>
      <c r="I4536" s="2" t="s">
        <v>581</v>
      </c>
      <c r="J4536" s="3">
        <v>4.0190000000000001</v>
      </c>
      <c r="K4536" s="2" t="s">
        <v>18</v>
      </c>
      <c r="L4536" s="2">
        <v>2023</v>
      </c>
      <c r="M4536" s="2" t="s">
        <v>19</v>
      </c>
      <c r="N4536" s="2" t="s">
        <v>21</v>
      </c>
      <c r="O4536">
        <f t="shared" si="140"/>
        <v>3.4450000000000074</v>
      </c>
      <c r="P4536">
        <f t="shared" si="141"/>
        <v>10.249000000000001</v>
      </c>
    </row>
    <row r="4537" spans="1:16" x14ac:dyDescent="0.35">
      <c r="A4537" s="9" t="s">
        <v>38</v>
      </c>
      <c r="B4537" s="2">
        <v>116.95</v>
      </c>
      <c r="C4537" s="2">
        <v>117.67</v>
      </c>
      <c r="D4537" s="2">
        <v>115.39</v>
      </c>
      <c r="E4537" s="2">
        <v>115.61</v>
      </c>
      <c r="F4537" s="2">
        <v>15179207</v>
      </c>
      <c r="G4537" s="2" t="s">
        <v>579</v>
      </c>
      <c r="H4537" s="2" t="s">
        <v>580</v>
      </c>
      <c r="I4537" s="2" t="s">
        <v>581</v>
      </c>
      <c r="J4537" s="4">
        <v>-1.8260000000000001</v>
      </c>
      <c r="K4537" s="2" t="s">
        <v>18</v>
      </c>
      <c r="L4537" s="2">
        <v>2023</v>
      </c>
      <c r="M4537" s="2" t="s">
        <v>19</v>
      </c>
      <c r="N4537" s="2" t="s">
        <v>23</v>
      </c>
      <c r="O4537">
        <f t="shared" si="140"/>
        <v>2.2800000000000011</v>
      </c>
      <c r="P4537">
        <f t="shared" si="141"/>
        <v>8.423</v>
      </c>
    </row>
    <row r="4538" spans="1:16" x14ac:dyDescent="0.35">
      <c r="A4538" s="9" t="s">
        <v>39</v>
      </c>
      <c r="B4538" s="2">
        <v>115.09</v>
      </c>
      <c r="C4538" s="2">
        <v>115.49</v>
      </c>
      <c r="D4538" s="2">
        <v>113.152</v>
      </c>
      <c r="E4538" s="2">
        <v>113.56</v>
      </c>
      <c r="F4538" s="2">
        <v>18672053</v>
      </c>
      <c r="G4538" s="2" t="s">
        <v>579</v>
      </c>
      <c r="H4538" s="2" t="s">
        <v>580</v>
      </c>
      <c r="I4538" s="2" t="s">
        <v>581</v>
      </c>
      <c r="J4538" s="4">
        <v>-1.7729999999999999</v>
      </c>
      <c r="K4538" s="2" t="s">
        <v>18</v>
      </c>
      <c r="L4538" s="2">
        <v>2023</v>
      </c>
      <c r="M4538" s="2" t="s">
        <v>19</v>
      </c>
      <c r="N4538" s="2" t="s">
        <v>23</v>
      </c>
      <c r="O4538">
        <f t="shared" si="140"/>
        <v>2.3379999999999939</v>
      </c>
      <c r="P4538">
        <f t="shared" si="141"/>
        <v>6.65</v>
      </c>
    </row>
    <row r="4539" spans="1:16" x14ac:dyDescent="0.35">
      <c r="A4539" s="9" t="s">
        <v>40</v>
      </c>
      <c r="B4539" s="2">
        <v>112.1</v>
      </c>
      <c r="C4539" s="2">
        <v>116.4</v>
      </c>
      <c r="D4539" s="2">
        <v>110.43</v>
      </c>
      <c r="E4539" s="2">
        <v>116.01</v>
      </c>
      <c r="F4539" s="2">
        <v>27861849</v>
      </c>
      <c r="G4539" s="2" t="s">
        <v>579</v>
      </c>
      <c r="H4539" s="2" t="s">
        <v>580</v>
      </c>
      <c r="I4539" s="2" t="s">
        <v>581</v>
      </c>
      <c r="J4539" s="3">
        <v>2.157</v>
      </c>
      <c r="K4539" s="2" t="s">
        <v>18</v>
      </c>
      <c r="L4539" s="2">
        <v>2023</v>
      </c>
      <c r="M4539" s="2" t="s">
        <v>19</v>
      </c>
      <c r="N4539" s="2" t="s">
        <v>21</v>
      </c>
      <c r="O4539">
        <f t="shared" si="140"/>
        <v>5.9699999999999989</v>
      </c>
      <c r="P4539">
        <f t="shared" si="141"/>
        <v>8.8070000000000004</v>
      </c>
    </row>
    <row r="4540" spans="1:16" x14ac:dyDescent="0.35">
      <c r="A4540" s="9" t="s">
        <v>41</v>
      </c>
      <c r="B4540" s="2">
        <v>115.83</v>
      </c>
      <c r="C4540" s="2">
        <v>117.38</v>
      </c>
      <c r="D4540" s="2">
        <v>113.34</v>
      </c>
      <c r="E4540" s="2">
        <v>114.74</v>
      </c>
      <c r="F4540" s="2">
        <v>19464873</v>
      </c>
      <c r="G4540" s="2" t="s">
        <v>579</v>
      </c>
      <c r="H4540" s="2" t="s">
        <v>580</v>
      </c>
      <c r="I4540" s="2" t="s">
        <v>581</v>
      </c>
      <c r="J4540" s="4">
        <v>-1.095</v>
      </c>
      <c r="K4540" s="2" t="s">
        <v>42</v>
      </c>
      <c r="L4540" s="2">
        <v>2023</v>
      </c>
      <c r="M4540" s="2" t="s">
        <v>43</v>
      </c>
      <c r="N4540" s="2" t="s">
        <v>23</v>
      </c>
      <c r="O4540">
        <f t="shared" si="140"/>
        <v>4.039999999999992</v>
      </c>
      <c r="P4540">
        <f t="shared" si="141"/>
        <v>7.7120000000000006</v>
      </c>
    </row>
    <row r="4541" spans="1:16" x14ac:dyDescent="0.35">
      <c r="A4541" s="9" t="s">
        <v>44</v>
      </c>
      <c r="B4541" s="2">
        <v>114.85</v>
      </c>
      <c r="C4541" s="2">
        <v>115.07</v>
      </c>
      <c r="D4541" s="2">
        <v>109.83</v>
      </c>
      <c r="E4541" s="2">
        <v>111.15</v>
      </c>
      <c r="F4541" s="2">
        <v>24562123</v>
      </c>
      <c r="G4541" s="2" t="s">
        <v>579</v>
      </c>
      <c r="H4541" s="2" t="s">
        <v>580</v>
      </c>
      <c r="I4541" s="2" t="s">
        <v>581</v>
      </c>
      <c r="J4541" s="4">
        <v>-3.129</v>
      </c>
      <c r="K4541" s="2" t="s">
        <v>42</v>
      </c>
      <c r="L4541" s="2">
        <v>2023</v>
      </c>
      <c r="M4541" s="2" t="s">
        <v>43</v>
      </c>
      <c r="N4541" s="2" t="s">
        <v>23</v>
      </c>
      <c r="O4541">
        <f t="shared" si="140"/>
        <v>5.2399999999999949</v>
      </c>
      <c r="P4541">
        <f t="shared" si="141"/>
        <v>4.5830000000000002</v>
      </c>
    </row>
    <row r="4542" spans="1:16" x14ac:dyDescent="0.35">
      <c r="A4542" s="9" t="s">
        <v>45</v>
      </c>
      <c r="B4542" s="2">
        <v>111.9</v>
      </c>
      <c r="C4542" s="2">
        <v>114.11</v>
      </c>
      <c r="D4542" s="2">
        <v>111.56</v>
      </c>
      <c r="E4542" s="2">
        <v>111.92</v>
      </c>
      <c r="F4542" s="2">
        <v>20226609</v>
      </c>
      <c r="G4542" s="2" t="s">
        <v>579</v>
      </c>
      <c r="H4542" s="2" t="s">
        <v>580</v>
      </c>
      <c r="I4542" s="2" t="s">
        <v>581</v>
      </c>
      <c r="J4542" s="3">
        <v>0.69299999999999995</v>
      </c>
      <c r="K4542" s="2" t="s">
        <v>42</v>
      </c>
      <c r="L4542" s="2">
        <v>2023</v>
      </c>
      <c r="M4542" s="2" t="s">
        <v>43</v>
      </c>
      <c r="N4542" s="2" t="s">
        <v>21</v>
      </c>
      <c r="O4542">
        <f t="shared" si="140"/>
        <v>2.5499999999999972</v>
      </c>
      <c r="P4542">
        <f t="shared" si="141"/>
        <v>5.2759999999999998</v>
      </c>
    </row>
    <row r="4543" spans="1:16" x14ac:dyDescent="0.35">
      <c r="A4543" s="9" t="s">
        <v>46</v>
      </c>
      <c r="B4543" s="2">
        <v>112.36</v>
      </c>
      <c r="C4543" s="2">
        <v>113.09</v>
      </c>
      <c r="D4543" s="2">
        <v>110.32</v>
      </c>
      <c r="E4543" s="2">
        <v>111.73</v>
      </c>
      <c r="F4543" s="2">
        <v>13855205</v>
      </c>
      <c r="G4543" s="2" t="s">
        <v>579</v>
      </c>
      <c r="H4543" s="2" t="s">
        <v>580</v>
      </c>
      <c r="I4543" s="2" t="s">
        <v>581</v>
      </c>
      <c r="J4543" s="4">
        <v>-0.17</v>
      </c>
      <c r="K4543" s="2" t="s">
        <v>42</v>
      </c>
      <c r="L4543" s="2">
        <v>2023</v>
      </c>
      <c r="M4543" s="2" t="s">
        <v>43</v>
      </c>
      <c r="N4543" s="2" t="s">
        <v>23</v>
      </c>
      <c r="O4543">
        <f t="shared" si="140"/>
        <v>2.7700000000000102</v>
      </c>
      <c r="P4543">
        <f t="shared" si="141"/>
        <v>5.1059999999999999</v>
      </c>
    </row>
    <row r="4544" spans="1:16" x14ac:dyDescent="0.35">
      <c r="A4544" s="9" t="s">
        <v>47</v>
      </c>
      <c r="B4544" s="2">
        <v>112.39</v>
      </c>
      <c r="C4544" s="2">
        <v>115.31</v>
      </c>
      <c r="D4544" s="2">
        <v>112.021</v>
      </c>
      <c r="E4544" s="2">
        <v>114.92</v>
      </c>
      <c r="F4544" s="2">
        <v>16013314</v>
      </c>
      <c r="G4544" s="2" t="s">
        <v>579</v>
      </c>
      <c r="H4544" s="2" t="s">
        <v>580</v>
      </c>
      <c r="I4544" s="2" t="s">
        <v>581</v>
      </c>
      <c r="J4544" s="3">
        <v>2.855</v>
      </c>
      <c r="K4544" s="2" t="s">
        <v>42</v>
      </c>
      <c r="L4544" s="2">
        <v>2023</v>
      </c>
      <c r="M4544" s="2" t="s">
        <v>43</v>
      </c>
      <c r="N4544" s="2" t="s">
        <v>21</v>
      </c>
      <c r="O4544">
        <f t="shared" si="140"/>
        <v>3.2890000000000015</v>
      </c>
      <c r="P4544">
        <f t="shared" si="141"/>
        <v>7.9610000000000003</v>
      </c>
    </row>
    <row r="4545" spans="1:16" x14ac:dyDescent="0.35">
      <c r="A4545" s="9" t="s">
        <v>48</v>
      </c>
      <c r="B4545" s="2">
        <v>115.05</v>
      </c>
      <c r="C4545" s="2">
        <v>115.83</v>
      </c>
      <c r="D4545" s="2">
        <v>113.85</v>
      </c>
      <c r="E4545" s="2">
        <v>113.92</v>
      </c>
      <c r="F4545" s="2">
        <v>18459678</v>
      </c>
      <c r="G4545" s="2" t="s">
        <v>579</v>
      </c>
      <c r="H4545" s="2" t="s">
        <v>580</v>
      </c>
      <c r="I4545" s="2" t="s">
        <v>581</v>
      </c>
      <c r="J4545" s="4">
        <v>-0.87</v>
      </c>
      <c r="K4545" s="2" t="s">
        <v>42</v>
      </c>
      <c r="L4545" s="2">
        <v>2023</v>
      </c>
      <c r="M4545" s="2" t="s">
        <v>43</v>
      </c>
      <c r="N4545" s="2" t="s">
        <v>23</v>
      </c>
      <c r="O4545">
        <f t="shared" si="140"/>
        <v>1.980000000000004</v>
      </c>
      <c r="P4545">
        <f t="shared" si="141"/>
        <v>7.0910000000000002</v>
      </c>
    </row>
    <row r="4546" spans="1:16" x14ac:dyDescent="0.35">
      <c r="A4546" s="9" t="s">
        <v>49</v>
      </c>
      <c r="B4546" s="2">
        <v>114.62</v>
      </c>
      <c r="C4546" s="2">
        <v>116.24</v>
      </c>
      <c r="D4546" s="2">
        <v>114.18</v>
      </c>
      <c r="E4546" s="2">
        <v>114.35</v>
      </c>
      <c r="F4546" s="2">
        <v>17439311</v>
      </c>
      <c r="G4546" s="2" t="s">
        <v>579</v>
      </c>
      <c r="H4546" s="2" t="s">
        <v>580</v>
      </c>
      <c r="I4546" s="2" t="s">
        <v>581</v>
      </c>
      <c r="J4546" s="3">
        <v>0.377</v>
      </c>
      <c r="K4546" s="2" t="s">
        <v>42</v>
      </c>
      <c r="L4546" s="2">
        <v>2023</v>
      </c>
      <c r="M4546" s="2" t="s">
        <v>43</v>
      </c>
      <c r="N4546" s="2" t="s">
        <v>21</v>
      </c>
      <c r="O4546">
        <f t="shared" si="140"/>
        <v>2.0599999999999881</v>
      </c>
      <c r="P4546">
        <f t="shared" si="141"/>
        <v>7.468</v>
      </c>
    </row>
    <row r="4547" spans="1:16" x14ac:dyDescent="0.35">
      <c r="A4547" s="9" t="s">
        <v>50</v>
      </c>
      <c r="B4547" s="2">
        <v>116.51</v>
      </c>
      <c r="C4547" s="2">
        <v>119.63</v>
      </c>
      <c r="D4547" s="2">
        <v>116.16</v>
      </c>
      <c r="E4547" s="2">
        <v>119.17</v>
      </c>
      <c r="F4547" s="2">
        <v>24918616</v>
      </c>
      <c r="G4547" s="2" t="s">
        <v>579</v>
      </c>
      <c r="H4547" s="2" t="s">
        <v>580</v>
      </c>
      <c r="I4547" s="2" t="s">
        <v>581</v>
      </c>
      <c r="J4547" s="3">
        <v>4.2149999999999999</v>
      </c>
      <c r="K4547" s="2" t="s">
        <v>42</v>
      </c>
      <c r="L4547" s="2">
        <v>2023</v>
      </c>
      <c r="M4547" s="2" t="s">
        <v>43</v>
      </c>
      <c r="N4547" s="2" t="s">
        <v>21</v>
      </c>
      <c r="O4547">
        <f t="shared" ref="O4547:O4610" si="142">C4547-D4547</f>
        <v>3.4699999999999989</v>
      </c>
      <c r="P4547">
        <f t="shared" si="141"/>
        <v>11.683</v>
      </c>
    </row>
    <row r="4548" spans="1:16" x14ac:dyDescent="0.35">
      <c r="A4548" s="9" t="s">
        <v>51</v>
      </c>
      <c r="B4548" s="2">
        <v>117.72</v>
      </c>
      <c r="C4548" s="2">
        <v>118.18</v>
      </c>
      <c r="D4548" s="2">
        <v>115.9</v>
      </c>
      <c r="E4548" s="2">
        <v>117.8</v>
      </c>
      <c r="F4548" s="2">
        <v>14536241</v>
      </c>
      <c r="G4548" s="2" t="s">
        <v>579</v>
      </c>
      <c r="H4548" s="2" t="s">
        <v>580</v>
      </c>
      <c r="I4548" s="2" t="s">
        <v>581</v>
      </c>
      <c r="J4548" s="4">
        <v>-1.1499999999999999</v>
      </c>
      <c r="K4548" s="2" t="s">
        <v>42</v>
      </c>
      <c r="L4548" s="2">
        <v>2023</v>
      </c>
      <c r="M4548" s="2" t="s">
        <v>43</v>
      </c>
      <c r="N4548" s="2" t="s">
        <v>23</v>
      </c>
      <c r="O4548">
        <f t="shared" si="142"/>
        <v>2.2800000000000011</v>
      </c>
      <c r="P4548">
        <f t="shared" ref="P4548:P4611" si="143">IF(G4548=G4547, P4547+J4548, J4548)</f>
        <v>10.532999999999999</v>
      </c>
    </row>
    <row r="4549" spans="1:16" x14ac:dyDescent="0.35">
      <c r="A4549" s="9" t="s">
        <v>52</v>
      </c>
      <c r="B4549" s="2">
        <v>117.01</v>
      </c>
      <c r="C4549" s="2">
        <v>117.81</v>
      </c>
      <c r="D4549" s="2">
        <v>116.017</v>
      </c>
      <c r="E4549" s="2">
        <v>116.42</v>
      </c>
      <c r="F4549" s="2">
        <v>12078992</v>
      </c>
      <c r="G4549" s="2" t="s">
        <v>579</v>
      </c>
      <c r="H4549" s="2" t="s">
        <v>580</v>
      </c>
      <c r="I4549" s="2" t="s">
        <v>581</v>
      </c>
      <c r="J4549" s="4">
        <v>-1.171</v>
      </c>
      <c r="K4549" s="2" t="s">
        <v>42</v>
      </c>
      <c r="L4549" s="2">
        <v>2023</v>
      </c>
      <c r="M4549" s="2" t="s">
        <v>43</v>
      </c>
      <c r="N4549" s="2" t="s">
        <v>23</v>
      </c>
      <c r="O4549">
        <f t="shared" si="142"/>
        <v>1.7930000000000064</v>
      </c>
      <c r="P4549">
        <f t="shared" si="143"/>
        <v>9.3620000000000001</v>
      </c>
    </row>
    <row r="4550" spans="1:16" x14ac:dyDescent="0.35">
      <c r="A4550" s="9" t="s">
        <v>53</v>
      </c>
      <c r="B4550" s="2">
        <v>115.72</v>
      </c>
      <c r="C4550" s="2">
        <v>116.09</v>
      </c>
      <c r="D4550" s="2">
        <v>114.14</v>
      </c>
      <c r="E4550" s="2">
        <v>116.07</v>
      </c>
      <c r="F4550" s="2">
        <v>13673360</v>
      </c>
      <c r="G4550" s="2" t="s">
        <v>579</v>
      </c>
      <c r="H4550" s="2" t="s">
        <v>580</v>
      </c>
      <c r="I4550" s="2" t="s">
        <v>581</v>
      </c>
      <c r="J4550" s="4">
        <v>-0.30099999999999999</v>
      </c>
      <c r="K4550" s="2" t="s">
        <v>42</v>
      </c>
      <c r="L4550" s="2">
        <v>2023</v>
      </c>
      <c r="M4550" s="2" t="s">
        <v>43</v>
      </c>
      <c r="N4550" s="2" t="s">
        <v>23</v>
      </c>
      <c r="O4550">
        <f t="shared" si="142"/>
        <v>1.9500000000000028</v>
      </c>
      <c r="P4550">
        <f t="shared" si="143"/>
        <v>9.0609999999999999</v>
      </c>
    </row>
    <row r="4551" spans="1:16" x14ac:dyDescent="0.35">
      <c r="A4551" s="9" t="s">
        <v>54</v>
      </c>
      <c r="B4551" s="2">
        <v>115.31</v>
      </c>
      <c r="C4551" s="2">
        <v>116.78</v>
      </c>
      <c r="D4551" s="2">
        <v>114.8</v>
      </c>
      <c r="E4551" s="2">
        <v>115.73</v>
      </c>
      <c r="F4551" s="2">
        <v>11360604</v>
      </c>
      <c r="G4551" s="2" t="s">
        <v>579</v>
      </c>
      <c r="H4551" s="2" t="s">
        <v>580</v>
      </c>
      <c r="I4551" s="2" t="s">
        <v>581</v>
      </c>
      <c r="J4551" s="4">
        <v>-0.29299999999999998</v>
      </c>
      <c r="K4551" s="2" t="s">
        <v>42</v>
      </c>
      <c r="L4551" s="2">
        <v>2023</v>
      </c>
      <c r="M4551" s="2" t="s">
        <v>43</v>
      </c>
      <c r="N4551" s="2" t="s">
        <v>23</v>
      </c>
      <c r="O4551">
        <f t="shared" si="142"/>
        <v>1.980000000000004</v>
      </c>
      <c r="P4551">
        <f t="shared" si="143"/>
        <v>8.7680000000000007</v>
      </c>
    </row>
    <row r="4552" spans="1:16" x14ac:dyDescent="0.35">
      <c r="A4552" s="9" t="s">
        <v>55</v>
      </c>
      <c r="B4552" s="2">
        <v>114.19</v>
      </c>
      <c r="C4552" s="2">
        <v>114.19</v>
      </c>
      <c r="D4552" s="2">
        <v>110.98</v>
      </c>
      <c r="E4552" s="2">
        <v>111.28</v>
      </c>
      <c r="F4552" s="2">
        <v>20758331</v>
      </c>
      <c r="G4552" s="2" t="s">
        <v>579</v>
      </c>
      <c r="H4552" s="2" t="s">
        <v>580</v>
      </c>
      <c r="I4552" s="2" t="s">
        <v>581</v>
      </c>
      <c r="J4552" s="4">
        <v>-3.8450000000000002</v>
      </c>
      <c r="K4552" s="2" t="s">
        <v>42</v>
      </c>
      <c r="L4552" s="2">
        <v>2023</v>
      </c>
      <c r="M4552" s="2" t="s">
        <v>43</v>
      </c>
      <c r="N4552" s="2" t="s">
        <v>23</v>
      </c>
      <c r="O4552">
        <f t="shared" si="142"/>
        <v>3.2099999999999937</v>
      </c>
      <c r="P4552">
        <f t="shared" si="143"/>
        <v>4.923</v>
      </c>
    </row>
    <row r="4553" spans="1:16" x14ac:dyDescent="0.35">
      <c r="A4553" s="9" t="s">
        <v>56</v>
      </c>
      <c r="B4553" s="2">
        <v>110.81</v>
      </c>
      <c r="C4553" s="2">
        <v>112.38</v>
      </c>
      <c r="D4553" s="2">
        <v>110.81</v>
      </c>
      <c r="E4553" s="2">
        <v>111.17</v>
      </c>
      <c r="F4553" s="2">
        <v>14469431</v>
      </c>
      <c r="G4553" s="2" t="s">
        <v>579</v>
      </c>
      <c r="H4553" s="2" t="s">
        <v>580</v>
      </c>
      <c r="I4553" s="2" t="s">
        <v>581</v>
      </c>
      <c r="J4553" s="4">
        <v>-9.9000000000000005E-2</v>
      </c>
      <c r="K4553" s="2" t="s">
        <v>42</v>
      </c>
      <c r="L4553" s="2">
        <v>2023</v>
      </c>
      <c r="M4553" s="2" t="s">
        <v>43</v>
      </c>
      <c r="N4553" s="2" t="s">
        <v>23</v>
      </c>
      <c r="O4553">
        <f t="shared" si="142"/>
        <v>1.5699999999999932</v>
      </c>
      <c r="P4553">
        <f t="shared" si="143"/>
        <v>4.8239999999999998</v>
      </c>
    </row>
    <row r="4554" spans="1:16" x14ac:dyDescent="0.35">
      <c r="A4554" s="9" t="s">
        <v>57</v>
      </c>
      <c r="B4554" s="2">
        <v>110.48</v>
      </c>
      <c r="C4554" s="2">
        <v>110.97</v>
      </c>
      <c r="D4554" s="2">
        <v>108.64</v>
      </c>
      <c r="E4554" s="2">
        <v>109.73</v>
      </c>
      <c r="F4554" s="2">
        <v>13973841</v>
      </c>
      <c r="G4554" s="2" t="s">
        <v>579</v>
      </c>
      <c r="H4554" s="2" t="s">
        <v>580</v>
      </c>
      <c r="I4554" s="2" t="s">
        <v>581</v>
      </c>
      <c r="J4554" s="4">
        <v>-1.2949999999999999</v>
      </c>
      <c r="K4554" s="2" t="s">
        <v>42</v>
      </c>
      <c r="L4554" s="2">
        <v>2023</v>
      </c>
      <c r="M4554" s="2" t="s">
        <v>43</v>
      </c>
      <c r="N4554" s="2" t="s">
        <v>23</v>
      </c>
      <c r="O4554">
        <f t="shared" si="142"/>
        <v>2.3299999999999983</v>
      </c>
      <c r="P4554">
        <f t="shared" si="143"/>
        <v>3.5289999999999999</v>
      </c>
    </row>
    <row r="4555" spans="1:16" x14ac:dyDescent="0.35">
      <c r="A4555" s="9" t="s">
        <v>58</v>
      </c>
      <c r="B4555" s="2">
        <v>110.73</v>
      </c>
      <c r="C4555" s="2">
        <v>111.83</v>
      </c>
      <c r="D4555" s="2">
        <v>109.9</v>
      </c>
      <c r="E4555" s="2">
        <v>110.74</v>
      </c>
      <c r="F4555" s="2">
        <v>11289402</v>
      </c>
      <c r="G4555" s="2" t="s">
        <v>579</v>
      </c>
      <c r="H4555" s="2" t="s">
        <v>580</v>
      </c>
      <c r="I4555" s="2" t="s">
        <v>581</v>
      </c>
      <c r="J4555" s="3">
        <v>0.92</v>
      </c>
      <c r="K4555" s="2" t="s">
        <v>42</v>
      </c>
      <c r="L4555" s="2">
        <v>2023</v>
      </c>
      <c r="M4555" s="2" t="s">
        <v>43</v>
      </c>
      <c r="N4555" s="2" t="s">
        <v>21</v>
      </c>
      <c r="O4555">
        <f t="shared" si="142"/>
        <v>1.9299999999999926</v>
      </c>
      <c r="P4555">
        <f t="shared" si="143"/>
        <v>4.4489999999999998</v>
      </c>
    </row>
    <row r="4556" spans="1:16" x14ac:dyDescent="0.35">
      <c r="A4556" s="9" t="s">
        <v>59</v>
      </c>
      <c r="B4556" s="2">
        <v>109.33</v>
      </c>
      <c r="C4556" s="2">
        <v>110.96</v>
      </c>
      <c r="D4556" s="2">
        <v>109.02</v>
      </c>
      <c r="E4556" s="2">
        <v>110.75</v>
      </c>
      <c r="F4556" s="2">
        <v>14351036</v>
      </c>
      <c r="G4556" s="2" t="s">
        <v>579</v>
      </c>
      <c r="H4556" s="2" t="s">
        <v>580</v>
      </c>
      <c r="I4556" s="2" t="s">
        <v>581</v>
      </c>
      <c r="J4556" s="3">
        <v>8.9999999999999993E-3</v>
      </c>
      <c r="K4556" s="2" t="s">
        <v>42</v>
      </c>
      <c r="L4556" s="2">
        <v>2023</v>
      </c>
      <c r="M4556" s="2" t="s">
        <v>43</v>
      </c>
      <c r="N4556" s="2" t="s">
        <v>21</v>
      </c>
      <c r="O4556">
        <f t="shared" si="142"/>
        <v>1.9399999999999977</v>
      </c>
      <c r="P4556">
        <f t="shared" si="143"/>
        <v>4.4580000000000002</v>
      </c>
    </row>
    <row r="4557" spans="1:16" x14ac:dyDescent="0.35">
      <c r="A4557" s="9" t="s">
        <v>60</v>
      </c>
      <c r="B4557" s="2">
        <v>110.8</v>
      </c>
      <c r="C4557" s="2">
        <v>111.26</v>
      </c>
      <c r="D4557" s="2">
        <v>109.96</v>
      </c>
      <c r="E4557" s="2">
        <v>110.55</v>
      </c>
      <c r="F4557" s="2">
        <v>11710453</v>
      </c>
      <c r="G4557" s="2" t="s">
        <v>579</v>
      </c>
      <c r="H4557" s="2" t="s">
        <v>580</v>
      </c>
      <c r="I4557" s="2" t="s">
        <v>581</v>
      </c>
      <c r="J4557" s="4">
        <v>-0.18099999999999999</v>
      </c>
      <c r="K4557" s="2" t="s">
        <v>42</v>
      </c>
      <c r="L4557" s="2">
        <v>2023</v>
      </c>
      <c r="M4557" s="2" t="s">
        <v>43</v>
      </c>
      <c r="N4557" s="2" t="s">
        <v>23</v>
      </c>
      <c r="O4557">
        <f t="shared" si="142"/>
        <v>1.3000000000000114</v>
      </c>
      <c r="P4557">
        <f t="shared" si="143"/>
        <v>4.2770000000000001</v>
      </c>
    </row>
    <row r="4558" spans="1:16" x14ac:dyDescent="0.35">
      <c r="A4558" s="9" t="s">
        <v>61</v>
      </c>
      <c r="B4558" s="2">
        <v>111.24</v>
      </c>
      <c r="C4558" s="2">
        <v>111.36</v>
      </c>
      <c r="D4558" s="2">
        <v>109.22</v>
      </c>
      <c r="E4558" s="2">
        <v>109.91</v>
      </c>
      <c r="F4558" s="2">
        <v>18107031</v>
      </c>
      <c r="G4558" s="2" t="s">
        <v>579</v>
      </c>
      <c r="H4558" s="2" t="s">
        <v>580</v>
      </c>
      <c r="I4558" s="2" t="s">
        <v>581</v>
      </c>
      <c r="J4558" s="4">
        <v>-0.57899999999999996</v>
      </c>
      <c r="K4558" s="2" t="s">
        <v>42</v>
      </c>
      <c r="L4558" s="2">
        <v>2023</v>
      </c>
      <c r="M4558" s="2" t="s">
        <v>43</v>
      </c>
      <c r="N4558" s="2" t="s">
        <v>23</v>
      </c>
      <c r="O4558">
        <f t="shared" si="142"/>
        <v>2.1400000000000006</v>
      </c>
      <c r="P4558">
        <f t="shared" si="143"/>
        <v>3.6980000000000004</v>
      </c>
    </row>
    <row r="4559" spans="1:16" x14ac:dyDescent="0.35">
      <c r="A4559" s="9" t="s">
        <v>62</v>
      </c>
      <c r="B4559" s="2">
        <v>109.31</v>
      </c>
      <c r="C4559" s="2">
        <v>111.86</v>
      </c>
      <c r="D4559" s="2">
        <v>109.24</v>
      </c>
      <c r="E4559" s="2">
        <v>110.89</v>
      </c>
      <c r="F4559" s="2">
        <v>13199955</v>
      </c>
      <c r="G4559" s="2" t="s">
        <v>579</v>
      </c>
      <c r="H4559" s="2" t="s">
        <v>580</v>
      </c>
      <c r="I4559" s="2" t="s">
        <v>581</v>
      </c>
      <c r="J4559" s="3">
        <v>0.89200000000000002</v>
      </c>
      <c r="K4559" s="2" t="s">
        <v>63</v>
      </c>
      <c r="L4559" s="2">
        <v>2023</v>
      </c>
      <c r="M4559" s="2" t="s">
        <v>64</v>
      </c>
      <c r="N4559" s="2" t="s">
        <v>21</v>
      </c>
      <c r="O4559">
        <f t="shared" si="142"/>
        <v>2.6200000000000045</v>
      </c>
      <c r="P4559">
        <f t="shared" si="143"/>
        <v>4.5900000000000007</v>
      </c>
    </row>
    <row r="4560" spans="1:16" x14ac:dyDescent="0.35">
      <c r="A4560" s="9" t="s">
        <v>65</v>
      </c>
      <c r="B4560" s="2">
        <v>110.61499999999999</v>
      </c>
      <c r="C4560" s="2">
        <v>111.69499999999999</v>
      </c>
      <c r="D4560" s="2">
        <v>110.17</v>
      </c>
      <c r="E4560" s="2">
        <v>111.4</v>
      </c>
      <c r="F4560" s="2">
        <v>10343084</v>
      </c>
      <c r="G4560" s="2" t="s">
        <v>579</v>
      </c>
      <c r="H4560" s="2" t="s">
        <v>580</v>
      </c>
      <c r="I4560" s="2" t="s">
        <v>581</v>
      </c>
      <c r="J4560" s="3">
        <v>0.46</v>
      </c>
      <c r="K4560" s="2" t="s">
        <v>63</v>
      </c>
      <c r="L4560" s="2">
        <v>2023</v>
      </c>
      <c r="M4560" s="2" t="s">
        <v>64</v>
      </c>
      <c r="N4560" s="2" t="s">
        <v>21</v>
      </c>
      <c r="O4560">
        <f t="shared" si="142"/>
        <v>1.5249999999999915</v>
      </c>
      <c r="P4560">
        <f t="shared" si="143"/>
        <v>5.0500000000000007</v>
      </c>
    </row>
    <row r="4561" spans="1:16" x14ac:dyDescent="0.35">
      <c r="A4561" s="9" t="s">
        <v>66</v>
      </c>
      <c r="B4561" s="2">
        <v>110.05</v>
      </c>
      <c r="C4561" s="2">
        <v>113.37</v>
      </c>
      <c r="D4561" s="2">
        <v>109.95</v>
      </c>
      <c r="E4561" s="2">
        <v>112.81</v>
      </c>
      <c r="F4561" s="2">
        <v>13006713</v>
      </c>
      <c r="G4561" s="2" t="s">
        <v>579</v>
      </c>
      <c r="H4561" s="2" t="s">
        <v>580</v>
      </c>
      <c r="I4561" s="2" t="s">
        <v>581</v>
      </c>
      <c r="J4561" s="3">
        <v>1.266</v>
      </c>
      <c r="K4561" s="2" t="s">
        <v>63</v>
      </c>
      <c r="L4561" s="2">
        <v>2023</v>
      </c>
      <c r="M4561" s="2" t="s">
        <v>64</v>
      </c>
      <c r="N4561" s="2" t="s">
        <v>21</v>
      </c>
      <c r="O4561">
        <f t="shared" si="142"/>
        <v>3.4200000000000017</v>
      </c>
      <c r="P4561">
        <f t="shared" si="143"/>
        <v>6.3160000000000007</v>
      </c>
    </row>
    <row r="4562" spans="1:16" x14ac:dyDescent="0.35">
      <c r="A4562" s="9" t="s">
        <v>67</v>
      </c>
      <c r="B4562" s="2">
        <v>111.99</v>
      </c>
      <c r="C4562" s="2">
        <v>113.84</v>
      </c>
      <c r="D4562" s="2">
        <v>111.87</v>
      </c>
      <c r="E4562" s="2">
        <v>113.81</v>
      </c>
      <c r="F4562" s="2">
        <v>14347410</v>
      </c>
      <c r="G4562" s="2" t="s">
        <v>579</v>
      </c>
      <c r="H4562" s="2" t="s">
        <v>580</v>
      </c>
      <c r="I4562" s="2" t="s">
        <v>581</v>
      </c>
      <c r="J4562" s="3">
        <v>0.88600000000000001</v>
      </c>
      <c r="K4562" s="2" t="s">
        <v>63</v>
      </c>
      <c r="L4562" s="2">
        <v>2023</v>
      </c>
      <c r="M4562" s="2" t="s">
        <v>64</v>
      </c>
      <c r="N4562" s="2" t="s">
        <v>21</v>
      </c>
      <c r="O4562">
        <f t="shared" si="142"/>
        <v>1.9699999999999989</v>
      </c>
      <c r="P4562">
        <f t="shared" si="143"/>
        <v>7.2020000000000008</v>
      </c>
    </row>
    <row r="4563" spans="1:16" x14ac:dyDescent="0.35">
      <c r="A4563" s="9" t="s">
        <v>68</v>
      </c>
      <c r="B4563" s="2">
        <v>112.81</v>
      </c>
      <c r="C4563" s="2">
        <v>113.17</v>
      </c>
      <c r="D4563" s="2">
        <v>111.17</v>
      </c>
      <c r="E4563" s="2">
        <v>111.61</v>
      </c>
      <c r="F4563" s="2">
        <v>11525289</v>
      </c>
      <c r="G4563" s="2" t="s">
        <v>579</v>
      </c>
      <c r="H4563" s="2" t="s">
        <v>580</v>
      </c>
      <c r="I4563" s="2" t="s">
        <v>581</v>
      </c>
      <c r="J4563" s="4">
        <v>-1.9330000000000001</v>
      </c>
      <c r="K4563" s="2" t="s">
        <v>63</v>
      </c>
      <c r="L4563" s="2">
        <v>2023</v>
      </c>
      <c r="M4563" s="2" t="s">
        <v>64</v>
      </c>
      <c r="N4563" s="2" t="s">
        <v>23</v>
      </c>
      <c r="O4563">
        <f t="shared" si="142"/>
        <v>2</v>
      </c>
      <c r="P4563">
        <f t="shared" si="143"/>
        <v>5.269000000000001</v>
      </c>
    </row>
    <row r="4564" spans="1:16" x14ac:dyDescent="0.35">
      <c r="A4564" s="9" t="s">
        <v>69</v>
      </c>
      <c r="B4564" s="2">
        <v>111.23</v>
      </c>
      <c r="C4564" s="2">
        <v>112.42</v>
      </c>
      <c r="D4564" s="2">
        <v>109.065</v>
      </c>
      <c r="E4564" s="2">
        <v>109.98</v>
      </c>
      <c r="F4564" s="2">
        <v>13509818</v>
      </c>
      <c r="G4564" s="2" t="s">
        <v>579</v>
      </c>
      <c r="H4564" s="2" t="s">
        <v>580</v>
      </c>
      <c r="I4564" s="2" t="s">
        <v>581</v>
      </c>
      <c r="J4564" s="4">
        <v>-1.46</v>
      </c>
      <c r="K4564" s="2" t="s">
        <v>63</v>
      </c>
      <c r="L4564" s="2">
        <v>2023</v>
      </c>
      <c r="M4564" s="2" t="s">
        <v>64</v>
      </c>
      <c r="N4564" s="2" t="s">
        <v>23</v>
      </c>
      <c r="O4564">
        <f t="shared" si="142"/>
        <v>3.355000000000004</v>
      </c>
      <c r="P4564">
        <f t="shared" si="143"/>
        <v>3.8090000000000011</v>
      </c>
    </row>
    <row r="4565" spans="1:16" x14ac:dyDescent="0.35">
      <c r="A4565" s="9" t="s">
        <v>70</v>
      </c>
      <c r="B4565" s="2">
        <v>110.87</v>
      </c>
      <c r="C4565" s="2">
        <v>112.23</v>
      </c>
      <c r="D4565" s="2">
        <v>109.03</v>
      </c>
      <c r="E4565" s="2">
        <v>109.13</v>
      </c>
      <c r="F4565" s="2">
        <v>12961244</v>
      </c>
      <c r="G4565" s="2" t="s">
        <v>579</v>
      </c>
      <c r="H4565" s="2" t="s">
        <v>580</v>
      </c>
      <c r="I4565" s="2" t="s">
        <v>581</v>
      </c>
      <c r="J4565" s="4">
        <v>-0.77300000000000002</v>
      </c>
      <c r="K4565" s="2" t="s">
        <v>63</v>
      </c>
      <c r="L4565" s="2">
        <v>2023</v>
      </c>
      <c r="M4565" s="2" t="s">
        <v>64</v>
      </c>
      <c r="N4565" s="2" t="s">
        <v>23</v>
      </c>
      <c r="O4565">
        <f t="shared" si="142"/>
        <v>3.2000000000000028</v>
      </c>
      <c r="P4565">
        <f t="shared" si="143"/>
        <v>3.0360000000000009</v>
      </c>
    </row>
    <row r="4566" spans="1:16" x14ac:dyDescent="0.35">
      <c r="A4566" s="9" t="s">
        <v>71</v>
      </c>
      <c r="B4566" s="2">
        <v>109.56</v>
      </c>
      <c r="C4566" s="2">
        <v>111.035</v>
      </c>
      <c r="D4566" s="2">
        <v>107.15</v>
      </c>
      <c r="E4566" s="2">
        <v>107.78</v>
      </c>
      <c r="F4566" s="2">
        <v>15795666</v>
      </c>
      <c r="G4566" s="2" t="s">
        <v>579</v>
      </c>
      <c r="H4566" s="2" t="s">
        <v>580</v>
      </c>
      <c r="I4566" s="2" t="s">
        <v>581</v>
      </c>
      <c r="J4566" s="4">
        <v>-1.2370000000000001</v>
      </c>
      <c r="K4566" s="2" t="s">
        <v>63</v>
      </c>
      <c r="L4566" s="2">
        <v>2023</v>
      </c>
      <c r="M4566" s="2" t="s">
        <v>64</v>
      </c>
      <c r="N4566" s="2" t="s">
        <v>23</v>
      </c>
      <c r="O4566">
        <f t="shared" si="142"/>
        <v>3.8849999999999909</v>
      </c>
      <c r="P4566">
        <f t="shared" si="143"/>
        <v>1.7990000000000008</v>
      </c>
    </row>
    <row r="4567" spans="1:16" x14ac:dyDescent="0.35">
      <c r="A4567" s="9" t="s">
        <v>72</v>
      </c>
      <c r="B4567" s="2">
        <v>105.34</v>
      </c>
      <c r="C4567" s="2">
        <v>107.86</v>
      </c>
      <c r="D4567" s="2">
        <v>103.72</v>
      </c>
      <c r="E4567" s="2">
        <v>106.54</v>
      </c>
      <c r="F4567" s="2">
        <v>20745625</v>
      </c>
      <c r="G4567" s="2" t="s">
        <v>579</v>
      </c>
      <c r="H4567" s="2" t="s">
        <v>580</v>
      </c>
      <c r="I4567" s="2" t="s">
        <v>581</v>
      </c>
      <c r="J4567" s="4">
        <v>-1.1499999999999999</v>
      </c>
      <c r="K4567" s="2" t="s">
        <v>63</v>
      </c>
      <c r="L4567" s="2">
        <v>2023</v>
      </c>
      <c r="M4567" s="2" t="s">
        <v>64</v>
      </c>
      <c r="N4567" s="2" t="s">
        <v>23</v>
      </c>
      <c r="O4567">
        <f t="shared" si="142"/>
        <v>4.1400000000000006</v>
      </c>
      <c r="P4567">
        <f t="shared" si="143"/>
        <v>0.64900000000000091</v>
      </c>
    </row>
    <row r="4568" spans="1:16" x14ac:dyDescent="0.35">
      <c r="A4568" s="9" t="s">
        <v>73</v>
      </c>
      <c r="B4568" s="2">
        <v>106.35</v>
      </c>
      <c r="C4568" s="2">
        <v>109.01</v>
      </c>
      <c r="D4568" s="2">
        <v>104.96</v>
      </c>
      <c r="E4568" s="2">
        <v>106.94</v>
      </c>
      <c r="F4568" s="2">
        <v>18263512</v>
      </c>
      <c r="G4568" s="2" t="s">
        <v>579</v>
      </c>
      <c r="H4568" s="2" t="s">
        <v>580</v>
      </c>
      <c r="I4568" s="2" t="s">
        <v>581</v>
      </c>
      <c r="J4568" s="3">
        <v>0.375</v>
      </c>
      <c r="K4568" s="2" t="s">
        <v>63</v>
      </c>
      <c r="L4568" s="2">
        <v>2023</v>
      </c>
      <c r="M4568" s="2" t="s">
        <v>64</v>
      </c>
      <c r="N4568" s="2" t="s">
        <v>21</v>
      </c>
      <c r="O4568">
        <f t="shared" si="142"/>
        <v>4.0500000000000114</v>
      </c>
      <c r="P4568">
        <f t="shared" si="143"/>
        <v>1.0240000000000009</v>
      </c>
    </row>
    <row r="4569" spans="1:16" x14ac:dyDescent="0.35">
      <c r="A4569" s="9" t="s">
        <v>74</v>
      </c>
      <c r="B4569" s="2">
        <v>102.82</v>
      </c>
      <c r="C4569" s="2">
        <v>104.2</v>
      </c>
      <c r="D4569" s="2">
        <v>100.22</v>
      </c>
      <c r="E4569" s="2">
        <v>101.62</v>
      </c>
      <c r="F4569" s="2">
        <v>25733781</v>
      </c>
      <c r="G4569" s="2" t="s">
        <v>579</v>
      </c>
      <c r="H4569" s="2" t="s">
        <v>580</v>
      </c>
      <c r="I4569" s="2" t="s">
        <v>581</v>
      </c>
      <c r="J4569" s="4">
        <v>-4.9749999999999996</v>
      </c>
      <c r="K4569" s="2" t="s">
        <v>63</v>
      </c>
      <c r="L4569" s="2">
        <v>2023</v>
      </c>
      <c r="M4569" s="2" t="s">
        <v>64</v>
      </c>
      <c r="N4569" s="2" t="s">
        <v>23</v>
      </c>
      <c r="O4569">
        <f t="shared" si="142"/>
        <v>3.980000000000004</v>
      </c>
      <c r="P4569">
        <f t="shared" si="143"/>
        <v>-3.9509999999999987</v>
      </c>
    </row>
    <row r="4570" spans="1:16" x14ac:dyDescent="0.35">
      <c r="A4570" s="9" t="s">
        <v>75</v>
      </c>
      <c r="B4570" s="2">
        <v>99.11</v>
      </c>
      <c r="C4570" s="2">
        <v>101.68</v>
      </c>
      <c r="D4570" s="2">
        <v>98.02</v>
      </c>
      <c r="E4570" s="2">
        <v>101.03</v>
      </c>
      <c r="F4570" s="2">
        <v>27476133</v>
      </c>
      <c r="G4570" s="2" t="s">
        <v>579</v>
      </c>
      <c r="H4570" s="2" t="s">
        <v>580</v>
      </c>
      <c r="I4570" s="2" t="s">
        <v>581</v>
      </c>
      <c r="J4570" s="4">
        <v>-0.58099999999999996</v>
      </c>
      <c r="K4570" s="2" t="s">
        <v>63</v>
      </c>
      <c r="L4570" s="2">
        <v>2023</v>
      </c>
      <c r="M4570" s="2" t="s">
        <v>64</v>
      </c>
      <c r="N4570" s="2" t="s">
        <v>23</v>
      </c>
      <c r="O4570">
        <f t="shared" si="142"/>
        <v>3.6600000000000108</v>
      </c>
      <c r="P4570">
        <f t="shared" si="143"/>
        <v>-4.5319999999999983</v>
      </c>
    </row>
    <row r="4571" spans="1:16" x14ac:dyDescent="0.35">
      <c r="A4571" s="9" t="s">
        <v>76</v>
      </c>
      <c r="B4571" s="2">
        <v>100.6</v>
      </c>
      <c r="C4571" s="2">
        <v>101.61499999999999</v>
      </c>
      <c r="D4571" s="2">
        <v>99.14</v>
      </c>
      <c r="E4571" s="2">
        <v>99.84</v>
      </c>
      <c r="F4571" s="2">
        <v>43199470</v>
      </c>
      <c r="G4571" s="2" t="s">
        <v>579</v>
      </c>
      <c r="H4571" s="2" t="s">
        <v>580</v>
      </c>
      <c r="I4571" s="2" t="s">
        <v>581</v>
      </c>
      <c r="J4571" s="4">
        <v>-1.1779999999999999</v>
      </c>
      <c r="K4571" s="2" t="s">
        <v>63</v>
      </c>
      <c r="L4571" s="2">
        <v>2023</v>
      </c>
      <c r="M4571" s="2" t="s">
        <v>64</v>
      </c>
      <c r="N4571" s="2" t="s">
        <v>23</v>
      </c>
      <c r="O4571">
        <f t="shared" si="142"/>
        <v>2.4749999999999943</v>
      </c>
      <c r="P4571">
        <f t="shared" si="143"/>
        <v>-5.7099999999999982</v>
      </c>
    </row>
    <row r="4572" spans="1:16" x14ac:dyDescent="0.35">
      <c r="A4572" s="9" t="s">
        <v>77</v>
      </c>
      <c r="B4572" s="2">
        <v>99.63</v>
      </c>
      <c r="C4572" s="2">
        <v>102.48</v>
      </c>
      <c r="D4572" s="2">
        <v>99.5</v>
      </c>
      <c r="E4572" s="2">
        <v>102.45</v>
      </c>
      <c r="F4572" s="2">
        <v>32042106</v>
      </c>
      <c r="G4572" s="2" t="s">
        <v>579</v>
      </c>
      <c r="H4572" s="2" t="s">
        <v>580</v>
      </c>
      <c r="I4572" s="2" t="s">
        <v>581</v>
      </c>
      <c r="J4572" s="3">
        <v>2.6139999999999999</v>
      </c>
      <c r="K4572" s="2" t="s">
        <v>63</v>
      </c>
      <c r="L4572" s="2">
        <v>2023</v>
      </c>
      <c r="M4572" s="2" t="s">
        <v>64</v>
      </c>
      <c r="N4572" s="2" t="s">
        <v>21</v>
      </c>
      <c r="O4572">
        <f t="shared" si="142"/>
        <v>2.980000000000004</v>
      </c>
      <c r="P4572">
        <f t="shared" si="143"/>
        <v>-3.0959999999999983</v>
      </c>
    </row>
    <row r="4573" spans="1:16" x14ac:dyDescent="0.35">
      <c r="A4573" s="9" t="s">
        <v>78</v>
      </c>
      <c r="B4573" s="2">
        <v>104.17</v>
      </c>
      <c r="C4573" s="2">
        <v>107.28</v>
      </c>
      <c r="D4573" s="2">
        <v>104.13</v>
      </c>
      <c r="E4573" s="2">
        <v>107.04</v>
      </c>
      <c r="F4573" s="2">
        <v>31592310</v>
      </c>
      <c r="G4573" s="2" t="s">
        <v>579</v>
      </c>
      <c r="H4573" s="2" t="s">
        <v>580</v>
      </c>
      <c r="I4573" s="2" t="s">
        <v>581</v>
      </c>
      <c r="J4573" s="3">
        <v>4.4800000000000004</v>
      </c>
      <c r="K4573" s="2" t="s">
        <v>63</v>
      </c>
      <c r="L4573" s="2">
        <v>2023</v>
      </c>
      <c r="M4573" s="2" t="s">
        <v>64</v>
      </c>
      <c r="N4573" s="2" t="s">
        <v>21</v>
      </c>
      <c r="O4573">
        <f t="shared" si="142"/>
        <v>3.1500000000000057</v>
      </c>
      <c r="P4573">
        <f t="shared" si="143"/>
        <v>1.3840000000000021</v>
      </c>
    </row>
    <row r="4574" spans="1:16" x14ac:dyDescent="0.35">
      <c r="A4574" s="9" t="s">
        <v>79</v>
      </c>
      <c r="B4574" s="2">
        <v>106.8</v>
      </c>
      <c r="C4574" s="2">
        <v>107.175</v>
      </c>
      <c r="D4574" s="2">
        <v>104.56</v>
      </c>
      <c r="E4574" s="2">
        <v>104.59</v>
      </c>
      <c r="F4574" s="2">
        <v>14952666</v>
      </c>
      <c r="G4574" s="2" t="s">
        <v>579</v>
      </c>
      <c r="H4574" s="2" t="s">
        <v>580</v>
      </c>
      <c r="I4574" s="2" t="s">
        <v>581</v>
      </c>
      <c r="J4574" s="4">
        <v>-2.2890000000000001</v>
      </c>
      <c r="K4574" s="2" t="s">
        <v>63</v>
      </c>
      <c r="L4574" s="2">
        <v>2023</v>
      </c>
      <c r="M4574" s="2" t="s">
        <v>64</v>
      </c>
      <c r="N4574" s="2" t="s">
        <v>23</v>
      </c>
      <c r="O4574">
        <f t="shared" si="142"/>
        <v>2.6149999999999949</v>
      </c>
      <c r="P4574">
        <f t="shared" si="143"/>
        <v>-0.90499999999999803</v>
      </c>
    </row>
    <row r="4575" spans="1:16" x14ac:dyDescent="0.35">
      <c r="A4575" s="9" t="s">
        <v>80</v>
      </c>
      <c r="B4575" s="2">
        <v>105.36</v>
      </c>
      <c r="C4575" s="2">
        <v>106.34</v>
      </c>
      <c r="D4575" s="2">
        <v>102.44</v>
      </c>
      <c r="E4575" s="2">
        <v>103.41</v>
      </c>
      <c r="F4575" s="2">
        <v>14385865</v>
      </c>
      <c r="G4575" s="2" t="s">
        <v>579</v>
      </c>
      <c r="H4575" s="2" t="s">
        <v>580</v>
      </c>
      <c r="I4575" s="2" t="s">
        <v>581</v>
      </c>
      <c r="J4575" s="4">
        <v>-1.1279999999999999</v>
      </c>
      <c r="K4575" s="2" t="s">
        <v>63</v>
      </c>
      <c r="L4575" s="2">
        <v>2023</v>
      </c>
      <c r="M4575" s="2" t="s">
        <v>64</v>
      </c>
      <c r="N4575" s="2" t="s">
        <v>23</v>
      </c>
      <c r="O4575">
        <f t="shared" si="142"/>
        <v>3.9000000000000057</v>
      </c>
      <c r="P4575">
        <f t="shared" si="143"/>
        <v>-2.0329999999999977</v>
      </c>
    </row>
    <row r="4576" spans="1:16" x14ac:dyDescent="0.35">
      <c r="A4576" s="9" t="s">
        <v>81</v>
      </c>
      <c r="B4576" s="2">
        <v>101.47</v>
      </c>
      <c r="C4576" s="2">
        <v>103.85</v>
      </c>
      <c r="D4576" s="2">
        <v>100.913</v>
      </c>
      <c r="E4576" s="2">
        <v>103.53</v>
      </c>
      <c r="F4576" s="2">
        <v>13405812</v>
      </c>
      <c r="G4576" s="2" t="s">
        <v>579</v>
      </c>
      <c r="H4576" s="2" t="s">
        <v>580</v>
      </c>
      <c r="I4576" s="2" t="s">
        <v>581</v>
      </c>
      <c r="J4576" s="3">
        <v>0.11600000000000001</v>
      </c>
      <c r="K4576" s="2" t="s">
        <v>63</v>
      </c>
      <c r="L4576" s="2">
        <v>2023</v>
      </c>
      <c r="M4576" s="2" t="s">
        <v>64</v>
      </c>
      <c r="N4576" s="2" t="s">
        <v>21</v>
      </c>
      <c r="O4576">
        <f t="shared" si="142"/>
        <v>2.9369999999999976</v>
      </c>
      <c r="P4576">
        <f t="shared" si="143"/>
        <v>-1.9169999999999976</v>
      </c>
    </row>
    <row r="4577" spans="1:16" x14ac:dyDescent="0.35">
      <c r="A4577" s="9" t="s">
        <v>82</v>
      </c>
      <c r="B4577" s="2">
        <v>104.74</v>
      </c>
      <c r="C4577" s="2">
        <v>106.48</v>
      </c>
      <c r="D4577" s="2">
        <v>103.91</v>
      </c>
      <c r="E4577" s="2">
        <v>105.8</v>
      </c>
      <c r="F4577" s="2">
        <v>14805911</v>
      </c>
      <c r="G4577" s="2" t="s">
        <v>579</v>
      </c>
      <c r="H4577" s="2" t="s">
        <v>580</v>
      </c>
      <c r="I4577" s="2" t="s">
        <v>581</v>
      </c>
      <c r="J4577" s="3">
        <v>2.1930000000000001</v>
      </c>
      <c r="K4577" s="2" t="s">
        <v>63</v>
      </c>
      <c r="L4577" s="2">
        <v>2023</v>
      </c>
      <c r="M4577" s="2" t="s">
        <v>64</v>
      </c>
      <c r="N4577" s="2" t="s">
        <v>21</v>
      </c>
      <c r="O4577">
        <f t="shared" si="142"/>
        <v>2.5700000000000074</v>
      </c>
      <c r="P4577">
        <f t="shared" si="143"/>
        <v>0.27600000000000247</v>
      </c>
    </row>
    <row r="4578" spans="1:16" x14ac:dyDescent="0.35">
      <c r="A4578" s="9" t="s">
        <v>83</v>
      </c>
      <c r="B4578" s="2">
        <v>105.44</v>
      </c>
      <c r="C4578" s="2">
        <v>107.65</v>
      </c>
      <c r="D4578" s="2">
        <v>105.19</v>
      </c>
      <c r="E4578" s="2">
        <v>107.12</v>
      </c>
      <c r="F4578" s="2">
        <v>11047587</v>
      </c>
      <c r="G4578" s="2" t="s">
        <v>579</v>
      </c>
      <c r="H4578" s="2" t="s">
        <v>580</v>
      </c>
      <c r="I4578" s="2" t="s">
        <v>581</v>
      </c>
      <c r="J4578" s="3">
        <v>1.248</v>
      </c>
      <c r="K4578" s="2" t="s">
        <v>63</v>
      </c>
      <c r="L4578" s="2">
        <v>2023</v>
      </c>
      <c r="M4578" s="2" t="s">
        <v>64</v>
      </c>
      <c r="N4578" s="2" t="s">
        <v>21</v>
      </c>
      <c r="O4578">
        <f t="shared" si="142"/>
        <v>2.460000000000008</v>
      </c>
      <c r="P4578">
        <f t="shared" si="143"/>
        <v>1.5240000000000025</v>
      </c>
    </row>
    <row r="4579" spans="1:16" x14ac:dyDescent="0.35">
      <c r="A4579" s="9" t="s">
        <v>84</v>
      </c>
      <c r="B4579" s="2">
        <v>108.06</v>
      </c>
      <c r="C4579" s="2">
        <v>109.16</v>
      </c>
      <c r="D4579" s="2">
        <v>107.49</v>
      </c>
      <c r="E4579" s="2">
        <v>108.96</v>
      </c>
      <c r="F4579" s="2">
        <v>14219122</v>
      </c>
      <c r="G4579" s="2" t="s">
        <v>579</v>
      </c>
      <c r="H4579" s="2" t="s">
        <v>580</v>
      </c>
      <c r="I4579" s="2" t="s">
        <v>581</v>
      </c>
      <c r="J4579" s="3">
        <v>1.718</v>
      </c>
      <c r="K4579" s="2" t="s">
        <v>63</v>
      </c>
      <c r="L4579" s="2">
        <v>2023</v>
      </c>
      <c r="M4579" s="2" t="s">
        <v>64</v>
      </c>
      <c r="N4579" s="2" t="s">
        <v>21</v>
      </c>
      <c r="O4579">
        <f t="shared" si="142"/>
        <v>1.6700000000000017</v>
      </c>
      <c r="P4579">
        <f t="shared" si="143"/>
        <v>3.2420000000000027</v>
      </c>
    </row>
    <row r="4580" spans="1:16" x14ac:dyDescent="0.35">
      <c r="A4580" s="9" t="s">
        <v>85</v>
      </c>
      <c r="B4580" s="2">
        <v>109.55</v>
      </c>
      <c r="C4580" s="2">
        <v>109.57</v>
      </c>
      <c r="D4580" s="2">
        <v>108.52</v>
      </c>
      <c r="E4580" s="2">
        <v>109.49</v>
      </c>
      <c r="F4580" s="2">
        <v>11578171</v>
      </c>
      <c r="G4580" s="2" t="s">
        <v>579</v>
      </c>
      <c r="H4580" s="2" t="s">
        <v>580</v>
      </c>
      <c r="I4580" s="2" t="s">
        <v>581</v>
      </c>
      <c r="J4580" s="3">
        <v>0.48599999999999999</v>
      </c>
      <c r="K4580" s="2" t="s">
        <v>63</v>
      </c>
      <c r="L4580" s="2">
        <v>2023</v>
      </c>
      <c r="M4580" s="2" t="s">
        <v>64</v>
      </c>
      <c r="N4580" s="2" t="s">
        <v>21</v>
      </c>
      <c r="O4580">
        <f t="shared" si="142"/>
        <v>1.0499999999999972</v>
      </c>
      <c r="P4580">
        <f t="shared" si="143"/>
        <v>3.7280000000000024</v>
      </c>
    </row>
    <row r="4581" spans="1:16" x14ac:dyDescent="0.35">
      <c r="A4581" s="9" t="s">
        <v>86</v>
      </c>
      <c r="B4581" s="2">
        <v>109.68</v>
      </c>
      <c r="C4581" s="2">
        <v>110.17</v>
      </c>
      <c r="D4581" s="2">
        <v>109.05</v>
      </c>
      <c r="E4581" s="2">
        <v>109.66</v>
      </c>
      <c r="F4581" s="2">
        <v>14417961</v>
      </c>
      <c r="G4581" s="2" t="s">
        <v>579</v>
      </c>
      <c r="H4581" s="2" t="s">
        <v>580</v>
      </c>
      <c r="I4581" s="2" t="s">
        <v>581</v>
      </c>
      <c r="J4581" s="3">
        <v>0.155</v>
      </c>
      <c r="K4581" s="2" t="s">
        <v>63</v>
      </c>
      <c r="L4581" s="2">
        <v>2023</v>
      </c>
      <c r="M4581" s="2" t="s">
        <v>64</v>
      </c>
      <c r="N4581" s="2" t="s">
        <v>21</v>
      </c>
      <c r="O4581">
        <f t="shared" si="142"/>
        <v>1.1200000000000045</v>
      </c>
      <c r="P4581">
        <f t="shared" si="143"/>
        <v>3.8830000000000022</v>
      </c>
    </row>
    <row r="4582" spans="1:16" x14ac:dyDescent="0.35">
      <c r="A4582" s="9" t="s">
        <v>87</v>
      </c>
      <c r="B4582" s="2">
        <v>113.39</v>
      </c>
      <c r="C4582" s="2">
        <v>116.85</v>
      </c>
      <c r="D4582" s="2">
        <v>113.12</v>
      </c>
      <c r="E4582" s="2">
        <v>116.13</v>
      </c>
      <c r="F4582" s="2">
        <v>28087681</v>
      </c>
      <c r="G4582" s="2" t="s">
        <v>579</v>
      </c>
      <c r="H4582" s="2" t="s">
        <v>580</v>
      </c>
      <c r="I4582" s="2" t="s">
        <v>581</v>
      </c>
      <c r="J4582" s="3">
        <v>5.9</v>
      </c>
      <c r="K4582" s="2" t="s">
        <v>88</v>
      </c>
      <c r="L4582" s="2">
        <v>2023</v>
      </c>
      <c r="M4582" s="2" t="s">
        <v>89</v>
      </c>
      <c r="N4582" s="2" t="s">
        <v>21</v>
      </c>
      <c r="O4582">
        <f t="shared" si="142"/>
        <v>3.7299999999999898</v>
      </c>
      <c r="P4582">
        <f t="shared" si="143"/>
        <v>9.783000000000003</v>
      </c>
    </row>
    <row r="4583" spans="1:16" x14ac:dyDescent="0.35">
      <c r="A4583" s="9" t="s">
        <v>90</v>
      </c>
      <c r="B4583" s="2">
        <v>116.26</v>
      </c>
      <c r="C4583" s="2">
        <v>116.7</v>
      </c>
      <c r="D4583" s="2">
        <v>114.17</v>
      </c>
      <c r="E4583" s="2">
        <v>115.02</v>
      </c>
      <c r="F4583" s="2">
        <v>16365489</v>
      </c>
      <c r="G4583" s="2" t="s">
        <v>579</v>
      </c>
      <c r="H4583" s="2" t="s">
        <v>580</v>
      </c>
      <c r="I4583" s="2" t="s">
        <v>581</v>
      </c>
      <c r="J4583" s="4">
        <v>-0.95599999999999996</v>
      </c>
      <c r="K4583" s="2" t="s">
        <v>88</v>
      </c>
      <c r="L4583" s="2">
        <v>2023</v>
      </c>
      <c r="M4583" s="2" t="s">
        <v>89</v>
      </c>
      <c r="N4583" s="2" t="s">
        <v>23</v>
      </c>
      <c r="O4583">
        <f t="shared" si="142"/>
        <v>2.5300000000000011</v>
      </c>
      <c r="P4583">
        <f t="shared" si="143"/>
        <v>8.8270000000000035</v>
      </c>
    </row>
    <row r="4584" spans="1:16" x14ac:dyDescent="0.35">
      <c r="A4584" s="9" t="s">
        <v>91</v>
      </c>
      <c r="B4584" s="2">
        <v>115.35</v>
      </c>
      <c r="C4584" s="2">
        <v>117</v>
      </c>
      <c r="D4584" s="2">
        <v>114.31</v>
      </c>
      <c r="E4584" s="2">
        <v>116.99</v>
      </c>
      <c r="F4584" s="2">
        <v>16479469</v>
      </c>
      <c r="G4584" s="2" t="s">
        <v>579</v>
      </c>
      <c r="H4584" s="2" t="s">
        <v>580</v>
      </c>
      <c r="I4584" s="2" t="s">
        <v>581</v>
      </c>
      <c r="J4584" s="3">
        <v>1.7130000000000001</v>
      </c>
      <c r="K4584" s="2" t="s">
        <v>88</v>
      </c>
      <c r="L4584" s="2">
        <v>2023</v>
      </c>
      <c r="M4584" s="2" t="s">
        <v>89</v>
      </c>
      <c r="N4584" s="2" t="s">
        <v>21</v>
      </c>
      <c r="O4584">
        <f t="shared" si="142"/>
        <v>2.6899999999999977</v>
      </c>
      <c r="P4584">
        <f t="shared" si="143"/>
        <v>10.540000000000003</v>
      </c>
    </row>
    <row r="4585" spans="1:16" x14ac:dyDescent="0.35">
      <c r="A4585" s="9" t="s">
        <v>92</v>
      </c>
      <c r="B4585" s="2">
        <v>116.86</v>
      </c>
      <c r="C4585" s="2">
        <v>117.18</v>
      </c>
      <c r="D4585" s="2">
        <v>114.77</v>
      </c>
      <c r="E4585" s="2">
        <v>115.05</v>
      </c>
      <c r="F4585" s="2">
        <v>15777957</v>
      </c>
      <c r="G4585" s="2" t="s">
        <v>579</v>
      </c>
      <c r="H4585" s="2" t="s">
        <v>580</v>
      </c>
      <c r="I4585" s="2" t="s">
        <v>581</v>
      </c>
      <c r="J4585" s="4">
        <v>-1.6579999999999999</v>
      </c>
      <c r="K4585" s="2" t="s">
        <v>88</v>
      </c>
      <c r="L4585" s="2">
        <v>2023</v>
      </c>
      <c r="M4585" s="2" t="s">
        <v>89</v>
      </c>
      <c r="N4585" s="2" t="s">
        <v>23</v>
      </c>
      <c r="O4585">
        <f t="shared" si="142"/>
        <v>2.4100000000000108</v>
      </c>
      <c r="P4585">
        <f t="shared" si="143"/>
        <v>8.8820000000000032</v>
      </c>
    </row>
    <row r="4586" spans="1:16" x14ac:dyDescent="0.35">
      <c r="A4586" s="9" t="s">
        <v>93</v>
      </c>
      <c r="B4586" s="2">
        <v>114.78</v>
      </c>
      <c r="C4586" s="2">
        <v>116.18</v>
      </c>
      <c r="D4586" s="2">
        <v>114.17</v>
      </c>
      <c r="E4586" s="2">
        <v>114.54</v>
      </c>
      <c r="F4586" s="2">
        <v>13006552</v>
      </c>
      <c r="G4586" s="2" t="s">
        <v>579</v>
      </c>
      <c r="H4586" s="2" t="s">
        <v>580</v>
      </c>
      <c r="I4586" s="2" t="s">
        <v>581</v>
      </c>
      <c r="J4586" s="4">
        <v>-0.443</v>
      </c>
      <c r="K4586" s="2" t="s">
        <v>88</v>
      </c>
      <c r="L4586" s="2">
        <v>2023</v>
      </c>
      <c r="M4586" s="2" t="s">
        <v>89</v>
      </c>
      <c r="N4586" s="2" t="s">
        <v>23</v>
      </c>
      <c r="O4586">
        <f t="shared" si="142"/>
        <v>2.0100000000000051</v>
      </c>
      <c r="P4586">
        <f t="shared" si="143"/>
        <v>8.4390000000000036</v>
      </c>
    </row>
    <row r="4587" spans="1:16" x14ac:dyDescent="0.35">
      <c r="A4587" s="9" t="s">
        <v>94</v>
      </c>
      <c r="B4587" s="2">
        <v>114.96</v>
      </c>
      <c r="C4587" s="2">
        <v>116.2</v>
      </c>
      <c r="D4587" s="2">
        <v>114.38</v>
      </c>
      <c r="E4587" s="2">
        <v>115.35</v>
      </c>
      <c r="F4587" s="2">
        <v>11758461</v>
      </c>
      <c r="G4587" s="2" t="s">
        <v>579</v>
      </c>
      <c r="H4587" s="2" t="s">
        <v>580</v>
      </c>
      <c r="I4587" s="2" t="s">
        <v>581</v>
      </c>
      <c r="J4587" s="3">
        <v>0.70699999999999996</v>
      </c>
      <c r="K4587" s="2" t="s">
        <v>88</v>
      </c>
      <c r="L4587" s="2">
        <v>2023</v>
      </c>
      <c r="M4587" s="2" t="s">
        <v>89</v>
      </c>
      <c r="N4587" s="2" t="s">
        <v>21</v>
      </c>
      <c r="O4587">
        <f t="shared" si="142"/>
        <v>1.8200000000000074</v>
      </c>
      <c r="P4587">
        <f t="shared" si="143"/>
        <v>9.1460000000000043</v>
      </c>
    </row>
    <row r="4588" spans="1:16" x14ac:dyDescent="0.35">
      <c r="A4588" s="9" t="s">
        <v>95</v>
      </c>
      <c r="B4588" s="2">
        <v>116.16</v>
      </c>
      <c r="C4588" s="2">
        <v>116.59</v>
      </c>
      <c r="D4588" s="2">
        <v>114.93</v>
      </c>
      <c r="E4588" s="2">
        <v>115.23</v>
      </c>
      <c r="F4588" s="2">
        <v>10919022</v>
      </c>
      <c r="G4588" s="2" t="s">
        <v>579</v>
      </c>
      <c r="H4588" s="2" t="s">
        <v>580</v>
      </c>
      <c r="I4588" s="2" t="s">
        <v>581</v>
      </c>
      <c r="J4588" s="4">
        <v>-0.104</v>
      </c>
      <c r="K4588" s="2" t="s">
        <v>88</v>
      </c>
      <c r="L4588" s="2">
        <v>2023</v>
      </c>
      <c r="M4588" s="2" t="s">
        <v>89</v>
      </c>
      <c r="N4588" s="2" t="s">
        <v>23</v>
      </c>
      <c r="O4588">
        <f t="shared" si="142"/>
        <v>1.6599999999999966</v>
      </c>
      <c r="P4588">
        <f t="shared" si="143"/>
        <v>9.0420000000000051</v>
      </c>
    </row>
    <row r="4589" spans="1:16" x14ac:dyDescent="0.35">
      <c r="A4589" s="9" t="s">
        <v>96</v>
      </c>
      <c r="B4589" s="2">
        <v>114.6</v>
      </c>
      <c r="C4589" s="2">
        <v>115.89</v>
      </c>
      <c r="D4589" s="2">
        <v>114.13</v>
      </c>
      <c r="E4589" s="2">
        <v>115.77</v>
      </c>
      <c r="F4589" s="2">
        <v>12399652</v>
      </c>
      <c r="G4589" s="2" t="s">
        <v>579</v>
      </c>
      <c r="H4589" s="2" t="s">
        <v>580</v>
      </c>
      <c r="I4589" s="2" t="s">
        <v>581</v>
      </c>
      <c r="J4589" s="3">
        <v>0.46899999999999997</v>
      </c>
      <c r="K4589" s="2" t="s">
        <v>88</v>
      </c>
      <c r="L4589" s="2">
        <v>2023</v>
      </c>
      <c r="M4589" s="2" t="s">
        <v>89</v>
      </c>
      <c r="N4589" s="2" t="s">
        <v>21</v>
      </c>
      <c r="O4589">
        <f t="shared" si="142"/>
        <v>1.7600000000000051</v>
      </c>
      <c r="P4589">
        <f t="shared" si="143"/>
        <v>9.5110000000000046</v>
      </c>
    </row>
    <row r="4590" spans="1:16" x14ac:dyDescent="0.35">
      <c r="A4590" s="9" t="s">
        <v>97</v>
      </c>
      <c r="B4590" s="2">
        <v>115.9</v>
      </c>
      <c r="C4590" s="2">
        <v>116.66</v>
      </c>
      <c r="D4590" s="2">
        <v>115.12</v>
      </c>
      <c r="E4590" s="2">
        <v>116.05</v>
      </c>
      <c r="F4590" s="2">
        <v>11530828</v>
      </c>
      <c r="G4590" s="2" t="s">
        <v>579</v>
      </c>
      <c r="H4590" s="2" t="s">
        <v>580</v>
      </c>
      <c r="I4590" s="2" t="s">
        <v>581</v>
      </c>
      <c r="J4590" s="3">
        <v>0.24199999999999999</v>
      </c>
      <c r="K4590" s="2" t="s">
        <v>88</v>
      </c>
      <c r="L4590" s="2">
        <v>2023</v>
      </c>
      <c r="M4590" s="2" t="s">
        <v>89</v>
      </c>
      <c r="N4590" s="2" t="s">
        <v>21</v>
      </c>
      <c r="O4590">
        <f t="shared" si="142"/>
        <v>1.539999999999992</v>
      </c>
      <c r="P4590">
        <f t="shared" si="143"/>
        <v>9.7530000000000037</v>
      </c>
    </row>
    <row r="4591" spans="1:16" x14ac:dyDescent="0.35">
      <c r="A4591" s="9" t="s">
        <v>98</v>
      </c>
      <c r="B4591" s="2">
        <v>115.49</v>
      </c>
      <c r="C4591" s="2">
        <v>116.51</v>
      </c>
      <c r="D4591" s="2">
        <v>114.42</v>
      </c>
      <c r="E4591" s="2">
        <v>114.7</v>
      </c>
      <c r="F4591" s="2">
        <v>13260352</v>
      </c>
      <c r="G4591" s="2" t="s">
        <v>579</v>
      </c>
      <c r="H4591" s="2" t="s">
        <v>580</v>
      </c>
      <c r="I4591" s="2" t="s">
        <v>581</v>
      </c>
      <c r="J4591" s="4">
        <v>-1.163</v>
      </c>
      <c r="K4591" s="2" t="s">
        <v>88</v>
      </c>
      <c r="L4591" s="2">
        <v>2023</v>
      </c>
      <c r="M4591" s="2" t="s">
        <v>89</v>
      </c>
      <c r="N4591" s="2" t="s">
        <v>23</v>
      </c>
      <c r="O4591">
        <f t="shared" si="142"/>
        <v>2.0900000000000034</v>
      </c>
      <c r="P4591">
        <f t="shared" si="143"/>
        <v>8.5900000000000034</v>
      </c>
    </row>
    <row r="4592" spans="1:16" x14ac:dyDescent="0.35">
      <c r="A4592" s="9" t="s">
        <v>99</v>
      </c>
      <c r="B4592" s="2">
        <v>114.39</v>
      </c>
      <c r="C4592" s="2">
        <v>117.21</v>
      </c>
      <c r="D4592" s="2">
        <v>114.3</v>
      </c>
      <c r="E4592" s="2">
        <v>116.94</v>
      </c>
      <c r="F4592" s="2">
        <v>17436140</v>
      </c>
      <c r="G4592" s="2" t="s">
        <v>579</v>
      </c>
      <c r="H4592" s="2" t="s">
        <v>580</v>
      </c>
      <c r="I4592" s="2" t="s">
        <v>581</v>
      </c>
      <c r="J4592" s="3">
        <v>1.9530000000000001</v>
      </c>
      <c r="K4592" s="2" t="s">
        <v>88</v>
      </c>
      <c r="L4592" s="2">
        <v>2023</v>
      </c>
      <c r="M4592" s="2" t="s">
        <v>89</v>
      </c>
      <c r="N4592" s="2" t="s">
        <v>21</v>
      </c>
      <c r="O4592">
        <f t="shared" si="142"/>
        <v>2.9099999999999966</v>
      </c>
      <c r="P4592">
        <f t="shared" si="143"/>
        <v>10.543000000000003</v>
      </c>
    </row>
    <row r="4593" spans="1:16" x14ac:dyDescent="0.35">
      <c r="A4593" s="9" t="s">
        <v>100</v>
      </c>
      <c r="B4593" s="2">
        <v>116.08</v>
      </c>
      <c r="C4593" s="2">
        <v>116.9</v>
      </c>
      <c r="D4593" s="2">
        <v>115.77</v>
      </c>
      <c r="E4593" s="2">
        <v>116.57</v>
      </c>
      <c r="F4593" s="2">
        <v>10682605</v>
      </c>
      <c r="G4593" s="2" t="s">
        <v>579</v>
      </c>
      <c r="H4593" s="2" t="s">
        <v>580</v>
      </c>
      <c r="I4593" s="2" t="s">
        <v>581</v>
      </c>
      <c r="J4593" s="4">
        <v>-0.316</v>
      </c>
      <c r="K4593" s="2" t="s">
        <v>88</v>
      </c>
      <c r="L4593" s="2">
        <v>2023</v>
      </c>
      <c r="M4593" s="2" t="s">
        <v>89</v>
      </c>
      <c r="N4593" s="2" t="s">
        <v>23</v>
      </c>
      <c r="O4593">
        <f t="shared" si="142"/>
        <v>1.1300000000000097</v>
      </c>
      <c r="P4593">
        <f t="shared" si="143"/>
        <v>10.227000000000002</v>
      </c>
    </row>
    <row r="4594" spans="1:16" x14ac:dyDescent="0.35">
      <c r="A4594" s="9" t="s">
        <v>101</v>
      </c>
      <c r="B4594" s="2">
        <v>115.125</v>
      </c>
      <c r="C4594" s="2">
        <v>115.68</v>
      </c>
      <c r="D4594" s="2">
        <v>113.23</v>
      </c>
      <c r="E4594" s="2">
        <v>115.64</v>
      </c>
      <c r="F4594" s="2">
        <v>17038747</v>
      </c>
      <c r="G4594" s="2" t="s">
        <v>579</v>
      </c>
      <c r="H4594" s="2" t="s">
        <v>580</v>
      </c>
      <c r="I4594" s="2" t="s">
        <v>581</v>
      </c>
      <c r="J4594" s="4">
        <v>-0.79800000000000004</v>
      </c>
      <c r="K4594" s="2" t="s">
        <v>88</v>
      </c>
      <c r="L4594" s="2">
        <v>2023</v>
      </c>
      <c r="M4594" s="2" t="s">
        <v>89</v>
      </c>
      <c r="N4594" s="2" t="s">
        <v>23</v>
      </c>
      <c r="O4594">
        <f t="shared" si="142"/>
        <v>2.4500000000000028</v>
      </c>
      <c r="P4594">
        <f t="shared" si="143"/>
        <v>9.429000000000002</v>
      </c>
    </row>
    <row r="4595" spans="1:16" x14ac:dyDescent="0.35">
      <c r="A4595" s="9" t="s">
        <v>102</v>
      </c>
      <c r="B4595" s="2">
        <v>116.49</v>
      </c>
      <c r="C4595" s="2">
        <v>116.88</v>
      </c>
      <c r="D4595" s="2">
        <v>115.26</v>
      </c>
      <c r="E4595" s="2">
        <v>116.01</v>
      </c>
      <c r="F4595" s="2">
        <v>14315329</v>
      </c>
      <c r="G4595" s="2" t="s">
        <v>579</v>
      </c>
      <c r="H4595" s="2" t="s">
        <v>580</v>
      </c>
      <c r="I4595" s="2" t="s">
        <v>581</v>
      </c>
      <c r="J4595" s="3">
        <v>0.32</v>
      </c>
      <c r="K4595" s="2" t="s">
        <v>88</v>
      </c>
      <c r="L4595" s="2">
        <v>2023</v>
      </c>
      <c r="M4595" s="2" t="s">
        <v>89</v>
      </c>
      <c r="N4595" s="2" t="s">
        <v>21</v>
      </c>
      <c r="O4595">
        <f t="shared" si="142"/>
        <v>1.6199999999999903</v>
      </c>
      <c r="P4595">
        <f t="shared" si="143"/>
        <v>9.7490000000000023</v>
      </c>
    </row>
    <row r="4596" spans="1:16" x14ac:dyDescent="0.35">
      <c r="A4596" s="9" t="s">
        <v>103</v>
      </c>
      <c r="B4596" s="2">
        <v>115.92</v>
      </c>
      <c r="C4596" s="2">
        <v>118.88500000000001</v>
      </c>
      <c r="D4596" s="2">
        <v>115.88</v>
      </c>
      <c r="E4596" s="2">
        <v>118.2</v>
      </c>
      <c r="F4596" s="2">
        <v>15831314</v>
      </c>
      <c r="G4596" s="2" t="s">
        <v>579</v>
      </c>
      <c r="H4596" s="2" t="s">
        <v>580</v>
      </c>
      <c r="I4596" s="2" t="s">
        <v>581</v>
      </c>
      <c r="J4596" s="3">
        <v>1.8879999999999999</v>
      </c>
      <c r="K4596" s="2" t="s">
        <v>88</v>
      </c>
      <c r="L4596" s="2">
        <v>2023</v>
      </c>
      <c r="M4596" s="2" t="s">
        <v>89</v>
      </c>
      <c r="N4596" s="2" t="s">
        <v>21</v>
      </c>
      <c r="O4596">
        <f t="shared" si="142"/>
        <v>3.0050000000000097</v>
      </c>
      <c r="P4596">
        <f t="shared" si="143"/>
        <v>11.637000000000002</v>
      </c>
    </row>
    <row r="4597" spans="1:16" x14ac:dyDescent="0.35">
      <c r="A4597" s="9" t="s">
        <v>104</v>
      </c>
      <c r="B4597" s="2">
        <v>117.55</v>
      </c>
      <c r="C4597" s="2">
        <v>117.74</v>
      </c>
      <c r="D4597" s="2">
        <v>115.63</v>
      </c>
      <c r="E4597" s="2">
        <v>116.52</v>
      </c>
      <c r="F4597" s="2">
        <v>12179825</v>
      </c>
      <c r="G4597" s="2" t="s">
        <v>579</v>
      </c>
      <c r="H4597" s="2" t="s">
        <v>580</v>
      </c>
      <c r="I4597" s="2" t="s">
        <v>581</v>
      </c>
      <c r="J4597" s="4">
        <v>-1.421</v>
      </c>
      <c r="K4597" s="2" t="s">
        <v>88</v>
      </c>
      <c r="L4597" s="2">
        <v>2023</v>
      </c>
      <c r="M4597" s="2" t="s">
        <v>89</v>
      </c>
      <c r="N4597" s="2" t="s">
        <v>23</v>
      </c>
      <c r="O4597">
        <f t="shared" si="142"/>
        <v>2.1099999999999994</v>
      </c>
      <c r="P4597">
        <f t="shared" si="143"/>
        <v>10.216000000000003</v>
      </c>
    </row>
    <row r="4598" spans="1:16" x14ac:dyDescent="0.35">
      <c r="A4598" s="9" t="s">
        <v>105</v>
      </c>
      <c r="B4598" s="2">
        <v>116.03</v>
      </c>
      <c r="C4598" s="2">
        <v>117.09</v>
      </c>
      <c r="D4598" s="2">
        <v>114.68</v>
      </c>
      <c r="E4598" s="2">
        <v>115.45</v>
      </c>
      <c r="F4598" s="2">
        <v>15566086</v>
      </c>
      <c r="G4598" s="2" t="s">
        <v>579</v>
      </c>
      <c r="H4598" s="2" t="s">
        <v>580</v>
      </c>
      <c r="I4598" s="2" t="s">
        <v>581</v>
      </c>
      <c r="J4598" s="4">
        <v>-0.91800000000000004</v>
      </c>
      <c r="K4598" s="2" t="s">
        <v>88</v>
      </c>
      <c r="L4598" s="2">
        <v>2023</v>
      </c>
      <c r="M4598" s="2" t="s">
        <v>89</v>
      </c>
      <c r="N4598" s="2" t="s">
        <v>23</v>
      </c>
      <c r="O4598">
        <f t="shared" si="142"/>
        <v>2.4099999999999966</v>
      </c>
      <c r="P4598">
        <f t="shared" si="143"/>
        <v>9.2980000000000036</v>
      </c>
    </row>
    <row r="4599" spans="1:16" x14ac:dyDescent="0.35">
      <c r="A4599" s="9" t="s">
        <v>106</v>
      </c>
      <c r="B4599" s="2">
        <v>115.62</v>
      </c>
      <c r="C4599" s="2">
        <v>117.01</v>
      </c>
      <c r="D4599" s="2">
        <v>114.88200000000001</v>
      </c>
      <c r="E4599" s="2">
        <v>116.83</v>
      </c>
      <c r="F4599" s="2">
        <v>16279188</v>
      </c>
      <c r="G4599" s="2" t="s">
        <v>579</v>
      </c>
      <c r="H4599" s="2" t="s">
        <v>580</v>
      </c>
      <c r="I4599" s="2" t="s">
        <v>581</v>
      </c>
      <c r="J4599" s="3">
        <v>1.1950000000000001</v>
      </c>
      <c r="K4599" s="2" t="s">
        <v>88</v>
      </c>
      <c r="L4599" s="2">
        <v>2023</v>
      </c>
      <c r="M4599" s="2" t="s">
        <v>89</v>
      </c>
      <c r="N4599" s="2" t="s">
        <v>21</v>
      </c>
      <c r="O4599">
        <f t="shared" si="142"/>
        <v>2.1280000000000001</v>
      </c>
      <c r="P4599">
        <f t="shared" si="143"/>
        <v>10.493000000000004</v>
      </c>
    </row>
    <row r="4600" spans="1:16" x14ac:dyDescent="0.35">
      <c r="A4600" s="9" t="s">
        <v>107</v>
      </c>
      <c r="B4600" s="2">
        <v>117.25</v>
      </c>
      <c r="C4600" s="2">
        <v>119.92</v>
      </c>
      <c r="D4600" s="2">
        <v>116.83</v>
      </c>
      <c r="E4600" s="2">
        <v>118.34</v>
      </c>
      <c r="F4600" s="2">
        <v>24381946</v>
      </c>
      <c r="G4600" s="2" t="s">
        <v>579</v>
      </c>
      <c r="H4600" s="2" t="s">
        <v>580</v>
      </c>
      <c r="I4600" s="2" t="s">
        <v>581</v>
      </c>
      <c r="J4600" s="3">
        <v>1.292</v>
      </c>
      <c r="K4600" s="2" t="s">
        <v>88</v>
      </c>
      <c r="L4600" s="2">
        <v>2023</v>
      </c>
      <c r="M4600" s="2" t="s">
        <v>89</v>
      </c>
      <c r="N4600" s="2" t="s">
        <v>21</v>
      </c>
      <c r="O4600">
        <f t="shared" si="142"/>
        <v>3.0900000000000034</v>
      </c>
      <c r="P4600">
        <f t="shared" si="143"/>
        <v>11.785000000000004</v>
      </c>
    </row>
    <row r="4601" spans="1:16" x14ac:dyDescent="0.35">
      <c r="A4601" s="9" t="s">
        <v>108</v>
      </c>
      <c r="B4601" s="2">
        <v>115.99</v>
      </c>
      <c r="C4601" s="2">
        <v>117.3</v>
      </c>
      <c r="D4601" s="2">
        <v>114.45</v>
      </c>
      <c r="E4601" s="2">
        <v>114.67</v>
      </c>
      <c r="F4601" s="2">
        <v>17354987</v>
      </c>
      <c r="G4601" s="2" t="s">
        <v>579</v>
      </c>
      <c r="H4601" s="2" t="s">
        <v>580</v>
      </c>
      <c r="I4601" s="2" t="s">
        <v>581</v>
      </c>
      <c r="J4601" s="4">
        <v>-3.101</v>
      </c>
      <c r="K4601" s="2" t="s">
        <v>109</v>
      </c>
      <c r="L4601" s="2">
        <v>2023</v>
      </c>
      <c r="M4601" s="2" t="s">
        <v>110</v>
      </c>
      <c r="N4601" s="2" t="s">
        <v>23</v>
      </c>
      <c r="O4601">
        <f t="shared" si="142"/>
        <v>2.8499999999999943</v>
      </c>
      <c r="P4601">
        <f t="shared" si="143"/>
        <v>8.6840000000000046</v>
      </c>
    </row>
    <row r="4602" spans="1:16" x14ac:dyDescent="0.35">
      <c r="A4602" s="9" t="s">
        <v>111</v>
      </c>
      <c r="B4602" s="2">
        <v>113.94</v>
      </c>
      <c r="C4602" s="2">
        <v>113.94</v>
      </c>
      <c r="D4602" s="2">
        <v>109.29</v>
      </c>
      <c r="E4602" s="2">
        <v>110.1</v>
      </c>
      <c r="F4602" s="2">
        <v>24324102</v>
      </c>
      <c r="G4602" s="2" t="s">
        <v>579</v>
      </c>
      <c r="H4602" s="2" t="s">
        <v>580</v>
      </c>
      <c r="I4602" s="2" t="s">
        <v>581</v>
      </c>
      <c r="J4602" s="4">
        <v>-3.9849999999999999</v>
      </c>
      <c r="K4602" s="2" t="s">
        <v>109</v>
      </c>
      <c r="L4602" s="2">
        <v>2023</v>
      </c>
      <c r="M4602" s="2" t="s">
        <v>110</v>
      </c>
      <c r="N4602" s="2" t="s">
        <v>23</v>
      </c>
      <c r="O4602">
        <f t="shared" si="142"/>
        <v>4.6499999999999915</v>
      </c>
      <c r="P4602">
        <f t="shared" si="143"/>
        <v>4.6990000000000052</v>
      </c>
    </row>
    <row r="4603" spans="1:16" x14ac:dyDescent="0.35">
      <c r="A4603" s="9" t="s">
        <v>112</v>
      </c>
      <c r="B4603" s="2">
        <v>109.08</v>
      </c>
      <c r="C4603" s="2">
        <v>109.81</v>
      </c>
      <c r="D4603" s="2">
        <v>107.755</v>
      </c>
      <c r="E4603" s="2">
        <v>107.93</v>
      </c>
      <c r="F4603" s="2">
        <v>16212343</v>
      </c>
      <c r="G4603" s="2" t="s">
        <v>579</v>
      </c>
      <c r="H4603" s="2" t="s">
        <v>580</v>
      </c>
      <c r="I4603" s="2" t="s">
        <v>581</v>
      </c>
      <c r="J4603" s="4">
        <v>-1.9710000000000001</v>
      </c>
      <c r="K4603" s="2" t="s">
        <v>109</v>
      </c>
      <c r="L4603" s="2">
        <v>2023</v>
      </c>
      <c r="M4603" s="2" t="s">
        <v>110</v>
      </c>
      <c r="N4603" s="2" t="s">
        <v>23</v>
      </c>
      <c r="O4603">
        <f t="shared" si="142"/>
        <v>2.0550000000000068</v>
      </c>
      <c r="P4603">
        <f t="shared" si="143"/>
        <v>2.7280000000000051</v>
      </c>
    </row>
    <row r="4604" spans="1:16" x14ac:dyDescent="0.35">
      <c r="A4604" s="9" t="s">
        <v>113</v>
      </c>
      <c r="B4604" s="2">
        <v>107.9</v>
      </c>
      <c r="C4604" s="2">
        <v>108.75</v>
      </c>
      <c r="D4604" s="2">
        <v>105.91</v>
      </c>
      <c r="E4604" s="2">
        <v>106.04</v>
      </c>
      <c r="F4604" s="2">
        <v>17177150</v>
      </c>
      <c r="G4604" s="2" t="s">
        <v>579</v>
      </c>
      <c r="H4604" s="2" t="s">
        <v>580</v>
      </c>
      <c r="I4604" s="2" t="s">
        <v>581</v>
      </c>
      <c r="J4604" s="4">
        <v>-1.7509999999999999</v>
      </c>
      <c r="K4604" s="2" t="s">
        <v>109</v>
      </c>
      <c r="L4604" s="2">
        <v>2023</v>
      </c>
      <c r="M4604" s="2" t="s">
        <v>110</v>
      </c>
      <c r="N4604" s="2" t="s">
        <v>23</v>
      </c>
      <c r="O4604">
        <f t="shared" si="142"/>
        <v>2.8400000000000034</v>
      </c>
      <c r="P4604">
        <f t="shared" si="143"/>
        <v>0.9770000000000052</v>
      </c>
    </row>
    <row r="4605" spans="1:16" x14ac:dyDescent="0.35">
      <c r="A4605" s="9" t="s">
        <v>114</v>
      </c>
      <c r="B4605" s="2">
        <v>108.55</v>
      </c>
      <c r="C4605" s="2">
        <v>109.43</v>
      </c>
      <c r="D4605" s="2">
        <v>107.53</v>
      </c>
      <c r="E4605" s="2">
        <v>108.68</v>
      </c>
      <c r="F4605" s="2">
        <v>14968197</v>
      </c>
      <c r="G4605" s="2" t="s">
        <v>579</v>
      </c>
      <c r="H4605" s="2" t="s">
        <v>580</v>
      </c>
      <c r="I4605" s="2" t="s">
        <v>581</v>
      </c>
      <c r="J4605" s="3">
        <v>2.4900000000000002</v>
      </c>
      <c r="K4605" s="2" t="s">
        <v>109</v>
      </c>
      <c r="L4605" s="2">
        <v>2023</v>
      </c>
      <c r="M4605" s="2" t="s">
        <v>110</v>
      </c>
      <c r="N4605" s="2" t="s">
        <v>21</v>
      </c>
      <c r="O4605">
        <f t="shared" si="142"/>
        <v>1.9000000000000057</v>
      </c>
      <c r="P4605">
        <f t="shared" si="143"/>
        <v>3.4670000000000054</v>
      </c>
    </row>
    <row r="4606" spans="1:16" x14ac:dyDescent="0.35">
      <c r="A4606" s="9" t="s">
        <v>115</v>
      </c>
      <c r="B4606" s="2">
        <v>110.5</v>
      </c>
      <c r="C4606" s="2">
        <v>110.97</v>
      </c>
      <c r="D4606" s="2">
        <v>109.04</v>
      </c>
      <c r="E4606" s="2">
        <v>109.11</v>
      </c>
      <c r="F4606" s="2">
        <v>11187752</v>
      </c>
      <c r="G4606" s="2" t="s">
        <v>579</v>
      </c>
      <c r="H4606" s="2" t="s">
        <v>580</v>
      </c>
      <c r="I4606" s="2" t="s">
        <v>581</v>
      </c>
      <c r="J4606" s="3">
        <v>0.39600000000000002</v>
      </c>
      <c r="K4606" s="2" t="s">
        <v>109</v>
      </c>
      <c r="L4606" s="2">
        <v>2023</v>
      </c>
      <c r="M4606" s="2" t="s">
        <v>110</v>
      </c>
      <c r="N4606" s="2" t="s">
        <v>21</v>
      </c>
      <c r="O4606">
        <f t="shared" si="142"/>
        <v>1.9299999999999926</v>
      </c>
      <c r="P4606">
        <f t="shared" si="143"/>
        <v>3.8630000000000053</v>
      </c>
    </row>
    <row r="4607" spans="1:16" x14ac:dyDescent="0.35">
      <c r="A4607" s="9" t="s">
        <v>116</v>
      </c>
      <c r="B4607" s="2">
        <v>108.34</v>
      </c>
      <c r="C4607" s="2">
        <v>110.23</v>
      </c>
      <c r="D4607" s="2">
        <v>108.21</v>
      </c>
      <c r="E4607" s="2">
        <v>109.14</v>
      </c>
      <c r="F4607" s="2">
        <v>11370769</v>
      </c>
      <c r="G4607" s="2" t="s">
        <v>579</v>
      </c>
      <c r="H4607" s="2" t="s">
        <v>580</v>
      </c>
      <c r="I4607" s="2" t="s">
        <v>581</v>
      </c>
      <c r="J4607" s="3">
        <v>2.7E-2</v>
      </c>
      <c r="K4607" s="2" t="s">
        <v>109</v>
      </c>
      <c r="L4607" s="2">
        <v>2023</v>
      </c>
      <c r="M4607" s="2" t="s">
        <v>110</v>
      </c>
      <c r="N4607" s="2" t="s">
        <v>21</v>
      </c>
      <c r="O4607">
        <f t="shared" si="142"/>
        <v>2.0200000000000102</v>
      </c>
      <c r="P4607">
        <f t="shared" si="143"/>
        <v>3.8900000000000055</v>
      </c>
    </row>
    <row r="4608" spans="1:16" x14ac:dyDescent="0.35">
      <c r="A4608" s="9" t="s">
        <v>117</v>
      </c>
      <c r="B4608" s="2">
        <v>109.74</v>
      </c>
      <c r="C4608" s="2">
        <v>110.01</v>
      </c>
      <c r="D4608" s="2">
        <v>106.71</v>
      </c>
      <c r="E4608" s="2">
        <v>107.74</v>
      </c>
      <c r="F4608" s="2">
        <v>14884793</v>
      </c>
      <c r="G4608" s="2" t="s">
        <v>579</v>
      </c>
      <c r="H4608" s="2" t="s">
        <v>580</v>
      </c>
      <c r="I4608" s="2" t="s">
        <v>581</v>
      </c>
      <c r="J4608" s="4">
        <v>-1.2829999999999999</v>
      </c>
      <c r="K4608" s="2" t="s">
        <v>109</v>
      </c>
      <c r="L4608" s="2">
        <v>2023</v>
      </c>
      <c r="M4608" s="2" t="s">
        <v>110</v>
      </c>
      <c r="N4608" s="2" t="s">
        <v>23</v>
      </c>
      <c r="O4608">
        <f t="shared" si="142"/>
        <v>3.3000000000000114</v>
      </c>
      <c r="P4608">
        <f t="shared" si="143"/>
        <v>2.6070000000000055</v>
      </c>
    </row>
    <row r="4609" spans="1:16" x14ac:dyDescent="0.35">
      <c r="A4609" s="9" t="s">
        <v>118</v>
      </c>
      <c r="B4609" s="2">
        <v>106.49</v>
      </c>
      <c r="C4609" s="2">
        <v>106.82</v>
      </c>
      <c r="D4609" s="2">
        <v>104.93300000000001</v>
      </c>
      <c r="E4609" s="2">
        <v>105.79</v>
      </c>
      <c r="F4609" s="2">
        <v>17165897</v>
      </c>
      <c r="G4609" s="2" t="s">
        <v>579</v>
      </c>
      <c r="H4609" s="2" t="s">
        <v>580</v>
      </c>
      <c r="I4609" s="2" t="s">
        <v>581</v>
      </c>
      <c r="J4609" s="4">
        <v>-1.81</v>
      </c>
      <c r="K4609" s="2" t="s">
        <v>109</v>
      </c>
      <c r="L4609" s="2">
        <v>2023</v>
      </c>
      <c r="M4609" s="2" t="s">
        <v>110</v>
      </c>
      <c r="N4609" s="2" t="s">
        <v>23</v>
      </c>
      <c r="O4609">
        <f t="shared" si="142"/>
        <v>1.8869999999999862</v>
      </c>
      <c r="P4609">
        <f t="shared" si="143"/>
        <v>0.79700000000000548</v>
      </c>
    </row>
    <row r="4610" spans="1:16" x14ac:dyDescent="0.35">
      <c r="A4610" s="9" t="s">
        <v>119</v>
      </c>
      <c r="B4610" s="2">
        <v>106.31</v>
      </c>
      <c r="C4610" s="2">
        <v>107.01</v>
      </c>
      <c r="D4610" s="2">
        <v>104.77500000000001</v>
      </c>
      <c r="E4610" s="2">
        <v>105.78</v>
      </c>
      <c r="F4610" s="2">
        <v>12613254</v>
      </c>
      <c r="G4610" s="2" t="s">
        <v>579</v>
      </c>
      <c r="H4610" s="2" t="s">
        <v>580</v>
      </c>
      <c r="I4610" s="2" t="s">
        <v>581</v>
      </c>
      <c r="J4610" s="4">
        <v>-8.9999999999999993E-3</v>
      </c>
      <c r="K4610" s="2" t="s">
        <v>109</v>
      </c>
      <c r="L4610" s="2">
        <v>2023</v>
      </c>
      <c r="M4610" s="2" t="s">
        <v>110</v>
      </c>
      <c r="N4610" s="2" t="s">
        <v>23</v>
      </c>
      <c r="O4610">
        <f t="shared" si="142"/>
        <v>2.2349999999999994</v>
      </c>
      <c r="P4610">
        <f t="shared" si="143"/>
        <v>0.78800000000000547</v>
      </c>
    </row>
    <row r="4611" spans="1:16" x14ac:dyDescent="0.35">
      <c r="A4611" s="9" t="s">
        <v>120</v>
      </c>
      <c r="B4611" s="2">
        <v>105.51</v>
      </c>
      <c r="C4611" s="2">
        <v>105.925</v>
      </c>
      <c r="D4611" s="2">
        <v>104.58</v>
      </c>
      <c r="E4611" s="2">
        <v>105.07</v>
      </c>
      <c r="F4611" s="2">
        <v>13715576</v>
      </c>
      <c r="G4611" s="2" t="s">
        <v>579</v>
      </c>
      <c r="H4611" s="2" t="s">
        <v>580</v>
      </c>
      <c r="I4611" s="2" t="s">
        <v>581</v>
      </c>
      <c r="J4611" s="4">
        <v>-0.67100000000000004</v>
      </c>
      <c r="K4611" s="2" t="s">
        <v>109</v>
      </c>
      <c r="L4611" s="2">
        <v>2023</v>
      </c>
      <c r="M4611" s="2" t="s">
        <v>110</v>
      </c>
      <c r="N4611" s="2" t="s">
        <v>23</v>
      </c>
      <c r="O4611">
        <f t="shared" ref="O4611:O4674" si="144">C4611-D4611</f>
        <v>1.3449999999999989</v>
      </c>
      <c r="P4611">
        <f t="shared" si="143"/>
        <v>0.11700000000000543</v>
      </c>
    </row>
    <row r="4612" spans="1:16" x14ac:dyDescent="0.35">
      <c r="A4612" s="9" t="s">
        <v>121</v>
      </c>
      <c r="B4612" s="2">
        <v>104.63</v>
      </c>
      <c r="C4612" s="2">
        <v>104.81</v>
      </c>
      <c r="D4612" s="2">
        <v>102.02</v>
      </c>
      <c r="E4612" s="2">
        <v>102.52</v>
      </c>
      <c r="F4612" s="2">
        <v>14800200</v>
      </c>
      <c r="G4612" s="2" t="s">
        <v>579</v>
      </c>
      <c r="H4612" s="2" t="s">
        <v>580</v>
      </c>
      <c r="I4612" s="2" t="s">
        <v>581</v>
      </c>
      <c r="J4612" s="4">
        <v>-2.427</v>
      </c>
      <c r="K4612" s="2" t="s">
        <v>109</v>
      </c>
      <c r="L4612" s="2">
        <v>2023</v>
      </c>
      <c r="M4612" s="2" t="s">
        <v>110</v>
      </c>
      <c r="N4612" s="2" t="s">
        <v>23</v>
      </c>
      <c r="O4612">
        <f t="shared" si="144"/>
        <v>2.7900000000000063</v>
      </c>
      <c r="P4612">
        <f t="shared" ref="P4612:P4675" si="145">IF(G4612=G4611, P4611+J4612, J4612)</f>
        <v>-2.3099999999999947</v>
      </c>
    </row>
    <row r="4613" spans="1:16" x14ac:dyDescent="0.35">
      <c r="A4613" s="9" t="s">
        <v>123</v>
      </c>
      <c r="B4613" s="2">
        <v>103.39</v>
      </c>
      <c r="C4613" s="2">
        <v>105.23</v>
      </c>
      <c r="D4613" s="2">
        <v>102.85</v>
      </c>
      <c r="E4613" s="2">
        <v>104.82</v>
      </c>
      <c r="F4613" s="2">
        <v>14064742</v>
      </c>
      <c r="G4613" s="2" t="s">
        <v>579</v>
      </c>
      <c r="H4613" s="2" t="s">
        <v>580</v>
      </c>
      <c r="I4613" s="2" t="s">
        <v>581</v>
      </c>
      <c r="J4613" s="3">
        <v>2.2429999999999999</v>
      </c>
      <c r="K4613" s="2" t="s">
        <v>109</v>
      </c>
      <c r="L4613" s="2">
        <v>2023</v>
      </c>
      <c r="M4613" s="2" t="s">
        <v>110</v>
      </c>
      <c r="N4613" s="2" t="s">
        <v>21</v>
      </c>
      <c r="O4613">
        <f t="shared" si="144"/>
        <v>2.3800000000000097</v>
      </c>
      <c r="P4613">
        <f t="shared" si="145"/>
        <v>-6.6999999999994841E-2</v>
      </c>
    </row>
    <row r="4614" spans="1:16" x14ac:dyDescent="0.35">
      <c r="A4614" s="9" t="s">
        <v>124</v>
      </c>
      <c r="B4614" s="2">
        <v>104.55</v>
      </c>
      <c r="C4614" s="2">
        <v>105.91</v>
      </c>
      <c r="D4614" s="2">
        <v>104.13</v>
      </c>
      <c r="E4614" s="2">
        <v>105.77</v>
      </c>
      <c r="F4614" s="2">
        <v>12005609</v>
      </c>
      <c r="G4614" s="2" t="s">
        <v>579</v>
      </c>
      <c r="H4614" s="2" t="s">
        <v>580</v>
      </c>
      <c r="I4614" s="2" t="s">
        <v>581</v>
      </c>
      <c r="J4614" s="3">
        <v>0.90600000000000003</v>
      </c>
      <c r="K4614" s="2" t="s">
        <v>109</v>
      </c>
      <c r="L4614" s="2">
        <v>2023</v>
      </c>
      <c r="M4614" s="2" t="s">
        <v>110</v>
      </c>
      <c r="N4614" s="2" t="s">
        <v>21</v>
      </c>
      <c r="O4614">
        <f t="shared" si="144"/>
        <v>1.7800000000000011</v>
      </c>
      <c r="P4614">
        <f t="shared" si="145"/>
        <v>0.83900000000000519</v>
      </c>
    </row>
    <row r="4615" spans="1:16" x14ac:dyDescent="0.35">
      <c r="A4615" s="9" t="s">
        <v>125</v>
      </c>
      <c r="B4615" s="2">
        <v>106.57</v>
      </c>
      <c r="C4615" s="2">
        <v>107.05</v>
      </c>
      <c r="D4615" s="2">
        <v>105.82</v>
      </c>
      <c r="E4615" s="2">
        <v>106.26</v>
      </c>
      <c r="F4615" s="2">
        <v>13359630</v>
      </c>
      <c r="G4615" s="2" t="s">
        <v>579</v>
      </c>
      <c r="H4615" s="2" t="s">
        <v>580</v>
      </c>
      <c r="I4615" s="2" t="s">
        <v>581</v>
      </c>
      <c r="J4615" s="3">
        <v>0.46300000000000002</v>
      </c>
      <c r="K4615" s="2" t="s">
        <v>109</v>
      </c>
      <c r="L4615" s="2">
        <v>2023</v>
      </c>
      <c r="M4615" s="2" t="s">
        <v>110</v>
      </c>
      <c r="N4615" s="2" t="s">
        <v>21</v>
      </c>
      <c r="O4615">
        <f t="shared" si="144"/>
        <v>1.230000000000004</v>
      </c>
      <c r="P4615">
        <f t="shared" si="145"/>
        <v>1.3020000000000052</v>
      </c>
    </row>
    <row r="4616" spans="1:16" x14ac:dyDescent="0.35">
      <c r="A4616" s="9" t="s">
        <v>126</v>
      </c>
      <c r="B4616" s="2">
        <v>105.84</v>
      </c>
      <c r="C4616" s="2">
        <v>107.04</v>
      </c>
      <c r="D4616" s="2">
        <v>104.88</v>
      </c>
      <c r="E4616" s="2">
        <v>104.97</v>
      </c>
      <c r="F4616" s="2">
        <v>12882000</v>
      </c>
      <c r="G4616" s="2" t="s">
        <v>579</v>
      </c>
      <c r="H4616" s="2" t="s">
        <v>580</v>
      </c>
      <c r="I4616" s="2" t="s">
        <v>581</v>
      </c>
      <c r="J4616" s="4">
        <v>-1.214</v>
      </c>
      <c r="K4616" s="2" t="s">
        <v>109</v>
      </c>
      <c r="L4616" s="2">
        <v>2023</v>
      </c>
      <c r="M4616" s="2" t="s">
        <v>110</v>
      </c>
      <c r="N4616" s="2" t="s">
        <v>23</v>
      </c>
      <c r="O4616">
        <f t="shared" si="144"/>
        <v>2.1600000000000108</v>
      </c>
      <c r="P4616">
        <f t="shared" si="145"/>
        <v>8.8000000000005185E-2</v>
      </c>
    </row>
    <row r="4617" spans="1:16" x14ac:dyDescent="0.35">
      <c r="A4617" s="9" t="s">
        <v>127</v>
      </c>
      <c r="B4617" s="2">
        <v>105.99</v>
      </c>
      <c r="C4617" s="2">
        <v>108.22</v>
      </c>
      <c r="D4617" s="2">
        <v>105.75</v>
      </c>
      <c r="E4617" s="2">
        <v>106.4</v>
      </c>
      <c r="F4617" s="2">
        <v>14394440</v>
      </c>
      <c r="G4617" s="2" t="s">
        <v>579</v>
      </c>
      <c r="H4617" s="2" t="s">
        <v>580</v>
      </c>
      <c r="I4617" s="2" t="s">
        <v>581</v>
      </c>
      <c r="J4617" s="3">
        <v>1.3620000000000001</v>
      </c>
      <c r="K4617" s="2" t="s">
        <v>109</v>
      </c>
      <c r="L4617" s="2">
        <v>2023</v>
      </c>
      <c r="M4617" s="2" t="s">
        <v>110</v>
      </c>
      <c r="N4617" s="2" t="s">
        <v>21</v>
      </c>
      <c r="O4617">
        <f t="shared" si="144"/>
        <v>2.4699999999999989</v>
      </c>
      <c r="P4617">
        <f t="shared" si="145"/>
        <v>1.4500000000000053</v>
      </c>
    </row>
    <row r="4618" spans="1:16" x14ac:dyDescent="0.35">
      <c r="A4618" s="9" t="s">
        <v>128</v>
      </c>
      <c r="B4618" s="2">
        <v>107.38</v>
      </c>
      <c r="C4618" s="2">
        <v>108.51</v>
      </c>
      <c r="D4618" s="2">
        <v>106.73</v>
      </c>
      <c r="E4618" s="2">
        <v>107.59</v>
      </c>
      <c r="F4618" s="2">
        <v>16340293</v>
      </c>
      <c r="G4618" s="2" t="s">
        <v>579</v>
      </c>
      <c r="H4618" s="2" t="s">
        <v>580</v>
      </c>
      <c r="I4618" s="2" t="s">
        <v>581</v>
      </c>
      <c r="J4618" s="3">
        <v>1.1180000000000001</v>
      </c>
      <c r="K4618" s="2" t="s">
        <v>109</v>
      </c>
      <c r="L4618" s="2">
        <v>2023</v>
      </c>
      <c r="M4618" s="2" t="s">
        <v>110</v>
      </c>
      <c r="N4618" s="2" t="s">
        <v>21</v>
      </c>
      <c r="O4618">
        <f t="shared" si="144"/>
        <v>1.7800000000000011</v>
      </c>
      <c r="P4618">
        <f t="shared" si="145"/>
        <v>2.5680000000000054</v>
      </c>
    </row>
    <row r="4619" spans="1:16" x14ac:dyDescent="0.35">
      <c r="A4619" s="9" t="s">
        <v>129</v>
      </c>
      <c r="B4619" s="2">
        <v>105.94</v>
      </c>
      <c r="C4619" s="2">
        <v>106.43</v>
      </c>
      <c r="D4619" s="2">
        <v>104.71</v>
      </c>
      <c r="E4619" s="2">
        <v>105.66</v>
      </c>
      <c r="F4619" s="2">
        <v>14316463</v>
      </c>
      <c r="G4619" s="2" t="s">
        <v>579</v>
      </c>
      <c r="H4619" s="2" t="s">
        <v>580</v>
      </c>
      <c r="I4619" s="2" t="s">
        <v>581</v>
      </c>
      <c r="J4619" s="4">
        <v>-1.794</v>
      </c>
      <c r="K4619" s="2" t="s">
        <v>109</v>
      </c>
      <c r="L4619" s="2">
        <v>2023</v>
      </c>
      <c r="M4619" s="2" t="s">
        <v>110</v>
      </c>
      <c r="N4619" s="2" t="s">
        <v>23</v>
      </c>
      <c r="O4619">
        <f t="shared" si="144"/>
        <v>1.7200000000000131</v>
      </c>
      <c r="P4619">
        <f t="shared" si="145"/>
        <v>0.77400000000000535</v>
      </c>
    </row>
    <row r="4620" spans="1:16" x14ac:dyDescent="0.35">
      <c r="A4620" s="9" t="s">
        <v>130</v>
      </c>
      <c r="B4620" s="2">
        <v>106.47</v>
      </c>
      <c r="C4620" s="2">
        <v>106.95</v>
      </c>
      <c r="D4620" s="2">
        <v>104.833</v>
      </c>
      <c r="E4620" s="2">
        <v>104.97</v>
      </c>
      <c r="F4620" s="2">
        <v>12370326</v>
      </c>
      <c r="G4620" s="2" t="s">
        <v>579</v>
      </c>
      <c r="H4620" s="2" t="s">
        <v>580</v>
      </c>
      <c r="I4620" s="2" t="s">
        <v>581</v>
      </c>
      <c r="J4620" s="4">
        <v>-0.65300000000000002</v>
      </c>
      <c r="K4620" s="2" t="s">
        <v>109</v>
      </c>
      <c r="L4620" s="2">
        <v>2023</v>
      </c>
      <c r="M4620" s="2" t="s">
        <v>110</v>
      </c>
      <c r="N4620" s="2" t="s">
        <v>23</v>
      </c>
      <c r="O4620">
        <f t="shared" si="144"/>
        <v>2.1170000000000044</v>
      </c>
      <c r="P4620">
        <f t="shared" si="145"/>
        <v>0.12100000000000533</v>
      </c>
    </row>
    <row r="4621" spans="1:16" x14ac:dyDescent="0.35">
      <c r="A4621" s="9" t="s">
        <v>131</v>
      </c>
      <c r="B4621" s="2">
        <v>103.29</v>
      </c>
      <c r="C4621" s="2">
        <v>104.12</v>
      </c>
      <c r="D4621" s="2">
        <v>102.61</v>
      </c>
      <c r="E4621" s="2">
        <v>104.04</v>
      </c>
      <c r="F4621" s="2">
        <v>11938025</v>
      </c>
      <c r="G4621" s="2" t="s">
        <v>579</v>
      </c>
      <c r="H4621" s="2" t="s">
        <v>580</v>
      </c>
      <c r="I4621" s="2" t="s">
        <v>581</v>
      </c>
      <c r="J4621" s="4">
        <v>-0.88600000000000001</v>
      </c>
      <c r="K4621" s="2" t="s">
        <v>109</v>
      </c>
      <c r="L4621" s="2">
        <v>2023</v>
      </c>
      <c r="M4621" s="2" t="s">
        <v>110</v>
      </c>
      <c r="N4621" s="2" t="s">
        <v>23</v>
      </c>
      <c r="O4621">
        <f t="shared" si="144"/>
        <v>1.5100000000000051</v>
      </c>
      <c r="P4621">
        <f t="shared" si="145"/>
        <v>-0.76499999999999468</v>
      </c>
    </row>
    <row r="4622" spans="1:16" x14ac:dyDescent="0.35">
      <c r="A4622" s="9" t="s">
        <v>132</v>
      </c>
      <c r="B4622" s="2">
        <v>102.29</v>
      </c>
      <c r="C4622" s="2">
        <v>103.04</v>
      </c>
      <c r="D4622" s="2">
        <v>101.74</v>
      </c>
      <c r="E4622" s="2">
        <v>102.18</v>
      </c>
      <c r="F4622" s="2">
        <v>24926117</v>
      </c>
      <c r="G4622" s="2" t="s">
        <v>579</v>
      </c>
      <c r="H4622" s="2" t="s">
        <v>580</v>
      </c>
      <c r="I4622" s="2" t="s">
        <v>581</v>
      </c>
      <c r="J4622" s="4">
        <v>-1.788</v>
      </c>
      <c r="K4622" s="2" t="s">
        <v>109</v>
      </c>
      <c r="L4622" s="2">
        <v>2023</v>
      </c>
      <c r="M4622" s="2" t="s">
        <v>110</v>
      </c>
      <c r="N4622" s="2" t="s">
        <v>23</v>
      </c>
      <c r="O4622">
        <f t="shared" si="144"/>
        <v>1.3000000000000114</v>
      </c>
      <c r="P4622">
        <f t="shared" si="145"/>
        <v>-2.5529999999999946</v>
      </c>
    </row>
    <row r="4623" spans="1:16" x14ac:dyDescent="0.35">
      <c r="A4623" s="9" t="s">
        <v>133</v>
      </c>
      <c r="B4623" s="2">
        <v>101.75</v>
      </c>
      <c r="C4623" s="2">
        <v>105.58</v>
      </c>
      <c r="D4623" s="2">
        <v>101.26</v>
      </c>
      <c r="E4623" s="2">
        <v>103.36</v>
      </c>
      <c r="F4623" s="2">
        <v>13551936</v>
      </c>
      <c r="G4623" s="2" t="s">
        <v>579</v>
      </c>
      <c r="H4623" s="2" t="s">
        <v>580</v>
      </c>
      <c r="I4623" s="2" t="s">
        <v>581</v>
      </c>
      <c r="J4623" s="3">
        <v>1.155</v>
      </c>
      <c r="K4623" s="2" t="s">
        <v>134</v>
      </c>
      <c r="L4623" s="2">
        <v>2023</v>
      </c>
      <c r="M4623" s="2" t="s">
        <v>135</v>
      </c>
      <c r="N4623" s="2" t="s">
        <v>21</v>
      </c>
      <c r="O4623">
        <f t="shared" si="144"/>
        <v>4.3199999999999932</v>
      </c>
      <c r="P4623">
        <f t="shared" si="145"/>
        <v>-1.3979999999999946</v>
      </c>
    </row>
    <row r="4624" spans="1:16" x14ac:dyDescent="0.35">
      <c r="A4624" s="9" t="s">
        <v>136</v>
      </c>
      <c r="B4624" s="2">
        <v>105.16</v>
      </c>
      <c r="C4624" s="2">
        <v>106.13</v>
      </c>
      <c r="D4624" s="2">
        <v>104.53</v>
      </c>
      <c r="E4624" s="2">
        <v>105.76</v>
      </c>
      <c r="F4624" s="2">
        <v>14112041</v>
      </c>
      <c r="G4624" s="2" t="s">
        <v>579</v>
      </c>
      <c r="H4624" s="2" t="s">
        <v>580</v>
      </c>
      <c r="I4624" s="2" t="s">
        <v>581</v>
      </c>
      <c r="J4624" s="3">
        <v>2.3220000000000001</v>
      </c>
      <c r="K4624" s="2" t="s">
        <v>134</v>
      </c>
      <c r="L4624" s="2">
        <v>2023</v>
      </c>
      <c r="M4624" s="2" t="s">
        <v>135</v>
      </c>
      <c r="N4624" s="2" t="s">
        <v>21</v>
      </c>
      <c r="O4624">
        <f t="shared" si="144"/>
        <v>1.5999999999999943</v>
      </c>
      <c r="P4624">
        <f t="shared" si="145"/>
        <v>0.92400000000000548</v>
      </c>
    </row>
    <row r="4625" spans="1:16" x14ac:dyDescent="0.35">
      <c r="A4625" s="9" t="s">
        <v>137</v>
      </c>
      <c r="B4625" s="2">
        <v>107.19</v>
      </c>
      <c r="C4625" s="2">
        <v>107.19</v>
      </c>
      <c r="D4625" s="2">
        <v>105.09</v>
      </c>
      <c r="E4625" s="2">
        <v>105.29</v>
      </c>
      <c r="F4625" s="2">
        <v>10628001</v>
      </c>
      <c r="G4625" s="2" t="s">
        <v>579</v>
      </c>
      <c r="H4625" s="2" t="s">
        <v>580</v>
      </c>
      <c r="I4625" s="2" t="s">
        <v>581</v>
      </c>
      <c r="J4625" s="4">
        <v>-0.44400000000000001</v>
      </c>
      <c r="K4625" s="2" t="s">
        <v>134</v>
      </c>
      <c r="L4625" s="2">
        <v>2023</v>
      </c>
      <c r="M4625" s="2" t="s">
        <v>135</v>
      </c>
      <c r="N4625" s="2" t="s">
        <v>23</v>
      </c>
      <c r="O4625">
        <f t="shared" si="144"/>
        <v>2.0999999999999943</v>
      </c>
      <c r="P4625">
        <f t="shared" si="145"/>
        <v>0.48000000000000548</v>
      </c>
    </row>
    <row r="4626" spans="1:16" x14ac:dyDescent="0.35">
      <c r="A4626" s="9" t="s">
        <v>138</v>
      </c>
      <c r="B4626" s="2">
        <v>104.15</v>
      </c>
      <c r="C4626" s="2">
        <v>106.27</v>
      </c>
      <c r="D4626" s="2">
        <v>103.98</v>
      </c>
      <c r="E4626" s="2">
        <v>106.15</v>
      </c>
      <c r="F4626" s="2">
        <v>12209768</v>
      </c>
      <c r="G4626" s="2" t="s">
        <v>579</v>
      </c>
      <c r="H4626" s="2" t="s">
        <v>580</v>
      </c>
      <c r="I4626" s="2" t="s">
        <v>581</v>
      </c>
      <c r="J4626" s="3">
        <v>0.81699999999999995</v>
      </c>
      <c r="K4626" s="2" t="s">
        <v>134</v>
      </c>
      <c r="L4626" s="2">
        <v>2023</v>
      </c>
      <c r="M4626" s="2" t="s">
        <v>135</v>
      </c>
      <c r="N4626" s="2" t="s">
        <v>21</v>
      </c>
      <c r="O4626">
        <f t="shared" si="144"/>
        <v>2.289999999999992</v>
      </c>
      <c r="P4626">
        <f t="shared" si="145"/>
        <v>1.2970000000000055</v>
      </c>
    </row>
    <row r="4627" spans="1:16" x14ac:dyDescent="0.35">
      <c r="A4627" s="9" t="s">
        <v>139</v>
      </c>
      <c r="B4627" s="2">
        <v>106.79</v>
      </c>
      <c r="C4627" s="2">
        <v>108.89</v>
      </c>
      <c r="D4627" s="2">
        <v>106.73</v>
      </c>
      <c r="E4627" s="2">
        <v>108.53</v>
      </c>
      <c r="F4627" s="2">
        <v>16027086</v>
      </c>
      <c r="G4627" s="2" t="s">
        <v>579</v>
      </c>
      <c r="H4627" s="2" t="s">
        <v>580</v>
      </c>
      <c r="I4627" s="2" t="s">
        <v>581</v>
      </c>
      <c r="J4627" s="3">
        <v>2.242</v>
      </c>
      <c r="K4627" s="2" t="s">
        <v>134</v>
      </c>
      <c r="L4627" s="2">
        <v>2023</v>
      </c>
      <c r="M4627" s="2" t="s">
        <v>135</v>
      </c>
      <c r="N4627" s="2" t="s">
        <v>21</v>
      </c>
      <c r="O4627">
        <f t="shared" si="144"/>
        <v>2.1599999999999966</v>
      </c>
      <c r="P4627">
        <f t="shared" si="145"/>
        <v>3.5390000000000055</v>
      </c>
    </row>
    <row r="4628" spans="1:16" x14ac:dyDescent="0.35">
      <c r="A4628" s="9" t="s">
        <v>140</v>
      </c>
      <c r="B4628" s="2">
        <v>108.77</v>
      </c>
      <c r="C4628" s="2">
        <v>109.14</v>
      </c>
      <c r="D4628" s="2">
        <v>105.9</v>
      </c>
      <c r="E4628" s="2">
        <v>108.19</v>
      </c>
      <c r="F4628" s="2">
        <v>13517919</v>
      </c>
      <c r="G4628" s="2" t="s">
        <v>579</v>
      </c>
      <c r="H4628" s="2" t="s">
        <v>580</v>
      </c>
      <c r="I4628" s="2" t="s">
        <v>581</v>
      </c>
      <c r="J4628" s="4">
        <v>-0.313</v>
      </c>
      <c r="K4628" s="2" t="s">
        <v>134</v>
      </c>
      <c r="L4628" s="2">
        <v>2023</v>
      </c>
      <c r="M4628" s="2" t="s">
        <v>135</v>
      </c>
      <c r="N4628" s="2" t="s">
        <v>23</v>
      </c>
      <c r="O4628">
        <f t="shared" si="144"/>
        <v>3.2399999999999949</v>
      </c>
      <c r="P4628">
        <f t="shared" si="145"/>
        <v>3.2260000000000053</v>
      </c>
    </row>
    <row r="4629" spans="1:16" x14ac:dyDescent="0.35">
      <c r="A4629" s="9" t="s">
        <v>141</v>
      </c>
      <c r="B4629" s="2">
        <v>108.455</v>
      </c>
      <c r="C4629" s="2">
        <v>108.61</v>
      </c>
      <c r="D4629" s="2">
        <v>107.16</v>
      </c>
      <c r="E4629" s="2">
        <v>107.39</v>
      </c>
      <c r="F4629" s="2">
        <v>12252531</v>
      </c>
      <c r="G4629" s="2" t="s">
        <v>579</v>
      </c>
      <c r="H4629" s="2" t="s">
        <v>580</v>
      </c>
      <c r="I4629" s="2" t="s">
        <v>581</v>
      </c>
      <c r="J4629" s="4">
        <v>-0.73899999999999999</v>
      </c>
      <c r="K4629" s="2" t="s">
        <v>134</v>
      </c>
      <c r="L4629" s="2">
        <v>2023</v>
      </c>
      <c r="M4629" s="2" t="s">
        <v>135</v>
      </c>
      <c r="N4629" s="2" t="s">
        <v>23</v>
      </c>
      <c r="O4629">
        <f t="shared" si="144"/>
        <v>1.4500000000000028</v>
      </c>
      <c r="P4629">
        <f t="shared" si="145"/>
        <v>2.4870000000000054</v>
      </c>
    </row>
    <row r="4630" spans="1:16" x14ac:dyDescent="0.35">
      <c r="A4630" s="9" t="s">
        <v>142</v>
      </c>
      <c r="B4630" s="2">
        <v>105.81</v>
      </c>
      <c r="C4630" s="2">
        <v>107.06</v>
      </c>
      <c r="D4630" s="2">
        <v>105.55500000000001</v>
      </c>
      <c r="E4630" s="2">
        <v>106.42</v>
      </c>
      <c r="F4630" s="2">
        <v>14115160</v>
      </c>
      <c r="G4630" s="2" t="s">
        <v>579</v>
      </c>
      <c r="H4630" s="2" t="s">
        <v>580</v>
      </c>
      <c r="I4630" s="2" t="s">
        <v>581</v>
      </c>
      <c r="J4630" s="4">
        <v>-0.90300000000000002</v>
      </c>
      <c r="K4630" s="2" t="s">
        <v>134</v>
      </c>
      <c r="L4630" s="2">
        <v>2023</v>
      </c>
      <c r="M4630" s="2" t="s">
        <v>135</v>
      </c>
      <c r="N4630" s="2" t="s">
        <v>23</v>
      </c>
      <c r="O4630">
        <f t="shared" si="144"/>
        <v>1.5049999999999955</v>
      </c>
      <c r="P4630">
        <f t="shared" si="145"/>
        <v>1.5840000000000054</v>
      </c>
    </row>
    <row r="4631" spans="1:16" x14ac:dyDescent="0.35">
      <c r="A4631" s="9" t="s">
        <v>143</v>
      </c>
      <c r="B4631" s="2">
        <v>107.38</v>
      </c>
      <c r="C4631" s="2">
        <v>108.34</v>
      </c>
      <c r="D4631" s="2">
        <v>106.27500000000001</v>
      </c>
      <c r="E4631" s="2">
        <v>106.44</v>
      </c>
      <c r="F4631" s="2">
        <v>13533780</v>
      </c>
      <c r="G4631" s="2" t="s">
        <v>579</v>
      </c>
      <c r="H4631" s="2" t="s">
        <v>580</v>
      </c>
      <c r="I4631" s="2" t="s">
        <v>581</v>
      </c>
      <c r="J4631" s="3">
        <v>1.9E-2</v>
      </c>
      <c r="K4631" s="2" t="s">
        <v>134</v>
      </c>
      <c r="L4631" s="2">
        <v>2023</v>
      </c>
      <c r="M4631" s="2" t="s">
        <v>135</v>
      </c>
      <c r="N4631" s="2" t="s">
        <v>21</v>
      </c>
      <c r="O4631">
        <f t="shared" si="144"/>
        <v>2.0649999999999977</v>
      </c>
      <c r="P4631">
        <f t="shared" si="145"/>
        <v>1.6030000000000053</v>
      </c>
    </row>
    <row r="4632" spans="1:16" x14ac:dyDescent="0.35">
      <c r="A4632" s="9" t="s">
        <v>144</v>
      </c>
      <c r="B4632" s="2">
        <v>107.45</v>
      </c>
      <c r="C4632" s="2">
        <v>108.11</v>
      </c>
      <c r="D4632" s="2">
        <v>104.39</v>
      </c>
      <c r="E4632" s="2">
        <v>105.16</v>
      </c>
      <c r="F4632" s="2">
        <v>16627681</v>
      </c>
      <c r="G4632" s="2" t="s">
        <v>579</v>
      </c>
      <c r="H4632" s="2" t="s">
        <v>580</v>
      </c>
      <c r="I4632" s="2" t="s">
        <v>581</v>
      </c>
      <c r="J4632" s="4">
        <v>-1.2030000000000001</v>
      </c>
      <c r="K4632" s="2" t="s">
        <v>134</v>
      </c>
      <c r="L4632" s="2">
        <v>2023</v>
      </c>
      <c r="M4632" s="2" t="s">
        <v>135</v>
      </c>
      <c r="N4632" s="2" t="s">
        <v>23</v>
      </c>
      <c r="O4632">
        <f t="shared" si="144"/>
        <v>3.7199999999999989</v>
      </c>
      <c r="P4632">
        <f t="shared" si="145"/>
        <v>0.40000000000000524</v>
      </c>
    </row>
    <row r="4633" spans="1:16" x14ac:dyDescent="0.35">
      <c r="A4633" s="9" t="s">
        <v>145</v>
      </c>
      <c r="B4633" s="2">
        <v>105.5</v>
      </c>
      <c r="C4633" s="2">
        <v>107.03</v>
      </c>
      <c r="D4633" s="2">
        <v>105.44</v>
      </c>
      <c r="E4633" s="2">
        <v>105.89</v>
      </c>
      <c r="F4633" s="2">
        <v>16224117</v>
      </c>
      <c r="G4633" s="2" t="s">
        <v>579</v>
      </c>
      <c r="H4633" s="2" t="s">
        <v>580</v>
      </c>
      <c r="I4633" s="2" t="s">
        <v>581</v>
      </c>
      <c r="J4633" s="3">
        <v>0.69399999999999995</v>
      </c>
      <c r="K4633" s="2" t="s">
        <v>134</v>
      </c>
      <c r="L4633" s="2">
        <v>2023</v>
      </c>
      <c r="M4633" s="2" t="s">
        <v>135</v>
      </c>
      <c r="N4633" s="2" t="s">
        <v>21</v>
      </c>
      <c r="O4633">
        <f t="shared" si="144"/>
        <v>1.5900000000000034</v>
      </c>
      <c r="P4633">
        <f t="shared" si="145"/>
        <v>1.0940000000000052</v>
      </c>
    </row>
    <row r="4634" spans="1:16" x14ac:dyDescent="0.35">
      <c r="A4634" s="9" t="s">
        <v>146</v>
      </c>
      <c r="B4634" s="2">
        <v>106.36</v>
      </c>
      <c r="C4634" s="2">
        <v>106.77</v>
      </c>
      <c r="D4634" s="2">
        <v>104.955</v>
      </c>
      <c r="E4634" s="2">
        <v>105.13</v>
      </c>
      <c r="F4634" s="2">
        <v>43128871</v>
      </c>
      <c r="G4634" s="2" t="s">
        <v>579</v>
      </c>
      <c r="H4634" s="2" t="s">
        <v>580</v>
      </c>
      <c r="I4634" s="2" t="s">
        <v>581</v>
      </c>
      <c r="J4634" s="4">
        <v>-0.71799999999999997</v>
      </c>
      <c r="K4634" s="2" t="s">
        <v>134</v>
      </c>
      <c r="L4634" s="2">
        <v>2023</v>
      </c>
      <c r="M4634" s="2" t="s">
        <v>135</v>
      </c>
      <c r="N4634" s="2" t="s">
        <v>23</v>
      </c>
      <c r="O4634">
        <f t="shared" si="144"/>
        <v>1.8149999999999977</v>
      </c>
      <c r="P4634">
        <f t="shared" si="145"/>
        <v>0.37600000000000522</v>
      </c>
    </row>
    <row r="4635" spans="1:16" x14ac:dyDescent="0.35">
      <c r="A4635" s="9" t="s">
        <v>147</v>
      </c>
      <c r="B4635" s="2">
        <v>104.68</v>
      </c>
      <c r="C4635" s="2">
        <v>104.77</v>
      </c>
      <c r="D4635" s="2">
        <v>102.12</v>
      </c>
      <c r="E4635" s="2">
        <v>102.72</v>
      </c>
      <c r="F4635" s="2">
        <v>17519379</v>
      </c>
      <c r="G4635" s="2" t="s">
        <v>579</v>
      </c>
      <c r="H4635" s="2" t="s">
        <v>580</v>
      </c>
      <c r="I4635" s="2" t="s">
        <v>581</v>
      </c>
      <c r="J4635" s="4">
        <v>-2.2919999999999998</v>
      </c>
      <c r="K4635" s="2" t="s">
        <v>134</v>
      </c>
      <c r="L4635" s="2">
        <v>2023</v>
      </c>
      <c r="M4635" s="2" t="s">
        <v>135</v>
      </c>
      <c r="N4635" s="2" t="s">
        <v>23</v>
      </c>
      <c r="O4635">
        <f t="shared" si="144"/>
        <v>2.6499999999999915</v>
      </c>
      <c r="P4635">
        <f t="shared" si="145"/>
        <v>-1.9159999999999946</v>
      </c>
    </row>
    <row r="4636" spans="1:16" x14ac:dyDescent="0.35">
      <c r="A4636" s="9" t="s">
        <v>148</v>
      </c>
      <c r="B4636" s="2">
        <v>102.5</v>
      </c>
      <c r="C4636" s="2">
        <v>104.63</v>
      </c>
      <c r="D4636" s="2">
        <v>102.33</v>
      </c>
      <c r="E4636" s="2">
        <v>103.87</v>
      </c>
      <c r="F4636" s="2">
        <v>13285741</v>
      </c>
      <c r="G4636" s="2" t="s">
        <v>579</v>
      </c>
      <c r="H4636" s="2" t="s">
        <v>580</v>
      </c>
      <c r="I4636" s="2" t="s">
        <v>581</v>
      </c>
      <c r="J4636" s="3">
        <v>1.1200000000000001</v>
      </c>
      <c r="K4636" s="2" t="s">
        <v>134</v>
      </c>
      <c r="L4636" s="2">
        <v>2023</v>
      </c>
      <c r="M4636" s="2" t="s">
        <v>135</v>
      </c>
      <c r="N4636" s="2" t="s">
        <v>21</v>
      </c>
      <c r="O4636">
        <f t="shared" si="144"/>
        <v>2.2999999999999972</v>
      </c>
      <c r="P4636">
        <f t="shared" si="145"/>
        <v>-0.79599999999999449</v>
      </c>
    </row>
    <row r="4637" spans="1:16" x14ac:dyDescent="0.35">
      <c r="A4637" s="9" t="s">
        <v>149</v>
      </c>
      <c r="B4637" s="2">
        <v>102.84</v>
      </c>
      <c r="C4637" s="2">
        <v>103.88500000000001</v>
      </c>
      <c r="D4637" s="2">
        <v>102.65</v>
      </c>
      <c r="E4637" s="2">
        <v>103.3</v>
      </c>
      <c r="F4637" s="2">
        <v>12458807</v>
      </c>
      <c r="G4637" s="2" t="s">
        <v>579</v>
      </c>
      <c r="H4637" s="2" t="s">
        <v>580</v>
      </c>
      <c r="I4637" s="2" t="s">
        <v>581</v>
      </c>
      <c r="J4637" s="4">
        <v>-0.54900000000000004</v>
      </c>
      <c r="K4637" s="2" t="s">
        <v>134</v>
      </c>
      <c r="L4637" s="2">
        <v>2023</v>
      </c>
      <c r="M4637" s="2" t="s">
        <v>135</v>
      </c>
      <c r="N4637" s="2" t="s">
        <v>23</v>
      </c>
      <c r="O4637">
        <f t="shared" si="144"/>
        <v>1.2349999999999994</v>
      </c>
      <c r="P4637">
        <f t="shared" si="145"/>
        <v>-1.3449999999999944</v>
      </c>
    </row>
    <row r="4638" spans="1:16" x14ac:dyDescent="0.35">
      <c r="A4638" s="9" t="s">
        <v>150</v>
      </c>
      <c r="B4638" s="2">
        <v>102.59</v>
      </c>
      <c r="C4638" s="2">
        <v>102.82</v>
      </c>
      <c r="D4638" s="2">
        <v>101.62</v>
      </c>
      <c r="E4638" s="2">
        <v>102.4</v>
      </c>
      <c r="F4638" s="2">
        <v>17933599</v>
      </c>
      <c r="G4638" s="2" t="s">
        <v>579</v>
      </c>
      <c r="H4638" s="2" t="s">
        <v>580</v>
      </c>
      <c r="I4638" s="2" t="s">
        <v>581</v>
      </c>
      <c r="J4638" s="4">
        <v>-0.871</v>
      </c>
      <c r="K4638" s="2" t="s">
        <v>134</v>
      </c>
      <c r="L4638" s="2">
        <v>2023</v>
      </c>
      <c r="M4638" s="2" t="s">
        <v>135</v>
      </c>
      <c r="N4638" s="2" t="s">
        <v>23</v>
      </c>
      <c r="O4638">
        <f t="shared" si="144"/>
        <v>1.1999999999999886</v>
      </c>
      <c r="P4638">
        <f t="shared" si="145"/>
        <v>-2.2159999999999944</v>
      </c>
    </row>
    <row r="4639" spans="1:16" x14ac:dyDescent="0.35">
      <c r="A4639" s="9" t="s">
        <v>151</v>
      </c>
      <c r="B4639" s="2">
        <v>102.2</v>
      </c>
      <c r="C4639" s="2">
        <v>104.905</v>
      </c>
      <c r="D4639" s="2">
        <v>102.2</v>
      </c>
      <c r="E4639" s="2">
        <v>104.29</v>
      </c>
      <c r="F4639" s="2">
        <v>14283407</v>
      </c>
      <c r="G4639" s="2" t="s">
        <v>579</v>
      </c>
      <c r="H4639" s="2" t="s">
        <v>580</v>
      </c>
      <c r="I4639" s="2" t="s">
        <v>581</v>
      </c>
      <c r="J4639" s="3">
        <v>1.8460000000000001</v>
      </c>
      <c r="K4639" s="2" t="s">
        <v>134</v>
      </c>
      <c r="L4639" s="2">
        <v>2023</v>
      </c>
      <c r="M4639" s="2" t="s">
        <v>135</v>
      </c>
      <c r="N4639" s="2" t="s">
        <v>21</v>
      </c>
      <c r="O4639">
        <f t="shared" si="144"/>
        <v>2.7049999999999983</v>
      </c>
      <c r="P4639">
        <f t="shared" si="145"/>
        <v>-0.36999999999999433</v>
      </c>
    </row>
    <row r="4640" spans="1:16" x14ac:dyDescent="0.35">
      <c r="A4640" s="9" t="s">
        <v>152</v>
      </c>
      <c r="B4640" s="2">
        <v>104.045</v>
      </c>
      <c r="C4640" s="2">
        <v>104.61</v>
      </c>
      <c r="D4640" s="2">
        <v>103.27</v>
      </c>
      <c r="E4640" s="2">
        <v>104.55</v>
      </c>
      <c r="F4640" s="2">
        <v>13227486</v>
      </c>
      <c r="G4640" s="2" t="s">
        <v>579</v>
      </c>
      <c r="H4640" s="2" t="s">
        <v>580</v>
      </c>
      <c r="I4640" s="2" t="s">
        <v>581</v>
      </c>
      <c r="J4640" s="3">
        <v>0.249</v>
      </c>
      <c r="K4640" s="2" t="s">
        <v>134</v>
      </c>
      <c r="L4640" s="2">
        <v>2023</v>
      </c>
      <c r="M4640" s="2" t="s">
        <v>135</v>
      </c>
      <c r="N4640" s="2" t="s">
        <v>21</v>
      </c>
      <c r="O4640">
        <f t="shared" si="144"/>
        <v>1.3400000000000034</v>
      </c>
      <c r="P4640">
        <f t="shared" si="145"/>
        <v>-0.12099999999999433</v>
      </c>
    </row>
    <row r="4641" spans="1:16" x14ac:dyDescent="0.35">
      <c r="A4641" s="9" t="s">
        <v>153</v>
      </c>
      <c r="B4641" s="2">
        <v>104.30500000000001</v>
      </c>
      <c r="C4641" s="2">
        <v>105.82</v>
      </c>
      <c r="D4641" s="2">
        <v>103.2</v>
      </c>
      <c r="E4641" s="2">
        <v>105.4</v>
      </c>
      <c r="F4641" s="2">
        <v>13084062</v>
      </c>
      <c r="G4641" s="2" t="s">
        <v>579</v>
      </c>
      <c r="H4641" s="2" t="s">
        <v>580</v>
      </c>
      <c r="I4641" s="2" t="s">
        <v>581</v>
      </c>
      <c r="J4641" s="3">
        <v>0.81299999999999994</v>
      </c>
      <c r="K4641" s="2" t="s">
        <v>134</v>
      </c>
      <c r="L4641" s="2">
        <v>2023</v>
      </c>
      <c r="M4641" s="2" t="s">
        <v>135</v>
      </c>
      <c r="N4641" s="2" t="s">
        <v>21</v>
      </c>
      <c r="O4641">
        <f t="shared" si="144"/>
        <v>2.6199999999999903</v>
      </c>
      <c r="P4641">
        <f t="shared" si="145"/>
        <v>0.69200000000000561</v>
      </c>
    </row>
    <row r="4642" spans="1:16" x14ac:dyDescent="0.35">
      <c r="A4642" s="9" t="s">
        <v>154</v>
      </c>
      <c r="B4642" s="2">
        <v>105.66</v>
      </c>
      <c r="C4642" s="2">
        <v>106.73</v>
      </c>
      <c r="D4642" s="2">
        <v>105.13</v>
      </c>
      <c r="E4642" s="2">
        <v>106.7</v>
      </c>
      <c r="F4642" s="2">
        <v>11364436</v>
      </c>
      <c r="G4642" s="2" t="s">
        <v>579</v>
      </c>
      <c r="H4642" s="2" t="s">
        <v>580</v>
      </c>
      <c r="I4642" s="2" t="s">
        <v>581</v>
      </c>
      <c r="J4642" s="3">
        <v>1.2330000000000001</v>
      </c>
      <c r="K4642" s="2" t="s">
        <v>134</v>
      </c>
      <c r="L4642" s="2">
        <v>2023</v>
      </c>
      <c r="M4642" s="2" t="s">
        <v>135</v>
      </c>
      <c r="N4642" s="2" t="s">
        <v>21</v>
      </c>
      <c r="O4642">
        <f t="shared" si="144"/>
        <v>1.6000000000000085</v>
      </c>
      <c r="P4642">
        <f t="shared" si="145"/>
        <v>1.9250000000000056</v>
      </c>
    </row>
    <row r="4643" spans="1:16" x14ac:dyDescent="0.35">
      <c r="A4643" s="9" t="s">
        <v>155</v>
      </c>
      <c r="B4643" s="2">
        <v>107.32</v>
      </c>
      <c r="C4643" s="2">
        <v>107.875</v>
      </c>
      <c r="D4643" s="2">
        <v>106.81</v>
      </c>
      <c r="E4643" s="2">
        <v>107.25</v>
      </c>
      <c r="F4643" s="2">
        <v>13544664</v>
      </c>
      <c r="G4643" s="2" t="s">
        <v>579</v>
      </c>
      <c r="H4643" s="2" t="s">
        <v>580</v>
      </c>
      <c r="I4643" s="2" t="s">
        <v>581</v>
      </c>
      <c r="J4643" s="3">
        <v>0.51500000000000001</v>
      </c>
      <c r="K4643" s="2" t="s">
        <v>134</v>
      </c>
      <c r="L4643" s="2">
        <v>2023</v>
      </c>
      <c r="M4643" s="2" t="s">
        <v>135</v>
      </c>
      <c r="N4643" s="2" t="s">
        <v>21</v>
      </c>
      <c r="O4643">
        <f t="shared" si="144"/>
        <v>1.0649999999999977</v>
      </c>
      <c r="P4643">
        <f t="shared" si="145"/>
        <v>2.4400000000000057</v>
      </c>
    </row>
    <row r="4644" spans="1:16" x14ac:dyDescent="0.35">
      <c r="A4644" s="9" t="s">
        <v>156</v>
      </c>
      <c r="B4644" s="2">
        <v>107.49</v>
      </c>
      <c r="C4644" s="2">
        <v>108.46</v>
      </c>
      <c r="D4644" s="2">
        <v>107.07</v>
      </c>
      <c r="E4644" s="2">
        <v>107.46</v>
      </c>
      <c r="F4644" s="2">
        <v>7396992</v>
      </c>
      <c r="G4644" s="2" t="s">
        <v>579</v>
      </c>
      <c r="H4644" s="2" t="s">
        <v>580</v>
      </c>
      <c r="I4644" s="2" t="s">
        <v>581</v>
      </c>
      <c r="J4644" s="3">
        <v>0.19600000000000001</v>
      </c>
      <c r="K4644" s="2" t="s">
        <v>157</v>
      </c>
      <c r="L4644" s="2">
        <v>2023</v>
      </c>
      <c r="M4644" s="2" t="s">
        <v>158</v>
      </c>
      <c r="N4644" s="2" t="s">
        <v>21</v>
      </c>
      <c r="O4644">
        <f t="shared" si="144"/>
        <v>1.3900000000000006</v>
      </c>
      <c r="P4644">
        <f t="shared" si="145"/>
        <v>2.6360000000000059</v>
      </c>
    </row>
    <row r="4645" spans="1:16" x14ac:dyDescent="0.35">
      <c r="A4645" s="9" t="s">
        <v>159</v>
      </c>
      <c r="B4645" s="2">
        <v>107.63</v>
      </c>
      <c r="C4645" s="2">
        <v>107.92</v>
      </c>
      <c r="D4645" s="2">
        <v>106.1</v>
      </c>
      <c r="E4645" s="2">
        <v>106.91</v>
      </c>
      <c r="F4645" s="2">
        <v>12491205</v>
      </c>
      <c r="G4645" s="2" t="s">
        <v>579</v>
      </c>
      <c r="H4645" s="2" t="s">
        <v>580</v>
      </c>
      <c r="I4645" s="2" t="s">
        <v>581</v>
      </c>
      <c r="J4645" s="4">
        <v>-0.51200000000000001</v>
      </c>
      <c r="K4645" s="2" t="s">
        <v>157</v>
      </c>
      <c r="L4645" s="2">
        <v>2023</v>
      </c>
      <c r="M4645" s="2" t="s">
        <v>158</v>
      </c>
      <c r="N4645" s="2" t="s">
        <v>23</v>
      </c>
      <c r="O4645">
        <f t="shared" si="144"/>
        <v>1.8200000000000074</v>
      </c>
      <c r="P4645">
        <f t="shared" si="145"/>
        <v>2.1240000000000059</v>
      </c>
    </row>
    <row r="4646" spans="1:16" x14ac:dyDescent="0.35">
      <c r="A4646" s="9" t="s">
        <v>160</v>
      </c>
      <c r="B4646" s="2">
        <v>105.09</v>
      </c>
      <c r="C4646" s="2">
        <v>105.72</v>
      </c>
      <c r="D4646" s="2">
        <v>102.43</v>
      </c>
      <c r="E4646" s="2">
        <v>102.92</v>
      </c>
      <c r="F4646" s="2">
        <v>17964883</v>
      </c>
      <c r="G4646" s="2" t="s">
        <v>579</v>
      </c>
      <c r="H4646" s="2" t="s">
        <v>580</v>
      </c>
      <c r="I4646" s="2" t="s">
        <v>581</v>
      </c>
      <c r="J4646" s="4">
        <v>-3.7320000000000002</v>
      </c>
      <c r="K4646" s="2" t="s">
        <v>157</v>
      </c>
      <c r="L4646" s="2">
        <v>2023</v>
      </c>
      <c r="M4646" s="2" t="s">
        <v>158</v>
      </c>
      <c r="N4646" s="2" t="s">
        <v>23</v>
      </c>
      <c r="O4646">
        <f t="shared" si="144"/>
        <v>3.289999999999992</v>
      </c>
      <c r="P4646">
        <f t="shared" si="145"/>
        <v>-1.6079999999999943</v>
      </c>
    </row>
    <row r="4647" spans="1:16" x14ac:dyDescent="0.35">
      <c r="A4647" s="9" t="s">
        <v>161</v>
      </c>
      <c r="B4647" s="2">
        <v>101.92</v>
      </c>
      <c r="C4647" s="2">
        <v>104</v>
      </c>
      <c r="D4647" s="2">
        <v>101.56</v>
      </c>
      <c r="E4647" s="2">
        <v>103.16</v>
      </c>
      <c r="F4647" s="2">
        <v>21929158</v>
      </c>
      <c r="G4647" s="2" t="s">
        <v>579</v>
      </c>
      <c r="H4647" s="2" t="s">
        <v>580</v>
      </c>
      <c r="I4647" s="2" t="s">
        <v>581</v>
      </c>
      <c r="J4647" s="3">
        <v>0.23300000000000001</v>
      </c>
      <c r="K4647" s="2" t="s">
        <v>157</v>
      </c>
      <c r="L4647" s="2">
        <v>2023</v>
      </c>
      <c r="M4647" s="2" t="s">
        <v>158</v>
      </c>
      <c r="N4647" s="2" t="s">
        <v>21</v>
      </c>
      <c r="O4647">
        <f t="shared" si="144"/>
        <v>2.4399999999999977</v>
      </c>
      <c r="P4647">
        <f t="shared" si="145"/>
        <v>-1.3749999999999942</v>
      </c>
    </row>
    <row r="4648" spans="1:16" x14ac:dyDescent="0.35">
      <c r="A4648" s="9" t="s">
        <v>162</v>
      </c>
      <c r="B4648" s="2">
        <v>102.97</v>
      </c>
      <c r="C4648" s="2">
        <v>104.75</v>
      </c>
      <c r="D4648" s="2">
        <v>102.75</v>
      </c>
      <c r="E4648" s="2">
        <v>104.69</v>
      </c>
      <c r="F4648" s="2">
        <v>14877615</v>
      </c>
      <c r="G4648" s="2" t="s">
        <v>579</v>
      </c>
      <c r="H4648" s="2" t="s">
        <v>580</v>
      </c>
      <c r="I4648" s="2" t="s">
        <v>581</v>
      </c>
      <c r="J4648" s="3">
        <v>1.4830000000000001</v>
      </c>
      <c r="K4648" s="2" t="s">
        <v>157</v>
      </c>
      <c r="L4648" s="2">
        <v>2023</v>
      </c>
      <c r="M4648" s="2" t="s">
        <v>158</v>
      </c>
      <c r="N4648" s="2" t="s">
        <v>21</v>
      </c>
      <c r="O4648">
        <f t="shared" si="144"/>
        <v>2</v>
      </c>
      <c r="P4648">
        <f t="shared" si="145"/>
        <v>0.10800000000000587</v>
      </c>
    </row>
    <row r="4649" spans="1:16" x14ac:dyDescent="0.35">
      <c r="A4649" s="9" t="s">
        <v>163</v>
      </c>
      <c r="B4649" s="2">
        <v>105.26</v>
      </c>
      <c r="C4649" s="2">
        <v>106.16</v>
      </c>
      <c r="D4649" s="2">
        <v>104.81</v>
      </c>
      <c r="E4649" s="2">
        <v>105.97</v>
      </c>
      <c r="F4649" s="2">
        <v>12581080</v>
      </c>
      <c r="G4649" s="2" t="s">
        <v>579</v>
      </c>
      <c r="H4649" s="2" t="s">
        <v>580</v>
      </c>
      <c r="I4649" s="2" t="s">
        <v>581</v>
      </c>
      <c r="J4649" s="3">
        <v>1.2230000000000001</v>
      </c>
      <c r="K4649" s="2" t="s">
        <v>157</v>
      </c>
      <c r="L4649" s="2">
        <v>2023</v>
      </c>
      <c r="M4649" s="2" t="s">
        <v>158</v>
      </c>
      <c r="N4649" s="2" t="s">
        <v>21</v>
      </c>
      <c r="O4649">
        <f t="shared" si="144"/>
        <v>1.3499999999999943</v>
      </c>
      <c r="P4649">
        <f t="shared" si="145"/>
        <v>1.331000000000006</v>
      </c>
    </row>
    <row r="4650" spans="1:16" x14ac:dyDescent="0.35">
      <c r="A4650" s="9" t="s">
        <v>164</v>
      </c>
      <c r="B4650" s="2">
        <v>107</v>
      </c>
      <c r="C4650" s="2">
        <v>107.65</v>
      </c>
      <c r="D4650" s="2">
        <v>106.13</v>
      </c>
      <c r="E4650" s="2">
        <v>106.49</v>
      </c>
      <c r="F4650" s="2">
        <v>13238236</v>
      </c>
      <c r="G4650" s="2" t="s">
        <v>579</v>
      </c>
      <c r="H4650" s="2" t="s">
        <v>580</v>
      </c>
      <c r="I4650" s="2" t="s">
        <v>581</v>
      </c>
      <c r="J4650" s="3">
        <v>0.49099999999999999</v>
      </c>
      <c r="K4650" s="2" t="s">
        <v>157</v>
      </c>
      <c r="L4650" s="2">
        <v>2023</v>
      </c>
      <c r="M4650" s="2" t="s">
        <v>158</v>
      </c>
      <c r="N4650" s="2" t="s">
        <v>21</v>
      </c>
      <c r="O4650">
        <f t="shared" si="144"/>
        <v>1.5200000000000102</v>
      </c>
      <c r="P4650">
        <f t="shared" si="145"/>
        <v>1.8220000000000058</v>
      </c>
    </row>
    <row r="4651" spans="1:16" x14ac:dyDescent="0.35">
      <c r="A4651" s="9" t="s">
        <v>165</v>
      </c>
      <c r="B4651" s="2">
        <v>105.97</v>
      </c>
      <c r="C4651" s="2">
        <v>106.23</v>
      </c>
      <c r="D4651" s="2">
        <v>103.32</v>
      </c>
      <c r="E4651" s="2">
        <v>104.54</v>
      </c>
      <c r="F4651" s="2">
        <v>26826838</v>
      </c>
      <c r="G4651" s="2" t="s">
        <v>579</v>
      </c>
      <c r="H4651" s="2" t="s">
        <v>580</v>
      </c>
      <c r="I4651" s="2" t="s">
        <v>581</v>
      </c>
      <c r="J4651" s="4">
        <v>-1.831</v>
      </c>
      <c r="K4651" s="2" t="s">
        <v>157</v>
      </c>
      <c r="L4651" s="2">
        <v>2023</v>
      </c>
      <c r="M4651" s="2" t="s">
        <v>158</v>
      </c>
      <c r="N4651" s="2" t="s">
        <v>23</v>
      </c>
      <c r="O4651">
        <f t="shared" si="144"/>
        <v>2.9100000000000108</v>
      </c>
      <c r="P4651">
        <f t="shared" si="145"/>
        <v>-8.9999999999941238E-3</v>
      </c>
    </row>
    <row r="4652" spans="1:16" x14ac:dyDescent="0.35">
      <c r="A4652" s="9" t="s">
        <v>166</v>
      </c>
      <c r="B4652" s="2">
        <v>104.05</v>
      </c>
      <c r="C4652" s="2">
        <v>104.05</v>
      </c>
      <c r="D4652" s="2">
        <v>100.53</v>
      </c>
      <c r="E4652" s="2">
        <v>100.94</v>
      </c>
      <c r="F4652" s="2">
        <v>28181920</v>
      </c>
      <c r="G4652" s="2" t="s">
        <v>579</v>
      </c>
      <c r="H4652" s="2" t="s">
        <v>580</v>
      </c>
      <c r="I4652" s="2" t="s">
        <v>581</v>
      </c>
      <c r="J4652" s="4">
        <v>-3.444</v>
      </c>
      <c r="K4652" s="2" t="s">
        <v>157</v>
      </c>
      <c r="L4652" s="2">
        <v>2023</v>
      </c>
      <c r="M4652" s="2" t="s">
        <v>158</v>
      </c>
      <c r="N4652" s="2" t="s">
        <v>23</v>
      </c>
      <c r="O4652">
        <f t="shared" si="144"/>
        <v>3.519999999999996</v>
      </c>
      <c r="P4652">
        <f t="shared" si="145"/>
        <v>-3.4529999999999941</v>
      </c>
    </row>
    <row r="4653" spans="1:16" x14ac:dyDescent="0.35">
      <c r="A4653" s="9" t="s">
        <v>167</v>
      </c>
      <c r="B4653" s="2">
        <v>100.72</v>
      </c>
      <c r="C4653" s="2">
        <v>101.66500000000001</v>
      </c>
      <c r="D4653" s="2">
        <v>100.22</v>
      </c>
      <c r="E4653" s="2">
        <v>101.38</v>
      </c>
      <c r="F4653" s="2">
        <v>18055849</v>
      </c>
      <c r="G4653" s="2" t="s">
        <v>579</v>
      </c>
      <c r="H4653" s="2" t="s">
        <v>580</v>
      </c>
      <c r="I4653" s="2" t="s">
        <v>581</v>
      </c>
      <c r="J4653" s="3">
        <v>0.436</v>
      </c>
      <c r="K4653" s="2" t="s">
        <v>157</v>
      </c>
      <c r="L4653" s="2">
        <v>2023</v>
      </c>
      <c r="M4653" s="2" t="s">
        <v>158</v>
      </c>
      <c r="N4653" s="2" t="s">
        <v>21</v>
      </c>
      <c r="O4653">
        <f t="shared" si="144"/>
        <v>1.4450000000000074</v>
      </c>
      <c r="P4653">
        <f t="shared" si="145"/>
        <v>-3.0169999999999941</v>
      </c>
    </row>
    <row r="4654" spans="1:16" x14ac:dyDescent="0.35">
      <c r="A4654" s="9" t="s">
        <v>168</v>
      </c>
      <c r="B4654" s="2">
        <v>100.92</v>
      </c>
      <c r="C4654" s="2">
        <v>102.2</v>
      </c>
      <c r="D4654" s="2">
        <v>100.34</v>
      </c>
      <c r="E4654" s="2">
        <v>100.92</v>
      </c>
      <c r="F4654" s="2">
        <v>24617795</v>
      </c>
      <c r="G4654" s="2" t="s">
        <v>579</v>
      </c>
      <c r="H4654" s="2" t="s">
        <v>580</v>
      </c>
      <c r="I4654" s="2" t="s">
        <v>581</v>
      </c>
      <c r="J4654" s="4">
        <v>-0.45400000000000001</v>
      </c>
      <c r="K4654" s="2" t="s">
        <v>157</v>
      </c>
      <c r="L4654" s="2">
        <v>2023</v>
      </c>
      <c r="M4654" s="2" t="s">
        <v>158</v>
      </c>
      <c r="N4654" s="2" t="s">
        <v>23</v>
      </c>
      <c r="O4654">
        <f t="shared" si="144"/>
        <v>1.8599999999999994</v>
      </c>
      <c r="P4654">
        <f t="shared" si="145"/>
        <v>-3.4709999999999943</v>
      </c>
    </row>
    <row r="4655" spans="1:16" x14ac:dyDescent="0.35">
      <c r="A4655" s="9" t="s">
        <v>169</v>
      </c>
      <c r="B4655" s="2">
        <v>101.05</v>
      </c>
      <c r="C4655" s="2">
        <v>102.4</v>
      </c>
      <c r="D4655" s="2">
        <v>100.8</v>
      </c>
      <c r="E4655" s="2">
        <v>101.62</v>
      </c>
      <c r="F4655" s="2">
        <v>15556541</v>
      </c>
      <c r="G4655" s="2" t="s">
        <v>579</v>
      </c>
      <c r="H4655" s="2" t="s">
        <v>580</v>
      </c>
      <c r="I4655" s="2" t="s">
        <v>581</v>
      </c>
      <c r="J4655" s="3">
        <v>0.69399999999999995</v>
      </c>
      <c r="K4655" s="2" t="s">
        <v>157</v>
      </c>
      <c r="L4655" s="2">
        <v>2023</v>
      </c>
      <c r="M4655" s="2" t="s">
        <v>158</v>
      </c>
      <c r="N4655" s="2" t="s">
        <v>21</v>
      </c>
      <c r="O4655">
        <f t="shared" si="144"/>
        <v>1.6000000000000085</v>
      </c>
      <c r="P4655">
        <f t="shared" si="145"/>
        <v>-2.7769999999999944</v>
      </c>
    </row>
    <row r="4656" spans="1:16" x14ac:dyDescent="0.35">
      <c r="A4656" s="9" t="s">
        <v>170</v>
      </c>
      <c r="B4656" s="2">
        <v>102.535</v>
      </c>
      <c r="C4656" s="2">
        <v>103.66</v>
      </c>
      <c r="D4656" s="2">
        <v>102.36</v>
      </c>
      <c r="E4656" s="2">
        <v>103.41</v>
      </c>
      <c r="F4656" s="2">
        <v>15740202</v>
      </c>
      <c r="G4656" s="2" t="s">
        <v>579</v>
      </c>
      <c r="H4656" s="2" t="s">
        <v>580</v>
      </c>
      <c r="I4656" s="2" t="s">
        <v>581</v>
      </c>
      <c r="J4656" s="3">
        <v>1.7609999999999999</v>
      </c>
      <c r="K4656" s="2" t="s">
        <v>157</v>
      </c>
      <c r="L4656" s="2">
        <v>2023</v>
      </c>
      <c r="M4656" s="2" t="s">
        <v>158</v>
      </c>
      <c r="N4656" s="2" t="s">
        <v>21</v>
      </c>
      <c r="O4656">
        <f t="shared" si="144"/>
        <v>1.2999999999999972</v>
      </c>
      <c r="P4656">
        <f t="shared" si="145"/>
        <v>-1.0159999999999945</v>
      </c>
    </row>
    <row r="4657" spans="1:16" x14ac:dyDescent="0.35">
      <c r="A4657" s="9" t="s">
        <v>171</v>
      </c>
      <c r="B4657" s="2">
        <v>104.16</v>
      </c>
      <c r="C4657" s="2">
        <v>104.38</v>
      </c>
      <c r="D4657" s="2">
        <v>103.26</v>
      </c>
      <c r="E4657" s="2">
        <v>103.89</v>
      </c>
      <c r="F4657" s="2">
        <v>17121487</v>
      </c>
      <c r="G4657" s="2" t="s">
        <v>579</v>
      </c>
      <c r="H4657" s="2" t="s">
        <v>580</v>
      </c>
      <c r="I4657" s="2" t="s">
        <v>581</v>
      </c>
      <c r="J4657" s="3">
        <v>0.46400000000000002</v>
      </c>
      <c r="K4657" s="2" t="s">
        <v>157</v>
      </c>
      <c r="L4657" s="2">
        <v>2023</v>
      </c>
      <c r="M4657" s="2" t="s">
        <v>158</v>
      </c>
      <c r="N4657" s="2" t="s">
        <v>21</v>
      </c>
      <c r="O4657">
        <f t="shared" si="144"/>
        <v>1.1199999999999903</v>
      </c>
      <c r="P4657">
        <f t="shared" si="145"/>
        <v>-0.5519999999999945</v>
      </c>
    </row>
    <row r="4658" spans="1:16" x14ac:dyDescent="0.35">
      <c r="A4658" s="9" t="s">
        <v>172</v>
      </c>
      <c r="B4658" s="2">
        <v>104.36</v>
      </c>
      <c r="C4658" s="2">
        <v>106.16</v>
      </c>
      <c r="D4658" s="2">
        <v>103.96</v>
      </c>
      <c r="E4658" s="2">
        <v>105.52</v>
      </c>
      <c r="F4658" s="2">
        <v>15090856</v>
      </c>
      <c r="G4658" s="2" t="s">
        <v>579</v>
      </c>
      <c r="H4658" s="2" t="s">
        <v>580</v>
      </c>
      <c r="I4658" s="2" t="s">
        <v>581</v>
      </c>
      <c r="J4658" s="3">
        <v>1.569</v>
      </c>
      <c r="K4658" s="2" t="s">
        <v>157</v>
      </c>
      <c r="L4658" s="2">
        <v>2023</v>
      </c>
      <c r="M4658" s="2" t="s">
        <v>158</v>
      </c>
      <c r="N4658" s="2" t="s">
        <v>21</v>
      </c>
      <c r="O4658">
        <f t="shared" si="144"/>
        <v>2.2000000000000028</v>
      </c>
      <c r="P4658">
        <f t="shared" si="145"/>
        <v>1.0170000000000055</v>
      </c>
    </row>
    <row r="4659" spans="1:16" x14ac:dyDescent="0.35">
      <c r="A4659" s="9" t="s">
        <v>173</v>
      </c>
      <c r="B4659" s="2">
        <v>105.06</v>
      </c>
      <c r="C4659" s="2">
        <v>106.09</v>
      </c>
      <c r="D4659" s="2">
        <v>104.54</v>
      </c>
      <c r="E4659" s="2">
        <v>105.68</v>
      </c>
      <c r="F4659" s="2">
        <v>14116084</v>
      </c>
      <c r="G4659" s="2" t="s">
        <v>579</v>
      </c>
      <c r="H4659" s="2" t="s">
        <v>580</v>
      </c>
      <c r="I4659" s="2" t="s">
        <v>581</v>
      </c>
      <c r="J4659" s="3">
        <v>0.152</v>
      </c>
      <c r="K4659" s="2" t="s">
        <v>157</v>
      </c>
      <c r="L4659" s="2">
        <v>2023</v>
      </c>
      <c r="M4659" s="2" t="s">
        <v>158</v>
      </c>
      <c r="N4659" s="2" t="s">
        <v>21</v>
      </c>
      <c r="O4659">
        <f t="shared" si="144"/>
        <v>1.5499999999999972</v>
      </c>
      <c r="P4659">
        <f t="shared" si="145"/>
        <v>1.1690000000000054</v>
      </c>
    </row>
    <row r="4660" spans="1:16" x14ac:dyDescent="0.35">
      <c r="A4660" s="9" t="s">
        <v>174</v>
      </c>
      <c r="B4660" s="2">
        <v>105.11</v>
      </c>
      <c r="C4660" s="2">
        <v>105.72</v>
      </c>
      <c r="D4660" s="2">
        <v>104.639</v>
      </c>
      <c r="E4660" s="2">
        <v>105.09</v>
      </c>
      <c r="F4660" s="2">
        <v>15159624</v>
      </c>
      <c r="G4660" s="2" t="s">
        <v>579</v>
      </c>
      <c r="H4660" s="2" t="s">
        <v>580</v>
      </c>
      <c r="I4660" s="2" t="s">
        <v>581</v>
      </c>
      <c r="J4660" s="4">
        <v>-0.55800000000000005</v>
      </c>
      <c r="K4660" s="2" t="s">
        <v>157</v>
      </c>
      <c r="L4660" s="2">
        <v>2023</v>
      </c>
      <c r="M4660" s="2" t="s">
        <v>158</v>
      </c>
      <c r="N4660" s="2" t="s">
        <v>23</v>
      </c>
      <c r="O4660">
        <f t="shared" si="144"/>
        <v>1.0810000000000031</v>
      </c>
      <c r="P4660">
        <f t="shared" si="145"/>
        <v>0.61100000000000532</v>
      </c>
    </row>
    <row r="4661" spans="1:16" x14ac:dyDescent="0.35">
      <c r="A4661" s="9" t="s">
        <v>175</v>
      </c>
      <c r="B4661" s="2">
        <v>106</v>
      </c>
      <c r="C4661" s="2">
        <v>106.99</v>
      </c>
      <c r="D4661" s="2">
        <v>104.74</v>
      </c>
      <c r="E4661" s="2">
        <v>105.42</v>
      </c>
      <c r="F4661" s="2">
        <v>17677887</v>
      </c>
      <c r="G4661" s="2" t="s">
        <v>579</v>
      </c>
      <c r="H4661" s="2" t="s">
        <v>580</v>
      </c>
      <c r="I4661" s="2" t="s">
        <v>581</v>
      </c>
      <c r="J4661" s="3">
        <v>0.314</v>
      </c>
      <c r="K4661" s="2" t="s">
        <v>157</v>
      </c>
      <c r="L4661" s="2">
        <v>2023</v>
      </c>
      <c r="M4661" s="2" t="s">
        <v>158</v>
      </c>
      <c r="N4661" s="2" t="s">
        <v>21</v>
      </c>
      <c r="O4661">
        <f t="shared" si="144"/>
        <v>2.25</v>
      </c>
      <c r="P4661">
        <f t="shared" si="145"/>
        <v>0.92500000000000537</v>
      </c>
    </row>
    <row r="4662" spans="1:16" x14ac:dyDescent="0.35">
      <c r="A4662" s="9" t="s">
        <v>176</v>
      </c>
      <c r="B4662" s="2">
        <v>105.11</v>
      </c>
      <c r="C4662" s="2">
        <v>105.16</v>
      </c>
      <c r="D4662" s="2">
        <v>102.32</v>
      </c>
      <c r="E4662" s="2">
        <v>104.16</v>
      </c>
      <c r="F4662" s="2">
        <v>17571675</v>
      </c>
      <c r="G4662" s="2" t="s">
        <v>579</v>
      </c>
      <c r="H4662" s="2" t="s">
        <v>580</v>
      </c>
      <c r="I4662" s="2" t="s">
        <v>581</v>
      </c>
      <c r="J4662" s="4">
        <v>-1.1950000000000001</v>
      </c>
      <c r="K4662" s="2" t="s">
        <v>157</v>
      </c>
      <c r="L4662" s="2">
        <v>2023</v>
      </c>
      <c r="M4662" s="2" t="s">
        <v>158</v>
      </c>
      <c r="N4662" s="2" t="s">
        <v>23</v>
      </c>
      <c r="O4662">
        <f t="shared" si="144"/>
        <v>2.8400000000000034</v>
      </c>
      <c r="P4662">
        <f t="shared" si="145"/>
        <v>-0.26999999999999469</v>
      </c>
    </row>
    <row r="4663" spans="1:16" x14ac:dyDescent="0.35">
      <c r="A4663" s="9" t="s">
        <v>177</v>
      </c>
      <c r="B4663" s="2">
        <v>105.19</v>
      </c>
      <c r="C4663" s="2">
        <v>107.86</v>
      </c>
      <c r="D4663" s="2">
        <v>105.19</v>
      </c>
      <c r="E4663" s="2">
        <v>107.24</v>
      </c>
      <c r="F4663" s="2">
        <v>24200295</v>
      </c>
      <c r="G4663" s="2" t="s">
        <v>579</v>
      </c>
      <c r="H4663" s="2" t="s">
        <v>580</v>
      </c>
      <c r="I4663" s="2" t="s">
        <v>581</v>
      </c>
      <c r="J4663" s="3">
        <v>2.9569999999999999</v>
      </c>
      <c r="K4663" s="2" t="s">
        <v>157</v>
      </c>
      <c r="L4663" s="2">
        <v>2023</v>
      </c>
      <c r="M4663" s="2" t="s">
        <v>158</v>
      </c>
      <c r="N4663" s="2" t="s">
        <v>21</v>
      </c>
      <c r="O4663">
        <f t="shared" si="144"/>
        <v>2.6700000000000017</v>
      </c>
      <c r="P4663">
        <f t="shared" si="145"/>
        <v>2.6870000000000052</v>
      </c>
    </row>
    <row r="4664" spans="1:16" x14ac:dyDescent="0.35">
      <c r="A4664" s="9" t="s">
        <v>178</v>
      </c>
      <c r="B4664" s="2">
        <v>106.95</v>
      </c>
      <c r="C4664" s="2">
        <v>107.32</v>
      </c>
      <c r="D4664" s="2">
        <v>105.53</v>
      </c>
      <c r="E4664" s="2">
        <v>106.62</v>
      </c>
      <c r="F4664" s="2">
        <v>14212939</v>
      </c>
      <c r="G4664" s="2" t="s">
        <v>579</v>
      </c>
      <c r="H4664" s="2" t="s">
        <v>580</v>
      </c>
      <c r="I4664" s="2" t="s">
        <v>581</v>
      </c>
      <c r="J4664" s="4">
        <v>-0.57799999999999996</v>
      </c>
      <c r="K4664" s="2" t="s">
        <v>179</v>
      </c>
      <c r="L4664" s="2">
        <v>2023</v>
      </c>
      <c r="M4664" s="2" t="s">
        <v>180</v>
      </c>
      <c r="N4664" s="2" t="s">
        <v>23</v>
      </c>
      <c r="O4664">
        <f t="shared" si="144"/>
        <v>1.789999999999992</v>
      </c>
      <c r="P4664">
        <f t="shared" si="145"/>
        <v>2.1090000000000053</v>
      </c>
    </row>
    <row r="4665" spans="1:16" x14ac:dyDescent="0.35">
      <c r="A4665" s="9" t="s">
        <v>181</v>
      </c>
      <c r="B4665" s="2">
        <v>106.26</v>
      </c>
      <c r="C4665" s="2">
        <v>106.375</v>
      </c>
      <c r="D4665" s="2">
        <v>104.57</v>
      </c>
      <c r="E4665" s="2">
        <v>105.29</v>
      </c>
      <c r="F4665" s="2">
        <v>13489809</v>
      </c>
      <c r="G4665" s="2" t="s">
        <v>579</v>
      </c>
      <c r="H4665" s="2" t="s">
        <v>580</v>
      </c>
      <c r="I4665" s="2" t="s">
        <v>581</v>
      </c>
      <c r="J4665" s="4">
        <v>-1.2470000000000001</v>
      </c>
      <c r="K4665" s="2" t="s">
        <v>179</v>
      </c>
      <c r="L4665" s="2">
        <v>2023</v>
      </c>
      <c r="M4665" s="2" t="s">
        <v>180</v>
      </c>
      <c r="N4665" s="2" t="s">
        <v>23</v>
      </c>
      <c r="O4665">
        <f t="shared" si="144"/>
        <v>1.8050000000000068</v>
      </c>
      <c r="P4665">
        <f t="shared" si="145"/>
        <v>0.86200000000000521</v>
      </c>
    </row>
    <row r="4666" spans="1:16" x14ac:dyDescent="0.35">
      <c r="A4666" s="9" t="s">
        <v>182</v>
      </c>
      <c r="B4666" s="2">
        <v>105.89</v>
      </c>
      <c r="C4666" s="2">
        <v>107.88</v>
      </c>
      <c r="D4666" s="2">
        <v>105.3</v>
      </c>
      <c r="E4666" s="2">
        <v>107.12</v>
      </c>
      <c r="F4666" s="2">
        <v>16283107</v>
      </c>
      <c r="G4666" s="2" t="s">
        <v>579</v>
      </c>
      <c r="H4666" s="2" t="s">
        <v>580</v>
      </c>
      <c r="I4666" s="2" t="s">
        <v>581</v>
      </c>
      <c r="J4666" s="3">
        <v>1.738</v>
      </c>
      <c r="K4666" s="2" t="s">
        <v>179</v>
      </c>
      <c r="L4666" s="2">
        <v>2023</v>
      </c>
      <c r="M4666" s="2" t="s">
        <v>180</v>
      </c>
      <c r="N4666" s="2" t="s">
        <v>21</v>
      </c>
      <c r="O4666">
        <f t="shared" si="144"/>
        <v>2.5799999999999983</v>
      </c>
      <c r="P4666">
        <f t="shared" si="145"/>
        <v>2.600000000000005</v>
      </c>
    </row>
    <row r="4667" spans="1:16" x14ac:dyDescent="0.35">
      <c r="A4667" s="9" t="s">
        <v>183</v>
      </c>
      <c r="B4667" s="2">
        <v>107.96</v>
      </c>
      <c r="C4667" s="2">
        <v>109.24</v>
      </c>
      <c r="D4667" s="2">
        <v>107.33</v>
      </c>
      <c r="E4667" s="2">
        <v>107.42</v>
      </c>
      <c r="F4667" s="2">
        <v>14279634</v>
      </c>
      <c r="G4667" s="2" t="s">
        <v>579</v>
      </c>
      <c r="H4667" s="2" t="s">
        <v>580</v>
      </c>
      <c r="I4667" s="2" t="s">
        <v>581</v>
      </c>
      <c r="J4667" s="3">
        <v>0.28000000000000003</v>
      </c>
      <c r="K4667" s="2" t="s">
        <v>179</v>
      </c>
      <c r="L4667" s="2">
        <v>2023</v>
      </c>
      <c r="M4667" s="2" t="s">
        <v>180</v>
      </c>
      <c r="N4667" s="2" t="s">
        <v>21</v>
      </c>
      <c r="O4667">
        <f t="shared" si="144"/>
        <v>1.9099999999999966</v>
      </c>
      <c r="P4667">
        <f t="shared" si="145"/>
        <v>2.8800000000000052</v>
      </c>
    </row>
    <row r="4668" spans="1:16" x14ac:dyDescent="0.35">
      <c r="A4668" s="9" t="s">
        <v>184</v>
      </c>
      <c r="B4668" s="2">
        <v>107.9</v>
      </c>
      <c r="C4668" s="2">
        <v>108.42</v>
      </c>
      <c r="D4668" s="2">
        <v>106.505</v>
      </c>
      <c r="E4668" s="2">
        <v>107.2</v>
      </c>
      <c r="F4668" s="2">
        <v>12410827</v>
      </c>
      <c r="G4668" s="2" t="s">
        <v>579</v>
      </c>
      <c r="H4668" s="2" t="s">
        <v>580</v>
      </c>
      <c r="I4668" s="2" t="s">
        <v>581</v>
      </c>
      <c r="J4668" s="4">
        <v>-0.20499999999999999</v>
      </c>
      <c r="K4668" s="2" t="s">
        <v>179</v>
      </c>
      <c r="L4668" s="2">
        <v>2023</v>
      </c>
      <c r="M4668" s="2" t="s">
        <v>180</v>
      </c>
      <c r="N4668" s="2" t="s">
        <v>23</v>
      </c>
      <c r="O4668">
        <f t="shared" si="144"/>
        <v>1.9150000000000063</v>
      </c>
      <c r="P4668">
        <f t="shared" si="145"/>
        <v>2.6750000000000052</v>
      </c>
    </row>
    <row r="4669" spans="1:16" x14ac:dyDescent="0.35">
      <c r="A4669" s="9" t="s">
        <v>185</v>
      </c>
      <c r="B4669" s="2">
        <v>106.04</v>
      </c>
      <c r="C4669" s="2">
        <v>107.75</v>
      </c>
      <c r="D4669" s="2">
        <v>104.83499999999999</v>
      </c>
      <c r="E4669" s="2">
        <v>107.73</v>
      </c>
      <c r="F4669" s="2">
        <v>14065573</v>
      </c>
      <c r="G4669" s="2" t="s">
        <v>579</v>
      </c>
      <c r="H4669" s="2" t="s">
        <v>580</v>
      </c>
      <c r="I4669" s="2" t="s">
        <v>581</v>
      </c>
      <c r="J4669" s="3">
        <v>0.49399999999999999</v>
      </c>
      <c r="K4669" s="2" t="s">
        <v>179</v>
      </c>
      <c r="L4669" s="2">
        <v>2023</v>
      </c>
      <c r="M4669" s="2" t="s">
        <v>180</v>
      </c>
      <c r="N4669" s="2" t="s">
        <v>21</v>
      </c>
      <c r="O4669">
        <f t="shared" si="144"/>
        <v>2.9150000000000063</v>
      </c>
      <c r="P4669">
        <f t="shared" si="145"/>
        <v>3.1690000000000049</v>
      </c>
    </row>
    <row r="4670" spans="1:16" x14ac:dyDescent="0.35">
      <c r="A4670" s="9" t="s">
        <v>186</v>
      </c>
      <c r="B4670" s="2">
        <v>108.71</v>
      </c>
      <c r="C4670" s="2">
        <v>110.41500000000001</v>
      </c>
      <c r="D4670" s="2">
        <v>108.31</v>
      </c>
      <c r="E4670" s="2">
        <v>109.56</v>
      </c>
      <c r="F4670" s="2">
        <v>19919601</v>
      </c>
      <c r="G4670" s="2" t="s">
        <v>579</v>
      </c>
      <c r="H4670" s="2" t="s">
        <v>580</v>
      </c>
      <c r="I4670" s="2" t="s">
        <v>581</v>
      </c>
      <c r="J4670" s="3">
        <v>1.6990000000000001</v>
      </c>
      <c r="K4670" s="2" t="s">
        <v>179</v>
      </c>
      <c r="L4670" s="2">
        <v>2023</v>
      </c>
      <c r="M4670" s="2" t="s">
        <v>180</v>
      </c>
      <c r="N4670" s="2" t="s">
        <v>21</v>
      </c>
      <c r="O4670">
        <f t="shared" si="144"/>
        <v>2.105000000000004</v>
      </c>
      <c r="P4670">
        <f t="shared" si="145"/>
        <v>4.8680000000000048</v>
      </c>
    </row>
    <row r="4671" spans="1:16" x14ac:dyDescent="0.35">
      <c r="A4671" s="9" t="s">
        <v>187</v>
      </c>
      <c r="B4671" s="2">
        <v>110.19</v>
      </c>
      <c r="C4671" s="2">
        <v>111.63</v>
      </c>
      <c r="D4671" s="2">
        <v>109.44</v>
      </c>
      <c r="E4671" s="2">
        <v>110.12</v>
      </c>
      <c r="F4671" s="2">
        <v>15837170</v>
      </c>
      <c r="G4671" s="2" t="s">
        <v>579</v>
      </c>
      <c r="H4671" s="2" t="s">
        <v>580</v>
      </c>
      <c r="I4671" s="2" t="s">
        <v>581</v>
      </c>
      <c r="J4671" s="3">
        <v>0.51100000000000001</v>
      </c>
      <c r="K4671" s="2" t="s">
        <v>179</v>
      </c>
      <c r="L4671" s="2">
        <v>2023</v>
      </c>
      <c r="M4671" s="2" t="s">
        <v>180</v>
      </c>
      <c r="N4671" s="2" t="s">
        <v>21</v>
      </c>
      <c r="O4671">
        <f t="shared" si="144"/>
        <v>2.1899999999999977</v>
      </c>
      <c r="P4671">
        <f t="shared" si="145"/>
        <v>5.3790000000000049</v>
      </c>
    </row>
    <row r="4672" spans="1:16" x14ac:dyDescent="0.35">
      <c r="A4672" s="9" t="s">
        <v>188</v>
      </c>
      <c r="B4672" s="2">
        <v>110.37</v>
      </c>
      <c r="C4672" s="2">
        <v>112.07</v>
      </c>
      <c r="D4672" s="2">
        <v>110.05</v>
      </c>
      <c r="E4672" s="2">
        <v>111.83</v>
      </c>
      <c r="F4672" s="2">
        <v>14047044</v>
      </c>
      <c r="G4672" s="2" t="s">
        <v>579</v>
      </c>
      <c r="H4672" s="2" t="s">
        <v>580</v>
      </c>
      <c r="I4672" s="2" t="s">
        <v>581</v>
      </c>
      <c r="J4672" s="3">
        <v>1.5529999999999999</v>
      </c>
      <c r="K4672" s="2" t="s">
        <v>179</v>
      </c>
      <c r="L4672" s="2">
        <v>2023</v>
      </c>
      <c r="M4672" s="2" t="s">
        <v>180</v>
      </c>
      <c r="N4672" s="2" t="s">
        <v>21</v>
      </c>
      <c r="O4672">
        <f t="shared" si="144"/>
        <v>2.019999999999996</v>
      </c>
      <c r="P4672">
        <f t="shared" si="145"/>
        <v>6.9320000000000048</v>
      </c>
    </row>
    <row r="4673" spans="1:16" x14ac:dyDescent="0.35">
      <c r="A4673" s="9" t="s">
        <v>189</v>
      </c>
      <c r="B4673" s="2">
        <v>111.68</v>
      </c>
      <c r="C4673" s="2">
        <v>111.98</v>
      </c>
      <c r="D4673" s="2">
        <v>110.78</v>
      </c>
      <c r="E4673" s="2">
        <v>111.92</v>
      </c>
      <c r="F4673" s="2">
        <v>12973383</v>
      </c>
      <c r="G4673" s="2" t="s">
        <v>579</v>
      </c>
      <c r="H4673" s="2" t="s">
        <v>580</v>
      </c>
      <c r="I4673" s="2" t="s">
        <v>581</v>
      </c>
      <c r="J4673" s="3">
        <v>0.08</v>
      </c>
      <c r="K4673" s="2" t="s">
        <v>179</v>
      </c>
      <c r="L4673" s="2">
        <v>2023</v>
      </c>
      <c r="M4673" s="2" t="s">
        <v>180</v>
      </c>
      <c r="N4673" s="2" t="s">
        <v>21</v>
      </c>
      <c r="O4673">
        <f t="shared" si="144"/>
        <v>1.2000000000000028</v>
      </c>
      <c r="P4673">
        <f t="shared" si="145"/>
        <v>7.0120000000000049</v>
      </c>
    </row>
    <row r="4674" spans="1:16" x14ac:dyDescent="0.35">
      <c r="A4674" s="9" t="s">
        <v>190</v>
      </c>
      <c r="B4674" s="2">
        <v>110.745</v>
      </c>
      <c r="C4674" s="2">
        <v>110.86</v>
      </c>
      <c r="D4674" s="2">
        <v>107.965</v>
      </c>
      <c r="E4674" s="2">
        <v>108.16</v>
      </c>
      <c r="F4674" s="2">
        <v>14909578</v>
      </c>
      <c r="G4674" s="2" t="s">
        <v>579</v>
      </c>
      <c r="H4674" s="2" t="s">
        <v>580</v>
      </c>
      <c r="I4674" s="2" t="s">
        <v>581</v>
      </c>
      <c r="J4674" s="4">
        <v>-3.36</v>
      </c>
      <c r="K4674" s="2" t="s">
        <v>179</v>
      </c>
      <c r="L4674" s="2">
        <v>2023</v>
      </c>
      <c r="M4674" s="2" t="s">
        <v>180</v>
      </c>
      <c r="N4674" s="2" t="s">
        <v>23</v>
      </c>
      <c r="O4674">
        <f t="shared" si="144"/>
        <v>2.894999999999996</v>
      </c>
      <c r="P4674">
        <f t="shared" si="145"/>
        <v>3.652000000000005</v>
      </c>
    </row>
    <row r="4675" spans="1:16" x14ac:dyDescent="0.35">
      <c r="A4675" s="9" t="s">
        <v>191</v>
      </c>
      <c r="B4675" s="2">
        <v>108.28</v>
      </c>
      <c r="C4675" s="2">
        <v>109.33</v>
      </c>
      <c r="D4675" s="2">
        <v>106.27500000000001</v>
      </c>
      <c r="E4675" s="2">
        <v>106.34</v>
      </c>
      <c r="F4675" s="2">
        <v>13695121</v>
      </c>
      <c r="G4675" s="2" t="s">
        <v>579</v>
      </c>
      <c r="H4675" s="2" t="s">
        <v>580</v>
      </c>
      <c r="I4675" s="2" t="s">
        <v>581</v>
      </c>
      <c r="J4675" s="4">
        <v>-1.6830000000000001</v>
      </c>
      <c r="K4675" s="2" t="s">
        <v>179</v>
      </c>
      <c r="L4675" s="2">
        <v>2023</v>
      </c>
      <c r="M4675" s="2" t="s">
        <v>180</v>
      </c>
      <c r="N4675" s="2" t="s">
        <v>23</v>
      </c>
      <c r="O4675">
        <f t="shared" ref="O4675:O4738" si="146">C4675-D4675</f>
        <v>3.0549999999999926</v>
      </c>
      <c r="P4675">
        <f t="shared" si="145"/>
        <v>1.969000000000005</v>
      </c>
    </row>
    <row r="4676" spans="1:16" x14ac:dyDescent="0.35">
      <c r="A4676" s="9" t="s">
        <v>192</v>
      </c>
      <c r="B4676" s="2">
        <v>107.42</v>
      </c>
      <c r="C4676" s="2">
        <v>110.145</v>
      </c>
      <c r="D4676" s="2">
        <v>107.42</v>
      </c>
      <c r="E4676" s="2">
        <v>108.4</v>
      </c>
      <c r="F4676" s="2">
        <v>16709544</v>
      </c>
      <c r="G4676" s="2" t="s">
        <v>579</v>
      </c>
      <c r="H4676" s="2" t="s">
        <v>580</v>
      </c>
      <c r="I4676" s="2" t="s">
        <v>581</v>
      </c>
      <c r="J4676" s="3">
        <v>1.9370000000000001</v>
      </c>
      <c r="K4676" s="2" t="s">
        <v>179</v>
      </c>
      <c r="L4676" s="2">
        <v>2023</v>
      </c>
      <c r="M4676" s="2" t="s">
        <v>180</v>
      </c>
      <c r="N4676" s="2" t="s">
        <v>21</v>
      </c>
      <c r="O4676">
        <f t="shared" si="146"/>
        <v>2.7249999999999943</v>
      </c>
      <c r="P4676">
        <f t="shared" ref="P4676:P4739" si="147">IF(G4676=G4675, P4675+J4676, J4676)</f>
        <v>3.906000000000005</v>
      </c>
    </row>
    <row r="4677" spans="1:16" x14ac:dyDescent="0.35">
      <c r="A4677" s="9" t="s">
        <v>193</v>
      </c>
      <c r="B4677" s="2">
        <v>107.64</v>
      </c>
      <c r="C4677" s="2">
        <v>110.19499999999999</v>
      </c>
      <c r="D4677" s="2">
        <v>107.62</v>
      </c>
      <c r="E4677" s="2">
        <v>110.04</v>
      </c>
      <c r="F4677" s="2">
        <v>16223953</v>
      </c>
      <c r="G4677" s="2" t="s">
        <v>579</v>
      </c>
      <c r="H4677" s="2" t="s">
        <v>580</v>
      </c>
      <c r="I4677" s="2" t="s">
        <v>581</v>
      </c>
      <c r="J4677" s="3">
        <v>1.5129999999999999</v>
      </c>
      <c r="K4677" s="2" t="s">
        <v>179</v>
      </c>
      <c r="L4677" s="2">
        <v>2023</v>
      </c>
      <c r="M4677" s="2" t="s">
        <v>180</v>
      </c>
      <c r="N4677" s="2" t="s">
        <v>21</v>
      </c>
      <c r="O4677">
        <f t="shared" si="146"/>
        <v>2.5749999999999886</v>
      </c>
      <c r="P4677">
        <f t="shared" si="147"/>
        <v>5.4190000000000049</v>
      </c>
    </row>
    <row r="4678" spans="1:16" x14ac:dyDescent="0.35">
      <c r="A4678" s="9" t="s">
        <v>194</v>
      </c>
      <c r="B4678" s="2">
        <v>110.36</v>
      </c>
      <c r="C4678" s="2">
        <v>110.979</v>
      </c>
      <c r="D4678" s="2">
        <v>108.142</v>
      </c>
      <c r="E4678" s="2">
        <v>108.71</v>
      </c>
      <c r="F4678" s="2">
        <v>11092380</v>
      </c>
      <c r="G4678" s="2" t="s">
        <v>579</v>
      </c>
      <c r="H4678" s="2" t="s">
        <v>580</v>
      </c>
      <c r="I4678" s="2" t="s">
        <v>581</v>
      </c>
      <c r="J4678" s="4">
        <v>-1.2090000000000001</v>
      </c>
      <c r="K4678" s="2" t="s">
        <v>179</v>
      </c>
      <c r="L4678" s="2">
        <v>2023</v>
      </c>
      <c r="M4678" s="2" t="s">
        <v>180</v>
      </c>
      <c r="N4678" s="2" t="s">
        <v>23</v>
      </c>
      <c r="O4678">
        <f t="shared" si="146"/>
        <v>2.8370000000000033</v>
      </c>
      <c r="P4678">
        <f t="shared" si="147"/>
        <v>4.2100000000000044</v>
      </c>
    </row>
    <row r="4679" spans="1:16" x14ac:dyDescent="0.35">
      <c r="A4679" s="9" t="s">
        <v>195</v>
      </c>
      <c r="B4679" s="2">
        <v>109.17</v>
      </c>
      <c r="C4679" s="2">
        <v>109.72</v>
      </c>
      <c r="D4679" s="2">
        <v>107.95</v>
      </c>
      <c r="E4679" s="2">
        <v>108.1</v>
      </c>
      <c r="F4679" s="2">
        <v>10520842</v>
      </c>
      <c r="G4679" s="2" t="s">
        <v>579</v>
      </c>
      <c r="H4679" s="2" t="s">
        <v>580</v>
      </c>
      <c r="I4679" s="2" t="s">
        <v>581</v>
      </c>
      <c r="J4679" s="4">
        <v>-0.56100000000000005</v>
      </c>
      <c r="K4679" s="2" t="s">
        <v>179</v>
      </c>
      <c r="L4679" s="2">
        <v>2023</v>
      </c>
      <c r="M4679" s="2" t="s">
        <v>180</v>
      </c>
      <c r="N4679" s="2" t="s">
        <v>23</v>
      </c>
      <c r="O4679">
        <f t="shared" si="146"/>
        <v>1.769999999999996</v>
      </c>
      <c r="P4679">
        <f t="shared" si="147"/>
        <v>3.6490000000000045</v>
      </c>
    </row>
    <row r="4680" spans="1:16" x14ac:dyDescent="0.35">
      <c r="A4680" s="9" t="s">
        <v>196</v>
      </c>
      <c r="B4680" s="2">
        <v>107.04</v>
      </c>
      <c r="C4680" s="2">
        <v>107.3</v>
      </c>
      <c r="D4680" s="2">
        <v>105.72</v>
      </c>
      <c r="E4680" s="2">
        <v>107.15</v>
      </c>
      <c r="F4680" s="2">
        <v>11435553</v>
      </c>
      <c r="G4680" s="2" t="s">
        <v>579</v>
      </c>
      <c r="H4680" s="2" t="s">
        <v>580</v>
      </c>
      <c r="I4680" s="2" t="s">
        <v>581</v>
      </c>
      <c r="J4680" s="4">
        <v>-0.879</v>
      </c>
      <c r="K4680" s="2" t="s">
        <v>179</v>
      </c>
      <c r="L4680" s="2">
        <v>2023</v>
      </c>
      <c r="M4680" s="2" t="s">
        <v>180</v>
      </c>
      <c r="N4680" s="2" t="s">
        <v>23</v>
      </c>
      <c r="O4680">
        <f t="shared" si="146"/>
        <v>1.5799999999999983</v>
      </c>
      <c r="P4680">
        <f t="shared" si="147"/>
        <v>2.7700000000000045</v>
      </c>
    </row>
    <row r="4681" spans="1:16" x14ac:dyDescent="0.35">
      <c r="A4681" s="9" t="s">
        <v>197</v>
      </c>
      <c r="B4681" s="2">
        <v>106.42</v>
      </c>
      <c r="C4681" s="2">
        <v>107.765</v>
      </c>
      <c r="D4681" s="2">
        <v>106.07</v>
      </c>
      <c r="E4681" s="2">
        <v>106.35</v>
      </c>
      <c r="F4681" s="2">
        <v>10818478</v>
      </c>
      <c r="G4681" s="2" t="s">
        <v>579</v>
      </c>
      <c r="H4681" s="2" t="s">
        <v>580</v>
      </c>
      <c r="I4681" s="2" t="s">
        <v>581</v>
      </c>
      <c r="J4681" s="4">
        <v>-0.747</v>
      </c>
      <c r="K4681" s="2" t="s">
        <v>179</v>
      </c>
      <c r="L4681" s="2">
        <v>2023</v>
      </c>
      <c r="M4681" s="2" t="s">
        <v>180</v>
      </c>
      <c r="N4681" s="2" t="s">
        <v>23</v>
      </c>
      <c r="O4681">
        <f t="shared" si="146"/>
        <v>1.6950000000000074</v>
      </c>
      <c r="P4681">
        <f t="shared" si="147"/>
        <v>2.0230000000000046</v>
      </c>
    </row>
    <row r="4682" spans="1:16" x14ac:dyDescent="0.35">
      <c r="A4682" s="9" t="s">
        <v>198</v>
      </c>
      <c r="B4682" s="2">
        <v>107.43</v>
      </c>
      <c r="C4682" s="2">
        <v>108.93</v>
      </c>
      <c r="D4682" s="2">
        <v>106.62</v>
      </c>
      <c r="E4682" s="2">
        <v>108.25</v>
      </c>
      <c r="F4682" s="2">
        <v>13579304</v>
      </c>
      <c r="G4682" s="2" t="s">
        <v>579</v>
      </c>
      <c r="H4682" s="2" t="s">
        <v>580</v>
      </c>
      <c r="I4682" s="2" t="s">
        <v>581</v>
      </c>
      <c r="J4682" s="3">
        <v>1.7869999999999999</v>
      </c>
      <c r="K4682" s="2" t="s">
        <v>179</v>
      </c>
      <c r="L4682" s="2">
        <v>2023</v>
      </c>
      <c r="M4682" s="2" t="s">
        <v>180</v>
      </c>
      <c r="N4682" s="2" t="s">
        <v>21</v>
      </c>
      <c r="O4682">
        <f t="shared" si="146"/>
        <v>2.3100000000000023</v>
      </c>
      <c r="P4682">
        <f t="shared" si="147"/>
        <v>3.8100000000000045</v>
      </c>
    </row>
    <row r="4683" spans="1:16" x14ac:dyDescent="0.35">
      <c r="A4683" s="9" t="s">
        <v>199</v>
      </c>
      <c r="B4683" s="2">
        <v>108.45</v>
      </c>
      <c r="C4683" s="2">
        <v>110.04</v>
      </c>
      <c r="D4683" s="2">
        <v>108.44</v>
      </c>
      <c r="E4683" s="2">
        <v>109.16</v>
      </c>
      <c r="F4683" s="2">
        <v>10382122</v>
      </c>
      <c r="G4683" s="2" t="s">
        <v>579</v>
      </c>
      <c r="H4683" s="2" t="s">
        <v>580</v>
      </c>
      <c r="I4683" s="2" t="s">
        <v>581</v>
      </c>
      <c r="J4683" s="3">
        <v>0.84099999999999997</v>
      </c>
      <c r="K4683" s="2" t="s">
        <v>179</v>
      </c>
      <c r="L4683" s="2">
        <v>2023</v>
      </c>
      <c r="M4683" s="2" t="s">
        <v>180</v>
      </c>
      <c r="N4683" s="2" t="s">
        <v>21</v>
      </c>
      <c r="O4683">
        <f t="shared" si="146"/>
        <v>1.6000000000000085</v>
      </c>
      <c r="P4683">
        <f t="shared" si="147"/>
        <v>4.6510000000000042</v>
      </c>
    </row>
    <row r="4684" spans="1:16" x14ac:dyDescent="0.35">
      <c r="A4684" s="9" t="s">
        <v>200</v>
      </c>
      <c r="B4684" s="2">
        <v>109.66</v>
      </c>
      <c r="C4684" s="2">
        <v>110.02</v>
      </c>
      <c r="D4684" s="2">
        <v>108.42</v>
      </c>
      <c r="E4684" s="2">
        <v>109.81</v>
      </c>
      <c r="F4684" s="2">
        <v>9665010</v>
      </c>
      <c r="G4684" s="2" t="s">
        <v>579</v>
      </c>
      <c r="H4684" s="2" t="s">
        <v>580</v>
      </c>
      <c r="I4684" s="2" t="s">
        <v>581</v>
      </c>
      <c r="J4684" s="3">
        <v>0.59499999999999997</v>
      </c>
      <c r="K4684" s="2" t="s">
        <v>179</v>
      </c>
      <c r="L4684" s="2">
        <v>2023</v>
      </c>
      <c r="M4684" s="2" t="s">
        <v>180</v>
      </c>
      <c r="N4684" s="2" t="s">
        <v>21</v>
      </c>
      <c r="O4684">
        <f t="shared" si="146"/>
        <v>1.5999999999999943</v>
      </c>
      <c r="P4684">
        <f t="shared" si="147"/>
        <v>5.246000000000004</v>
      </c>
    </row>
    <row r="4685" spans="1:16" x14ac:dyDescent="0.35">
      <c r="A4685" s="9" t="s">
        <v>201</v>
      </c>
      <c r="B4685" s="2">
        <v>110.44</v>
      </c>
      <c r="C4685" s="2">
        <v>111.14</v>
      </c>
      <c r="D4685" s="2">
        <v>109.98</v>
      </c>
      <c r="E4685" s="2">
        <v>110.88</v>
      </c>
      <c r="F4685" s="2">
        <v>11922060</v>
      </c>
      <c r="G4685" s="2" t="s">
        <v>579</v>
      </c>
      <c r="H4685" s="2" t="s">
        <v>580</v>
      </c>
      <c r="I4685" s="2" t="s">
        <v>581</v>
      </c>
      <c r="J4685" s="3">
        <v>0.97399999999999998</v>
      </c>
      <c r="K4685" s="2" t="s">
        <v>179</v>
      </c>
      <c r="L4685" s="2">
        <v>2023</v>
      </c>
      <c r="M4685" s="2" t="s">
        <v>180</v>
      </c>
      <c r="N4685" s="2" t="s">
        <v>21</v>
      </c>
      <c r="O4685">
        <f t="shared" si="146"/>
        <v>1.1599999999999966</v>
      </c>
      <c r="P4685">
        <f t="shared" si="147"/>
        <v>6.2200000000000042</v>
      </c>
    </row>
    <row r="4686" spans="1:16" x14ac:dyDescent="0.35">
      <c r="A4686" s="9" t="s">
        <v>202</v>
      </c>
      <c r="B4686" s="2">
        <v>111.12</v>
      </c>
      <c r="C4686" s="2">
        <v>111.417</v>
      </c>
      <c r="D4686" s="2">
        <v>110.61499999999999</v>
      </c>
      <c r="E4686" s="2">
        <v>111.19</v>
      </c>
      <c r="F4686" s="2">
        <v>17479834</v>
      </c>
      <c r="G4686" s="2" t="s">
        <v>579</v>
      </c>
      <c r="H4686" s="2" t="s">
        <v>580</v>
      </c>
      <c r="I4686" s="2" t="s">
        <v>581</v>
      </c>
      <c r="J4686" s="3">
        <v>0.28000000000000003</v>
      </c>
      <c r="K4686" s="2" t="s">
        <v>179</v>
      </c>
      <c r="L4686" s="2">
        <v>2023</v>
      </c>
      <c r="M4686" s="2" t="s">
        <v>180</v>
      </c>
      <c r="N4686" s="2" t="s">
        <v>21</v>
      </c>
      <c r="O4686">
        <f t="shared" si="146"/>
        <v>0.80200000000000671</v>
      </c>
      <c r="P4686">
        <f t="shared" si="147"/>
        <v>6.5000000000000044</v>
      </c>
    </row>
    <row r="4687" spans="1:16" x14ac:dyDescent="0.35">
      <c r="A4687" s="9" t="s">
        <v>203</v>
      </c>
      <c r="B4687" s="2">
        <v>112.2</v>
      </c>
      <c r="C4687" s="2">
        <v>113.82</v>
      </c>
      <c r="D4687" s="2">
        <v>112.2</v>
      </c>
      <c r="E4687" s="2">
        <v>113.52</v>
      </c>
      <c r="F4687" s="2">
        <v>14843482</v>
      </c>
      <c r="G4687" s="2" t="s">
        <v>579</v>
      </c>
      <c r="H4687" s="2" t="s">
        <v>580</v>
      </c>
      <c r="I4687" s="2" t="s">
        <v>581</v>
      </c>
      <c r="J4687" s="3">
        <v>2.0960000000000001</v>
      </c>
      <c r="K4687" s="2" t="s">
        <v>204</v>
      </c>
      <c r="L4687" s="2">
        <v>2023</v>
      </c>
      <c r="M4687" s="2" t="s">
        <v>205</v>
      </c>
      <c r="N4687" s="2" t="s">
        <v>21</v>
      </c>
      <c r="O4687">
        <f t="shared" si="146"/>
        <v>1.6199999999999903</v>
      </c>
      <c r="P4687">
        <f t="shared" si="147"/>
        <v>8.5960000000000036</v>
      </c>
    </row>
    <row r="4688" spans="1:16" x14ac:dyDescent="0.35">
      <c r="A4688" s="9" t="s">
        <v>206</v>
      </c>
      <c r="B4688" s="2">
        <v>114.1</v>
      </c>
      <c r="C4688" s="2">
        <v>115.825</v>
      </c>
      <c r="D4688" s="2">
        <v>113.5</v>
      </c>
      <c r="E4688" s="2">
        <v>113.53</v>
      </c>
      <c r="F4688" s="2">
        <v>18304013</v>
      </c>
      <c r="G4688" s="2" t="s">
        <v>579</v>
      </c>
      <c r="H4688" s="2" t="s">
        <v>580</v>
      </c>
      <c r="I4688" s="2" t="s">
        <v>581</v>
      </c>
      <c r="J4688" s="3">
        <v>8.9999999999999993E-3</v>
      </c>
      <c r="K4688" s="2" t="s">
        <v>204</v>
      </c>
      <c r="L4688" s="2">
        <v>2023</v>
      </c>
      <c r="M4688" s="2" t="s">
        <v>205</v>
      </c>
      <c r="N4688" s="2" t="s">
        <v>21</v>
      </c>
      <c r="O4688">
        <f t="shared" si="146"/>
        <v>2.3250000000000028</v>
      </c>
      <c r="P4688">
        <f t="shared" si="147"/>
        <v>8.605000000000004</v>
      </c>
    </row>
    <row r="4689" spans="1:16" x14ac:dyDescent="0.35">
      <c r="A4689" s="9" t="s">
        <v>207</v>
      </c>
      <c r="B4689" s="2">
        <v>113.48</v>
      </c>
      <c r="C4689" s="2">
        <v>114.59</v>
      </c>
      <c r="D4689" s="2">
        <v>113.23</v>
      </c>
      <c r="E4689" s="2">
        <v>114.51</v>
      </c>
      <c r="F4689" s="2">
        <v>13325542</v>
      </c>
      <c r="G4689" s="2" t="s">
        <v>579</v>
      </c>
      <c r="H4689" s="2" t="s">
        <v>580</v>
      </c>
      <c r="I4689" s="2" t="s">
        <v>581</v>
      </c>
      <c r="J4689" s="3">
        <v>0.86299999999999999</v>
      </c>
      <c r="K4689" s="2" t="s">
        <v>204</v>
      </c>
      <c r="L4689" s="2">
        <v>2023</v>
      </c>
      <c r="M4689" s="2" t="s">
        <v>205</v>
      </c>
      <c r="N4689" s="2" t="s">
        <v>21</v>
      </c>
      <c r="O4689">
        <f t="shared" si="146"/>
        <v>1.3599999999999994</v>
      </c>
      <c r="P4689">
        <f t="shared" si="147"/>
        <v>9.4680000000000035</v>
      </c>
    </row>
    <row r="4690" spans="1:16" x14ac:dyDescent="0.35">
      <c r="A4690" s="9" t="s">
        <v>208</v>
      </c>
      <c r="B4690" s="2">
        <v>114.65</v>
      </c>
      <c r="C4690" s="2">
        <v>115.85</v>
      </c>
      <c r="D4690" s="2">
        <v>113.7</v>
      </c>
      <c r="E4690" s="2">
        <v>113.95</v>
      </c>
      <c r="F4690" s="2">
        <v>13248541</v>
      </c>
      <c r="G4690" s="2" t="s">
        <v>579</v>
      </c>
      <c r="H4690" s="2" t="s">
        <v>580</v>
      </c>
      <c r="I4690" s="2" t="s">
        <v>581</v>
      </c>
      <c r="J4690" s="4">
        <v>-0.48899999999999999</v>
      </c>
      <c r="K4690" s="2" t="s">
        <v>204</v>
      </c>
      <c r="L4690" s="2">
        <v>2023</v>
      </c>
      <c r="M4690" s="2" t="s">
        <v>205</v>
      </c>
      <c r="N4690" s="2" t="s">
        <v>23</v>
      </c>
      <c r="O4690">
        <f t="shared" si="146"/>
        <v>2.1499999999999915</v>
      </c>
      <c r="P4690">
        <f t="shared" si="147"/>
        <v>8.9790000000000028</v>
      </c>
    </row>
    <row r="4691" spans="1:16" x14ac:dyDescent="0.35">
      <c r="A4691" s="9" t="s">
        <v>209</v>
      </c>
      <c r="B4691" s="2">
        <v>114.53</v>
      </c>
      <c r="C4691" s="2">
        <v>116.05</v>
      </c>
      <c r="D4691" s="2">
        <v>114.32</v>
      </c>
      <c r="E4691" s="2">
        <v>115.61</v>
      </c>
      <c r="F4691" s="2">
        <v>14286483</v>
      </c>
      <c r="G4691" s="2" t="s">
        <v>579</v>
      </c>
      <c r="H4691" s="2" t="s">
        <v>580</v>
      </c>
      <c r="I4691" s="2" t="s">
        <v>581</v>
      </c>
      <c r="J4691" s="3">
        <v>1.4570000000000001</v>
      </c>
      <c r="K4691" s="2" t="s">
        <v>204</v>
      </c>
      <c r="L4691" s="2">
        <v>2023</v>
      </c>
      <c r="M4691" s="2" t="s">
        <v>205</v>
      </c>
      <c r="N4691" s="2" t="s">
        <v>21</v>
      </c>
      <c r="O4691">
        <f t="shared" si="146"/>
        <v>1.730000000000004</v>
      </c>
      <c r="P4691">
        <f t="shared" si="147"/>
        <v>10.436000000000003</v>
      </c>
    </row>
    <row r="4692" spans="1:16" x14ac:dyDescent="0.35">
      <c r="A4692" s="9" t="s">
        <v>210</v>
      </c>
      <c r="B4692" s="2">
        <v>116.18</v>
      </c>
      <c r="C4692" s="2">
        <v>116.68</v>
      </c>
      <c r="D4692" s="2">
        <v>113.565</v>
      </c>
      <c r="E4692" s="2">
        <v>114.16</v>
      </c>
      <c r="F4692" s="2">
        <v>14383562</v>
      </c>
      <c r="G4692" s="2" t="s">
        <v>579</v>
      </c>
      <c r="H4692" s="2" t="s">
        <v>580</v>
      </c>
      <c r="I4692" s="2" t="s">
        <v>581</v>
      </c>
      <c r="J4692" s="4">
        <v>-1.254</v>
      </c>
      <c r="K4692" s="2" t="s">
        <v>204</v>
      </c>
      <c r="L4692" s="2">
        <v>2023</v>
      </c>
      <c r="M4692" s="2" t="s">
        <v>205</v>
      </c>
      <c r="N4692" s="2" t="s">
        <v>23</v>
      </c>
      <c r="O4692">
        <f t="shared" si="146"/>
        <v>3.1150000000000091</v>
      </c>
      <c r="P4692">
        <f t="shared" si="147"/>
        <v>9.1820000000000039</v>
      </c>
    </row>
    <row r="4693" spans="1:16" x14ac:dyDescent="0.35">
      <c r="A4693" s="9" t="s">
        <v>211</v>
      </c>
      <c r="B4693" s="2">
        <v>115.34</v>
      </c>
      <c r="C4693" s="2">
        <v>117.66500000000001</v>
      </c>
      <c r="D4693" s="2">
        <v>115.27</v>
      </c>
      <c r="E4693" s="2">
        <v>117.49</v>
      </c>
      <c r="F4693" s="2">
        <v>20145761</v>
      </c>
      <c r="G4693" s="2" t="s">
        <v>579</v>
      </c>
      <c r="H4693" s="2" t="s">
        <v>580</v>
      </c>
      <c r="I4693" s="2" t="s">
        <v>581</v>
      </c>
      <c r="J4693" s="3">
        <v>2.9169999999999998</v>
      </c>
      <c r="K4693" s="2" t="s">
        <v>204</v>
      </c>
      <c r="L4693" s="2">
        <v>2023</v>
      </c>
      <c r="M4693" s="2" t="s">
        <v>205</v>
      </c>
      <c r="N4693" s="2" t="s">
        <v>21</v>
      </c>
      <c r="O4693">
        <f t="shared" si="146"/>
        <v>2.3950000000000102</v>
      </c>
      <c r="P4693">
        <f t="shared" si="147"/>
        <v>12.099000000000004</v>
      </c>
    </row>
    <row r="4694" spans="1:16" x14ac:dyDescent="0.35">
      <c r="A4694" s="9" t="s">
        <v>212</v>
      </c>
      <c r="B4694" s="2">
        <v>117.41</v>
      </c>
      <c r="C4694" s="2">
        <v>117.96</v>
      </c>
      <c r="D4694" s="2">
        <v>115.9</v>
      </c>
      <c r="E4694" s="2">
        <v>116.44</v>
      </c>
      <c r="F4694" s="2">
        <v>13472800</v>
      </c>
      <c r="G4694" s="2" t="s">
        <v>579</v>
      </c>
      <c r="H4694" s="2" t="s">
        <v>580</v>
      </c>
      <c r="I4694" s="2" t="s">
        <v>581</v>
      </c>
      <c r="J4694" s="4">
        <v>-0.89400000000000002</v>
      </c>
      <c r="K4694" s="2" t="s">
        <v>204</v>
      </c>
      <c r="L4694" s="2">
        <v>2023</v>
      </c>
      <c r="M4694" s="2" t="s">
        <v>205</v>
      </c>
      <c r="N4694" s="2" t="s">
        <v>23</v>
      </c>
      <c r="O4694">
        <f t="shared" si="146"/>
        <v>2.0599999999999881</v>
      </c>
      <c r="P4694">
        <f t="shared" si="147"/>
        <v>11.205000000000004</v>
      </c>
    </row>
    <row r="4695" spans="1:16" x14ac:dyDescent="0.35">
      <c r="A4695" s="9" t="s">
        <v>213</v>
      </c>
      <c r="B4695" s="2">
        <v>117.55</v>
      </c>
      <c r="C4695" s="2">
        <v>118.66</v>
      </c>
      <c r="D4695" s="2">
        <v>117.33</v>
      </c>
      <c r="E4695" s="2">
        <v>118.52</v>
      </c>
      <c r="F4695" s="2">
        <v>15210701</v>
      </c>
      <c r="G4695" s="2" t="s">
        <v>579</v>
      </c>
      <c r="H4695" s="2" t="s">
        <v>580</v>
      </c>
      <c r="I4695" s="2" t="s">
        <v>581</v>
      </c>
      <c r="J4695" s="3">
        <v>1.786</v>
      </c>
      <c r="K4695" s="2" t="s">
        <v>204</v>
      </c>
      <c r="L4695" s="2">
        <v>2023</v>
      </c>
      <c r="M4695" s="2" t="s">
        <v>205</v>
      </c>
      <c r="N4695" s="2" t="s">
        <v>21</v>
      </c>
      <c r="O4695">
        <f t="shared" si="146"/>
        <v>1.3299999999999983</v>
      </c>
      <c r="P4695">
        <f t="shared" si="147"/>
        <v>12.991000000000003</v>
      </c>
    </row>
    <row r="4696" spans="1:16" x14ac:dyDescent="0.35">
      <c r="A4696" s="9" t="s">
        <v>214</v>
      </c>
      <c r="B4696" s="2">
        <v>117.9</v>
      </c>
      <c r="C4696" s="2">
        <v>118.51</v>
      </c>
      <c r="D4696" s="2">
        <v>116.5</v>
      </c>
      <c r="E4696" s="2">
        <v>116.7</v>
      </c>
      <c r="F4696" s="2">
        <v>34568393</v>
      </c>
      <c r="G4696" s="2" t="s">
        <v>579</v>
      </c>
      <c r="H4696" s="2" t="s">
        <v>580</v>
      </c>
      <c r="I4696" s="2" t="s">
        <v>581</v>
      </c>
      <c r="J4696" s="4">
        <v>-1.536</v>
      </c>
      <c r="K4696" s="2" t="s">
        <v>204</v>
      </c>
      <c r="L4696" s="2">
        <v>2023</v>
      </c>
      <c r="M4696" s="2" t="s">
        <v>205</v>
      </c>
      <c r="N4696" s="2" t="s">
        <v>23</v>
      </c>
      <c r="O4696">
        <f t="shared" si="146"/>
        <v>2.0100000000000051</v>
      </c>
      <c r="P4696">
        <f t="shared" si="147"/>
        <v>11.455000000000004</v>
      </c>
    </row>
    <row r="4697" spans="1:16" x14ac:dyDescent="0.35">
      <c r="A4697" s="9" t="s">
        <v>215</v>
      </c>
      <c r="B4697" s="2">
        <v>117.53</v>
      </c>
      <c r="C4697" s="2">
        <v>118.24</v>
      </c>
      <c r="D4697" s="2">
        <v>116.7</v>
      </c>
      <c r="E4697" s="2">
        <v>117.64</v>
      </c>
      <c r="F4697" s="2">
        <v>14045311</v>
      </c>
      <c r="G4697" s="2" t="s">
        <v>579</v>
      </c>
      <c r="H4697" s="2" t="s">
        <v>580</v>
      </c>
      <c r="I4697" s="2" t="s">
        <v>581</v>
      </c>
      <c r="J4697" s="3">
        <v>0.80500000000000005</v>
      </c>
      <c r="K4697" s="2" t="s">
        <v>204</v>
      </c>
      <c r="L4697" s="2">
        <v>2023</v>
      </c>
      <c r="M4697" s="2" t="s">
        <v>205</v>
      </c>
      <c r="N4697" s="2" t="s">
        <v>21</v>
      </c>
      <c r="O4697">
        <f t="shared" si="146"/>
        <v>1.539999999999992</v>
      </c>
      <c r="P4697">
        <f t="shared" si="147"/>
        <v>12.260000000000003</v>
      </c>
    </row>
    <row r="4698" spans="1:16" x14ac:dyDescent="0.35">
      <c r="A4698" s="9" t="s">
        <v>216</v>
      </c>
      <c r="B4698" s="2">
        <v>118.62</v>
      </c>
      <c r="C4698" s="2">
        <v>118.84</v>
      </c>
      <c r="D4698" s="2">
        <v>116.61</v>
      </c>
      <c r="E4698" s="2">
        <v>117.33</v>
      </c>
      <c r="F4698" s="2">
        <v>12569724</v>
      </c>
      <c r="G4698" s="2" t="s">
        <v>579</v>
      </c>
      <c r="H4698" s="2" t="s">
        <v>580</v>
      </c>
      <c r="I4698" s="2" t="s">
        <v>581</v>
      </c>
      <c r="J4698" s="4">
        <v>-0.26400000000000001</v>
      </c>
      <c r="K4698" s="2" t="s">
        <v>204</v>
      </c>
      <c r="L4698" s="2">
        <v>2023</v>
      </c>
      <c r="M4698" s="2" t="s">
        <v>205</v>
      </c>
      <c r="N4698" s="2" t="s">
        <v>23</v>
      </c>
      <c r="O4698">
        <f t="shared" si="146"/>
        <v>2.230000000000004</v>
      </c>
      <c r="P4698">
        <f t="shared" si="147"/>
        <v>11.996000000000004</v>
      </c>
    </row>
    <row r="4699" spans="1:16" x14ac:dyDescent="0.35">
      <c r="A4699" s="9" t="s">
        <v>217</v>
      </c>
      <c r="B4699" s="2">
        <v>116.54</v>
      </c>
      <c r="C4699" s="2">
        <v>118.02</v>
      </c>
      <c r="D4699" s="2">
        <v>116.32</v>
      </c>
      <c r="E4699" s="2">
        <v>116.4</v>
      </c>
      <c r="F4699" s="2">
        <v>11883207</v>
      </c>
      <c r="G4699" s="2" t="s">
        <v>579</v>
      </c>
      <c r="H4699" s="2" t="s">
        <v>580</v>
      </c>
      <c r="I4699" s="2" t="s">
        <v>581</v>
      </c>
      <c r="J4699" s="4">
        <v>-0.79300000000000004</v>
      </c>
      <c r="K4699" s="2" t="s">
        <v>204</v>
      </c>
      <c r="L4699" s="2">
        <v>2023</v>
      </c>
      <c r="M4699" s="2" t="s">
        <v>205</v>
      </c>
      <c r="N4699" s="2" t="s">
        <v>23</v>
      </c>
      <c r="O4699">
        <f t="shared" si="146"/>
        <v>1.7000000000000028</v>
      </c>
      <c r="P4699">
        <f t="shared" si="147"/>
        <v>11.203000000000005</v>
      </c>
    </row>
    <row r="4700" spans="1:16" x14ac:dyDescent="0.35">
      <c r="A4700" s="9" t="s">
        <v>218</v>
      </c>
      <c r="B4700" s="2">
        <v>116.98</v>
      </c>
      <c r="C4700" s="2">
        <v>117.37</v>
      </c>
      <c r="D4700" s="2">
        <v>114.6</v>
      </c>
      <c r="E4700" s="2">
        <v>114.76</v>
      </c>
      <c r="F4700" s="2">
        <v>14409635</v>
      </c>
      <c r="G4700" s="2" t="s">
        <v>579</v>
      </c>
      <c r="H4700" s="2" t="s">
        <v>580</v>
      </c>
      <c r="I4700" s="2" t="s">
        <v>581</v>
      </c>
      <c r="J4700" s="4">
        <v>-1.409</v>
      </c>
      <c r="K4700" s="2" t="s">
        <v>204</v>
      </c>
      <c r="L4700" s="2">
        <v>2023</v>
      </c>
      <c r="M4700" s="2" t="s">
        <v>205</v>
      </c>
      <c r="N4700" s="2" t="s">
        <v>23</v>
      </c>
      <c r="O4700">
        <f t="shared" si="146"/>
        <v>2.7700000000000102</v>
      </c>
      <c r="P4700">
        <f t="shared" si="147"/>
        <v>9.794000000000004</v>
      </c>
    </row>
    <row r="4701" spans="1:16" x14ac:dyDescent="0.35">
      <c r="A4701" s="9" t="s">
        <v>219</v>
      </c>
      <c r="B4701" s="2">
        <v>115.705</v>
      </c>
      <c r="C4701" s="2">
        <v>116.68</v>
      </c>
      <c r="D4701" s="2">
        <v>114.80500000000001</v>
      </c>
      <c r="E4701" s="2">
        <v>114.94</v>
      </c>
      <c r="F4701" s="2">
        <v>13200212</v>
      </c>
      <c r="G4701" s="2" t="s">
        <v>579</v>
      </c>
      <c r="H4701" s="2" t="s">
        <v>580</v>
      </c>
      <c r="I4701" s="2" t="s">
        <v>581</v>
      </c>
      <c r="J4701" s="3">
        <v>0.157</v>
      </c>
      <c r="K4701" s="2" t="s">
        <v>204</v>
      </c>
      <c r="L4701" s="2">
        <v>2023</v>
      </c>
      <c r="M4701" s="2" t="s">
        <v>205</v>
      </c>
      <c r="N4701" s="2" t="s">
        <v>21</v>
      </c>
      <c r="O4701">
        <f t="shared" si="146"/>
        <v>1.875</v>
      </c>
      <c r="P4701">
        <f t="shared" si="147"/>
        <v>9.9510000000000041</v>
      </c>
    </row>
    <row r="4702" spans="1:16" x14ac:dyDescent="0.35">
      <c r="A4702" s="9" t="s">
        <v>220</v>
      </c>
      <c r="B4702" s="2">
        <v>115.09</v>
      </c>
      <c r="C4702" s="2">
        <v>116.645</v>
      </c>
      <c r="D4702" s="2">
        <v>114.83</v>
      </c>
      <c r="E4702" s="2">
        <v>116.23</v>
      </c>
      <c r="F4702" s="2">
        <v>11316012</v>
      </c>
      <c r="G4702" s="2" t="s">
        <v>579</v>
      </c>
      <c r="H4702" s="2" t="s">
        <v>580</v>
      </c>
      <c r="I4702" s="2" t="s">
        <v>581</v>
      </c>
      <c r="J4702" s="3">
        <v>1.1220000000000001</v>
      </c>
      <c r="K4702" s="2" t="s">
        <v>204</v>
      </c>
      <c r="L4702" s="2">
        <v>2023</v>
      </c>
      <c r="M4702" s="2" t="s">
        <v>205</v>
      </c>
      <c r="N4702" s="2" t="s">
        <v>21</v>
      </c>
      <c r="O4702">
        <f t="shared" si="146"/>
        <v>1.8149999999999977</v>
      </c>
      <c r="P4702">
        <f t="shared" si="147"/>
        <v>11.073000000000004</v>
      </c>
    </row>
    <row r="4703" spans="1:16" x14ac:dyDescent="0.35">
      <c r="A4703" s="9" t="s">
        <v>221</v>
      </c>
      <c r="B4703" s="2">
        <v>115.5</v>
      </c>
      <c r="C4703" s="2">
        <v>116.73</v>
      </c>
      <c r="D4703" s="2">
        <v>115.37</v>
      </c>
      <c r="E4703" s="2">
        <v>116.41</v>
      </c>
      <c r="F4703" s="2">
        <v>11805429</v>
      </c>
      <c r="G4703" s="2" t="s">
        <v>579</v>
      </c>
      <c r="H4703" s="2" t="s">
        <v>580</v>
      </c>
      <c r="I4703" s="2" t="s">
        <v>581</v>
      </c>
      <c r="J4703" s="3">
        <v>0.155</v>
      </c>
      <c r="K4703" s="2" t="s">
        <v>204</v>
      </c>
      <c r="L4703" s="2">
        <v>2023</v>
      </c>
      <c r="M4703" s="2" t="s">
        <v>205</v>
      </c>
      <c r="N4703" s="2" t="s">
        <v>21</v>
      </c>
      <c r="O4703">
        <f t="shared" si="146"/>
        <v>1.3599999999999994</v>
      </c>
      <c r="P4703">
        <f t="shared" si="147"/>
        <v>11.228000000000003</v>
      </c>
    </row>
    <row r="4704" spans="1:16" x14ac:dyDescent="0.35">
      <c r="A4704" s="9" t="s">
        <v>222</v>
      </c>
      <c r="B4704" s="2">
        <v>117.89</v>
      </c>
      <c r="C4704" s="2">
        <v>120.5</v>
      </c>
      <c r="D4704" s="2">
        <v>117.4</v>
      </c>
      <c r="E4704" s="2">
        <v>120.2</v>
      </c>
      <c r="F4704" s="2">
        <v>23976160</v>
      </c>
      <c r="G4704" s="2" t="s">
        <v>579</v>
      </c>
      <c r="H4704" s="2" t="s">
        <v>580</v>
      </c>
      <c r="I4704" s="2" t="s">
        <v>581</v>
      </c>
      <c r="J4704" s="3">
        <v>3.2559999999999998</v>
      </c>
      <c r="K4704" s="2" t="s">
        <v>204</v>
      </c>
      <c r="L4704" s="2">
        <v>2023</v>
      </c>
      <c r="M4704" s="2" t="s">
        <v>205</v>
      </c>
      <c r="N4704" s="2" t="s">
        <v>21</v>
      </c>
      <c r="O4704">
        <f t="shared" si="146"/>
        <v>3.0999999999999943</v>
      </c>
      <c r="P4704">
        <f t="shared" si="147"/>
        <v>14.484000000000004</v>
      </c>
    </row>
    <row r="4705" spans="1:16" x14ac:dyDescent="0.35">
      <c r="A4705" s="9" t="s">
        <v>223</v>
      </c>
      <c r="B4705" s="2">
        <v>119.98</v>
      </c>
      <c r="C4705" s="2">
        <v>120.7</v>
      </c>
      <c r="D4705" s="2">
        <v>118.19</v>
      </c>
      <c r="E4705" s="2">
        <v>119.47</v>
      </c>
      <c r="F4705" s="2">
        <v>16808116</v>
      </c>
      <c r="G4705" s="2" t="s">
        <v>579</v>
      </c>
      <c r="H4705" s="2" t="s">
        <v>580</v>
      </c>
      <c r="I4705" s="2" t="s">
        <v>581</v>
      </c>
      <c r="J4705" s="4">
        <v>-0.60699999999999998</v>
      </c>
      <c r="K4705" s="2" t="s">
        <v>204</v>
      </c>
      <c r="L4705" s="2">
        <v>2023</v>
      </c>
      <c r="M4705" s="2" t="s">
        <v>205</v>
      </c>
      <c r="N4705" s="2" t="s">
        <v>23</v>
      </c>
      <c r="O4705">
        <f t="shared" si="146"/>
        <v>2.5100000000000051</v>
      </c>
      <c r="P4705">
        <f t="shared" si="147"/>
        <v>13.877000000000004</v>
      </c>
    </row>
    <row r="4706" spans="1:16" x14ac:dyDescent="0.35">
      <c r="A4706" s="9" t="s">
        <v>224</v>
      </c>
      <c r="B4706" s="2">
        <v>119.1</v>
      </c>
      <c r="C4706" s="2">
        <v>119.18</v>
      </c>
      <c r="D4706" s="2">
        <v>116.733</v>
      </c>
      <c r="E4706" s="2">
        <v>117.58</v>
      </c>
      <c r="F4706" s="2">
        <v>18813565</v>
      </c>
      <c r="G4706" s="2" t="s">
        <v>579</v>
      </c>
      <c r="H4706" s="2" t="s">
        <v>580</v>
      </c>
      <c r="I4706" s="2" t="s">
        <v>581</v>
      </c>
      <c r="J4706" s="4">
        <v>-1.5820000000000001</v>
      </c>
      <c r="K4706" s="2" t="s">
        <v>204</v>
      </c>
      <c r="L4706" s="2">
        <v>2023</v>
      </c>
      <c r="M4706" s="2" t="s">
        <v>205</v>
      </c>
      <c r="N4706" s="2" t="s">
        <v>23</v>
      </c>
      <c r="O4706">
        <f t="shared" si="146"/>
        <v>2.4470000000000027</v>
      </c>
      <c r="P4706">
        <f t="shared" si="147"/>
        <v>12.295000000000003</v>
      </c>
    </row>
    <row r="4707" spans="1:16" x14ac:dyDescent="0.35">
      <c r="A4707" s="9" t="s">
        <v>225</v>
      </c>
      <c r="B4707" s="2">
        <v>117.53</v>
      </c>
      <c r="C4707" s="2">
        <v>117.79</v>
      </c>
      <c r="D4707" s="2">
        <v>114.55</v>
      </c>
      <c r="E4707" s="2">
        <v>115.63</v>
      </c>
      <c r="F4707" s="2">
        <v>14394999</v>
      </c>
      <c r="G4707" s="2" t="s">
        <v>579</v>
      </c>
      <c r="H4707" s="2" t="s">
        <v>580</v>
      </c>
      <c r="I4707" s="2" t="s">
        <v>581</v>
      </c>
      <c r="J4707" s="4">
        <v>-1.6579999999999999</v>
      </c>
      <c r="K4707" s="2" t="s">
        <v>226</v>
      </c>
      <c r="L4707" s="2">
        <v>2023</v>
      </c>
      <c r="M4707" s="2" t="s">
        <v>227</v>
      </c>
      <c r="N4707" s="2" t="s">
        <v>23</v>
      </c>
      <c r="O4707">
        <f t="shared" si="146"/>
        <v>3.2400000000000091</v>
      </c>
      <c r="P4707">
        <f t="shared" si="147"/>
        <v>10.637000000000004</v>
      </c>
    </row>
    <row r="4708" spans="1:16" x14ac:dyDescent="0.35">
      <c r="A4708" s="9" t="s">
        <v>228</v>
      </c>
      <c r="B4708" s="2">
        <v>115.44</v>
      </c>
      <c r="C4708" s="2">
        <v>116.44</v>
      </c>
      <c r="D4708" s="2">
        <v>115.03400000000001</v>
      </c>
      <c r="E4708" s="2">
        <v>115.83</v>
      </c>
      <c r="F4708" s="2">
        <v>13297056</v>
      </c>
      <c r="G4708" s="2" t="s">
        <v>579</v>
      </c>
      <c r="H4708" s="2" t="s">
        <v>580</v>
      </c>
      <c r="I4708" s="2" t="s">
        <v>581</v>
      </c>
      <c r="J4708" s="3">
        <v>0.17299999999999999</v>
      </c>
      <c r="K4708" s="2" t="s">
        <v>226</v>
      </c>
      <c r="L4708" s="2">
        <v>2023</v>
      </c>
      <c r="M4708" s="2" t="s">
        <v>227</v>
      </c>
      <c r="N4708" s="2" t="s">
        <v>21</v>
      </c>
      <c r="O4708">
        <f t="shared" si="146"/>
        <v>1.4059999999999917</v>
      </c>
      <c r="P4708">
        <f t="shared" si="147"/>
        <v>10.810000000000004</v>
      </c>
    </row>
    <row r="4709" spans="1:16" x14ac:dyDescent="0.35">
      <c r="A4709" s="9" t="s">
        <v>229</v>
      </c>
      <c r="B4709" s="2">
        <v>114.05</v>
      </c>
      <c r="C4709" s="2">
        <v>114.09</v>
      </c>
      <c r="D4709" s="2">
        <v>110.502</v>
      </c>
      <c r="E4709" s="2">
        <v>111.5</v>
      </c>
      <c r="F4709" s="2">
        <v>19622226</v>
      </c>
      <c r="G4709" s="2" t="s">
        <v>579</v>
      </c>
      <c r="H4709" s="2" t="s">
        <v>580</v>
      </c>
      <c r="I4709" s="2" t="s">
        <v>581</v>
      </c>
      <c r="J4709" s="4">
        <v>-3.738</v>
      </c>
      <c r="K4709" s="2" t="s">
        <v>226</v>
      </c>
      <c r="L4709" s="2">
        <v>2023</v>
      </c>
      <c r="M4709" s="2" t="s">
        <v>227</v>
      </c>
      <c r="N4709" s="2" t="s">
        <v>23</v>
      </c>
      <c r="O4709">
        <f t="shared" si="146"/>
        <v>3.5880000000000081</v>
      </c>
      <c r="P4709">
        <f t="shared" si="147"/>
        <v>7.0720000000000045</v>
      </c>
    </row>
    <row r="4710" spans="1:16" x14ac:dyDescent="0.35">
      <c r="A4710" s="9" t="s">
        <v>230</v>
      </c>
      <c r="B4710" s="2">
        <v>109.8</v>
      </c>
      <c r="C4710" s="2">
        <v>110.9</v>
      </c>
      <c r="D4710" s="2">
        <v>108.7</v>
      </c>
      <c r="E4710" s="2">
        <v>108.99</v>
      </c>
      <c r="F4710" s="2">
        <v>20128783</v>
      </c>
      <c r="G4710" s="2" t="s">
        <v>579</v>
      </c>
      <c r="H4710" s="2" t="s">
        <v>580</v>
      </c>
      <c r="I4710" s="2" t="s">
        <v>581</v>
      </c>
      <c r="J4710" s="4">
        <v>-2.2509999999999999</v>
      </c>
      <c r="K4710" s="2" t="s">
        <v>226</v>
      </c>
      <c r="L4710" s="2">
        <v>2023</v>
      </c>
      <c r="M4710" s="2" t="s">
        <v>227</v>
      </c>
      <c r="N4710" s="2" t="s">
        <v>23</v>
      </c>
      <c r="O4710">
        <f t="shared" si="146"/>
        <v>2.2000000000000028</v>
      </c>
      <c r="P4710">
        <f t="shared" si="147"/>
        <v>4.8210000000000051</v>
      </c>
    </row>
    <row r="4711" spans="1:16" x14ac:dyDescent="0.35">
      <c r="A4711" s="9" t="s">
        <v>231</v>
      </c>
      <c r="B4711" s="2">
        <v>105.73</v>
      </c>
      <c r="C4711" s="2">
        <v>108.27</v>
      </c>
      <c r="D4711" s="2">
        <v>105.11</v>
      </c>
      <c r="E4711" s="2">
        <v>107.17</v>
      </c>
      <c r="F4711" s="2">
        <v>25367466</v>
      </c>
      <c r="G4711" s="2" t="s">
        <v>579</v>
      </c>
      <c r="H4711" s="2" t="s">
        <v>580</v>
      </c>
      <c r="I4711" s="2" t="s">
        <v>581</v>
      </c>
      <c r="J4711" s="4">
        <v>-1.67</v>
      </c>
      <c r="K4711" s="2" t="s">
        <v>226</v>
      </c>
      <c r="L4711" s="2">
        <v>2023</v>
      </c>
      <c r="M4711" s="2" t="s">
        <v>227</v>
      </c>
      <c r="N4711" s="2" t="s">
        <v>23</v>
      </c>
      <c r="O4711">
        <f t="shared" si="146"/>
        <v>3.1599999999999966</v>
      </c>
      <c r="P4711">
        <f t="shared" si="147"/>
        <v>3.1510000000000051</v>
      </c>
    </row>
    <row r="4712" spans="1:16" x14ac:dyDescent="0.35">
      <c r="A4712" s="9" t="s">
        <v>232</v>
      </c>
      <c r="B4712" s="2">
        <v>110.44</v>
      </c>
      <c r="C4712" s="2">
        <v>112.07</v>
      </c>
      <c r="D4712" s="2">
        <v>109.52</v>
      </c>
      <c r="E4712" s="2">
        <v>110.92</v>
      </c>
      <c r="F4712" s="2">
        <v>22369887</v>
      </c>
      <c r="G4712" s="2" t="s">
        <v>579</v>
      </c>
      <c r="H4712" s="2" t="s">
        <v>580</v>
      </c>
      <c r="I4712" s="2" t="s">
        <v>581</v>
      </c>
      <c r="J4712" s="3">
        <v>3.4990000000000001</v>
      </c>
      <c r="K4712" s="2" t="s">
        <v>226</v>
      </c>
      <c r="L4712" s="2">
        <v>2023</v>
      </c>
      <c r="M4712" s="2" t="s">
        <v>227</v>
      </c>
      <c r="N4712" s="2" t="s">
        <v>21</v>
      </c>
      <c r="O4712">
        <f t="shared" si="146"/>
        <v>2.5499999999999972</v>
      </c>
      <c r="P4712">
        <f t="shared" si="147"/>
        <v>6.6500000000000057</v>
      </c>
    </row>
    <row r="4713" spans="1:16" x14ac:dyDescent="0.35">
      <c r="A4713" s="9" t="s">
        <v>233</v>
      </c>
      <c r="B4713" s="2">
        <v>111.02</v>
      </c>
      <c r="C4713" s="2">
        <v>111.45</v>
      </c>
      <c r="D4713" s="2">
        <v>110.12</v>
      </c>
      <c r="E4713" s="2">
        <v>110.45</v>
      </c>
      <c r="F4713" s="2">
        <v>13891952</v>
      </c>
      <c r="G4713" s="2" t="s">
        <v>579</v>
      </c>
      <c r="H4713" s="2" t="s">
        <v>580</v>
      </c>
      <c r="I4713" s="2" t="s">
        <v>581</v>
      </c>
      <c r="J4713" s="4">
        <v>-0.42399999999999999</v>
      </c>
      <c r="K4713" s="2" t="s">
        <v>226</v>
      </c>
      <c r="L4713" s="2">
        <v>2023</v>
      </c>
      <c r="M4713" s="2" t="s">
        <v>227</v>
      </c>
      <c r="N4713" s="2" t="s">
        <v>23</v>
      </c>
      <c r="O4713">
        <f t="shared" si="146"/>
        <v>1.3299999999999983</v>
      </c>
      <c r="P4713">
        <f t="shared" si="147"/>
        <v>6.2260000000000053</v>
      </c>
    </row>
    <row r="4714" spans="1:16" x14ac:dyDescent="0.35">
      <c r="A4714" s="9" t="s">
        <v>234</v>
      </c>
      <c r="B4714" s="2">
        <v>106.96</v>
      </c>
      <c r="C4714" s="2">
        <v>107.17</v>
      </c>
      <c r="D4714" s="2">
        <v>104.83</v>
      </c>
      <c r="E4714" s="2">
        <v>106.49</v>
      </c>
      <c r="F4714" s="2">
        <v>57939024</v>
      </c>
      <c r="G4714" s="2" t="s">
        <v>579</v>
      </c>
      <c r="H4714" s="2" t="s">
        <v>580</v>
      </c>
      <c r="I4714" s="2" t="s">
        <v>581</v>
      </c>
      <c r="J4714" s="4">
        <v>-3.585</v>
      </c>
      <c r="K4714" s="2" t="s">
        <v>226</v>
      </c>
      <c r="L4714" s="2">
        <v>2023</v>
      </c>
      <c r="M4714" s="2" t="s">
        <v>227</v>
      </c>
      <c r="N4714" s="2" t="s">
        <v>23</v>
      </c>
      <c r="O4714">
        <f t="shared" si="146"/>
        <v>2.3400000000000034</v>
      </c>
      <c r="P4714">
        <f t="shared" si="147"/>
        <v>2.6410000000000053</v>
      </c>
    </row>
    <row r="4715" spans="1:16" x14ac:dyDescent="0.35">
      <c r="A4715" s="9" t="s">
        <v>235</v>
      </c>
      <c r="B4715" s="2">
        <v>107.59</v>
      </c>
      <c r="C4715" s="2">
        <v>107.84</v>
      </c>
      <c r="D4715" s="2">
        <v>106.09</v>
      </c>
      <c r="E4715" s="2">
        <v>106.47</v>
      </c>
      <c r="F4715" s="2">
        <v>31182957</v>
      </c>
      <c r="G4715" s="2" t="s">
        <v>579</v>
      </c>
      <c r="H4715" s="2" t="s">
        <v>580</v>
      </c>
      <c r="I4715" s="2" t="s">
        <v>581</v>
      </c>
      <c r="J4715" s="4">
        <v>-1.9E-2</v>
      </c>
      <c r="K4715" s="2" t="s">
        <v>226</v>
      </c>
      <c r="L4715" s="2">
        <v>2023</v>
      </c>
      <c r="M4715" s="2" t="s">
        <v>227</v>
      </c>
      <c r="N4715" s="2" t="s">
        <v>23</v>
      </c>
      <c r="O4715">
        <f t="shared" si="146"/>
        <v>1.75</v>
      </c>
      <c r="P4715">
        <f t="shared" si="147"/>
        <v>2.6220000000000052</v>
      </c>
    </row>
    <row r="4716" spans="1:16" x14ac:dyDescent="0.35">
      <c r="A4716" s="9" t="s">
        <v>236</v>
      </c>
      <c r="B4716" s="2">
        <v>108.03</v>
      </c>
      <c r="C4716" s="2">
        <v>110.2</v>
      </c>
      <c r="D4716" s="2">
        <v>107.84</v>
      </c>
      <c r="E4716" s="2">
        <v>109.87</v>
      </c>
      <c r="F4716" s="2">
        <v>30290328</v>
      </c>
      <c r="G4716" s="2" t="s">
        <v>579</v>
      </c>
      <c r="H4716" s="2" t="s">
        <v>580</v>
      </c>
      <c r="I4716" s="2" t="s">
        <v>581</v>
      </c>
      <c r="J4716" s="3">
        <v>3.1930000000000001</v>
      </c>
      <c r="K4716" s="2" t="s">
        <v>226</v>
      </c>
      <c r="L4716" s="2">
        <v>2023</v>
      </c>
      <c r="M4716" s="2" t="s">
        <v>227</v>
      </c>
      <c r="N4716" s="2" t="s">
        <v>21</v>
      </c>
      <c r="O4716">
        <f t="shared" si="146"/>
        <v>2.3599999999999994</v>
      </c>
      <c r="P4716">
        <f t="shared" si="147"/>
        <v>5.8150000000000048</v>
      </c>
    </row>
    <row r="4717" spans="1:16" x14ac:dyDescent="0.35">
      <c r="A4717" s="9" t="s">
        <v>237</v>
      </c>
      <c r="B4717" s="2">
        <v>110.5</v>
      </c>
      <c r="C4717" s="2">
        <v>110.68</v>
      </c>
      <c r="D4717" s="2">
        <v>109.13</v>
      </c>
      <c r="E4717" s="2">
        <v>109.95</v>
      </c>
      <c r="F4717" s="2">
        <v>18451996</v>
      </c>
      <c r="G4717" s="2" t="s">
        <v>579</v>
      </c>
      <c r="H4717" s="2" t="s">
        <v>580</v>
      </c>
      <c r="I4717" s="2" t="s">
        <v>581</v>
      </c>
      <c r="J4717" s="3">
        <v>7.2999999999999995E-2</v>
      </c>
      <c r="K4717" s="2" t="s">
        <v>226</v>
      </c>
      <c r="L4717" s="2">
        <v>2023</v>
      </c>
      <c r="M4717" s="2" t="s">
        <v>227</v>
      </c>
      <c r="N4717" s="2" t="s">
        <v>21</v>
      </c>
      <c r="O4717">
        <f t="shared" si="146"/>
        <v>1.5500000000000114</v>
      </c>
      <c r="P4717">
        <f t="shared" si="147"/>
        <v>5.8880000000000052</v>
      </c>
    </row>
    <row r="4718" spans="1:16" x14ac:dyDescent="0.35">
      <c r="A4718" s="9" t="s">
        <v>238</v>
      </c>
      <c r="B4718" s="2">
        <v>109.73</v>
      </c>
      <c r="C4718" s="2">
        <v>111.8</v>
      </c>
      <c r="D4718" s="2">
        <v>109.68</v>
      </c>
      <c r="E4718" s="2">
        <v>111.39</v>
      </c>
      <c r="F4718" s="2">
        <v>19775440</v>
      </c>
      <c r="G4718" s="2" t="s">
        <v>579</v>
      </c>
      <c r="H4718" s="2" t="s">
        <v>580</v>
      </c>
      <c r="I4718" s="2" t="s">
        <v>581</v>
      </c>
      <c r="J4718" s="3">
        <v>1.31</v>
      </c>
      <c r="K4718" s="2" t="s">
        <v>226</v>
      </c>
      <c r="L4718" s="2">
        <v>2023</v>
      </c>
      <c r="M4718" s="2" t="s">
        <v>227</v>
      </c>
      <c r="N4718" s="2" t="s">
        <v>21</v>
      </c>
      <c r="O4718">
        <f t="shared" si="146"/>
        <v>2.1199999999999903</v>
      </c>
      <c r="P4718">
        <f t="shared" si="147"/>
        <v>7.1980000000000057</v>
      </c>
    </row>
    <row r="4719" spans="1:16" x14ac:dyDescent="0.35">
      <c r="A4719" s="9" t="s">
        <v>239</v>
      </c>
      <c r="B4719" s="2">
        <v>111.82</v>
      </c>
      <c r="C4719" s="2">
        <v>113.39</v>
      </c>
      <c r="D4719" s="2">
        <v>111.7</v>
      </c>
      <c r="E4719" s="2">
        <v>112.95</v>
      </c>
      <c r="F4719" s="2">
        <v>23380266</v>
      </c>
      <c r="G4719" s="2" t="s">
        <v>579</v>
      </c>
      <c r="H4719" s="2" t="s">
        <v>580</v>
      </c>
      <c r="I4719" s="2" t="s">
        <v>581</v>
      </c>
      <c r="J4719" s="3">
        <v>1.4</v>
      </c>
      <c r="K4719" s="2" t="s">
        <v>226</v>
      </c>
      <c r="L4719" s="2">
        <v>2023</v>
      </c>
      <c r="M4719" s="2" t="s">
        <v>227</v>
      </c>
      <c r="N4719" s="2" t="s">
        <v>21</v>
      </c>
      <c r="O4719">
        <f t="shared" si="146"/>
        <v>1.6899999999999977</v>
      </c>
      <c r="P4719">
        <f t="shared" si="147"/>
        <v>8.5980000000000061</v>
      </c>
    </row>
    <row r="4720" spans="1:16" x14ac:dyDescent="0.35">
      <c r="A4720" s="9" t="s">
        <v>240</v>
      </c>
      <c r="B4720" s="2">
        <v>112.72</v>
      </c>
      <c r="C4720" s="2">
        <v>113.965</v>
      </c>
      <c r="D4720" s="2">
        <v>111.325</v>
      </c>
      <c r="E4720" s="2">
        <v>113.02</v>
      </c>
      <c r="F4720" s="2">
        <v>20972488</v>
      </c>
      <c r="G4720" s="2" t="s">
        <v>579</v>
      </c>
      <c r="H4720" s="2" t="s">
        <v>580</v>
      </c>
      <c r="I4720" s="2" t="s">
        <v>581</v>
      </c>
      <c r="J4720" s="3">
        <v>6.2E-2</v>
      </c>
      <c r="K4720" s="2" t="s">
        <v>226</v>
      </c>
      <c r="L4720" s="2">
        <v>2023</v>
      </c>
      <c r="M4720" s="2" t="s">
        <v>227</v>
      </c>
      <c r="N4720" s="2" t="s">
        <v>21</v>
      </c>
      <c r="O4720">
        <f t="shared" si="146"/>
        <v>2.6400000000000006</v>
      </c>
      <c r="P4720">
        <f t="shared" si="147"/>
        <v>8.6600000000000055</v>
      </c>
    </row>
    <row r="4721" spans="1:16" x14ac:dyDescent="0.35">
      <c r="A4721" s="9" t="s">
        <v>241</v>
      </c>
      <c r="B4721" s="2">
        <v>112.92</v>
      </c>
      <c r="C4721" s="2">
        <v>113.32</v>
      </c>
      <c r="D4721" s="2">
        <v>110.79</v>
      </c>
      <c r="E4721" s="2">
        <v>111.08</v>
      </c>
      <c r="F4721" s="2">
        <v>22445269</v>
      </c>
      <c r="G4721" s="2" t="s">
        <v>579</v>
      </c>
      <c r="H4721" s="2" t="s">
        <v>580</v>
      </c>
      <c r="I4721" s="2" t="s">
        <v>581</v>
      </c>
      <c r="J4721" s="4">
        <v>-1.7170000000000001</v>
      </c>
      <c r="K4721" s="2" t="s">
        <v>226</v>
      </c>
      <c r="L4721" s="2">
        <v>2023</v>
      </c>
      <c r="M4721" s="2" t="s">
        <v>227</v>
      </c>
      <c r="N4721" s="2" t="s">
        <v>23</v>
      </c>
      <c r="O4721">
        <f t="shared" si="146"/>
        <v>2.5299999999999869</v>
      </c>
      <c r="P4721">
        <f t="shared" si="147"/>
        <v>6.9430000000000049</v>
      </c>
    </row>
    <row r="4722" spans="1:16" x14ac:dyDescent="0.35">
      <c r="A4722" s="9" t="s">
        <v>242</v>
      </c>
      <c r="B4722" s="2">
        <v>110.63</v>
      </c>
      <c r="C4722" s="2">
        <v>110.96</v>
      </c>
      <c r="D4722" s="2">
        <v>108.675</v>
      </c>
      <c r="E4722" s="2">
        <v>109.45</v>
      </c>
      <c r="F4722" s="2">
        <v>18184950</v>
      </c>
      <c r="G4722" s="2" t="s">
        <v>579</v>
      </c>
      <c r="H4722" s="2" t="s">
        <v>580</v>
      </c>
      <c r="I4722" s="2" t="s">
        <v>581</v>
      </c>
      <c r="J4722" s="4">
        <v>-1.4670000000000001</v>
      </c>
      <c r="K4722" s="2" t="s">
        <v>226</v>
      </c>
      <c r="L4722" s="2">
        <v>2023</v>
      </c>
      <c r="M4722" s="2" t="s">
        <v>227</v>
      </c>
      <c r="N4722" s="2" t="s">
        <v>23</v>
      </c>
      <c r="O4722">
        <f t="shared" si="146"/>
        <v>2.2849999999999966</v>
      </c>
      <c r="P4722">
        <f t="shared" si="147"/>
        <v>5.4760000000000044</v>
      </c>
    </row>
    <row r="4723" spans="1:16" x14ac:dyDescent="0.35">
      <c r="A4723" s="9" t="s">
        <v>243</v>
      </c>
      <c r="B4723" s="2">
        <v>109.7</v>
      </c>
      <c r="C4723" s="2">
        <v>109.82</v>
      </c>
      <c r="D4723" s="2">
        <v>108.12</v>
      </c>
      <c r="E4723" s="2">
        <v>108.39</v>
      </c>
      <c r="F4723" s="2">
        <v>16786108</v>
      </c>
      <c r="G4723" s="2" t="s">
        <v>579</v>
      </c>
      <c r="H4723" s="2" t="s">
        <v>580</v>
      </c>
      <c r="I4723" s="2" t="s">
        <v>581</v>
      </c>
      <c r="J4723" s="4">
        <v>-0.96799999999999997</v>
      </c>
      <c r="K4723" s="2" t="s">
        <v>226</v>
      </c>
      <c r="L4723" s="2">
        <v>2023</v>
      </c>
      <c r="M4723" s="2" t="s">
        <v>227</v>
      </c>
      <c r="N4723" s="2" t="s">
        <v>23</v>
      </c>
      <c r="O4723">
        <f t="shared" si="146"/>
        <v>1.6999999999999886</v>
      </c>
      <c r="P4723">
        <f t="shared" si="147"/>
        <v>4.5080000000000044</v>
      </c>
    </row>
    <row r="4724" spans="1:16" x14ac:dyDescent="0.35">
      <c r="A4724" s="9" t="s">
        <v>244</v>
      </c>
      <c r="B4724" s="2">
        <v>108.52</v>
      </c>
      <c r="C4724" s="2">
        <v>109.5</v>
      </c>
      <c r="D4724" s="2">
        <v>108.13</v>
      </c>
      <c r="E4724" s="2">
        <v>108.59</v>
      </c>
      <c r="F4724" s="2">
        <v>22047319</v>
      </c>
      <c r="G4724" s="2" t="s">
        <v>579</v>
      </c>
      <c r="H4724" s="2" t="s">
        <v>580</v>
      </c>
      <c r="I4724" s="2" t="s">
        <v>581</v>
      </c>
      <c r="J4724" s="3">
        <v>0.185</v>
      </c>
      <c r="K4724" s="2" t="s">
        <v>226</v>
      </c>
      <c r="L4724" s="2">
        <v>2023</v>
      </c>
      <c r="M4724" s="2" t="s">
        <v>227</v>
      </c>
      <c r="N4724" s="2" t="s">
        <v>21</v>
      </c>
      <c r="O4724">
        <f t="shared" si="146"/>
        <v>1.3700000000000045</v>
      </c>
      <c r="P4724">
        <f t="shared" si="147"/>
        <v>4.6930000000000041</v>
      </c>
    </row>
    <row r="4725" spans="1:16" x14ac:dyDescent="0.35">
      <c r="A4725" s="9" t="s">
        <v>245</v>
      </c>
      <c r="B4725" s="2">
        <v>107.45</v>
      </c>
      <c r="C4725" s="2">
        <v>108.34</v>
      </c>
      <c r="D4725" s="2">
        <v>106.495</v>
      </c>
      <c r="E4725" s="2">
        <v>107.6</v>
      </c>
      <c r="F4725" s="2">
        <v>18768285</v>
      </c>
      <c r="G4725" s="2" t="s">
        <v>579</v>
      </c>
      <c r="H4725" s="2" t="s">
        <v>580</v>
      </c>
      <c r="I4725" s="2" t="s">
        <v>581</v>
      </c>
      <c r="J4725" s="4">
        <v>-0.91200000000000003</v>
      </c>
      <c r="K4725" s="2" t="s">
        <v>226</v>
      </c>
      <c r="L4725" s="2">
        <v>2023</v>
      </c>
      <c r="M4725" s="2" t="s">
        <v>227</v>
      </c>
      <c r="N4725" s="2" t="s">
        <v>23</v>
      </c>
      <c r="O4725">
        <f t="shared" si="146"/>
        <v>1.8449999999999989</v>
      </c>
      <c r="P4725">
        <f t="shared" si="147"/>
        <v>3.7810000000000041</v>
      </c>
    </row>
    <row r="4726" spans="1:16" x14ac:dyDescent="0.35">
      <c r="A4726" s="9" t="s">
        <v>246</v>
      </c>
      <c r="B4726" s="2">
        <v>108.89</v>
      </c>
      <c r="C4726" s="2">
        <v>109.86</v>
      </c>
      <c r="D4726" s="2">
        <v>104.96</v>
      </c>
      <c r="E4726" s="2">
        <v>105.55</v>
      </c>
      <c r="F4726" s="2">
        <v>23092017</v>
      </c>
      <c r="G4726" s="2" t="s">
        <v>579</v>
      </c>
      <c r="H4726" s="2" t="s">
        <v>580</v>
      </c>
      <c r="I4726" s="2" t="s">
        <v>581</v>
      </c>
      <c r="J4726" s="4">
        <v>-1.905</v>
      </c>
      <c r="K4726" s="2" t="s">
        <v>226</v>
      </c>
      <c r="L4726" s="2">
        <v>2023</v>
      </c>
      <c r="M4726" s="2" t="s">
        <v>227</v>
      </c>
      <c r="N4726" s="2" t="s">
        <v>23</v>
      </c>
      <c r="O4726">
        <f t="shared" si="146"/>
        <v>4.9000000000000057</v>
      </c>
      <c r="P4726">
        <f t="shared" si="147"/>
        <v>1.8760000000000041</v>
      </c>
    </row>
    <row r="4727" spans="1:16" x14ac:dyDescent="0.35">
      <c r="A4727" s="9" t="s">
        <v>247</v>
      </c>
      <c r="B4727" s="2">
        <v>105.74</v>
      </c>
      <c r="C4727" s="2">
        <v>106.42</v>
      </c>
      <c r="D4727" s="2">
        <v>105.212</v>
      </c>
      <c r="E4727" s="2">
        <v>105.88</v>
      </c>
      <c r="F4727" s="2">
        <v>19379917</v>
      </c>
      <c r="G4727" s="2" t="s">
        <v>579</v>
      </c>
      <c r="H4727" s="2" t="s">
        <v>580</v>
      </c>
      <c r="I4727" s="2" t="s">
        <v>581</v>
      </c>
      <c r="J4727" s="3">
        <v>0.313</v>
      </c>
      <c r="K4727" s="2" t="s">
        <v>226</v>
      </c>
      <c r="L4727" s="2">
        <v>2023</v>
      </c>
      <c r="M4727" s="2" t="s">
        <v>227</v>
      </c>
      <c r="N4727" s="2" t="s">
        <v>21</v>
      </c>
      <c r="O4727">
        <f t="shared" si="146"/>
        <v>1.2079999999999984</v>
      </c>
      <c r="P4727">
        <f t="shared" si="147"/>
        <v>2.1890000000000041</v>
      </c>
    </row>
    <row r="4728" spans="1:16" x14ac:dyDescent="0.35">
      <c r="A4728" s="9" t="s">
        <v>248</v>
      </c>
      <c r="B4728" s="2">
        <v>105.58</v>
      </c>
      <c r="C4728" s="2">
        <v>106.16</v>
      </c>
      <c r="D4728" s="2">
        <v>104.54</v>
      </c>
      <c r="E4728" s="2">
        <v>105.85</v>
      </c>
      <c r="F4728" s="2">
        <v>22185150</v>
      </c>
      <c r="G4728" s="2" t="s">
        <v>579</v>
      </c>
      <c r="H4728" s="2" t="s">
        <v>580</v>
      </c>
      <c r="I4728" s="2" t="s">
        <v>581</v>
      </c>
      <c r="J4728" s="4">
        <v>-2.8000000000000001E-2</v>
      </c>
      <c r="K4728" s="2" t="s">
        <v>226</v>
      </c>
      <c r="L4728" s="2">
        <v>2023</v>
      </c>
      <c r="M4728" s="2" t="s">
        <v>227</v>
      </c>
      <c r="N4728" s="2" t="s">
        <v>23</v>
      </c>
      <c r="O4728">
        <f t="shared" si="146"/>
        <v>1.6199999999999903</v>
      </c>
      <c r="P4728">
        <f t="shared" si="147"/>
        <v>2.161000000000004</v>
      </c>
    </row>
    <row r="4729" spans="1:16" x14ac:dyDescent="0.35">
      <c r="A4729" s="9" t="s">
        <v>249</v>
      </c>
      <c r="B4729" s="2">
        <v>106.53</v>
      </c>
      <c r="C4729" s="2">
        <v>107.16500000000001</v>
      </c>
      <c r="D4729" s="2">
        <v>105.46</v>
      </c>
      <c r="E4729" s="2">
        <v>105.64</v>
      </c>
      <c r="F4729" s="2">
        <v>28984865</v>
      </c>
      <c r="G4729" s="2" t="s">
        <v>579</v>
      </c>
      <c r="H4729" s="2" t="s">
        <v>580</v>
      </c>
      <c r="I4729" s="2" t="s">
        <v>581</v>
      </c>
      <c r="J4729" s="4">
        <v>-0.19800000000000001</v>
      </c>
      <c r="K4729" s="2" t="s">
        <v>250</v>
      </c>
      <c r="L4729" s="2">
        <v>2023</v>
      </c>
      <c r="M4729" s="2" t="s">
        <v>251</v>
      </c>
      <c r="N4729" s="2" t="s">
        <v>23</v>
      </c>
      <c r="O4729">
        <f t="shared" si="146"/>
        <v>1.7050000000000125</v>
      </c>
      <c r="P4729">
        <f t="shared" si="147"/>
        <v>1.9630000000000041</v>
      </c>
    </row>
    <row r="4730" spans="1:16" x14ac:dyDescent="0.35">
      <c r="A4730" s="9" t="s">
        <v>252</v>
      </c>
      <c r="B4730" s="2">
        <v>105.88</v>
      </c>
      <c r="C4730" s="2">
        <v>109.19</v>
      </c>
      <c r="D4730" s="2">
        <v>105.5</v>
      </c>
      <c r="E4730" s="2">
        <v>109.11</v>
      </c>
      <c r="F4730" s="2">
        <v>25212686</v>
      </c>
      <c r="G4730" s="2" t="s">
        <v>579</v>
      </c>
      <c r="H4730" s="2" t="s">
        <v>580</v>
      </c>
      <c r="I4730" s="2" t="s">
        <v>581</v>
      </c>
      <c r="J4730" s="3">
        <v>3.2850000000000001</v>
      </c>
      <c r="K4730" s="2" t="s">
        <v>250</v>
      </c>
      <c r="L4730" s="2">
        <v>2023</v>
      </c>
      <c r="M4730" s="2" t="s">
        <v>251</v>
      </c>
      <c r="N4730" s="2" t="s">
        <v>21</v>
      </c>
      <c r="O4730">
        <f t="shared" si="146"/>
        <v>3.6899999999999977</v>
      </c>
      <c r="P4730">
        <f t="shared" si="147"/>
        <v>5.2480000000000047</v>
      </c>
    </row>
    <row r="4731" spans="1:16" x14ac:dyDescent="0.35">
      <c r="A4731" s="9" t="s">
        <v>253</v>
      </c>
      <c r="B4731" s="2">
        <v>108.4</v>
      </c>
      <c r="C4731" s="2">
        <v>108.78</v>
      </c>
      <c r="D4731" s="2">
        <v>106.54</v>
      </c>
      <c r="E4731" s="2">
        <v>107.78</v>
      </c>
      <c r="F4731" s="2">
        <v>30555554</v>
      </c>
      <c r="G4731" s="2" t="s">
        <v>579</v>
      </c>
      <c r="H4731" s="2" t="s">
        <v>580</v>
      </c>
      <c r="I4731" s="2" t="s">
        <v>581</v>
      </c>
      <c r="J4731" s="4">
        <v>-1.2190000000000001</v>
      </c>
      <c r="K4731" s="2" t="s">
        <v>250</v>
      </c>
      <c r="L4731" s="2">
        <v>2023</v>
      </c>
      <c r="M4731" s="2" t="s">
        <v>251</v>
      </c>
      <c r="N4731" s="2" t="s">
        <v>23</v>
      </c>
      <c r="O4731">
        <f t="shared" si="146"/>
        <v>2.2399999999999949</v>
      </c>
      <c r="P4731">
        <f t="shared" si="147"/>
        <v>4.0290000000000044</v>
      </c>
    </row>
    <row r="4732" spans="1:16" x14ac:dyDescent="0.35">
      <c r="A4732" s="9" t="s">
        <v>254</v>
      </c>
      <c r="B4732" s="2">
        <v>108.17</v>
      </c>
      <c r="C4732" s="2">
        <v>108.27</v>
      </c>
      <c r="D4732" s="2">
        <v>105.77</v>
      </c>
      <c r="E4732" s="2">
        <v>105.87</v>
      </c>
      <c r="F4732" s="2">
        <v>19097267</v>
      </c>
      <c r="G4732" s="2" t="s">
        <v>579</v>
      </c>
      <c r="H4732" s="2" t="s">
        <v>580</v>
      </c>
      <c r="I4732" s="2" t="s">
        <v>581</v>
      </c>
      <c r="J4732" s="4">
        <v>-1.772</v>
      </c>
      <c r="K4732" s="2" t="s">
        <v>250</v>
      </c>
      <c r="L4732" s="2">
        <v>2023</v>
      </c>
      <c r="M4732" s="2" t="s">
        <v>251</v>
      </c>
      <c r="N4732" s="2" t="s">
        <v>23</v>
      </c>
      <c r="O4732">
        <f t="shared" si="146"/>
        <v>2.5</v>
      </c>
      <c r="P4732">
        <f t="shared" si="147"/>
        <v>2.2570000000000041</v>
      </c>
    </row>
    <row r="4733" spans="1:16" x14ac:dyDescent="0.35">
      <c r="A4733" s="9" t="s">
        <v>255</v>
      </c>
      <c r="B4733" s="2">
        <v>104.47</v>
      </c>
      <c r="C4733" s="2">
        <v>104.86</v>
      </c>
      <c r="D4733" s="2">
        <v>103.29</v>
      </c>
      <c r="E4733" s="2">
        <v>104.21</v>
      </c>
      <c r="F4733" s="2">
        <v>20272486</v>
      </c>
      <c r="G4733" s="2" t="s">
        <v>579</v>
      </c>
      <c r="H4733" s="2" t="s">
        <v>580</v>
      </c>
      <c r="I4733" s="2" t="s">
        <v>581</v>
      </c>
      <c r="J4733" s="4">
        <v>-1.5680000000000001</v>
      </c>
      <c r="K4733" s="2" t="s">
        <v>250</v>
      </c>
      <c r="L4733" s="2">
        <v>2023</v>
      </c>
      <c r="M4733" s="2" t="s">
        <v>251</v>
      </c>
      <c r="N4733" s="2" t="s">
        <v>23</v>
      </c>
      <c r="O4733">
        <f t="shared" si="146"/>
        <v>1.5699999999999932</v>
      </c>
      <c r="P4733">
        <f t="shared" si="147"/>
        <v>0.68900000000000405</v>
      </c>
    </row>
    <row r="4734" spans="1:16" x14ac:dyDescent="0.35">
      <c r="A4734" s="9" t="s">
        <v>256</v>
      </c>
      <c r="B4734" s="2">
        <v>103.73</v>
      </c>
      <c r="C4734" s="2">
        <v>104.9</v>
      </c>
      <c r="D4734" s="2">
        <v>102.89</v>
      </c>
      <c r="E4734" s="2">
        <v>102.93</v>
      </c>
      <c r="F4734" s="2">
        <v>19184067</v>
      </c>
      <c r="G4734" s="2" t="s">
        <v>579</v>
      </c>
      <c r="H4734" s="2" t="s">
        <v>580</v>
      </c>
      <c r="I4734" s="2" t="s">
        <v>581</v>
      </c>
      <c r="J4734" s="4">
        <v>-1.228</v>
      </c>
      <c r="K4734" s="2" t="s">
        <v>250</v>
      </c>
      <c r="L4734" s="2">
        <v>2023</v>
      </c>
      <c r="M4734" s="2" t="s">
        <v>251</v>
      </c>
      <c r="N4734" s="2" t="s">
        <v>23</v>
      </c>
      <c r="O4734">
        <f t="shared" si="146"/>
        <v>2.0100000000000051</v>
      </c>
      <c r="P4734">
        <f t="shared" si="147"/>
        <v>-0.53899999999999593</v>
      </c>
    </row>
    <row r="4735" spans="1:16" x14ac:dyDescent="0.35">
      <c r="A4735" s="9" t="s">
        <v>257</v>
      </c>
      <c r="B4735" s="2">
        <v>103.67</v>
      </c>
      <c r="C4735" s="2">
        <v>103.97</v>
      </c>
      <c r="D4735" s="2">
        <v>102.855</v>
      </c>
      <c r="E4735" s="2">
        <v>102.96</v>
      </c>
      <c r="F4735" s="2">
        <v>18380538</v>
      </c>
      <c r="G4735" s="2" t="s">
        <v>579</v>
      </c>
      <c r="H4735" s="2" t="s">
        <v>580</v>
      </c>
      <c r="I4735" s="2" t="s">
        <v>581</v>
      </c>
      <c r="J4735" s="3">
        <v>2.9000000000000001E-2</v>
      </c>
      <c r="K4735" s="2" t="s">
        <v>250</v>
      </c>
      <c r="L4735" s="2">
        <v>2023</v>
      </c>
      <c r="M4735" s="2" t="s">
        <v>251</v>
      </c>
      <c r="N4735" s="2" t="s">
        <v>21</v>
      </c>
      <c r="O4735">
        <f t="shared" si="146"/>
        <v>1.1149999999999949</v>
      </c>
      <c r="P4735">
        <f t="shared" si="147"/>
        <v>-0.5099999999999959</v>
      </c>
    </row>
    <row r="4736" spans="1:16" x14ac:dyDescent="0.35">
      <c r="A4736" s="9" t="s">
        <v>258</v>
      </c>
      <c r="B4736" s="2">
        <v>103.93</v>
      </c>
      <c r="C4736" s="2">
        <v>104.41</v>
      </c>
      <c r="D4736" s="2">
        <v>102.905</v>
      </c>
      <c r="E4736" s="2">
        <v>103.75</v>
      </c>
      <c r="F4736" s="2">
        <v>17831341</v>
      </c>
      <c r="G4736" s="2" t="s">
        <v>579</v>
      </c>
      <c r="H4736" s="2" t="s">
        <v>580</v>
      </c>
      <c r="I4736" s="2" t="s">
        <v>581</v>
      </c>
      <c r="J4736" s="3">
        <v>0.76700000000000002</v>
      </c>
      <c r="K4736" s="2" t="s">
        <v>250</v>
      </c>
      <c r="L4736" s="2">
        <v>2023</v>
      </c>
      <c r="M4736" s="2" t="s">
        <v>251</v>
      </c>
      <c r="N4736" s="2" t="s">
        <v>21</v>
      </c>
      <c r="O4736">
        <f t="shared" si="146"/>
        <v>1.5049999999999955</v>
      </c>
      <c r="P4736">
        <f t="shared" si="147"/>
        <v>0.25700000000000411</v>
      </c>
    </row>
    <row r="4737" spans="1:16" x14ac:dyDescent="0.35">
      <c r="A4737" s="9" t="s">
        <v>259</v>
      </c>
      <c r="B4737" s="2">
        <v>104.05</v>
      </c>
      <c r="C4737" s="2">
        <v>105.13500000000001</v>
      </c>
      <c r="D4737" s="2">
        <v>103.80500000000001</v>
      </c>
      <c r="E4737" s="2">
        <v>104.84</v>
      </c>
      <c r="F4737" s="2">
        <v>15308382</v>
      </c>
      <c r="G4737" s="2" t="s">
        <v>579</v>
      </c>
      <c r="H4737" s="2" t="s">
        <v>580</v>
      </c>
      <c r="I4737" s="2" t="s">
        <v>581</v>
      </c>
      <c r="J4737" s="3">
        <v>1.0509999999999999</v>
      </c>
      <c r="K4737" s="2" t="s">
        <v>250</v>
      </c>
      <c r="L4737" s="2">
        <v>2023</v>
      </c>
      <c r="M4737" s="2" t="s">
        <v>251</v>
      </c>
      <c r="N4737" s="2" t="s">
        <v>21</v>
      </c>
      <c r="O4737">
        <f t="shared" si="146"/>
        <v>1.3299999999999983</v>
      </c>
      <c r="P4737">
        <f t="shared" si="147"/>
        <v>1.308000000000004</v>
      </c>
    </row>
    <row r="4738" spans="1:16" x14ac:dyDescent="0.35">
      <c r="A4738" s="9" t="s">
        <v>260</v>
      </c>
      <c r="B4738" s="2">
        <v>104.3</v>
      </c>
      <c r="C4738" s="2">
        <v>104.815</v>
      </c>
      <c r="D4738" s="2">
        <v>103.87</v>
      </c>
      <c r="E4738" s="2">
        <v>104.29</v>
      </c>
      <c r="F4738" s="2">
        <v>18260516</v>
      </c>
      <c r="G4738" s="2" t="s">
        <v>579</v>
      </c>
      <c r="H4738" s="2" t="s">
        <v>580</v>
      </c>
      <c r="I4738" s="2" t="s">
        <v>581</v>
      </c>
      <c r="J4738" s="4">
        <v>-0.52500000000000002</v>
      </c>
      <c r="K4738" s="2" t="s">
        <v>250</v>
      </c>
      <c r="L4738" s="2">
        <v>2023</v>
      </c>
      <c r="M4738" s="2" t="s">
        <v>251</v>
      </c>
      <c r="N4738" s="2" t="s">
        <v>23</v>
      </c>
      <c r="O4738">
        <f t="shared" si="146"/>
        <v>0.94499999999999318</v>
      </c>
      <c r="P4738">
        <f t="shared" si="147"/>
        <v>0.78300000000000403</v>
      </c>
    </row>
    <row r="4739" spans="1:16" x14ac:dyDescent="0.35">
      <c r="A4739" s="9" t="s">
        <v>261</v>
      </c>
      <c r="B4739" s="2">
        <v>103.96</v>
      </c>
      <c r="C4739" s="2">
        <v>105.15</v>
      </c>
      <c r="D4739" s="2">
        <v>103.5</v>
      </c>
      <c r="E4739" s="2">
        <v>103.66</v>
      </c>
      <c r="F4739" s="2">
        <v>20137561</v>
      </c>
      <c r="G4739" s="2" t="s">
        <v>579</v>
      </c>
      <c r="H4739" s="2" t="s">
        <v>580</v>
      </c>
      <c r="I4739" s="2" t="s">
        <v>581</v>
      </c>
      <c r="J4739" s="4">
        <v>-0.60399999999999998</v>
      </c>
      <c r="K4739" s="2" t="s">
        <v>250</v>
      </c>
      <c r="L4739" s="2">
        <v>2023</v>
      </c>
      <c r="M4739" s="2" t="s">
        <v>251</v>
      </c>
      <c r="N4739" s="2" t="s">
        <v>23</v>
      </c>
      <c r="O4739">
        <f t="shared" ref="O4739:O4802" si="148">C4739-D4739</f>
        <v>1.6500000000000057</v>
      </c>
      <c r="P4739">
        <f t="shared" si="147"/>
        <v>0.17900000000000404</v>
      </c>
    </row>
    <row r="4740" spans="1:16" x14ac:dyDescent="0.35">
      <c r="A4740" s="9" t="s">
        <v>262</v>
      </c>
      <c r="B4740" s="2">
        <v>102.9</v>
      </c>
      <c r="C4740" s="2">
        <v>103.27</v>
      </c>
      <c r="D4740" s="2">
        <v>101.15</v>
      </c>
      <c r="E4740" s="2">
        <v>102.46</v>
      </c>
      <c r="F4740" s="2">
        <v>22469073</v>
      </c>
      <c r="G4740" s="2" t="s">
        <v>579</v>
      </c>
      <c r="H4740" s="2" t="s">
        <v>580</v>
      </c>
      <c r="I4740" s="2" t="s">
        <v>581</v>
      </c>
      <c r="J4740" s="4">
        <v>-1.1579999999999999</v>
      </c>
      <c r="K4740" s="2" t="s">
        <v>250</v>
      </c>
      <c r="L4740" s="2">
        <v>2023</v>
      </c>
      <c r="M4740" s="2" t="s">
        <v>251</v>
      </c>
      <c r="N4740" s="2" t="s">
        <v>23</v>
      </c>
      <c r="O4740">
        <f t="shared" si="148"/>
        <v>2.1199999999999903</v>
      </c>
      <c r="P4740">
        <f t="shared" ref="P4740:P4803" si="149">IF(G4740=G4739, P4739+J4740, J4740)</f>
        <v>-0.97899999999999587</v>
      </c>
    </row>
    <row r="4741" spans="1:16" x14ac:dyDescent="0.35">
      <c r="A4741" s="9" t="s">
        <v>263</v>
      </c>
      <c r="B4741" s="2">
        <v>103.06</v>
      </c>
      <c r="C4741" s="2">
        <v>105.43</v>
      </c>
      <c r="D4741" s="2">
        <v>102.75</v>
      </c>
      <c r="E4741" s="2">
        <v>104.96</v>
      </c>
      <c r="F4741" s="2">
        <v>22991823</v>
      </c>
      <c r="G4741" s="2" t="s">
        <v>579</v>
      </c>
      <c r="H4741" s="2" t="s">
        <v>580</v>
      </c>
      <c r="I4741" s="2" t="s">
        <v>581</v>
      </c>
      <c r="J4741" s="3">
        <v>2.44</v>
      </c>
      <c r="K4741" s="2" t="s">
        <v>250</v>
      </c>
      <c r="L4741" s="2">
        <v>2023</v>
      </c>
      <c r="M4741" s="2" t="s">
        <v>251</v>
      </c>
      <c r="N4741" s="2" t="s">
        <v>21</v>
      </c>
      <c r="O4741">
        <f t="shared" si="148"/>
        <v>2.6800000000000068</v>
      </c>
      <c r="P4741">
        <f t="shared" si="149"/>
        <v>1.4610000000000041</v>
      </c>
    </row>
    <row r="4742" spans="1:16" x14ac:dyDescent="0.35">
      <c r="A4742" s="9" t="s">
        <v>264</v>
      </c>
      <c r="B4742" s="2">
        <v>105.38</v>
      </c>
      <c r="C4742" s="2">
        <v>105.88</v>
      </c>
      <c r="D4742" s="2">
        <v>104.43</v>
      </c>
      <c r="E4742" s="2">
        <v>104.5</v>
      </c>
      <c r="F4742" s="2">
        <v>17464016</v>
      </c>
      <c r="G4742" s="2" t="s">
        <v>579</v>
      </c>
      <c r="H4742" s="2" t="s">
        <v>580</v>
      </c>
      <c r="I4742" s="2" t="s">
        <v>581</v>
      </c>
      <c r="J4742" s="4">
        <v>-0.438</v>
      </c>
      <c r="K4742" s="2" t="s">
        <v>250</v>
      </c>
      <c r="L4742" s="2">
        <v>2023</v>
      </c>
      <c r="M4742" s="2" t="s">
        <v>251</v>
      </c>
      <c r="N4742" s="2" t="s">
        <v>23</v>
      </c>
      <c r="O4742">
        <f t="shared" si="148"/>
        <v>1.4499999999999886</v>
      </c>
      <c r="P4742">
        <f t="shared" si="149"/>
        <v>1.0230000000000041</v>
      </c>
    </row>
    <row r="4743" spans="1:16" x14ac:dyDescent="0.35">
      <c r="A4743" s="9" t="s">
        <v>265</v>
      </c>
      <c r="B4743" s="2">
        <v>104.21</v>
      </c>
      <c r="C4743" s="2">
        <v>104.69499999999999</v>
      </c>
      <c r="D4743" s="2">
        <v>103.215</v>
      </c>
      <c r="E4743" s="2">
        <v>104.46</v>
      </c>
      <c r="F4743" s="2">
        <v>14988984</v>
      </c>
      <c r="G4743" s="2" t="s">
        <v>579</v>
      </c>
      <c r="H4743" s="2" t="s">
        <v>580</v>
      </c>
      <c r="I4743" s="2" t="s">
        <v>581</v>
      </c>
      <c r="J4743" s="4">
        <v>-3.7999999999999999E-2</v>
      </c>
      <c r="K4743" s="2" t="s">
        <v>250</v>
      </c>
      <c r="L4743" s="2">
        <v>2023</v>
      </c>
      <c r="M4743" s="2" t="s">
        <v>251</v>
      </c>
      <c r="N4743" s="2" t="s">
        <v>23</v>
      </c>
      <c r="O4743">
        <f t="shared" si="148"/>
        <v>1.4799999999999898</v>
      </c>
      <c r="P4743">
        <f t="shared" si="149"/>
        <v>0.98500000000000409</v>
      </c>
    </row>
    <row r="4744" spans="1:16" x14ac:dyDescent="0.35">
      <c r="A4744" s="9" t="s">
        <v>266</v>
      </c>
      <c r="B4744" s="2">
        <v>102.58</v>
      </c>
      <c r="C4744" s="2">
        <v>104.12</v>
      </c>
      <c r="D4744" s="2">
        <v>101.94</v>
      </c>
      <c r="E4744" s="2">
        <v>104.01</v>
      </c>
      <c r="F4744" s="2">
        <v>18073240</v>
      </c>
      <c r="G4744" s="2" t="s">
        <v>579</v>
      </c>
      <c r="H4744" s="2" t="s">
        <v>580</v>
      </c>
      <c r="I4744" s="2" t="s">
        <v>581</v>
      </c>
      <c r="J4744" s="4">
        <v>-0.43099999999999999</v>
      </c>
      <c r="K4744" s="2" t="s">
        <v>250</v>
      </c>
      <c r="L4744" s="2">
        <v>2023</v>
      </c>
      <c r="M4744" s="2" t="s">
        <v>251</v>
      </c>
      <c r="N4744" s="2" t="s">
        <v>23</v>
      </c>
      <c r="O4744">
        <f t="shared" si="148"/>
        <v>2.1800000000000068</v>
      </c>
      <c r="P4744">
        <f t="shared" si="149"/>
        <v>0.55400000000000404</v>
      </c>
    </row>
    <row r="4745" spans="1:16" x14ac:dyDescent="0.35">
      <c r="A4745" s="9" t="s">
        <v>267</v>
      </c>
      <c r="B4745" s="2">
        <v>104.02</v>
      </c>
      <c r="C4745" s="2">
        <v>105.465</v>
      </c>
      <c r="D4745" s="2">
        <v>103.91</v>
      </c>
      <c r="E4745" s="2">
        <v>104.57</v>
      </c>
      <c r="F4745" s="2">
        <v>9480768</v>
      </c>
      <c r="G4745" s="2" t="s">
        <v>579</v>
      </c>
      <c r="H4745" s="2" t="s">
        <v>580</v>
      </c>
      <c r="I4745" s="2" t="s">
        <v>581</v>
      </c>
      <c r="J4745" s="3">
        <v>0.53800000000000003</v>
      </c>
      <c r="K4745" s="2" t="s">
        <v>250</v>
      </c>
      <c r="L4745" s="2">
        <v>2023</v>
      </c>
      <c r="M4745" s="2" t="s">
        <v>251</v>
      </c>
      <c r="N4745" s="2" t="s">
        <v>21</v>
      </c>
      <c r="O4745">
        <f t="shared" si="148"/>
        <v>1.5550000000000068</v>
      </c>
      <c r="P4745">
        <f t="shared" si="149"/>
        <v>1.0920000000000041</v>
      </c>
    </row>
    <row r="4746" spans="1:16" x14ac:dyDescent="0.35">
      <c r="A4746" s="9" t="s">
        <v>268</v>
      </c>
      <c r="B4746" s="2">
        <v>104.1</v>
      </c>
      <c r="C4746" s="2">
        <v>104.4</v>
      </c>
      <c r="D4746" s="2">
        <v>103.18</v>
      </c>
      <c r="E4746" s="2">
        <v>103.96</v>
      </c>
      <c r="F4746" s="2">
        <v>18013518</v>
      </c>
      <c r="G4746" s="2" t="s">
        <v>579</v>
      </c>
      <c r="H4746" s="2" t="s">
        <v>580</v>
      </c>
      <c r="I4746" s="2" t="s">
        <v>581</v>
      </c>
      <c r="J4746" s="4">
        <v>-0.58299999999999996</v>
      </c>
      <c r="K4746" s="2" t="s">
        <v>250</v>
      </c>
      <c r="L4746" s="2">
        <v>2023</v>
      </c>
      <c r="M4746" s="2" t="s">
        <v>251</v>
      </c>
      <c r="N4746" s="2" t="s">
        <v>23</v>
      </c>
      <c r="O4746">
        <f t="shared" si="148"/>
        <v>1.2199999999999989</v>
      </c>
      <c r="P4746">
        <f t="shared" si="149"/>
        <v>0.50900000000000412</v>
      </c>
    </row>
    <row r="4747" spans="1:16" x14ac:dyDescent="0.35">
      <c r="A4747" s="9" t="s">
        <v>269</v>
      </c>
      <c r="B4747" s="2">
        <v>104.24</v>
      </c>
      <c r="C4747" s="2">
        <v>104.91</v>
      </c>
      <c r="D4747" s="2">
        <v>103.88</v>
      </c>
      <c r="E4747" s="2">
        <v>103.9</v>
      </c>
      <c r="F4747" s="2">
        <v>20629512</v>
      </c>
      <c r="G4747" s="2" t="s">
        <v>579</v>
      </c>
      <c r="H4747" s="2" t="s">
        <v>580</v>
      </c>
      <c r="I4747" s="2" t="s">
        <v>581</v>
      </c>
      <c r="J4747" s="4">
        <v>-5.8000000000000003E-2</v>
      </c>
      <c r="K4747" s="2" t="s">
        <v>250</v>
      </c>
      <c r="L4747" s="2">
        <v>2023</v>
      </c>
      <c r="M4747" s="2" t="s">
        <v>251</v>
      </c>
      <c r="N4747" s="2" t="s">
        <v>23</v>
      </c>
      <c r="O4747">
        <f t="shared" si="148"/>
        <v>1.0300000000000011</v>
      </c>
      <c r="P4747">
        <f t="shared" si="149"/>
        <v>0.45100000000000412</v>
      </c>
    </row>
    <row r="4748" spans="1:16" x14ac:dyDescent="0.35">
      <c r="A4748" s="9" t="s">
        <v>270</v>
      </c>
      <c r="B4748" s="2">
        <v>104.27</v>
      </c>
      <c r="C4748" s="2">
        <v>104.58</v>
      </c>
      <c r="D4748" s="2">
        <v>101.64</v>
      </c>
      <c r="E4748" s="2">
        <v>102.34</v>
      </c>
      <c r="F4748" s="2">
        <v>26802092</v>
      </c>
      <c r="G4748" s="2" t="s">
        <v>579</v>
      </c>
      <c r="H4748" s="2" t="s">
        <v>580</v>
      </c>
      <c r="I4748" s="2" t="s">
        <v>581</v>
      </c>
      <c r="J4748" s="4">
        <v>-1.5009999999999999</v>
      </c>
      <c r="K4748" s="2" t="s">
        <v>250</v>
      </c>
      <c r="L4748" s="2">
        <v>2023</v>
      </c>
      <c r="M4748" s="2" t="s">
        <v>251</v>
      </c>
      <c r="N4748" s="2" t="s">
        <v>23</v>
      </c>
      <c r="O4748">
        <f t="shared" si="148"/>
        <v>2.9399999999999977</v>
      </c>
      <c r="P4748">
        <f t="shared" si="149"/>
        <v>-1.0499999999999958</v>
      </c>
    </row>
    <row r="4749" spans="1:16" x14ac:dyDescent="0.35">
      <c r="A4749" s="9" t="s">
        <v>271</v>
      </c>
      <c r="B4749" s="2">
        <v>103.11</v>
      </c>
      <c r="C4749" s="2">
        <v>104.47799999999999</v>
      </c>
      <c r="D4749" s="2">
        <v>101.81</v>
      </c>
      <c r="E4749" s="2">
        <v>102.74</v>
      </c>
      <c r="F4749" s="2">
        <v>29254687</v>
      </c>
      <c r="G4749" s="2" t="s">
        <v>579</v>
      </c>
      <c r="H4749" s="2" t="s">
        <v>580</v>
      </c>
      <c r="I4749" s="2" t="s">
        <v>581</v>
      </c>
      <c r="J4749" s="3">
        <v>0.39100000000000001</v>
      </c>
      <c r="K4749" s="2" t="s">
        <v>250</v>
      </c>
      <c r="L4749" s="2">
        <v>2023</v>
      </c>
      <c r="M4749" s="2" t="s">
        <v>251</v>
      </c>
      <c r="N4749" s="2" t="s">
        <v>21</v>
      </c>
      <c r="O4749">
        <f t="shared" si="148"/>
        <v>2.6679999999999922</v>
      </c>
      <c r="P4749">
        <f t="shared" si="149"/>
        <v>-0.65899999999999581</v>
      </c>
    </row>
    <row r="4750" spans="1:16" x14ac:dyDescent="0.35">
      <c r="A4750" s="9" t="s">
        <v>272</v>
      </c>
      <c r="B4750" s="2">
        <v>102.5</v>
      </c>
      <c r="C4750" s="2">
        <v>104.22</v>
      </c>
      <c r="D4750" s="2">
        <v>102.22</v>
      </c>
      <c r="E4750" s="2">
        <v>102.99</v>
      </c>
      <c r="F4750" s="2">
        <v>17845276</v>
      </c>
      <c r="G4750" s="2" t="s">
        <v>579</v>
      </c>
      <c r="H4750" s="2" t="s">
        <v>580</v>
      </c>
      <c r="I4750" s="2" t="s">
        <v>581</v>
      </c>
      <c r="J4750" s="3">
        <v>0.24299999999999999</v>
      </c>
      <c r="K4750" s="2" t="s">
        <v>273</v>
      </c>
      <c r="L4750" s="2">
        <v>2023</v>
      </c>
      <c r="M4750" s="2" t="s">
        <v>274</v>
      </c>
      <c r="N4750" s="2" t="s">
        <v>21</v>
      </c>
      <c r="O4750">
        <f t="shared" si="148"/>
        <v>2</v>
      </c>
      <c r="P4750">
        <f t="shared" si="149"/>
        <v>-0.41599999999999582</v>
      </c>
    </row>
    <row r="4751" spans="1:16" x14ac:dyDescent="0.35">
      <c r="A4751" s="9" t="s">
        <v>275</v>
      </c>
      <c r="B4751" s="2">
        <v>102.13</v>
      </c>
      <c r="C4751" s="2">
        <v>103.36</v>
      </c>
      <c r="D4751" s="2">
        <v>101.59</v>
      </c>
      <c r="E4751" s="2">
        <v>102.43</v>
      </c>
      <c r="F4751" s="2">
        <v>21523942</v>
      </c>
      <c r="G4751" s="2" t="s">
        <v>579</v>
      </c>
      <c r="H4751" s="2" t="s">
        <v>580</v>
      </c>
      <c r="I4751" s="2" t="s">
        <v>581</v>
      </c>
      <c r="J4751" s="4">
        <v>-0.54400000000000004</v>
      </c>
      <c r="K4751" s="2" t="s">
        <v>273</v>
      </c>
      <c r="L4751" s="2">
        <v>2023</v>
      </c>
      <c r="M4751" s="2" t="s">
        <v>274</v>
      </c>
      <c r="N4751" s="2" t="s">
        <v>23</v>
      </c>
      <c r="O4751">
        <f t="shared" si="148"/>
        <v>1.769999999999996</v>
      </c>
      <c r="P4751">
        <f t="shared" si="149"/>
        <v>-0.95999999999999586</v>
      </c>
    </row>
    <row r="4752" spans="1:16" x14ac:dyDescent="0.35">
      <c r="A4752" s="9" t="s">
        <v>276</v>
      </c>
      <c r="B4752" s="2">
        <v>102.27</v>
      </c>
      <c r="C4752" s="2">
        <v>102.34</v>
      </c>
      <c r="D4752" s="2">
        <v>100.29</v>
      </c>
      <c r="E4752" s="2">
        <v>100.44</v>
      </c>
      <c r="F4752" s="2">
        <v>22250251</v>
      </c>
      <c r="G4752" s="2" t="s">
        <v>579</v>
      </c>
      <c r="H4752" s="2" t="s">
        <v>580</v>
      </c>
      <c r="I4752" s="2" t="s">
        <v>581</v>
      </c>
      <c r="J4752" s="4">
        <v>-1.9430000000000001</v>
      </c>
      <c r="K4752" s="2" t="s">
        <v>273</v>
      </c>
      <c r="L4752" s="2">
        <v>2023</v>
      </c>
      <c r="M4752" s="2" t="s">
        <v>274</v>
      </c>
      <c r="N4752" s="2" t="s">
        <v>23</v>
      </c>
      <c r="O4752">
        <f t="shared" si="148"/>
        <v>2.0499999999999972</v>
      </c>
      <c r="P4752">
        <f t="shared" si="149"/>
        <v>-2.902999999999996</v>
      </c>
    </row>
    <row r="4753" spans="1:16" x14ac:dyDescent="0.35">
      <c r="A4753" s="9" t="s">
        <v>277</v>
      </c>
      <c r="B4753" s="2">
        <v>100</v>
      </c>
      <c r="C4753" s="2">
        <v>100.72</v>
      </c>
      <c r="D4753" s="2">
        <v>98.34</v>
      </c>
      <c r="E4753" s="2">
        <v>99.11</v>
      </c>
      <c r="F4753" s="2">
        <v>31154792</v>
      </c>
      <c r="G4753" s="2" t="s">
        <v>579</v>
      </c>
      <c r="H4753" s="2" t="s">
        <v>580</v>
      </c>
      <c r="I4753" s="2" t="s">
        <v>581</v>
      </c>
      <c r="J4753" s="4">
        <v>-1.3240000000000001</v>
      </c>
      <c r="K4753" s="2" t="s">
        <v>273</v>
      </c>
      <c r="L4753" s="2">
        <v>2023</v>
      </c>
      <c r="M4753" s="2" t="s">
        <v>274</v>
      </c>
      <c r="N4753" s="2" t="s">
        <v>23</v>
      </c>
      <c r="O4753">
        <f t="shared" si="148"/>
        <v>2.3799999999999955</v>
      </c>
      <c r="P4753">
        <f t="shared" si="149"/>
        <v>-4.2269999999999959</v>
      </c>
    </row>
    <row r="4754" spans="1:16" x14ac:dyDescent="0.35">
      <c r="A4754" s="9" t="s">
        <v>278</v>
      </c>
      <c r="B4754" s="2">
        <v>99.86</v>
      </c>
      <c r="C4754" s="2">
        <v>100.83499999999999</v>
      </c>
      <c r="D4754" s="2">
        <v>98.09</v>
      </c>
      <c r="E4754" s="2">
        <v>98.42</v>
      </c>
      <c r="F4754" s="2">
        <v>29990727</v>
      </c>
      <c r="G4754" s="2" t="s">
        <v>579</v>
      </c>
      <c r="H4754" s="2" t="s">
        <v>580</v>
      </c>
      <c r="I4754" s="2" t="s">
        <v>581</v>
      </c>
      <c r="J4754" s="4">
        <v>-0.69599999999999995</v>
      </c>
      <c r="K4754" s="2" t="s">
        <v>273</v>
      </c>
      <c r="L4754" s="2">
        <v>2023</v>
      </c>
      <c r="M4754" s="2" t="s">
        <v>274</v>
      </c>
      <c r="N4754" s="2" t="s">
        <v>23</v>
      </c>
      <c r="O4754">
        <f t="shared" si="148"/>
        <v>2.7449999999999903</v>
      </c>
      <c r="P4754">
        <f t="shared" si="149"/>
        <v>-4.9229999999999956</v>
      </c>
    </row>
    <row r="4755" spans="1:16" x14ac:dyDescent="0.35">
      <c r="A4755" s="9" t="s">
        <v>279</v>
      </c>
      <c r="B4755" s="2">
        <v>99.02</v>
      </c>
      <c r="C4755" s="2">
        <v>99.787000000000006</v>
      </c>
      <c r="D4755" s="2">
        <v>98.75</v>
      </c>
      <c r="E4755" s="2">
        <v>99.55</v>
      </c>
      <c r="F4755" s="2">
        <v>22074945</v>
      </c>
      <c r="G4755" s="2" t="s">
        <v>579</v>
      </c>
      <c r="H4755" s="2" t="s">
        <v>580</v>
      </c>
      <c r="I4755" s="2" t="s">
        <v>581</v>
      </c>
      <c r="J4755" s="3">
        <v>1.1479999999999999</v>
      </c>
      <c r="K4755" s="2" t="s">
        <v>273</v>
      </c>
      <c r="L4755" s="2">
        <v>2023</v>
      </c>
      <c r="M4755" s="2" t="s">
        <v>274</v>
      </c>
      <c r="N4755" s="2" t="s">
        <v>21</v>
      </c>
      <c r="O4755">
        <f t="shared" si="148"/>
        <v>1.0370000000000061</v>
      </c>
      <c r="P4755">
        <f t="shared" si="149"/>
        <v>-3.7749999999999959</v>
      </c>
    </row>
    <row r="4756" spans="1:16" x14ac:dyDescent="0.35">
      <c r="A4756" s="9" t="s">
        <v>280</v>
      </c>
      <c r="B4756" s="2">
        <v>99.8</v>
      </c>
      <c r="C4756" s="2">
        <v>99.86</v>
      </c>
      <c r="D4756" s="2">
        <v>98.58</v>
      </c>
      <c r="E4756" s="2">
        <v>99.62</v>
      </c>
      <c r="F4756" s="2">
        <v>22252250</v>
      </c>
      <c r="G4756" s="2" t="s">
        <v>579</v>
      </c>
      <c r="H4756" s="2" t="s">
        <v>580</v>
      </c>
      <c r="I4756" s="2" t="s">
        <v>581</v>
      </c>
      <c r="J4756" s="3">
        <v>7.0000000000000007E-2</v>
      </c>
      <c r="K4756" s="2" t="s">
        <v>273</v>
      </c>
      <c r="L4756" s="2">
        <v>2023</v>
      </c>
      <c r="M4756" s="2" t="s">
        <v>274</v>
      </c>
      <c r="N4756" s="2" t="s">
        <v>21</v>
      </c>
      <c r="O4756">
        <f t="shared" si="148"/>
        <v>1.2800000000000011</v>
      </c>
      <c r="P4756">
        <f t="shared" si="149"/>
        <v>-3.7049999999999961</v>
      </c>
    </row>
    <row r="4757" spans="1:16" x14ac:dyDescent="0.35">
      <c r="A4757" s="9" t="s">
        <v>281</v>
      </c>
      <c r="B4757" s="2">
        <v>98.68</v>
      </c>
      <c r="C4757" s="2">
        <v>98.68</v>
      </c>
      <c r="D4757" s="2">
        <v>97.48</v>
      </c>
      <c r="E4757" s="2">
        <v>98.05</v>
      </c>
      <c r="F4757" s="2">
        <v>26083964</v>
      </c>
      <c r="G4757" s="2" t="s">
        <v>579</v>
      </c>
      <c r="H4757" s="2" t="s">
        <v>580</v>
      </c>
      <c r="I4757" s="2" t="s">
        <v>581</v>
      </c>
      <c r="J4757" s="4">
        <v>-1.5760000000000001</v>
      </c>
      <c r="K4757" s="2" t="s">
        <v>273</v>
      </c>
      <c r="L4757" s="2">
        <v>2023</v>
      </c>
      <c r="M4757" s="2" t="s">
        <v>274</v>
      </c>
      <c r="N4757" s="2" t="s">
        <v>23</v>
      </c>
      <c r="O4757">
        <f t="shared" si="148"/>
        <v>1.2000000000000028</v>
      </c>
      <c r="P4757">
        <f t="shared" si="149"/>
        <v>-5.2809999999999961</v>
      </c>
    </row>
    <row r="4758" spans="1:16" x14ac:dyDescent="0.35">
      <c r="A4758" s="9" t="s">
        <v>282</v>
      </c>
      <c r="B4758" s="2">
        <v>98.04</v>
      </c>
      <c r="C4758" s="2">
        <v>99.03</v>
      </c>
      <c r="D4758" s="2">
        <v>97.655000000000001</v>
      </c>
      <c r="E4758" s="2">
        <v>98.92</v>
      </c>
      <c r="F4758" s="2">
        <v>19915444</v>
      </c>
      <c r="G4758" s="2" t="s">
        <v>579</v>
      </c>
      <c r="H4758" s="2" t="s">
        <v>580</v>
      </c>
      <c r="I4758" s="2" t="s">
        <v>581</v>
      </c>
      <c r="J4758" s="3">
        <v>0.88700000000000001</v>
      </c>
      <c r="K4758" s="2" t="s">
        <v>273</v>
      </c>
      <c r="L4758" s="2">
        <v>2023</v>
      </c>
      <c r="M4758" s="2" t="s">
        <v>274</v>
      </c>
      <c r="N4758" s="2" t="s">
        <v>21</v>
      </c>
      <c r="O4758">
        <f t="shared" si="148"/>
        <v>1.375</v>
      </c>
      <c r="P4758">
        <f t="shared" si="149"/>
        <v>-4.3939999999999966</v>
      </c>
    </row>
    <row r="4759" spans="1:16" x14ac:dyDescent="0.35">
      <c r="A4759" s="9" t="s">
        <v>283</v>
      </c>
      <c r="B4759" s="2">
        <v>99.85</v>
      </c>
      <c r="C4759" s="2">
        <v>102.13500000000001</v>
      </c>
      <c r="D4759" s="2">
        <v>99.72</v>
      </c>
      <c r="E4759" s="2">
        <v>101.58</v>
      </c>
      <c r="F4759" s="2">
        <v>26165653</v>
      </c>
      <c r="G4759" s="2" t="s">
        <v>579</v>
      </c>
      <c r="H4759" s="2" t="s">
        <v>580</v>
      </c>
      <c r="I4759" s="2" t="s">
        <v>581</v>
      </c>
      <c r="J4759" s="3">
        <v>2.6890000000000001</v>
      </c>
      <c r="K4759" s="2" t="s">
        <v>273</v>
      </c>
      <c r="L4759" s="2">
        <v>2023</v>
      </c>
      <c r="M4759" s="2" t="s">
        <v>274</v>
      </c>
      <c r="N4759" s="2" t="s">
        <v>21</v>
      </c>
      <c r="O4759">
        <f t="shared" si="148"/>
        <v>2.4150000000000063</v>
      </c>
      <c r="P4759">
        <f t="shared" si="149"/>
        <v>-1.7049999999999965</v>
      </c>
    </row>
    <row r="4760" spans="1:16" x14ac:dyDescent="0.35">
      <c r="A4760" s="9" t="s">
        <v>284</v>
      </c>
      <c r="B4760" s="2">
        <v>100.59</v>
      </c>
      <c r="C4760" s="2">
        <v>101</v>
      </c>
      <c r="D4760" s="2">
        <v>100.31</v>
      </c>
      <c r="E4760" s="2">
        <v>100.9</v>
      </c>
      <c r="F4760" s="2">
        <v>55527018</v>
      </c>
      <c r="G4760" s="2" t="s">
        <v>579</v>
      </c>
      <c r="H4760" s="2" t="s">
        <v>580</v>
      </c>
      <c r="I4760" s="2" t="s">
        <v>581</v>
      </c>
      <c r="J4760" s="4">
        <v>-0.66900000000000004</v>
      </c>
      <c r="K4760" s="2" t="s">
        <v>273</v>
      </c>
      <c r="L4760" s="2">
        <v>2023</v>
      </c>
      <c r="M4760" s="2" t="s">
        <v>274</v>
      </c>
      <c r="N4760" s="2" t="s">
        <v>23</v>
      </c>
      <c r="O4760">
        <f t="shared" si="148"/>
        <v>0.68999999999999773</v>
      </c>
      <c r="P4760">
        <f t="shared" si="149"/>
        <v>-2.3739999999999966</v>
      </c>
    </row>
    <row r="4761" spans="1:16" x14ac:dyDescent="0.35">
      <c r="A4761" s="9" t="s">
        <v>285</v>
      </c>
      <c r="B4761" s="2">
        <v>102.13</v>
      </c>
      <c r="C4761" s="2">
        <v>103.11</v>
      </c>
      <c r="D4761" s="2">
        <v>101.52</v>
      </c>
      <c r="E4761" s="2">
        <v>101.65</v>
      </c>
      <c r="F4761" s="2">
        <v>21610428</v>
      </c>
      <c r="G4761" s="2" t="s">
        <v>579</v>
      </c>
      <c r="H4761" s="2" t="s">
        <v>580</v>
      </c>
      <c r="I4761" s="2" t="s">
        <v>581</v>
      </c>
      <c r="J4761" s="3">
        <v>0.74299999999999999</v>
      </c>
      <c r="K4761" s="2" t="s">
        <v>273</v>
      </c>
      <c r="L4761" s="2">
        <v>2023</v>
      </c>
      <c r="M4761" s="2" t="s">
        <v>274</v>
      </c>
      <c r="N4761" s="2" t="s">
        <v>21</v>
      </c>
      <c r="O4761">
        <f t="shared" si="148"/>
        <v>1.5900000000000034</v>
      </c>
      <c r="P4761">
        <f t="shared" si="149"/>
        <v>-1.6309999999999967</v>
      </c>
    </row>
    <row r="4762" spans="1:16" x14ac:dyDescent="0.35">
      <c r="A4762" s="9" t="s">
        <v>286</v>
      </c>
      <c r="B4762" s="2">
        <v>102</v>
      </c>
      <c r="C4762" s="2">
        <v>103.19</v>
      </c>
      <c r="D4762" s="2">
        <v>101.79</v>
      </c>
      <c r="E4762" s="2">
        <v>102.99</v>
      </c>
      <c r="F4762" s="2">
        <v>18904662</v>
      </c>
      <c r="G4762" s="2" t="s">
        <v>579</v>
      </c>
      <c r="H4762" s="2" t="s">
        <v>580</v>
      </c>
      <c r="I4762" s="2" t="s">
        <v>581</v>
      </c>
      <c r="J4762" s="3">
        <v>1.3180000000000001</v>
      </c>
      <c r="K4762" s="2" t="s">
        <v>273</v>
      </c>
      <c r="L4762" s="2">
        <v>2023</v>
      </c>
      <c r="M4762" s="2" t="s">
        <v>274</v>
      </c>
      <c r="N4762" s="2" t="s">
        <v>21</v>
      </c>
      <c r="O4762">
        <f t="shared" si="148"/>
        <v>1.3999999999999915</v>
      </c>
      <c r="P4762">
        <f t="shared" si="149"/>
        <v>-0.31299999999999661</v>
      </c>
    </row>
    <row r="4763" spans="1:16" x14ac:dyDescent="0.35">
      <c r="A4763" s="9" t="s">
        <v>287</v>
      </c>
      <c r="B4763" s="2">
        <v>103.5</v>
      </c>
      <c r="C4763" s="2">
        <v>103.94</v>
      </c>
      <c r="D4763" s="2">
        <v>101.125</v>
      </c>
      <c r="E4763" s="2">
        <v>101.27</v>
      </c>
      <c r="F4763" s="2">
        <v>20988863</v>
      </c>
      <c r="G4763" s="2" t="s">
        <v>579</v>
      </c>
      <c r="H4763" s="2" t="s">
        <v>580</v>
      </c>
      <c r="I4763" s="2" t="s">
        <v>581</v>
      </c>
      <c r="J4763" s="4">
        <v>-1.67</v>
      </c>
      <c r="K4763" s="2" t="s">
        <v>273</v>
      </c>
      <c r="L4763" s="2">
        <v>2023</v>
      </c>
      <c r="M4763" s="2" t="s">
        <v>274</v>
      </c>
      <c r="N4763" s="2" t="s">
        <v>23</v>
      </c>
      <c r="O4763">
        <f t="shared" si="148"/>
        <v>2.8149999999999977</v>
      </c>
      <c r="P4763">
        <f t="shared" si="149"/>
        <v>-1.9829999999999965</v>
      </c>
    </row>
    <row r="4764" spans="1:16" x14ac:dyDescent="0.35">
      <c r="A4764" s="9" t="s">
        <v>288</v>
      </c>
      <c r="B4764" s="2">
        <v>101.47</v>
      </c>
      <c r="C4764" s="2">
        <v>102.005</v>
      </c>
      <c r="D4764" s="2">
        <v>100.80500000000001</v>
      </c>
      <c r="E4764" s="2">
        <v>101.73</v>
      </c>
      <c r="F4764" s="2">
        <v>19250933</v>
      </c>
      <c r="G4764" s="2" t="s">
        <v>579</v>
      </c>
      <c r="H4764" s="2" t="s">
        <v>580</v>
      </c>
      <c r="I4764" s="2" t="s">
        <v>581</v>
      </c>
      <c r="J4764" s="3">
        <v>0.45400000000000001</v>
      </c>
      <c r="K4764" s="2" t="s">
        <v>273</v>
      </c>
      <c r="L4764" s="2">
        <v>2023</v>
      </c>
      <c r="M4764" s="2" t="s">
        <v>274</v>
      </c>
      <c r="N4764" s="2" t="s">
        <v>21</v>
      </c>
      <c r="O4764">
        <f t="shared" si="148"/>
        <v>1.1999999999999886</v>
      </c>
      <c r="P4764">
        <f t="shared" si="149"/>
        <v>-1.5289999999999966</v>
      </c>
    </row>
    <row r="4765" spans="1:16" x14ac:dyDescent="0.35">
      <c r="A4765" s="9" t="s">
        <v>289</v>
      </c>
      <c r="B4765" s="2">
        <v>102.31</v>
      </c>
      <c r="C4765" s="2">
        <v>102.94</v>
      </c>
      <c r="D4765" s="2">
        <v>101.82</v>
      </c>
      <c r="E4765" s="2">
        <v>101.91</v>
      </c>
      <c r="F4765" s="2">
        <v>12927831</v>
      </c>
      <c r="G4765" s="2" t="s">
        <v>579</v>
      </c>
      <c r="H4765" s="2" t="s">
        <v>580</v>
      </c>
      <c r="I4765" s="2" t="s">
        <v>581</v>
      </c>
      <c r="J4765" s="3">
        <v>0.17699999999999999</v>
      </c>
      <c r="K4765" s="2" t="s">
        <v>273</v>
      </c>
      <c r="L4765" s="2">
        <v>2023</v>
      </c>
      <c r="M4765" s="2" t="s">
        <v>274</v>
      </c>
      <c r="N4765" s="2" t="s">
        <v>21</v>
      </c>
      <c r="O4765">
        <f t="shared" si="148"/>
        <v>1.1200000000000045</v>
      </c>
      <c r="P4765">
        <f t="shared" si="149"/>
        <v>-1.3519999999999965</v>
      </c>
    </row>
    <row r="4766" spans="1:16" x14ac:dyDescent="0.35">
      <c r="A4766" s="9" t="s">
        <v>290</v>
      </c>
      <c r="B4766" s="2">
        <v>102.74</v>
      </c>
      <c r="C4766" s="2">
        <v>103.03</v>
      </c>
      <c r="D4766" s="2">
        <v>102.11499999999999</v>
      </c>
      <c r="E4766" s="2">
        <v>102.14</v>
      </c>
      <c r="F4766" s="2">
        <v>16835144</v>
      </c>
      <c r="G4766" s="2" t="s">
        <v>579</v>
      </c>
      <c r="H4766" s="2" t="s">
        <v>580</v>
      </c>
      <c r="I4766" s="2" t="s">
        <v>581</v>
      </c>
      <c r="J4766" s="3">
        <v>0.22600000000000001</v>
      </c>
      <c r="K4766" s="2" t="s">
        <v>273</v>
      </c>
      <c r="L4766" s="2">
        <v>2023</v>
      </c>
      <c r="M4766" s="2" t="s">
        <v>274</v>
      </c>
      <c r="N4766" s="2" t="s">
        <v>21</v>
      </c>
      <c r="O4766">
        <f t="shared" si="148"/>
        <v>0.91500000000000625</v>
      </c>
      <c r="P4766">
        <f t="shared" si="149"/>
        <v>-1.1259999999999966</v>
      </c>
    </row>
    <row r="4767" spans="1:16" x14ac:dyDescent="0.35">
      <c r="A4767" s="9" t="s">
        <v>291</v>
      </c>
      <c r="B4767" s="2">
        <v>102.04</v>
      </c>
      <c r="C4767" s="2">
        <v>102.55</v>
      </c>
      <c r="D4767" s="2">
        <v>101.33499999999999</v>
      </c>
      <c r="E4767" s="2">
        <v>101.66</v>
      </c>
      <c r="F4767" s="2">
        <v>14558830</v>
      </c>
      <c r="G4767" s="2" t="s">
        <v>579</v>
      </c>
      <c r="H4767" s="2" t="s">
        <v>580</v>
      </c>
      <c r="I4767" s="2" t="s">
        <v>581</v>
      </c>
      <c r="J4767" s="4">
        <v>-0.47</v>
      </c>
      <c r="K4767" s="2" t="s">
        <v>273</v>
      </c>
      <c r="L4767" s="2">
        <v>2023</v>
      </c>
      <c r="M4767" s="2" t="s">
        <v>274</v>
      </c>
      <c r="N4767" s="2" t="s">
        <v>23</v>
      </c>
      <c r="O4767">
        <f t="shared" si="148"/>
        <v>1.2150000000000034</v>
      </c>
      <c r="P4767">
        <f t="shared" si="149"/>
        <v>-1.5959999999999965</v>
      </c>
    </row>
    <row r="4768" spans="1:16" x14ac:dyDescent="0.35">
      <c r="A4768" s="9" t="s">
        <v>292</v>
      </c>
      <c r="B4768" s="2">
        <v>101.39</v>
      </c>
      <c r="C4768" s="2">
        <v>101.61</v>
      </c>
      <c r="D4768" s="2">
        <v>100.13</v>
      </c>
      <c r="E4768" s="2">
        <v>100.19</v>
      </c>
      <c r="F4768" s="2">
        <v>16329252</v>
      </c>
      <c r="G4768" s="2" t="s">
        <v>579</v>
      </c>
      <c r="H4768" s="2" t="s">
        <v>580</v>
      </c>
      <c r="I4768" s="2" t="s">
        <v>581</v>
      </c>
      <c r="J4768" s="4">
        <v>-1.446</v>
      </c>
      <c r="K4768" s="2" t="s">
        <v>273</v>
      </c>
      <c r="L4768" s="2">
        <v>2023</v>
      </c>
      <c r="M4768" s="2" t="s">
        <v>274</v>
      </c>
      <c r="N4768" s="2" t="s">
        <v>23</v>
      </c>
      <c r="O4768">
        <f t="shared" si="148"/>
        <v>1.480000000000004</v>
      </c>
      <c r="P4768">
        <f t="shared" si="149"/>
        <v>-3.0419999999999963</v>
      </c>
    </row>
    <row r="4769" spans="1:16" x14ac:dyDescent="0.35">
      <c r="A4769" s="9" t="s">
        <v>293</v>
      </c>
      <c r="B4769" s="2">
        <v>100.37</v>
      </c>
      <c r="C4769" s="2">
        <v>100.59</v>
      </c>
      <c r="D4769" s="2">
        <v>99.62</v>
      </c>
      <c r="E4769" s="2">
        <v>99.98</v>
      </c>
      <c r="F4769" s="2">
        <v>17746408</v>
      </c>
      <c r="G4769" s="2" t="s">
        <v>579</v>
      </c>
      <c r="H4769" s="2" t="s">
        <v>580</v>
      </c>
      <c r="I4769" s="2" t="s">
        <v>581</v>
      </c>
      <c r="J4769" s="4">
        <v>-0.21</v>
      </c>
      <c r="K4769" s="2" t="s">
        <v>273</v>
      </c>
      <c r="L4769" s="2">
        <v>2023</v>
      </c>
      <c r="M4769" s="2" t="s">
        <v>274</v>
      </c>
      <c r="N4769" s="2" t="s">
        <v>23</v>
      </c>
      <c r="O4769">
        <f t="shared" si="148"/>
        <v>0.96999999999999886</v>
      </c>
      <c r="P4769">
        <f t="shared" si="149"/>
        <v>-3.2519999999999962</v>
      </c>
    </row>
    <row r="4770" spans="1:16" x14ac:dyDescent="0.35">
      <c r="A4770" s="9" t="s">
        <v>294</v>
      </c>
      <c r="B4770" s="2">
        <v>100.92</v>
      </c>
      <c r="C4770" s="2">
        <v>103.1</v>
      </c>
      <c r="D4770" s="2">
        <v>100.85</v>
      </c>
      <c r="E4770" s="2">
        <v>102.36</v>
      </c>
      <c r="F4770" s="2">
        <v>23483049</v>
      </c>
      <c r="G4770" s="2" t="s">
        <v>579</v>
      </c>
      <c r="H4770" s="2" t="s">
        <v>580</v>
      </c>
      <c r="I4770" s="2" t="s">
        <v>581</v>
      </c>
      <c r="J4770" s="3">
        <v>2.38</v>
      </c>
      <c r="K4770" s="2" t="s">
        <v>295</v>
      </c>
      <c r="L4770" s="2">
        <v>2024</v>
      </c>
      <c r="M4770" s="2" t="s">
        <v>19</v>
      </c>
      <c r="N4770" s="2" t="s">
        <v>21</v>
      </c>
      <c r="O4770">
        <f t="shared" si="148"/>
        <v>2.25</v>
      </c>
      <c r="P4770">
        <f t="shared" si="149"/>
        <v>-0.87199999999999633</v>
      </c>
    </row>
    <row r="4771" spans="1:16" x14ac:dyDescent="0.35">
      <c r="A4771" s="9" t="s">
        <v>296</v>
      </c>
      <c r="B4771" s="2">
        <v>102.27</v>
      </c>
      <c r="C4771" s="2">
        <v>103.62</v>
      </c>
      <c r="D4771" s="2">
        <v>101.66</v>
      </c>
      <c r="E4771" s="2">
        <v>103.22</v>
      </c>
      <c r="F4771" s="2">
        <v>23490779</v>
      </c>
      <c r="G4771" s="2" t="s">
        <v>579</v>
      </c>
      <c r="H4771" s="2" t="s">
        <v>580</v>
      </c>
      <c r="I4771" s="2" t="s">
        <v>581</v>
      </c>
      <c r="J4771" s="3">
        <v>0.84</v>
      </c>
      <c r="K4771" s="2" t="s">
        <v>295</v>
      </c>
      <c r="L4771" s="2">
        <v>2024</v>
      </c>
      <c r="M4771" s="2" t="s">
        <v>19</v>
      </c>
      <c r="N4771" s="2" t="s">
        <v>21</v>
      </c>
      <c r="O4771">
        <f t="shared" si="148"/>
        <v>1.960000000000008</v>
      </c>
      <c r="P4771">
        <f t="shared" si="149"/>
        <v>-3.1999999999996365E-2</v>
      </c>
    </row>
    <row r="4772" spans="1:16" x14ac:dyDescent="0.35">
      <c r="A4772" s="9" t="s">
        <v>297</v>
      </c>
      <c r="B4772" s="2">
        <v>104.08</v>
      </c>
      <c r="C4772" s="2">
        <v>104.57</v>
      </c>
      <c r="D4772" s="2">
        <v>102.05</v>
      </c>
      <c r="E4772" s="2">
        <v>102.32</v>
      </c>
      <c r="F4772" s="2">
        <v>19395154</v>
      </c>
      <c r="G4772" s="2" t="s">
        <v>579</v>
      </c>
      <c r="H4772" s="2" t="s">
        <v>580</v>
      </c>
      <c r="I4772" s="2" t="s">
        <v>581</v>
      </c>
      <c r="J4772" s="4">
        <v>-0.872</v>
      </c>
      <c r="K4772" s="2" t="s">
        <v>295</v>
      </c>
      <c r="L4772" s="2">
        <v>2024</v>
      </c>
      <c r="M4772" s="2" t="s">
        <v>19</v>
      </c>
      <c r="N4772" s="2" t="s">
        <v>23</v>
      </c>
      <c r="O4772">
        <f t="shared" si="148"/>
        <v>2.519999999999996</v>
      </c>
      <c r="P4772">
        <f t="shared" si="149"/>
        <v>-0.90399999999999636</v>
      </c>
    </row>
    <row r="4773" spans="1:16" x14ac:dyDescent="0.35">
      <c r="A4773" s="9" t="s">
        <v>298</v>
      </c>
      <c r="B4773" s="2">
        <v>103.17</v>
      </c>
      <c r="C4773" s="2">
        <v>103.399</v>
      </c>
      <c r="D4773" s="2">
        <v>102.125</v>
      </c>
      <c r="E4773" s="2">
        <v>102.63</v>
      </c>
      <c r="F4773" s="2">
        <v>15827392</v>
      </c>
      <c r="G4773" s="2" t="s">
        <v>579</v>
      </c>
      <c r="H4773" s="2" t="s">
        <v>580</v>
      </c>
      <c r="I4773" s="2" t="s">
        <v>581</v>
      </c>
      <c r="J4773" s="3">
        <v>0.30299999999999999</v>
      </c>
      <c r="K4773" s="2" t="s">
        <v>295</v>
      </c>
      <c r="L4773" s="2">
        <v>2024</v>
      </c>
      <c r="M4773" s="2" t="s">
        <v>19</v>
      </c>
      <c r="N4773" s="2" t="s">
        <v>21</v>
      </c>
      <c r="O4773">
        <f t="shared" si="148"/>
        <v>1.2740000000000009</v>
      </c>
      <c r="P4773">
        <f t="shared" si="149"/>
        <v>-0.60099999999999643</v>
      </c>
    </row>
    <row r="4774" spans="1:16" x14ac:dyDescent="0.35">
      <c r="A4774" s="9" t="s">
        <v>299</v>
      </c>
      <c r="B4774" s="2">
        <v>100.73</v>
      </c>
      <c r="C4774" s="2">
        <v>101.04</v>
      </c>
      <c r="D4774" s="2">
        <v>98.9</v>
      </c>
      <c r="E4774" s="2">
        <v>100.92</v>
      </c>
      <c r="F4774" s="2">
        <v>23370127</v>
      </c>
      <c r="G4774" s="2" t="s">
        <v>579</v>
      </c>
      <c r="H4774" s="2" t="s">
        <v>580</v>
      </c>
      <c r="I4774" s="2" t="s">
        <v>581</v>
      </c>
      <c r="J4774" s="4">
        <v>-1.6659999999999999</v>
      </c>
      <c r="K4774" s="2" t="s">
        <v>295</v>
      </c>
      <c r="L4774" s="2">
        <v>2024</v>
      </c>
      <c r="M4774" s="2" t="s">
        <v>19</v>
      </c>
      <c r="N4774" s="2" t="s">
        <v>23</v>
      </c>
      <c r="O4774">
        <f t="shared" si="148"/>
        <v>2.1400000000000006</v>
      </c>
      <c r="P4774">
        <f t="shared" si="149"/>
        <v>-2.2669999999999964</v>
      </c>
    </row>
    <row r="4775" spans="1:16" x14ac:dyDescent="0.35">
      <c r="A4775" s="9" t="s">
        <v>300</v>
      </c>
      <c r="B4775" s="2">
        <v>101.29</v>
      </c>
      <c r="C4775" s="2">
        <v>101.29</v>
      </c>
      <c r="D4775" s="2">
        <v>99.19</v>
      </c>
      <c r="E4775" s="2">
        <v>99.67</v>
      </c>
      <c r="F4775" s="2">
        <v>19496647</v>
      </c>
      <c r="G4775" s="2" t="s">
        <v>579</v>
      </c>
      <c r="H4775" s="2" t="s">
        <v>580</v>
      </c>
      <c r="I4775" s="2" t="s">
        <v>581</v>
      </c>
      <c r="J4775" s="4">
        <v>-1.2390000000000001</v>
      </c>
      <c r="K4775" s="2" t="s">
        <v>295</v>
      </c>
      <c r="L4775" s="2">
        <v>2024</v>
      </c>
      <c r="M4775" s="2" t="s">
        <v>19</v>
      </c>
      <c r="N4775" s="2" t="s">
        <v>23</v>
      </c>
      <c r="O4775">
        <f t="shared" si="148"/>
        <v>2.1000000000000085</v>
      </c>
      <c r="P4775">
        <f t="shared" si="149"/>
        <v>-3.5059999999999967</v>
      </c>
    </row>
    <row r="4776" spans="1:16" x14ac:dyDescent="0.35">
      <c r="A4776" s="9" t="s">
        <v>301</v>
      </c>
      <c r="B4776" s="2">
        <v>99.8</v>
      </c>
      <c r="C4776" s="2">
        <v>99.8</v>
      </c>
      <c r="D4776" s="2">
        <v>98.16</v>
      </c>
      <c r="E4776" s="2">
        <v>98.69</v>
      </c>
      <c r="F4776" s="2">
        <v>18206088</v>
      </c>
      <c r="G4776" s="2" t="s">
        <v>579</v>
      </c>
      <c r="H4776" s="2" t="s">
        <v>580</v>
      </c>
      <c r="I4776" s="2" t="s">
        <v>581</v>
      </c>
      <c r="J4776" s="4">
        <v>-0.98299999999999998</v>
      </c>
      <c r="K4776" s="2" t="s">
        <v>295</v>
      </c>
      <c r="L4776" s="2">
        <v>2024</v>
      </c>
      <c r="M4776" s="2" t="s">
        <v>19</v>
      </c>
      <c r="N4776" s="2" t="s">
        <v>23</v>
      </c>
      <c r="O4776">
        <f t="shared" si="148"/>
        <v>1.6400000000000006</v>
      </c>
      <c r="P4776">
        <f t="shared" si="149"/>
        <v>-4.4889999999999963</v>
      </c>
    </row>
    <row r="4777" spans="1:16" x14ac:dyDescent="0.35">
      <c r="A4777" s="9" t="s">
        <v>302</v>
      </c>
      <c r="B4777" s="2">
        <v>99.04</v>
      </c>
      <c r="C4777" s="2">
        <v>99.5</v>
      </c>
      <c r="D4777" s="2">
        <v>98.56</v>
      </c>
      <c r="E4777" s="2">
        <v>98.67</v>
      </c>
      <c r="F4777" s="2">
        <v>15833360</v>
      </c>
      <c r="G4777" s="2" t="s">
        <v>579</v>
      </c>
      <c r="H4777" s="2" t="s">
        <v>580</v>
      </c>
      <c r="I4777" s="2" t="s">
        <v>581</v>
      </c>
      <c r="J4777" s="4">
        <v>-0.02</v>
      </c>
      <c r="K4777" s="2" t="s">
        <v>295</v>
      </c>
      <c r="L4777" s="2">
        <v>2024</v>
      </c>
      <c r="M4777" s="2" t="s">
        <v>19</v>
      </c>
      <c r="N4777" s="2" t="s">
        <v>23</v>
      </c>
      <c r="O4777">
        <f t="shared" si="148"/>
        <v>0.93999999999999773</v>
      </c>
      <c r="P4777">
        <f t="shared" si="149"/>
        <v>-4.5089999999999959</v>
      </c>
    </row>
    <row r="4778" spans="1:16" x14ac:dyDescent="0.35">
      <c r="A4778" s="9" t="s">
        <v>303</v>
      </c>
      <c r="B4778" s="2">
        <v>100.14</v>
      </c>
      <c r="C4778" s="2">
        <v>100.65</v>
      </c>
      <c r="D4778" s="2">
        <v>99.17</v>
      </c>
      <c r="E4778" s="2">
        <v>99.95</v>
      </c>
      <c r="F4778" s="2">
        <v>18041683</v>
      </c>
      <c r="G4778" s="2" t="s">
        <v>579</v>
      </c>
      <c r="H4778" s="2" t="s">
        <v>580</v>
      </c>
      <c r="I4778" s="2" t="s">
        <v>581</v>
      </c>
      <c r="J4778" s="3">
        <v>1.2969999999999999</v>
      </c>
      <c r="K4778" s="2" t="s">
        <v>295</v>
      </c>
      <c r="L4778" s="2">
        <v>2024</v>
      </c>
      <c r="M4778" s="2" t="s">
        <v>19</v>
      </c>
      <c r="N4778" s="2" t="s">
        <v>21</v>
      </c>
      <c r="O4778">
        <f t="shared" si="148"/>
        <v>1.480000000000004</v>
      </c>
      <c r="P4778">
        <f t="shared" si="149"/>
        <v>-3.2119999999999962</v>
      </c>
    </row>
    <row r="4779" spans="1:16" x14ac:dyDescent="0.35">
      <c r="A4779" s="9" t="s">
        <v>304</v>
      </c>
      <c r="B4779" s="2">
        <v>99.82</v>
      </c>
      <c r="C4779" s="2">
        <v>100.01</v>
      </c>
      <c r="D4779" s="2">
        <v>97.53</v>
      </c>
      <c r="E4779" s="2">
        <v>97.69</v>
      </c>
      <c r="F4779" s="2">
        <v>20235699</v>
      </c>
      <c r="G4779" s="2" t="s">
        <v>579</v>
      </c>
      <c r="H4779" s="2" t="s">
        <v>580</v>
      </c>
      <c r="I4779" s="2" t="s">
        <v>581</v>
      </c>
      <c r="J4779" s="4">
        <v>-2.2610000000000001</v>
      </c>
      <c r="K4779" s="2" t="s">
        <v>295</v>
      </c>
      <c r="L4779" s="2">
        <v>2024</v>
      </c>
      <c r="M4779" s="2" t="s">
        <v>19</v>
      </c>
      <c r="N4779" s="2" t="s">
        <v>23</v>
      </c>
      <c r="O4779">
        <f t="shared" si="148"/>
        <v>2.480000000000004</v>
      </c>
      <c r="P4779">
        <f t="shared" si="149"/>
        <v>-5.4729999999999963</v>
      </c>
    </row>
    <row r="4780" spans="1:16" x14ac:dyDescent="0.35">
      <c r="A4780" s="9" t="s">
        <v>305</v>
      </c>
      <c r="B4780" s="2">
        <v>96.6</v>
      </c>
      <c r="C4780" s="2">
        <v>97.96</v>
      </c>
      <c r="D4780" s="2">
        <v>96.58</v>
      </c>
      <c r="E4780" s="2">
        <v>96.98</v>
      </c>
      <c r="F4780" s="2">
        <v>18384015</v>
      </c>
      <c r="G4780" s="2" t="s">
        <v>579</v>
      </c>
      <c r="H4780" s="2" t="s">
        <v>580</v>
      </c>
      <c r="I4780" s="2" t="s">
        <v>581</v>
      </c>
      <c r="J4780" s="4">
        <v>-0.72699999999999998</v>
      </c>
      <c r="K4780" s="2" t="s">
        <v>295</v>
      </c>
      <c r="L4780" s="2">
        <v>2024</v>
      </c>
      <c r="M4780" s="2" t="s">
        <v>19</v>
      </c>
      <c r="N4780" s="2" t="s">
        <v>23</v>
      </c>
      <c r="O4780">
        <f t="shared" si="148"/>
        <v>1.3799999999999955</v>
      </c>
      <c r="P4780">
        <f t="shared" si="149"/>
        <v>-6.1999999999999966</v>
      </c>
    </row>
    <row r="4781" spans="1:16" x14ac:dyDescent="0.35">
      <c r="A4781" s="9" t="s">
        <v>306</v>
      </c>
      <c r="B4781" s="2">
        <v>97</v>
      </c>
      <c r="C4781" s="2">
        <v>97.09</v>
      </c>
      <c r="D4781" s="2">
        <v>95.82</v>
      </c>
      <c r="E4781" s="2">
        <v>96.8</v>
      </c>
      <c r="F4781" s="2">
        <v>20940275</v>
      </c>
      <c r="G4781" s="2" t="s">
        <v>579</v>
      </c>
      <c r="H4781" s="2" t="s">
        <v>580</v>
      </c>
      <c r="I4781" s="2" t="s">
        <v>581</v>
      </c>
      <c r="J4781" s="4">
        <v>-0.186</v>
      </c>
      <c r="K4781" s="2" t="s">
        <v>295</v>
      </c>
      <c r="L4781" s="2">
        <v>2024</v>
      </c>
      <c r="M4781" s="2" t="s">
        <v>19</v>
      </c>
      <c r="N4781" s="2" t="s">
        <v>23</v>
      </c>
      <c r="O4781">
        <f t="shared" si="148"/>
        <v>1.2700000000000102</v>
      </c>
      <c r="P4781">
        <f t="shared" si="149"/>
        <v>-6.3859999999999966</v>
      </c>
    </row>
    <row r="4782" spans="1:16" x14ac:dyDescent="0.35">
      <c r="A4782" s="9" t="s">
        <v>307</v>
      </c>
      <c r="B4782" s="2">
        <v>96.72</v>
      </c>
      <c r="C4782" s="2">
        <v>97.016000000000005</v>
      </c>
      <c r="D4782" s="2">
        <v>96.41</v>
      </c>
      <c r="E4782" s="2">
        <v>96.95</v>
      </c>
      <c r="F4782" s="2">
        <v>20088432</v>
      </c>
      <c r="G4782" s="2" t="s">
        <v>579</v>
      </c>
      <c r="H4782" s="2" t="s">
        <v>580</v>
      </c>
      <c r="I4782" s="2" t="s">
        <v>581</v>
      </c>
      <c r="J4782" s="3">
        <v>0.155</v>
      </c>
      <c r="K4782" s="2" t="s">
        <v>295</v>
      </c>
      <c r="L4782" s="2">
        <v>2024</v>
      </c>
      <c r="M4782" s="2" t="s">
        <v>19</v>
      </c>
      <c r="N4782" s="2" t="s">
        <v>21</v>
      </c>
      <c r="O4782">
        <f t="shared" si="148"/>
        <v>0.60600000000000875</v>
      </c>
      <c r="P4782">
        <f t="shared" si="149"/>
        <v>-6.2309999999999963</v>
      </c>
    </row>
    <row r="4783" spans="1:16" x14ac:dyDescent="0.35">
      <c r="A4783" s="9" t="s">
        <v>308</v>
      </c>
      <c r="B4783" s="2">
        <v>96.7</v>
      </c>
      <c r="C4783" s="2">
        <v>97.094999999999999</v>
      </c>
      <c r="D4783" s="2">
        <v>95.77</v>
      </c>
      <c r="E4783" s="2">
        <v>96.82</v>
      </c>
      <c r="F4783" s="2">
        <v>19955946</v>
      </c>
      <c r="G4783" s="2" t="s">
        <v>579</v>
      </c>
      <c r="H4783" s="2" t="s">
        <v>580</v>
      </c>
      <c r="I4783" s="2" t="s">
        <v>581</v>
      </c>
      <c r="J4783" s="4">
        <v>-0.13400000000000001</v>
      </c>
      <c r="K4783" s="2" t="s">
        <v>295</v>
      </c>
      <c r="L4783" s="2">
        <v>2024</v>
      </c>
      <c r="M4783" s="2" t="s">
        <v>19</v>
      </c>
      <c r="N4783" s="2" t="s">
        <v>23</v>
      </c>
      <c r="O4783">
        <f t="shared" si="148"/>
        <v>1.3250000000000028</v>
      </c>
      <c r="P4783">
        <f t="shared" si="149"/>
        <v>-6.3649999999999967</v>
      </c>
    </row>
    <row r="4784" spans="1:16" x14ac:dyDescent="0.35">
      <c r="A4784" s="9" t="s">
        <v>309</v>
      </c>
      <c r="B4784" s="2">
        <v>96.81</v>
      </c>
      <c r="C4784" s="2">
        <v>98.5</v>
      </c>
      <c r="D4784" s="2">
        <v>96.73</v>
      </c>
      <c r="E4784" s="2">
        <v>97.91</v>
      </c>
      <c r="F4784" s="2">
        <v>15863433</v>
      </c>
      <c r="G4784" s="2" t="s">
        <v>579</v>
      </c>
      <c r="H4784" s="2" t="s">
        <v>580</v>
      </c>
      <c r="I4784" s="2" t="s">
        <v>581</v>
      </c>
      <c r="J4784" s="3">
        <v>1.1259999999999999</v>
      </c>
      <c r="K4784" s="2" t="s">
        <v>295</v>
      </c>
      <c r="L4784" s="2">
        <v>2024</v>
      </c>
      <c r="M4784" s="2" t="s">
        <v>19</v>
      </c>
      <c r="N4784" s="2" t="s">
        <v>21</v>
      </c>
      <c r="O4784">
        <f t="shared" si="148"/>
        <v>1.769999999999996</v>
      </c>
      <c r="P4784">
        <f t="shared" si="149"/>
        <v>-5.2389999999999972</v>
      </c>
    </row>
    <row r="4785" spans="1:16" x14ac:dyDescent="0.35">
      <c r="A4785" s="9" t="s">
        <v>310</v>
      </c>
      <c r="B4785" s="2">
        <v>98.32</v>
      </c>
      <c r="C4785" s="2">
        <v>99.65</v>
      </c>
      <c r="D4785" s="2">
        <v>97.74</v>
      </c>
      <c r="E4785" s="2">
        <v>99.6</v>
      </c>
      <c r="F4785" s="2">
        <v>17330646</v>
      </c>
      <c r="G4785" s="2" t="s">
        <v>579</v>
      </c>
      <c r="H4785" s="2" t="s">
        <v>580</v>
      </c>
      <c r="I4785" s="2" t="s">
        <v>581</v>
      </c>
      <c r="J4785" s="3">
        <v>1.726</v>
      </c>
      <c r="K4785" s="2" t="s">
        <v>295</v>
      </c>
      <c r="L4785" s="2">
        <v>2024</v>
      </c>
      <c r="M4785" s="2" t="s">
        <v>19</v>
      </c>
      <c r="N4785" s="2" t="s">
        <v>21</v>
      </c>
      <c r="O4785">
        <f t="shared" si="148"/>
        <v>1.9100000000000108</v>
      </c>
      <c r="P4785">
        <f t="shared" si="149"/>
        <v>-3.5129999999999972</v>
      </c>
    </row>
    <row r="4786" spans="1:16" x14ac:dyDescent="0.35">
      <c r="A4786" s="9" t="s">
        <v>311</v>
      </c>
      <c r="B4786" s="2">
        <v>100.31</v>
      </c>
      <c r="C4786" s="2">
        <v>102.18</v>
      </c>
      <c r="D4786" s="2">
        <v>99.614999999999995</v>
      </c>
      <c r="E4786" s="2">
        <v>102.13</v>
      </c>
      <c r="F4786" s="2">
        <v>22089510</v>
      </c>
      <c r="G4786" s="2" t="s">
        <v>579</v>
      </c>
      <c r="H4786" s="2" t="s">
        <v>580</v>
      </c>
      <c r="I4786" s="2" t="s">
        <v>581</v>
      </c>
      <c r="J4786" s="3">
        <v>2.54</v>
      </c>
      <c r="K4786" s="2" t="s">
        <v>295</v>
      </c>
      <c r="L4786" s="2">
        <v>2024</v>
      </c>
      <c r="M4786" s="2" t="s">
        <v>19</v>
      </c>
      <c r="N4786" s="2" t="s">
        <v>21</v>
      </c>
      <c r="O4786">
        <f t="shared" si="148"/>
        <v>2.5650000000000119</v>
      </c>
      <c r="P4786">
        <f t="shared" si="149"/>
        <v>-0.9729999999999972</v>
      </c>
    </row>
    <row r="4787" spans="1:16" x14ac:dyDescent="0.35">
      <c r="A4787" s="9" t="s">
        <v>312</v>
      </c>
      <c r="B4787" s="2">
        <v>101.97</v>
      </c>
      <c r="C4787" s="2">
        <v>103.08</v>
      </c>
      <c r="D4787" s="2">
        <v>101.19</v>
      </c>
      <c r="E4787" s="2">
        <v>103</v>
      </c>
      <c r="F4787" s="2">
        <v>20817240</v>
      </c>
      <c r="G4787" s="2" t="s">
        <v>579</v>
      </c>
      <c r="H4787" s="2" t="s">
        <v>580</v>
      </c>
      <c r="I4787" s="2" t="s">
        <v>581</v>
      </c>
      <c r="J4787" s="3">
        <v>0.85199999999999998</v>
      </c>
      <c r="K4787" s="2" t="s">
        <v>295</v>
      </c>
      <c r="L4787" s="2">
        <v>2024</v>
      </c>
      <c r="M4787" s="2" t="s">
        <v>19</v>
      </c>
      <c r="N4787" s="2" t="s">
        <v>21</v>
      </c>
      <c r="O4787">
        <f t="shared" si="148"/>
        <v>1.8900000000000006</v>
      </c>
      <c r="P4787">
        <f t="shared" si="149"/>
        <v>-0.12099999999999722</v>
      </c>
    </row>
    <row r="4788" spans="1:16" x14ac:dyDescent="0.35">
      <c r="A4788" s="9" t="s">
        <v>313</v>
      </c>
      <c r="B4788" s="2">
        <v>102.98</v>
      </c>
      <c r="C4788" s="2">
        <v>103.2</v>
      </c>
      <c r="D4788" s="2">
        <v>101.86</v>
      </c>
      <c r="E4788" s="2">
        <v>103.13</v>
      </c>
      <c r="F4788" s="2">
        <v>18317549</v>
      </c>
      <c r="G4788" s="2" t="s">
        <v>579</v>
      </c>
      <c r="H4788" s="2" t="s">
        <v>580</v>
      </c>
      <c r="I4788" s="2" t="s">
        <v>581</v>
      </c>
      <c r="J4788" s="3">
        <v>0.126</v>
      </c>
      <c r="K4788" s="2" t="s">
        <v>295</v>
      </c>
      <c r="L4788" s="2">
        <v>2024</v>
      </c>
      <c r="M4788" s="2" t="s">
        <v>19</v>
      </c>
      <c r="N4788" s="2" t="s">
        <v>21</v>
      </c>
      <c r="O4788">
        <f t="shared" si="148"/>
        <v>1.3400000000000034</v>
      </c>
      <c r="P4788">
        <f t="shared" si="149"/>
        <v>5.00000000000278E-3</v>
      </c>
    </row>
    <row r="4789" spans="1:16" x14ac:dyDescent="0.35">
      <c r="A4789" s="9" t="s">
        <v>314</v>
      </c>
      <c r="B4789" s="2">
        <v>102.41</v>
      </c>
      <c r="C4789" s="2">
        <v>104.88</v>
      </c>
      <c r="D4789" s="2">
        <v>102.1</v>
      </c>
      <c r="E4789" s="2">
        <v>104.85</v>
      </c>
      <c r="F4789" s="2">
        <v>19610934</v>
      </c>
      <c r="G4789" s="2" t="s">
        <v>579</v>
      </c>
      <c r="H4789" s="2" t="s">
        <v>580</v>
      </c>
      <c r="I4789" s="2" t="s">
        <v>581</v>
      </c>
      <c r="J4789" s="3">
        <v>1.6679999999999999</v>
      </c>
      <c r="K4789" s="2" t="s">
        <v>295</v>
      </c>
      <c r="L4789" s="2">
        <v>2024</v>
      </c>
      <c r="M4789" s="2" t="s">
        <v>19</v>
      </c>
      <c r="N4789" s="2" t="s">
        <v>21</v>
      </c>
      <c r="O4789">
        <f t="shared" si="148"/>
        <v>2.7800000000000011</v>
      </c>
      <c r="P4789">
        <f t="shared" si="149"/>
        <v>1.6730000000000027</v>
      </c>
    </row>
    <row r="4790" spans="1:16" x14ac:dyDescent="0.35">
      <c r="A4790" s="9" t="s">
        <v>315</v>
      </c>
      <c r="B4790" s="2">
        <v>104.74</v>
      </c>
      <c r="C4790" s="2">
        <v>104.88</v>
      </c>
      <c r="D4790" s="2">
        <v>102.771</v>
      </c>
      <c r="E4790" s="2">
        <v>102.81</v>
      </c>
      <c r="F4790" s="2">
        <v>22415291</v>
      </c>
      <c r="G4790" s="2" t="s">
        <v>579</v>
      </c>
      <c r="H4790" s="2" t="s">
        <v>580</v>
      </c>
      <c r="I4790" s="2" t="s">
        <v>581</v>
      </c>
      <c r="J4790" s="4">
        <v>-1.946</v>
      </c>
      <c r="K4790" s="2" t="s">
        <v>295</v>
      </c>
      <c r="L4790" s="2">
        <v>2024</v>
      </c>
      <c r="M4790" s="2" t="s">
        <v>19</v>
      </c>
      <c r="N4790" s="2" t="s">
        <v>23</v>
      </c>
      <c r="O4790">
        <f t="shared" si="148"/>
        <v>2.1089999999999947</v>
      </c>
      <c r="P4790">
        <f t="shared" si="149"/>
        <v>-0.27299999999999724</v>
      </c>
    </row>
    <row r="4791" spans="1:16" x14ac:dyDescent="0.35">
      <c r="A4791" s="9" t="s">
        <v>316</v>
      </c>
      <c r="B4791" s="2">
        <v>103.57</v>
      </c>
      <c r="C4791" s="2">
        <v>104.01</v>
      </c>
      <c r="D4791" s="2">
        <v>101.62</v>
      </c>
      <c r="E4791" s="2">
        <v>102.39</v>
      </c>
      <c r="F4791" s="2">
        <v>19240687</v>
      </c>
      <c r="G4791" s="2" t="s">
        <v>579</v>
      </c>
      <c r="H4791" s="2" t="s">
        <v>580</v>
      </c>
      <c r="I4791" s="2" t="s">
        <v>581</v>
      </c>
      <c r="J4791" s="4">
        <v>-0.40899999999999997</v>
      </c>
      <c r="K4791" s="2" t="s">
        <v>317</v>
      </c>
      <c r="L4791" s="2">
        <v>2024</v>
      </c>
      <c r="M4791" s="2" t="s">
        <v>43</v>
      </c>
      <c r="N4791" s="2" t="s">
        <v>23</v>
      </c>
      <c r="O4791">
        <f t="shared" si="148"/>
        <v>2.3900000000000006</v>
      </c>
      <c r="P4791">
        <f t="shared" si="149"/>
        <v>-0.68199999999999728</v>
      </c>
    </row>
    <row r="4792" spans="1:16" x14ac:dyDescent="0.35">
      <c r="A4792" s="9" t="s">
        <v>318</v>
      </c>
      <c r="B4792" s="2">
        <v>103.75</v>
      </c>
      <c r="C4792" s="2">
        <v>104</v>
      </c>
      <c r="D4792" s="2">
        <v>101.611</v>
      </c>
      <c r="E4792" s="2">
        <v>101.97</v>
      </c>
      <c r="F4792" s="2">
        <v>21973405</v>
      </c>
      <c r="G4792" s="2" t="s">
        <v>579</v>
      </c>
      <c r="H4792" s="2" t="s">
        <v>580</v>
      </c>
      <c r="I4792" s="2" t="s">
        <v>581</v>
      </c>
      <c r="J4792" s="4">
        <v>-0.41</v>
      </c>
      <c r="K4792" s="2" t="s">
        <v>317</v>
      </c>
      <c r="L4792" s="2">
        <v>2024</v>
      </c>
      <c r="M4792" s="2" t="s">
        <v>43</v>
      </c>
      <c r="N4792" s="2" t="s">
        <v>23</v>
      </c>
      <c r="O4792">
        <f t="shared" si="148"/>
        <v>2.3889999999999958</v>
      </c>
      <c r="P4792">
        <f t="shared" si="149"/>
        <v>-1.0919999999999972</v>
      </c>
    </row>
    <row r="4793" spans="1:16" x14ac:dyDescent="0.35">
      <c r="A4793" s="9" t="s">
        <v>319</v>
      </c>
      <c r="B4793" s="2">
        <v>101.45</v>
      </c>
      <c r="C4793" s="2">
        <v>102.38</v>
      </c>
      <c r="D4793" s="2">
        <v>100.5</v>
      </c>
      <c r="E4793" s="2">
        <v>101.55</v>
      </c>
      <c r="F4793" s="2">
        <v>17190890</v>
      </c>
      <c r="G4793" s="2" t="s">
        <v>579</v>
      </c>
      <c r="H4793" s="2" t="s">
        <v>580</v>
      </c>
      <c r="I4793" s="2" t="s">
        <v>581</v>
      </c>
      <c r="J4793" s="4">
        <v>-0.41199999999999998</v>
      </c>
      <c r="K4793" s="2" t="s">
        <v>317</v>
      </c>
      <c r="L4793" s="2">
        <v>2024</v>
      </c>
      <c r="M4793" s="2" t="s">
        <v>43</v>
      </c>
      <c r="N4793" s="2" t="s">
        <v>23</v>
      </c>
      <c r="O4793">
        <f t="shared" si="148"/>
        <v>1.8799999999999955</v>
      </c>
      <c r="P4793">
        <f t="shared" si="149"/>
        <v>-1.5039999999999971</v>
      </c>
    </row>
    <row r="4794" spans="1:16" x14ac:dyDescent="0.35">
      <c r="A4794" s="9" t="s">
        <v>320</v>
      </c>
      <c r="B4794" s="2">
        <v>102.07</v>
      </c>
      <c r="C4794" s="2">
        <v>103.04</v>
      </c>
      <c r="D4794" s="2">
        <v>101.57</v>
      </c>
      <c r="E4794" s="2">
        <v>102.25</v>
      </c>
      <c r="F4794" s="2">
        <v>13353286</v>
      </c>
      <c r="G4794" s="2" t="s">
        <v>579</v>
      </c>
      <c r="H4794" s="2" t="s">
        <v>580</v>
      </c>
      <c r="I4794" s="2" t="s">
        <v>581</v>
      </c>
      <c r="J4794" s="3">
        <v>0.68899999999999995</v>
      </c>
      <c r="K4794" s="2" t="s">
        <v>317</v>
      </c>
      <c r="L4794" s="2">
        <v>2024</v>
      </c>
      <c r="M4794" s="2" t="s">
        <v>43</v>
      </c>
      <c r="N4794" s="2" t="s">
        <v>21</v>
      </c>
      <c r="O4794">
        <f t="shared" si="148"/>
        <v>1.4700000000000131</v>
      </c>
      <c r="P4794">
        <f t="shared" si="149"/>
        <v>-0.81499999999999717</v>
      </c>
    </row>
    <row r="4795" spans="1:16" x14ac:dyDescent="0.35">
      <c r="A4795" s="9" t="s">
        <v>321</v>
      </c>
      <c r="B4795" s="2">
        <v>102.25</v>
      </c>
      <c r="C4795" s="2">
        <v>102.73</v>
      </c>
      <c r="D4795" s="2">
        <v>101.18</v>
      </c>
      <c r="E4795" s="2">
        <v>102.22</v>
      </c>
      <c r="F4795" s="2">
        <v>13826832</v>
      </c>
      <c r="G4795" s="2" t="s">
        <v>579</v>
      </c>
      <c r="H4795" s="2" t="s">
        <v>580</v>
      </c>
      <c r="I4795" s="2" t="s">
        <v>581</v>
      </c>
      <c r="J4795" s="4">
        <v>-2.9000000000000001E-2</v>
      </c>
      <c r="K4795" s="2" t="s">
        <v>317</v>
      </c>
      <c r="L4795" s="2">
        <v>2024</v>
      </c>
      <c r="M4795" s="2" t="s">
        <v>43</v>
      </c>
      <c r="N4795" s="2" t="s">
        <v>23</v>
      </c>
      <c r="O4795">
        <f t="shared" si="148"/>
        <v>1.5499999999999972</v>
      </c>
      <c r="P4795">
        <f t="shared" si="149"/>
        <v>-0.8439999999999972</v>
      </c>
    </row>
    <row r="4796" spans="1:16" x14ac:dyDescent="0.35">
      <c r="A4796" s="9" t="s">
        <v>322</v>
      </c>
      <c r="B4796" s="2">
        <v>102.34</v>
      </c>
      <c r="C4796" s="2">
        <v>104.42</v>
      </c>
      <c r="D4796" s="2">
        <v>102.11</v>
      </c>
      <c r="E4796" s="2">
        <v>103.97</v>
      </c>
      <c r="F4796" s="2">
        <v>19636898</v>
      </c>
      <c r="G4796" s="2" t="s">
        <v>579</v>
      </c>
      <c r="H4796" s="2" t="s">
        <v>580</v>
      </c>
      <c r="I4796" s="2" t="s">
        <v>581</v>
      </c>
      <c r="J4796" s="3">
        <v>1.712</v>
      </c>
      <c r="K4796" s="2" t="s">
        <v>317</v>
      </c>
      <c r="L4796" s="2">
        <v>2024</v>
      </c>
      <c r="M4796" s="2" t="s">
        <v>43</v>
      </c>
      <c r="N4796" s="2" t="s">
        <v>21</v>
      </c>
      <c r="O4796">
        <f t="shared" si="148"/>
        <v>2.3100000000000023</v>
      </c>
      <c r="P4796">
        <f t="shared" si="149"/>
        <v>0.86800000000000277</v>
      </c>
    </row>
    <row r="4797" spans="1:16" x14ac:dyDescent="0.35">
      <c r="A4797" s="9" t="s">
        <v>323</v>
      </c>
      <c r="B4797" s="2">
        <v>104.1</v>
      </c>
      <c r="C4797" s="2">
        <v>104.84</v>
      </c>
      <c r="D4797" s="2">
        <v>101.7</v>
      </c>
      <c r="E4797" s="2">
        <v>101.77</v>
      </c>
      <c r="F4797" s="2">
        <v>20410510</v>
      </c>
      <c r="G4797" s="2" t="s">
        <v>579</v>
      </c>
      <c r="H4797" s="2" t="s">
        <v>580</v>
      </c>
      <c r="I4797" s="2" t="s">
        <v>581</v>
      </c>
      <c r="J4797" s="4">
        <v>-2.1160000000000001</v>
      </c>
      <c r="K4797" s="2" t="s">
        <v>317</v>
      </c>
      <c r="L4797" s="2">
        <v>2024</v>
      </c>
      <c r="M4797" s="2" t="s">
        <v>43</v>
      </c>
      <c r="N4797" s="2" t="s">
        <v>23</v>
      </c>
      <c r="O4797">
        <f t="shared" si="148"/>
        <v>3.1400000000000006</v>
      </c>
      <c r="P4797">
        <f t="shared" si="149"/>
        <v>-1.2479999999999973</v>
      </c>
    </row>
    <row r="4798" spans="1:16" x14ac:dyDescent="0.35">
      <c r="A4798" s="9" t="s">
        <v>324</v>
      </c>
      <c r="B4798" s="2">
        <v>102.16</v>
      </c>
      <c r="C4798" s="2">
        <v>103.4</v>
      </c>
      <c r="D4798" s="2">
        <v>102</v>
      </c>
      <c r="E4798" s="2">
        <v>103.17</v>
      </c>
      <c r="F4798" s="2">
        <v>18173061</v>
      </c>
      <c r="G4798" s="2" t="s">
        <v>579</v>
      </c>
      <c r="H4798" s="2" t="s">
        <v>580</v>
      </c>
      <c r="I4798" s="2" t="s">
        <v>581</v>
      </c>
      <c r="J4798" s="3">
        <v>1.3759999999999999</v>
      </c>
      <c r="K4798" s="2" t="s">
        <v>317</v>
      </c>
      <c r="L4798" s="2">
        <v>2024</v>
      </c>
      <c r="M4798" s="2" t="s">
        <v>43</v>
      </c>
      <c r="N4798" s="2" t="s">
        <v>21</v>
      </c>
      <c r="O4798">
        <f t="shared" si="148"/>
        <v>1.4000000000000057</v>
      </c>
      <c r="P4798">
        <f t="shared" si="149"/>
        <v>0.12800000000000256</v>
      </c>
    </row>
    <row r="4799" spans="1:16" x14ac:dyDescent="0.35">
      <c r="A4799" s="9" t="s">
        <v>325</v>
      </c>
      <c r="B4799" s="2">
        <v>102.76</v>
      </c>
      <c r="C4799" s="2">
        <v>103.09</v>
      </c>
      <c r="D4799" s="2">
        <v>100.6</v>
      </c>
      <c r="E4799" s="2">
        <v>101.34</v>
      </c>
      <c r="F4799" s="2">
        <v>18917431</v>
      </c>
      <c r="G4799" s="2" t="s">
        <v>579</v>
      </c>
      <c r="H4799" s="2" t="s">
        <v>580</v>
      </c>
      <c r="I4799" s="2" t="s">
        <v>581</v>
      </c>
      <c r="J4799" s="4">
        <v>-1.774</v>
      </c>
      <c r="K4799" s="2" t="s">
        <v>317</v>
      </c>
      <c r="L4799" s="2">
        <v>2024</v>
      </c>
      <c r="M4799" s="2" t="s">
        <v>43</v>
      </c>
      <c r="N4799" s="2" t="s">
        <v>23</v>
      </c>
      <c r="O4799">
        <f t="shared" si="148"/>
        <v>2.4900000000000091</v>
      </c>
      <c r="P4799">
        <f t="shared" si="149"/>
        <v>-1.6459999999999975</v>
      </c>
    </row>
    <row r="4800" spans="1:16" x14ac:dyDescent="0.35">
      <c r="A4800" s="9" t="s">
        <v>326</v>
      </c>
      <c r="B4800" s="2">
        <v>101.87</v>
      </c>
      <c r="C4800" s="2">
        <v>102.61499999999999</v>
      </c>
      <c r="D4800" s="2">
        <v>100.42</v>
      </c>
      <c r="E4800" s="2">
        <v>100.84</v>
      </c>
      <c r="F4800" s="2">
        <v>17651253</v>
      </c>
      <c r="G4800" s="2" t="s">
        <v>579</v>
      </c>
      <c r="H4800" s="2" t="s">
        <v>580</v>
      </c>
      <c r="I4800" s="2" t="s">
        <v>581</v>
      </c>
      <c r="J4800" s="4">
        <v>-0.49299999999999999</v>
      </c>
      <c r="K4800" s="2" t="s">
        <v>317</v>
      </c>
      <c r="L4800" s="2">
        <v>2024</v>
      </c>
      <c r="M4800" s="2" t="s">
        <v>43</v>
      </c>
      <c r="N4800" s="2" t="s">
        <v>23</v>
      </c>
      <c r="O4800">
        <f t="shared" si="148"/>
        <v>2.1949999999999932</v>
      </c>
      <c r="P4800">
        <f t="shared" si="149"/>
        <v>-2.1389999999999976</v>
      </c>
    </row>
    <row r="4801" spans="1:16" x14ac:dyDescent="0.35">
      <c r="A4801" s="9" t="s">
        <v>327</v>
      </c>
      <c r="B4801" s="2">
        <v>100.6</v>
      </c>
      <c r="C4801" s="2">
        <v>103.935</v>
      </c>
      <c r="D4801" s="2">
        <v>100.6</v>
      </c>
      <c r="E4801" s="2">
        <v>103.73</v>
      </c>
      <c r="F4801" s="2">
        <v>23196310</v>
      </c>
      <c r="G4801" s="2" t="s">
        <v>579</v>
      </c>
      <c r="H4801" s="2" t="s">
        <v>580</v>
      </c>
      <c r="I4801" s="2" t="s">
        <v>581</v>
      </c>
      <c r="J4801" s="3">
        <v>2.8660000000000001</v>
      </c>
      <c r="K4801" s="2" t="s">
        <v>317</v>
      </c>
      <c r="L4801" s="2">
        <v>2024</v>
      </c>
      <c r="M4801" s="2" t="s">
        <v>43</v>
      </c>
      <c r="N4801" s="2" t="s">
        <v>21</v>
      </c>
      <c r="O4801">
        <f t="shared" si="148"/>
        <v>3.335000000000008</v>
      </c>
      <c r="P4801">
        <f t="shared" si="149"/>
        <v>0.72700000000000253</v>
      </c>
    </row>
    <row r="4802" spans="1:16" x14ac:dyDescent="0.35">
      <c r="A4802" s="9" t="s">
        <v>328</v>
      </c>
      <c r="B4802" s="2">
        <v>104.01</v>
      </c>
      <c r="C4802" s="2">
        <v>104.63</v>
      </c>
      <c r="D4802" s="2">
        <v>103.52</v>
      </c>
      <c r="E4802" s="2">
        <v>103.73</v>
      </c>
      <c r="F4802" s="2">
        <v>20151426</v>
      </c>
      <c r="G4802" s="2" t="s">
        <v>579</v>
      </c>
      <c r="H4802" s="2" t="s">
        <v>580</v>
      </c>
      <c r="I4802" s="2" t="s">
        <v>581</v>
      </c>
      <c r="J4802" s="2">
        <v>0</v>
      </c>
      <c r="K4802" s="2" t="s">
        <v>317</v>
      </c>
      <c r="L4802" s="2">
        <v>2024</v>
      </c>
      <c r="M4802" s="2" t="s">
        <v>43</v>
      </c>
      <c r="N4802" s="2" t="s">
        <v>122</v>
      </c>
      <c r="O4802">
        <f t="shared" si="148"/>
        <v>1.1099999999999994</v>
      </c>
      <c r="P4802">
        <f t="shared" si="149"/>
        <v>0.72700000000000253</v>
      </c>
    </row>
    <row r="4803" spans="1:16" x14ac:dyDescent="0.35">
      <c r="A4803" s="9" t="s">
        <v>329</v>
      </c>
      <c r="B4803" s="2">
        <v>103.84</v>
      </c>
      <c r="C4803" s="2">
        <v>104.12</v>
      </c>
      <c r="D4803" s="2">
        <v>102.645</v>
      </c>
      <c r="E4803" s="2">
        <v>102.75</v>
      </c>
      <c r="F4803" s="2">
        <v>17650010</v>
      </c>
      <c r="G4803" s="2" t="s">
        <v>579</v>
      </c>
      <c r="H4803" s="2" t="s">
        <v>580</v>
      </c>
      <c r="I4803" s="2" t="s">
        <v>581</v>
      </c>
      <c r="J4803" s="4">
        <v>-0.94499999999999995</v>
      </c>
      <c r="K4803" s="2" t="s">
        <v>317</v>
      </c>
      <c r="L4803" s="2">
        <v>2024</v>
      </c>
      <c r="M4803" s="2" t="s">
        <v>43</v>
      </c>
      <c r="N4803" s="2" t="s">
        <v>23</v>
      </c>
      <c r="O4803">
        <f t="shared" ref="O4803:O4866" si="150">C4803-D4803</f>
        <v>1.4750000000000085</v>
      </c>
      <c r="P4803">
        <f t="shared" si="149"/>
        <v>-0.21799999999999742</v>
      </c>
    </row>
    <row r="4804" spans="1:16" x14ac:dyDescent="0.35">
      <c r="A4804" s="9" t="s">
        <v>330</v>
      </c>
      <c r="B4804" s="2">
        <v>103.02</v>
      </c>
      <c r="C4804" s="2">
        <v>104.98</v>
      </c>
      <c r="D4804" s="2">
        <v>102.99</v>
      </c>
      <c r="E4804" s="2">
        <v>104.85</v>
      </c>
      <c r="F4804" s="2">
        <v>20999189</v>
      </c>
      <c r="G4804" s="2" t="s">
        <v>579</v>
      </c>
      <c r="H4804" s="2" t="s">
        <v>580</v>
      </c>
      <c r="I4804" s="2" t="s">
        <v>581</v>
      </c>
      <c r="J4804" s="3">
        <v>2.044</v>
      </c>
      <c r="K4804" s="2" t="s">
        <v>317</v>
      </c>
      <c r="L4804" s="2">
        <v>2024</v>
      </c>
      <c r="M4804" s="2" t="s">
        <v>43</v>
      </c>
      <c r="N4804" s="2" t="s">
        <v>21</v>
      </c>
      <c r="O4804">
        <f t="shared" si="150"/>
        <v>1.9900000000000091</v>
      </c>
      <c r="P4804">
        <f t="shared" ref="P4804:P4867" si="151">IF(G4804=G4803, P4803+J4804, J4804)</f>
        <v>1.8260000000000027</v>
      </c>
    </row>
    <row r="4805" spans="1:16" x14ac:dyDescent="0.35">
      <c r="A4805" s="9" t="s">
        <v>331</v>
      </c>
      <c r="B4805" s="2">
        <v>104.16</v>
      </c>
      <c r="C4805" s="2">
        <v>105.41</v>
      </c>
      <c r="D4805" s="2">
        <v>103.45</v>
      </c>
      <c r="E4805" s="2">
        <v>104.76</v>
      </c>
      <c r="F4805" s="2">
        <v>20470668</v>
      </c>
      <c r="G4805" s="2" t="s">
        <v>579</v>
      </c>
      <c r="H4805" s="2" t="s">
        <v>580</v>
      </c>
      <c r="I4805" s="2" t="s">
        <v>581</v>
      </c>
      <c r="J4805" s="4">
        <v>-8.5999999999999993E-2</v>
      </c>
      <c r="K4805" s="2" t="s">
        <v>317</v>
      </c>
      <c r="L4805" s="2">
        <v>2024</v>
      </c>
      <c r="M4805" s="2" t="s">
        <v>43</v>
      </c>
      <c r="N4805" s="2" t="s">
        <v>23</v>
      </c>
      <c r="O4805">
        <f t="shared" si="150"/>
        <v>1.9599999999999937</v>
      </c>
      <c r="P4805">
        <f t="shared" si="151"/>
        <v>1.7400000000000027</v>
      </c>
    </row>
    <row r="4806" spans="1:16" x14ac:dyDescent="0.35">
      <c r="A4806" s="9" t="s">
        <v>332</v>
      </c>
      <c r="B4806" s="2">
        <v>103.88</v>
      </c>
      <c r="C4806" s="2">
        <v>104.09</v>
      </c>
      <c r="D4806" s="2">
        <v>102.88</v>
      </c>
      <c r="E4806" s="2">
        <v>103.84</v>
      </c>
      <c r="F4806" s="2">
        <v>15975888</v>
      </c>
      <c r="G4806" s="2" t="s">
        <v>579</v>
      </c>
      <c r="H4806" s="2" t="s">
        <v>580</v>
      </c>
      <c r="I4806" s="2" t="s">
        <v>581</v>
      </c>
      <c r="J4806" s="4">
        <v>-0.878</v>
      </c>
      <c r="K4806" s="2" t="s">
        <v>317</v>
      </c>
      <c r="L4806" s="2">
        <v>2024</v>
      </c>
      <c r="M4806" s="2" t="s">
        <v>43</v>
      </c>
      <c r="N4806" s="2" t="s">
        <v>23</v>
      </c>
      <c r="O4806">
        <f t="shared" si="150"/>
        <v>1.210000000000008</v>
      </c>
      <c r="P4806">
        <f t="shared" si="151"/>
        <v>0.86200000000000265</v>
      </c>
    </row>
    <row r="4807" spans="1:16" x14ac:dyDescent="0.35">
      <c r="A4807" s="9" t="s">
        <v>333</v>
      </c>
      <c r="B4807" s="2">
        <v>103.72</v>
      </c>
      <c r="C4807" s="2">
        <v>104.935</v>
      </c>
      <c r="D4807" s="2">
        <v>103.05</v>
      </c>
      <c r="E4807" s="2">
        <v>104.25</v>
      </c>
      <c r="F4807" s="2">
        <v>13360800</v>
      </c>
      <c r="G4807" s="2" t="s">
        <v>579</v>
      </c>
      <c r="H4807" s="2" t="s">
        <v>580</v>
      </c>
      <c r="I4807" s="2" t="s">
        <v>581</v>
      </c>
      <c r="J4807" s="3">
        <v>0.39500000000000002</v>
      </c>
      <c r="K4807" s="2" t="s">
        <v>317</v>
      </c>
      <c r="L4807" s="2">
        <v>2024</v>
      </c>
      <c r="M4807" s="2" t="s">
        <v>43</v>
      </c>
      <c r="N4807" s="2" t="s">
        <v>21</v>
      </c>
      <c r="O4807">
        <f t="shared" si="150"/>
        <v>1.8850000000000051</v>
      </c>
      <c r="P4807">
        <f t="shared" si="151"/>
        <v>1.2570000000000028</v>
      </c>
    </row>
    <row r="4808" spans="1:16" x14ac:dyDescent="0.35">
      <c r="A4808" s="9" t="s">
        <v>334</v>
      </c>
      <c r="B4808" s="2">
        <v>104.68</v>
      </c>
      <c r="C4808" s="2">
        <v>105.15</v>
      </c>
      <c r="D4808" s="2">
        <v>103.85</v>
      </c>
      <c r="E4808" s="2">
        <v>104.03</v>
      </c>
      <c r="F4808" s="2">
        <v>16359978</v>
      </c>
      <c r="G4808" s="2" t="s">
        <v>579</v>
      </c>
      <c r="H4808" s="2" t="s">
        <v>580</v>
      </c>
      <c r="I4808" s="2" t="s">
        <v>581</v>
      </c>
      <c r="J4808" s="4">
        <v>-0.21099999999999999</v>
      </c>
      <c r="K4808" s="2" t="s">
        <v>317</v>
      </c>
      <c r="L4808" s="2">
        <v>2024</v>
      </c>
      <c r="M4808" s="2" t="s">
        <v>43</v>
      </c>
      <c r="N4808" s="2" t="s">
        <v>23</v>
      </c>
      <c r="O4808">
        <f t="shared" si="150"/>
        <v>1.3000000000000114</v>
      </c>
      <c r="P4808">
        <f t="shared" si="151"/>
        <v>1.0460000000000027</v>
      </c>
    </row>
    <row r="4809" spans="1:16" x14ac:dyDescent="0.35">
      <c r="A4809" s="9" t="s">
        <v>335</v>
      </c>
      <c r="B4809" s="2">
        <v>104.47</v>
      </c>
      <c r="C4809" s="2">
        <v>105.43</v>
      </c>
      <c r="D4809" s="2">
        <v>104</v>
      </c>
      <c r="E4809" s="2">
        <v>104.32</v>
      </c>
      <c r="F4809" s="2">
        <v>14810486</v>
      </c>
      <c r="G4809" s="2" t="s">
        <v>579</v>
      </c>
      <c r="H4809" s="2" t="s">
        <v>580</v>
      </c>
      <c r="I4809" s="2" t="s">
        <v>581</v>
      </c>
      <c r="J4809" s="3">
        <v>0.27900000000000003</v>
      </c>
      <c r="K4809" s="2" t="s">
        <v>317</v>
      </c>
      <c r="L4809" s="2">
        <v>2024</v>
      </c>
      <c r="M4809" s="2" t="s">
        <v>43</v>
      </c>
      <c r="N4809" s="2" t="s">
        <v>21</v>
      </c>
      <c r="O4809">
        <f t="shared" si="150"/>
        <v>1.4300000000000068</v>
      </c>
      <c r="P4809">
        <f t="shared" si="151"/>
        <v>1.3250000000000028</v>
      </c>
    </row>
    <row r="4810" spans="1:16" x14ac:dyDescent="0.35">
      <c r="A4810" s="9" t="s">
        <v>336</v>
      </c>
      <c r="B4810" s="2">
        <v>104.675</v>
      </c>
      <c r="C4810" s="2">
        <v>105.07</v>
      </c>
      <c r="D4810" s="2">
        <v>104.215</v>
      </c>
      <c r="E4810" s="2">
        <v>104.52</v>
      </c>
      <c r="F4810" s="2">
        <v>17566066</v>
      </c>
      <c r="G4810" s="2" t="s">
        <v>579</v>
      </c>
      <c r="H4810" s="2" t="s">
        <v>580</v>
      </c>
      <c r="I4810" s="2" t="s">
        <v>581</v>
      </c>
      <c r="J4810" s="3">
        <v>0.192</v>
      </c>
      <c r="K4810" s="2" t="s">
        <v>317</v>
      </c>
      <c r="L4810" s="2">
        <v>2024</v>
      </c>
      <c r="M4810" s="2" t="s">
        <v>43</v>
      </c>
      <c r="N4810" s="2" t="s">
        <v>21</v>
      </c>
      <c r="O4810">
        <f t="shared" si="150"/>
        <v>0.85499999999998977</v>
      </c>
      <c r="P4810">
        <f t="shared" si="151"/>
        <v>1.5170000000000028</v>
      </c>
    </row>
    <row r="4811" spans="1:16" x14ac:dyDescent="0.35">
      <c r="A4811" s="9" t="s">
        <v>337</v>
      </c>
      <c r="B4811" s="2">
        <v>105.72</v>
      </c>
      <c r="C4811" s="2">
        <v>106.39</v>
      </c>
      <c r="D4811" s="2">
        <v>105.375</v>
      </c>
      <c r="E4811" s="2">
        <v>105.84</v>
      </c>
      <c r="F4811" s="2">
        <v>18460120</v>
      </c>
      <c r="G4811" s="2" t="s">
        <v>579</v>
      </c>
      <c r="H4811" s="2" t="s">
        <v>580</v>
      </c>
      <c r="I4811" s="2" t="s">
        <v>581</v>
      </c>
      <c r="J4811" s="3">
        <v>1.2629999999999999</v>
      </c>
      <c r="K4811" s="2" t="s">
        <v>338</v>
      </c>
      <c r="L4811" s="2">
        <v>2024</v>
      </c>
      <c r="M4811" s="2" t="s">
        <v>64</v>
      </c>
      <c r="N4811" s="2" t="s">
        <v>21</v>
      </c>
      <c r="O4811">
        <f t="shared" si="150"/>
        <v>1.0150000000000006</v>
      </c>
      <c r="P4811">
        <f t="shared" si="151"/>
        <v>2.7800000000000029</v>
      </c>
    </row>
    <row r="4812" spans="1:16" x14ac:dyDescent="0.35">
      <c r="A4812" s="9" t="s">
        <v>339</v>
      </c>
      <c r="B4812" s="2">
        <v>105.66</v>
      </c>
      <c r="C4812" s="2">
        <v>105.85</v>
      </c>
      <c r="D4812" s="2">
        <v>104.03</v>
      </c>
      <c r="E4812" s="2">
        <v>104.36</v>
      </c>
      <c r="F4812" s="2">
        <v>18137989</v>
      </c>
      <c r="G4812" s="2" t="s">
        <v>579</v>
      </c>
      <c r="H4812" s="2" t="s">
        <v>580</v>
      </c>
      <c r="I4812" s="2" t="s">
        <v>581</v>
      </c>
      <c r="J4812" s="4">
        <v>-1.3979999999999999</v>
      </c>
      <c r="K4812" s="2" t="s">
        <v>338</v>
      </c>
      <c r="L4812" s="2">
        <v>2024</v>
      </c>
      <c r="M4812" s="2" t="s">
        <v>64</v>
      </c>
      <c r="N4812" s="2" t="s">
        <v>23</v>
      </c>
      <c r="O4812">
        <f t="shared" si="150"/>
        <v>1.8199999999999932</v>
      </c>
      <c r="P4812">
        <f t="shared" si="151"/>
        <v>1.382000000000003</v>
      </c>
    </row>
    <row r="4813" spans="1:16" x14ac:dyDescent="0.35">
      <c r="A4813" s="9" t="s">
        <v>340</v>
      </c>
      <c r="B4813" s="2">
        <v>104.53</v>
      </c>
      <c r="C4813" s="2">
        <v>106.27</v>
      </c>
      <c r="D4813" s="2">
        <v>104.32</v>
      </c>
      <c r="E4813" s="2">
        <v>105.64</v>
      </c>
      <c r="F4813" s="2">
        <v>19952712</v>
      </c>
      <c r="G4813" s="2" t="s">
        <v>579</v>
      </c>
      <c r="H4813" s="2" t="s">
        <v>580</v>
      </c>
      <c r="I4813" s="2" t="s">
        <v>581</v>
      </c>
      <c r="J4813" s="3">
        <v>1.2270000000000001</v>
      </c>
      <c r="K4813" s="2" t="s">
        <v>338</v>
      </c>
      <c r="L4813" s="2">
        <v>2024</v>
      </c>
      <c r="M4813" s="2" t="s">
        <v>64</v>
      </c>
      <c r="N4813" s="2" t="s">
        <v>21</v>
      </c>
      <c r="O4813">
        <f t="shared" si="150"/>
        <v>1.9500000000000028</v>
      </c>
      <c r="P4813">
        <f t="shared" si="151"/>
        <v>2.6090000000000031</v>
      </c>
    </row>
    <row r="4814" spans="1:16" x14ac:dyDescent="0.35">
      <c r="A4814" s="9" t="s">
        <v>341</v>
      </c>
      <c r="B4814" s="2">
        <v>106.62</v>
      </c>
      <c r="C4814" s="2">
        <v>107.57</v>
      </c>
      <c r="D4814" s="2">
        <v>106.15</v>
      </c>
      <c r="E4814" s="2">
        <v>106.77</v>
      </c>
      <c r="F4814" s="2">
        <v>20472790</v>
      </c>
      <c r="G4814" s="2" t="s">
        <v>579</v>
      </c>
      <c r="H4814" s="2" t="s">
        <v>580</v>
      </c>
      <c r="I4814" s="2" t="s">
        <v>581</v>
      </c>
      <c r="J4814" s="3">
        <v>1.07</v>
      </c>
      <c r="K4814" s="2" t="s">
        <v>338</v>
      </c>
      <c r="L4814" s="2">
        <v>2024</v>
      </c>
      <c r="M4814" s="2" t="s">
        <v>64</v>
      </c>
      <c r="N4814" s="2" t="s">
        <v>21</v>
      </c>
      <c r="O4814">
        <f t="shared" si="150"/>
        <v>1.4199999999999875</v>
      </c>
      <c r="P4814">
        <f t="shared" si="151"/>
        <v>3.6790000000000029</v>
      </c>
    </row>
    <row r="4815" spans="1:16" x14ac:dyDescent="0.35">
      <c r="A4815" s="9" t="s">
        <v>342</v>
      </c>
      <c r="B4815" s="2">
        <v>106.6</v>
      </c>
      <c r="C4815" s="2">
        <v>107.98</v>
      </c>
      <c r="D4815" s="2">
        <v>106.6</v>
      </c>
      <c r="E4815" s="2">
        <v>107.37</v>
      </c>
      <c r="F4815" s="2">
        <v>15195406</v>
      </c>
      <c r="G4815" s="2" t="s">
        <v>579</v>
      </c>
      <c r="H4815" s="2" t="s">
        <v>580</v>
      </c>
      <c r="I4815" s="2" t="s">
        <v>581</v>
      </c>
      <c r="J4815" s="3">
        <v>0.56200000000000006</v>
      </c>
      <c r="K4815" s="2" t="s">
        <v>338</v>
      </c>
      <c r="L4815" s="2">
        <v>2024</v>
      </c>
      <c r="M4815" s="2" t="s">
        <v>64</v>
      </c>
      <c r="N4815" s="2" t="s">
        <v>21</v>
      </c>
      <c r="O4815">
        <f t="shared" si="150"/>
        <v>1.3800000000000097</v>
      </c>
      <c r="P4815">
        <f t="shared" si="151"/>
        <v>4.2410000000000032</v>
      </c>
    </row>
    <row r="4816" spans="1:16" x14ac:dyDescent="0.35">
      <c r="A4816" s="9" t="s">
        <v>343</v>
      </c>
      <c r="B4816" s="2">
        <v>107.23</v>
      </c>
      <c r="C4816" s="2">
        <v>108.4</v>
      </c>
      <c r="D4816" s="2">
        <v>106.77</v>
      </c>
      <c r="E4816" s="2">
        <v>108.38</v>
      </c>
      <c r="F4816" s="2">
        <v>16281468</v>
      </c>
      <c r="G4816" s="2" t="s">
        <v>579</v>
      </c>
      <c r="H4816" s="2" t="s">
        <v>580</v>
      </c>
      <c r="I4816" s="2" t="s">
        <v>581</v>
      </c>
      <c r="J4816" s="3">
        <v>0.94099999999999995</v>
      </c>
      <c r="K4816" s="2" t="s">
        <v>338</v>
      </c>
      <c r="L4816" s="2">
        <v>2024</v>
      </c>
      <c r="M4816" s="2" t="s">
        <v>64</v>
      </c>
      <c r="N4816" s="2" t="s">
        <v>21</v>
      </c>
      <c r="O4816">
        <f t="shared" si="150"/>
        <v>1.6300000000000097</v>
      </c>
      <c r="P4816">
        <f t="shared" si="151"/>
        <v>5.182000000000003</v>
      </c>
    </row>
    <row r="4817" spans="1:16" x14ac:dyDescent="0.35">
      <c r="A4817" s="9" t="s">
        <v>344</v>
      </c>
      <c r="B4817" s="2">
        <v>108.25</v>
      </c>
      <c r="C4817" s="2">
        <v>109.12</v>
      </c>
      <c r="D4817" s="2">
        <v>107.34</v>
      </c>
      <c r="E4817" s="2">
        <v>109.02</v>
      </c>
      <c r="F4817" s="2">
        <v>17577285</v>
      </c>
      <c r="G4817" s="2" t="s">
        <v>579</v>
      </c>
      <c r="H4817" s="2" t="s">
        <v>580</v>
      </c>
      <c r="I4817" s="2" t="s">
        <v>581</v>
      </c>
      <c r="J4817" s="3">
        <v>0.59099999999999997</v>
      </c>
      <c r="K4817" s="2" t="s">
        <v>338</v>
      </c>
      <c r="L4817" s="2">
        <v>2024</v>
      </c>
      <c r="M4817" s="2" t="s">
        <v>64</v>
      </c>
      <c r="N4817" s="2" t="s">
        <v>21</v>
      </c>
      <c r="O4817">
        <f t="shared" si="150"/>
        <v>1.7800000000000011</v>
      </c>
      <c r="P4817">
        <f t="shared" si="151"/>
        <v>5.7730000000000032</v>
      </c>
    </row>
    <row r="4818" spans="1:16" x14ac:dyDescent="0.35">
      <c r="A4818" s="9" t="s">
        <v>345</v>
      </c>
      <c r="B4818" s="2">
        <v>109.06</v>
      </c>
      <c r="C4818" s="2">
        <v>109.28</v>
      </c>
      <c r="D4818" s="2">
        <v>108.02500000000001</v>
      </c>
      <c r="E4818" s="2">
        <v>108.32</v>
      </c>
      <c r="F4818" s="2">
        <v>14957247</v>
      </c>
      <c r="G4818" s="2" t="s">
        <v>579</v>
      </c>
      <c r="H4818" s="2" t="s">
        <v>580</v>
      </c>
      <c r="I4818" s="2" t="s">
        <v>581</v>
      </c>
      <c r="J4818" s="4">
        <v>-0.64200000000000002</v>
      </c>
      <c r="K4818" s="2" t="s">
        <v>338</v>
      </c>
      <c r="L4818" s="2">
        <v>2024</v>
      </c>
      <c r="M4818" s="2" t="s">
        <v>64</v>
      </c>
      <c r="N4818" s="2" t="s">
        <v>23</v>
      </c>
      <c r="O4818">
        <f t="shared" si="150"/>
        <v>1.2549999999999955</v>
      </c>
      <c r="P4818">
        <f t="shared" si="151"/>
        <v>5.1310000000000029</v>
      </c>
    </row>
    <row r="4819" spans="1:16" x14ac:dyDescent="0.35">
      <c r="A4819" s="9" t="s">
        <v>346</v>
      </c>
      <c r="B4819" s="2">
        <v>109.14</v>
      </c>
      <c r="C4819" s="2">
        <v>110.35</v>
      </c>
      <c r="D4819" s="2">
        <v>109.11</v>
      </c>
      <c r="E4819" s="2">
        <v>109.53</v>
      </c>
      <c r="F4819" s="2">
        <v>17122239</v>
      </c>
      <c r="G4819" s="2" t="s">
        <v>579</v>
      </c>
      <c r="H4819" s="2" t="s">
        <v>580</v>
      </c>
      <c r="I4819" s="2" t="s">
        <v>581</v>
      </c>
      <c r="J4819" s="3">
        <v>1.117</v>
      </c>
      <c r="K4819" s="2" t="s">
        <v>338</v>
      </c>
      <c r="L4819" s="2">
        <v>2024</v>
      </c>
      <c r="M4819" s="2" t="s">
        <v>64</v>
      </c>
      <c r="N4819" s="2" t="s">
        <v>21</v>
      </c>
      <c r="O4819">
        <f t="shared" si="150"/>
        <v>1.2399999999999949</v>
      </c>
      <c r="P4819">
        <f t="shared" si="151"/>
        <v>6.2480000000000029</v>
      </c>
    </row>
    <row r="4820" spans="1:16" x14ac:dyDescent="0.35">
      <c r="A4820" s="9" t="s">
        <v>347</v>
      </c>
      <c r="B4820" s="2">
        <v>109.83</v>
      </c>
      <c r="C4820" s="2">
        <v>111.55</v>
      </c>
      <c r="D4820" s="2">
        <v>109.69</v>
      </c>
      <c r="E4820" s="2">
        <v>111.47</v>
      </c>
      <c r="F4820" s="2">
        <v>22121014</v>
      </c>
      <c r="G4820" s="2" t="s">
        <v>579</v>
      </c>
      <c r="H4820" s="2" t="s">
        <v>580</v>
      </c>
      <c r="I4820" s="2" t="s">
        <v>581</v>
      </c>
      <c r="J4820" s="3">
        <v>1.7709999999999999</v>
      </c>
      <c r="K4820" s="2" t="s">
        <v>338</v>
      </c>
      <c r="L4820" s="2">
        <v>2024</v>
      </c>
      <c r="M4820" s="2" t="s">
        <v>64</v>
      </c>
      <c r="N4820" s="2" t="s">
        <v>21</v>
      </c>
      <c r="O4820">
        <f t="shared" si="150"/>
        <v>1.8599999999999994</v>
      </c>
      <c r="P4820">
        <f t="shared" si="151"/>
        <v>8.0190000000000019</v>
      </c>
    </row>
    <row r="4821" spans="1:16" x14ac:dyDescent="0.35">
      <c r="A4821" s="9" t="s">
        <v>348</v>
      </c>
      <c r="B4821" s="2">
        <v>110.85</v>
      </c>
      <c r="C4821" s="2">
        <v>112.3</v>
      </c>
      <c r="D4821" s="2">
        <v>110.85</v>
      </c>
      <c r="E4821" s="2">
        <v>111.27</v>
      </c>
      <c r="F4821" s="2">
        <v>38264401</v>
      </c>
      <c r="G4821" s="2" t="s">
        <v>579</v>
      </c>
      <c r="H4821" s="2" t="s">
        <v>580</v>
      </c>
      <c r="I4821" s="2" t="s">
        <v>581</v>
      </c>
      <c r="J4821" s="4">
        <v>-0.17899999999999999</v>
      </c>
      <c r="K4821" s="2" t="s">
        <v>338</v>
      </c>
      <c r="L4821" s="2">
        <v>2024</v>
      </c>
      <c r="M4821" s="2" t="s">
        <v>64</v>
      </c>
      <c r="N4821" s="2" t="s">
        <v>23</v>
      </c>
      <c r="O4821">
        <f t="shared" si="150"/>
        <v>1.4500000000000028</v>
      </c>
      <c r="P4821">
        <f t="shared" si="151"/>
        <v>7.8400000000000016</v>
      </c>
    </row>
    <row r="4822" spans="1:16" x14ac:dyDescent="0.35">
      <c r="A4822" s="9" t="s">
        <v>349</v>
      </c>
      <c r="B4822" s="2">
        <v>111.79</v>
      </c>
      <c r="C4822" s="2">
        <v>112.86</v>
      </c>
      <c r="D4822" s="2">
        <v>111.1</v>
      </c>
      <c r="E4822" s="2">
        <v>112.3</v>
      </c>
      <c r="F4822" s="2">
        <v>16770462</v>
      </c>
      <c r="G4822" s="2" t="s">
        <v>579</v>
      </c>
      <c r="H4822" s="2" t="s">
        <v>580</v>
      </c>
      <c r="I4822" s="2" t="s">
        <v>581</v>
      </c>
      <c r="J4822" s="3">
        <v>0.92600000000000005</v>
      </c>
      <c r="K4822" s="2" t="s">
        <v>338</v>
      </c>
      <c r="L4822" s="2">
        <v>2024</v>
      </c>
      <c r="M4822" s="2" t="s">
        <v>64</v>
      </c>
      <c r="N4822" s="2" t="s">
        <v>21</v>
      </c>
      <c r="O4822">
        <f t="shared" si="150"/>
        <v>1.7600000000000051</v>
      </c>
      <c r="P4822">
        <f t="shared" si="151"/>
        <v>8.7660000000000018</v>
      </c>
    </row>
    <row r="4823" spans="1:16" x14ac:dyDescent="0.35">
      <c r="A4823" s="9" t="s">
        <v>350</v>
      </c>
      <c r="B4823" s="2">
        <v>112.22</v>
      </c>
      <c r="C4823" s="2">
        <v>113.485</v>
      </c>
      <c r="D4823" s="2">
        <v>112.06</v>
      </c>
      <c r="E4823" s="2">
        <v>113.09</v>
      </c>
      <c r="F4823" s="2">
        <v>14878756</v>
      </c>
      <c r="G4823" s="2" t="s">
        <v>579</v>
      </c>
      <c r="H4823" s="2" t="s">
        <v>580</v>
      </c>
      <c r="I4823" s="2" t="s">
        <v>581</v>
      </c>
      <c r="J4823" s="3">
        <v>0.70299999999999996</v>
      </c>
      <c r="K4823" s="2" t="s">
        <v>338</v>
      </c>
      <c r="L4823" s="2">
        <v>2024</v>
      </c>
      <c r="M4823" s="2" t="s">
        <v>64</v>
      </c>
      <c r="N4823" s="2" t="s">
        <v>21</v>
      </c>
      <c r="O4823">
        <f t="shared" si="150"/>
        <v>1.4249999999999972</v>
      </c>
      <c r="P4823">
        <f t="shared" si="151"/>
        <v>9.4690000000000012</v>
      </c>
    </row>
    <row r="4824" spans="1:16" x14ac:dyDescent="0.35">
      <c r="A4824" s="9" t="s">
        <v>351</v>
      </c>
      <c r="B4824" s="2">
        <v>112.72</v>
      </c>
      <c r="C4824" s="2">
        <v>113.4</v>
      </c>
      <c r="D4824" s="2">
        <v>112.13</v>
      </c>
      <c r="E4824" s="2">
        <v>112.99</v>
      </c>
      <c r="F4824" s="2">
        <v>16119703</v>
      </c>
      <c r="G4824" s="2" t="s">
        <v>579</v>
      </c>
      <c r="H4824" s="2" t="s">
        <v>580</v>
      </c>
      <c r="I4824" s="2" t="s">
        <v>581</v>
      </c>
      <c r="J4824" s="4">
        <v>-8.7999999999999995E-2</v>
      </c>
      <c r="K4824" s="2" t="s">
        <v>338</v>
      </c>
      <c r="L4824" s="2">
        <v>2024</v>
      </c>
      <c r="M4824" s="2" t="s">
        <v>64</v>
      </c>
      <c r="N4824" s="2" t="s">
        <v>23</v>
      </c>
      <c r="O4824">
        <f t="shared" si="150"/>
        <v>1.2700000000000102</v>
      </c>
      <c r="P4824">
        <f t="shared" si="151"/>
        <v>9.381000000000002</v>
      </c>
    </row>
    <row r="4825" spans="1:16" x14ac:dyDescent="0.35">
      <c r="A4825" s="9" t="s">
        <v>352</v>
      </c>
      <c r="B4825" s="2">
        <v>112.92</v>
      </c>
      <c r="C4825" s="2">
        <v>113.91</v>
      </c>
      <c r="D4825" s="2">
        <v>112.57</v>
      </c>
      <c r="E4825" s="2">
        <v>113.49</v>
      </c>
      <c r="F4825" s="2">
        <v>14878022</v>
      </c>
      <c r="G4825" s="2" t="s">
        <v>579</v>
      </c>
      <c r="H4825" s="2" t="s">
        <v>580</v>
      </c>
      <c r="I4825" s="2" t="s">
        <v>581</v>
      </c>
      <c r="J4825" s="3">
        <v>0.443</v>
      </c>
      <c r="K4825" s="2" t="s">
        <v>338</v>
      </c>
      <c r="L4825" s="2">
        <v>2024</v>
      </c>
      <c r="M4825" s="2" t="s">
        <v>64</v>
      </c>
      <c r="N4825" s="2" t="s">
        <v>21</v>
      </c>
      <c r="O4825">
        <f t="shared" si="150"/>
        <v>1.3400000000000034</v>
      </c>
      <c r="P4825">
        <f t="shared" si="151"/>
        <v>9.8240000000000016</v>
      </c>
    </row>
    <row r="4826" spans="1:16" x14ac:dyDescent="0.35">
      <c r="A4826" s="9" t="s">
        <v>353</v>
      </c>
      <c r="B4826" s="2">
        <v>113.48</v>
      </c>
      <c r="C4826" s="2">
        <v>113.685</v>
      </c>
      <c r="D4826" s="2">
        <v>112.824</v>
      </c>
      <c r="E4826" s="2">
        <v>113.49</v>
      </c>
      <c r="F4826" s="2">
        <v>14701933</v>
      </c>
      <c r="G4826" s="2" t="s">
        <v>579</v>
      </c>
      <c r="H4826" s="2" t="s">
        <v>580</v>
      </c>
      <c r="I4826" s="2" t="s">
        <v>581</v>
      </c>
      <c r="J4826" s="2">
        <v>0</v>
      </c>
      <c r="K4826" s="2" t="s">
        <v>338</v>
      </c>
      <c r="L4826" s="2">
        <v>2024</v>
      </c>
      <c r="M4826" s="2" t="s">
        <v>64</v>
      </c>
      <c r="N4826" s="2" t="s">
        <v>122</v>
      </c>
      <c r="O4826">
        <f t="shared" si="150"/>
        <v>0.86100000000000421</v>
      </c>
      <c r="P4826">
        <f t="shared" si="151"/>
        <v>9.8240000000000016</v>
      </c>
    </row>
    <row r="4827" spans="1:16" x14ac:dyDescent="0.35">
      <c r="A4827" s="9" t="s">
        <v>354</v>
      </c>
      <c r="B4827" s="2">
        <v>113.83</v>
      </c>
      <c r="C4827" s="2">
        <v>115.77500000000001</v>
      </c>
      <c r="D4827" s="2">
        <v>113.83</v>
      </c>
      <c r="E4827" s="2">
        <v>114.65</v>
      </c>
      <c r="F4827" s="2">
        <v>14011734</v>
      </c>
      <c r="G4827" s="2" t="s">
        <v>579</v>
      </c>
      <c r="H4827" s="2" t="s">
        <v>580</v>
      </c>
      <c r="I4827" s="2" t="s">
        <v>581</v>
      </c>
      <c r="J4827" s="3">
        <v>1.022</v>
      </c>
      <c r="K4827" s="2" t="s">
        <v>338</v>
      </c>
      <c r="L4827" s="2">
        <v>2024</v>
      </c>
      <c r="M4827" s="2" t="s">
        <v>64</v>
      </c>
      <c r="N4827" s="2" t="s">
        <v>21</v>
      </c>
      <c r="O4827">
        <f t="shared" si="150"/>
        <v>1.9450000000000074</v>
      </c>
      <c r="P4827">
        <f t="shared" si="151"/>
        <v>10.846000000000002</v>
      </c>
    </row>
    <row r="4828" spans="1:16" x14ac:dyDescent="0.35">
      <c r="A4828" s="9" t="s">
        <v>355</v>
      </c>
      <c r="B4828" s="2">
        <v>114.66</v>
      </c>
      <c r="C4828" s="2">
        <v>114.98</v>
      </c>
      <c r="D4828" s="2">
        <v>113.41</v>
      </c>
      <c r="E4828" s="2">
        <v>113.79</v>
      </c>
      <c r="F4828" s="2">
        <v>13152287</v>
      </c>
      <c r="G4828" s="2" t="s">
        <v>579</v>
      </c>
      <c r="H4828" s="2" t="s">
        <v>580</v>
      </c>
      <c r="I4828" s="2" t="s">
        <v>581</v>
      </c>
      <c r="J4828" s="4">
        <v>-0.75</v>
      </c>
      <c r="K4828" s="2" t="s">
        <v>338</v>
      </c>
      <c r="L4828" s="2">
        <v>2024</v>
      </c>
      <c r="M4828" s="2" t="s">
        <v>64</v>
      </c>
      <c r="N4828" s="2" t="s">
        <v>23</v>
      </c>
      <c r="O4828">
        <f t="shared" si="150"/>
        <v>1.5700000000000074</v>
      </c>
      <c r="P4828">
        <f t="shared" si="151"/>
        <v>10.096000000000002</v>
      </c>
    </row>
    <row r="4829" spans="1:16" x14ac:dyDescent="0.35">
      <c r="A4829" s="9" t="s">
        <v>356</v>
      </c>
      <c r="B4829" s="2">
        <v>113.48</v>
      </c>
      <c r="C4829" s="2">
        <v>115.06</v>
      </c>
      <c r="D4829" s="2">
        <v>113.41</v>
      </c>
      <c r="E4829" s="2">
        <v>114.97</v>
      </c>
      <c r="F4829" s="2">
        <v>12415674</v>
      </c>
      <c r="G4829" s="2" t="s">
        <v>579</v>
      </c>
      <c r="H4829" s="2" t="s">
        <v>580</v>
      </c>
      <c r="I4829" s="2" t="s">
        <v>581</v>
      </c>
      <c r="J4829" s="3">
        <v>1.0369999999999999</v>
      </c>
      <c r="K4829" s="2" t="s">
        <v>338</v>
      </c>
      <c r="L4829" s="2">
        <v>2024</v>
      </c>
      <c r="M4829" s="2" t="s">
        <v>64</v>
      </c>
      <c r="N4829" s="2" t="s">
        <v>21</v>
      </c>
      <c r="O4829">
        <f t="shared" si="150"/>
        <v>1.6500000000000057</v>
      </c>
      <c r="P4829">
        <f t="shared" si="151"/>
        <v>11.133000000000003</v>
      </c>
    </row>
    <row r="4830" spans="1:16" x14ac:dyDescent="0.35">
      <c r="A4830" s="9" t="s">
        <v>357</v>
      </c>
      <c r="B4830" s="2">
        <v>115.53</v>
      </c>
      <c r="C4830" s="2">
        <v>116.45</v>
      </c>
      <c r="D4830" s="2">
        <v>115.06</v>
      </c>
      <c r="E4830" s="2">
        <v>116.24</v>
      </c>
      <c r="F4830" s="2">
        <v>18482055</v>
      </c>
      <c r="G4830" s="2" t="s">
        <v>579</v>
      </c>
      <c r="H4830" s="2" t="s">
        <v>580</v>
      </c>
      <c r="I4830" s="2" t="s">
        <v>581</v>
      </c>
      <c r="J4830" s="3">
        <v>1.105</v>
      </c>
      <c r="K4830" s="2" t="s">
        <v>338</v>
      </c>
      <c r="L4830" s="2">
        <v>2024</v>
      </c>
      <c r="M4830" s="2" t="s">
        <v>64</v>
      </c>
      <c r="N4830" s="2" t="s">
        <v>21</v>
      </c>
      <c r="O4830">
        <f t="shared" si="150"/>
        <v>1.3900000000000006</v>
      </c>
      <c r="P4830">
        <f t="shared" si="151"/>
        <v>12.238000000000003</v>
      </c>
    </row>
    <row r="4831" spans="1:16" x14ac:dyDescent="0.35">
      <c r="A4831" s="9" t="s">
        <v>358</v>
      </c>
      <c r="B4831" s="2">
        <v>116.41</v>
      </c>
      <c r="C4831" s="2">
        <v>117.24</v>
      </c>
      <c r="D4831" s="2">
        <v>115.38</v>
      </c>
      <c r="E4831" s="2">
        <v>116.99</v>
      </c>
      <c r="F4831" s="2">
        <v>13816996</v>
      </c>
      <c r="G4831" s="2" t="s">
        <v>579</v>
      </c>
      <c r="H4831" s="2" t="s">
        <v>580</v>
      </c>
      <c r="I4831" s="2" t="s">
        <v>581</v>
      </c>
      <c r="J4831" s="3">
        <v>0.64500000000000002</v>
      </c>
      <c r="K4831" s="2" t="s">
        <v>359</v>
      </c>
      <c r="L4831" s="2">
        <v>2024</v>
      </c>
      <c r="M4831" s="2" t="s">
        <v>89</v>
      </c>
      <c r="N4831" s="2" t="s">
        <v>21</v>
      </c>
      <c r="O4831">
        <f t="shared" si="150"/>
        <v>1.8599999999999994</v>
      </c>
      <c r="P4831">
        <f t="shared" si="151"/>
        <v>12.883000000000003</v>
      </c>
    </row>
    <row r="4832" spans="1:16" x14ac:dyDescent="0.35">
      <c r="A4832" s="9" t="s">
        <v>360</v>
      </c>
      <c r="B4832" s="2">
        <v>117.92</v>
      </c>
      <c r="C4832" s="2">
        <v>119.6</v>
      </c>
      <c r="D4832" s="2">
        <v>117.33</v>
      </c>
      <c r="E4832" s="2">
        <v>119.28</v>
      </c>
      <c r="F4832" s="2">
        <v>19919643</v>
      </c>
      <c r="G4832" s="2" t="s">
        <v>579</v>
      </c>
      <c r="H4832" s="2" t="s">
        <v>580</v>
      </c>
      <c r="I4832" s="2" t="s">
        <v>581</v>
      </c>
      <c r="J4832" s="3">
        <v>1.9570000000000001</v>
      </c>
      <c r="K4832" s="2" t="s">
        <v>359</v>
      </c>
      <c r="L4832" s="2">
        <v>2024</v>
      </c>
      <c r="M4832" s="2" t="s">
        <v>89</v>
      </c>
      <c r="N4832" s="2" t="s">
        <v>21</v>
      </c>
      <c r="O4832">
        <f t="shared" si="150"/>
        <v>2.269999999999996</v>
      </c>
      <c r="P4832">
        <f t="shared" si="151"/>
        <v>14.840000000000003</v>
      </c>
    </row>
    <row r="4833" spans="1:16" x14ac:dyDescent="0.35">
      <c r="A4833" s="9" t="s">
        <v>361</v>
      </c>
      <c r="B4833" s="2">
        <v>119.48</v>
      </c>
      <c r="C4833" s="2">
        <v>119.748</v>
      </c>
      <c r="D4833" s="2">
        <v>118.73</v>
      </c>
      <c r="E4833" s="2">
        <v>119.3</v>
      </c>
      <c r="F4833" s="2">
        <v>16504307</v>
      </c>
      <c r="G4833" s="2" t="s">
        <v>579</v>
      </c>
      <c r="H4833" s="2" t="s">
        <v>580</v>
      </c>
      <c r="I4833" s="2" t="s">
        <v>581</v>
      </c>
      <c r="J4833" s="3">
        <v>1.7000000000000001E-2</v>
      </c>
      <c r="K4833" s="2" t="s">
        <v>359</v>
      </c>
      <c r="L4833" s="2">
        <v>2024</v>
      </c>
      <c r="M4833" s="2" t="s">
        <v>89</v>
      </c>
      <c r="N4833" s="2" t="s">
        <v>21</v>
      </c>
      <c r="O4833">
        <f t="shared" si="150"/>
        <v>1.0180000000000007</v>
      </c>
      <c r="P4833">
        <f t="shared" si="151"/>
        <v>14.857000000000003</v>
      </c>
    </row>
    <row r="4834" spans="1:16" x14ac:dyDescent="0.35">
      <c r="A4834" s="9" t="s">
        <v>362</v>
      </c>
      <c r="B4834" s="2">
        <v>119.05</v>
      </c>
      <c r="C4834" s="2">
        <v>119.88</v>
      </c>
      <c r="D4834" s="2">
        <v>118.64</v>
      </c>
      <c r="E4834" s="2">
        <v>119.72</v>
      </c>
      <c r="F4834" s="2">
        <v>18467362</v>
      </c>
      <c r="G4834" s="2" t="s">
        <v>579</v>
      </c>
      <c r="H4834" s="2" t="s">
        <v>580</v>
      </c>
      <c r="I4834" s="2" t="s">
        <v>581</v>
      </c>
      <c r="J4834" s="3">
        <v>0.35199999999999998</v>
      </c>
      <c r="K4834" s="2" t="s">
        <v>359</v>
      </c>
      <c r="L4834" s="2">
        <v>2024</v>
      </c>
      <c r="M4834" s="2" t="s">
        <v>89</v>
      </c>
      <c r="N4834" s="2" t="s">
        <v>21</v>
      </c>
      <c r="O4834">
        <f t="shared" si="150"/>
        <v>1.2399999999999949</v>
      </c>
      <c r="P4834">
        <f t="shared" si="151"/>
        <v>15.209000000000003</v>
      </c>
    </row>
    <row r="4835" spans="1:16" x14ac:dyDescent="0.35">
      <c r="A4835" s="9" t="s">
        <v>363</v>
      </c>
      <c r="B4835" s="2">
        <v>119.98</v>
      </c>
      <c r="C4835" s="2">
        <v>122.15</v>
      </c>
      <c r="D4835" s="2">
        <v>119.64</v>
      </c>
      <c r="E4835" s="2">
        <v>121.37</v>
      </c>
      <c r="F4835" s="2">
        <v>21720591</v>
      </c>
      <c r="G4835" s="2" t="s">
        <v>579</v>
      </c>
      <c r="H4835" s="2" t="s">
        <v>580</v>
      </c>
      <c r="I4835" s="2" t="s">
        <v>581</v>
      </c>
      <c r="J4835" s="3">
        <v>1.3779999999999999</v>
      </c>
      <c r="K4835" s="2" t="s">
        <v>359</v>
      </c>
      <c r="L4835" s="2">
        <v>2024</v>
      </c>
      <c r="M4835" s="2" t="s">
        <v>89</v>
      </c>
      <c r="N4835" s="2" t="s">
        <v>21</v>
      </c>
      <c r="O4835">
        <f t="shared" si="150"/>
        <v>2.5100000000000051</v>
      </c>
      <c r="P4835">
        <f t="shared" si="151"/>
        <v>16.587000000000003</v>
      </c>
    </row>
    <row r="4836" spans="1:16" x14ac:dyDescent="0.35">
      <c r="A4836" s="9" t="s">
        <v>364</v>
      </c>
      <c r="B4836" s="2">
        <v>121.08</v>
      </c>
      <c r="C4836" s="2">
        <v>121.735</v>
      </c>
      <c r="D4836" s="2">
        <v>120.205</v>
      </c>
      <c r="E4836" s="2">
        <v>120.55</v>
      </c>
      <c r="F4836" s="2">
        <v>17513939</v>
      </c>
      <c r="G4836" s="2" t="s">
        <v>579</v>
      </c>
      <c r="H4836" s="2" t="s">
        <v>580</v>
      </c>
      <c r="I4836" s="2" t="s">
        <v>581</v>
      </c>
      <c r="J4836" s="4">
        <v>-0.67600000000000005</v>
      </c>
      <c r="K4836" s="2" t="s">
        <v>359</v>
      </c>
      <c r="L4836" s="2">
        <v>2024</v>
      </c>
      <c r="M4836" s="2" t="s">
        <v>89</v>
      </c>
      <c r="N4836" s="2" t="s">
        <v>23</v>
      </c>
      <c r="O4836">
        <f t="shared" si="150"/>
        <v>1.5300000000000011</v>
      </c>
      <c r="P4836">
        <f t="shared" si="151"/>
        <v>15.911000000000003</v>
      </c>
    </row>
    <row r="4837" spans="1:16" x14ac:dyDescent="0.35">
      <c r="A4837" s="9" t="s">
        <v>365</v>
      </c>
      <c r="B4837" s="2">
        <v>121</v>
      </c>
      <c r="C4837" s="2">
        <v>121.649</v>
      </c>
      <c r="D4837" s="2">
        <v>120.34</v>
      </c>
      <c r="E4837" s="2">
        <v>121.18</v>
      </c>
      <c r="F4837" s="2">
        <v>14135720</v>
      </c>
      <c r="G4837" s="2" t="s">
        <v>579</v>
      </c>
      <c r="H4837" s="2" t="s">
        <v>580</v>
      </c>
      <c r="I4837" s="2" t="s">
        <v>581</v>
      </c>
      <c r="J4837" s="3">
        <v>0.52300000000000002</v>
      </c>
      <c r="K4837" s="2" t="s">
        <v>359</v>
      </c>
      <c r="L4837" s="2">
        <v>2024</v>
      </c>
      <c r="M4837" s="2" t="s">
        <v>89</v>
      </c>
      <c r="N4837" s="2" t="s">
        <v>21</v>
      </c>
      <c r="O4837">
        <f t="shared" si="150"/>
        <v>1.3089999999999975</v>
      </c>
      <c r="P4837">
        <f t="shared" si="151"/>
        <v>16.434000000000005</v>
      </c>
    </row>
    <row r="4838" spans="1:16" x14ac:dyDescent="0.35">
      <c r="A4838" s="9" t="s">
        <v>366</v>
      </c>
      <c r="B4838" s="2">
        <v>121.22</v>
      </c>
      <c r="C4838" s="2">
        <v>122.47</v>
      </c>
      <c r="D4838" s="2">
        <v>120.73</v>
      </c>
      <c r="E4838" s="2">
        <v>122.2</v>
      </c>
      <c r="F4838" s="2">
        <v>17409184</v>
      </c>
      <c r="G4838" s="2" t="s">
        <v>579</v>
      </c>
      <c r="H4838" s="2" t="s">
        <v>580</v>
      </c>
      <c r="I4838" s="2" t="s">
        <v>581</v>
      </c>
      <c r="J4838" s="3">
        <v>0.84199999999999997</v>
      </c>
      <c r="K4838" s="2" t="s">
        <v>359</v>
      </c>
      <c r="L4838" s="2">
        <v>2024</v>
      </c>
      <c r="M4838" s="2" t="s">
        <v>89</v>
      </c>
      <c r="N4838" s="2" t="s">
        <v>21</v>
      </c>
      <c r="O4838">
        <f t="shared" si="150"/>
        <v>1.7399999999999949</v>
      </c>
      <c r="P4838">
        <f t="shared" si="151"/>
        <v>17.276000000000003</v>
      </c>
    </row>
    <row r="4839" spans="1:16" x14ac:dyDescent="0.35">
      <c r="A4839" s="9" t="s">
        <v>367</v>
      </c>
      <c r="B4839" s="2">
        <v>122.69</v>
      </c>
      <c r="C4839" s="2">
        <v>122.69</v>
      </c>
      <c r="D4839" s="2">
        <v>120.34</v>
      </c>
      <c r="E4839" s="2">
        <v>121.79</v>
      </c>
      <c r="F4839" s="2">
        <v>17555869</v>
      </c>
      <c r="G4839" s="2" t="s">
        <v>579</v>
      </c>
      <c r="H4839" s="2" t="s">
        <v>580</v>
      </c>
      <c r="I4839" s="2" t="s">
        <v>581</v>
      </c>
      <c r="J4839" s="4">
        <v>-0.33600000000000002</v>
      </c>
      <c r="K4839" s="2" t="s">
        <v>359</v>
      </c>
      <c r="L4839" s="2">
        <v>2024</v>
      </c>
      <c r="M4839" s="2" t="s">
        <v>89</v>
      </c>
      <c r="N4839" s="2" t="s">
        <v>23</v>
      </c>
      <c r="O4839">
        <f t="shared" si="150"/>
        <v>2.3499999999999943</v>
      </c>
      <c r="P4839">
        <f t="shared" si="151"/>
        <v>16.940000000000005</v>
      </c>
    </row>
    <row r="4840" spans="1:16" x14ac:dyDescent="0.35">
      <c r="A4840" s="9" t="s">
        <v>368</v>
      </c>
      <c r="B4840" s="2">
        <v>122.95</v>
      </c>
      <c r="C4840" s="2">
        <v>123.75</v>
      </c>
      <c r="D4840" s="2">
        <v>119.67</v>
      </c>
      <c r="E4840" s="2">
        <v>120.37</v>
      </c>
      <c r="F4840" s="2">
        <v>21556218</v>
      </c>
      <c r="G4840" s="2" t="s">
        <v>579</v>
      </c>
      <c r="H4840" s="2" t="s">
        <v>580</v>
      </c>
      <c r="I4840" s="2" t="s">
        <v>581</v>
      </c>
      <c r="J4840" s="4">
        <v>-1.1659999999999999</v>
      </c>
      <c r="K4840" s="2" t="s">
        <v>359</v>
      </c>
      <c r="L4840" s="2">
        <v>2024</v>
      </c>
      <c r="M4840" s="2" t="s">
        <v>89</v>
      </c>
      <c r="N4840" s="2" t="s">
        <v>23</v>
      </c>
      <c r="O4840">
        <f t="shared" si="150"/>
        <v>4.0799999999999983</v>
      </c>
      <c r="P4840">
        <f t="shared" si="151"/>
        <v>15.774000000000004</v>
      </c>
    </row>
    <row r="4841" spans="1:16" x14ac:dyDescent="0.35">
      <c r="A4841" s="9" t="s">
        <v>369</v>
      </c>
      <c r="B4841" s="2">
        <v>121.09</v>
      </c>
      <c r="C4841" s="2">
        <v>121.69</v>
      </c>
      <c r="D4841" s="2">
        <v>119.45</v>
      </c>
      <c r="E4841" s="2">
        <v>119.68</v>
      </c>
      <c r="F4841" s="2">
        <v>15029528</v>
      </c>
      <c r="G4841" s="2" t="s">
        <v>579</v>
      </c>
      <c r="H4841" s="2" t="s">
        <v>580</v>
      </c>
      <c r="I4841" s="2" t="s">
        <v>581</v>
      </c>
      <c r="J4841" s="4">
        <v>-0.57299999999999995</v>
      </c>
      <c r="K4841" s="2" t="s">
        <v>359</v>
      </c>
      <c r="L4841" s="2">
        <v>2024</v>
      </c>
      <c r="M4841" s="2" t="s">
        <v>89</v>
      </c>
      <c r="N4841" s="2" t="s">
        <v>23</v>
      </c>
      <c r="O4841">
        <f t="shared" si="150"/>
        <v>2.2399999999999949</v>
      </c>
      <c r="P4841">
        <f t="shared" si="151"/>
        <v>15.201000000000004</v>
      </c>
    </row>
    <row r="4842" spans="1:16" x14ac:dyDescent="0.35">
      <c r="A4842" s="9" t="s">
        <v>370</v>
      </c>
      <c r="B4842" s="2">
        <v>119.55500000000001</v>
      </c>
      <c r="C4842" s="2">
        <v>120.22</v>
      </c>
      <c r="D4842" s="2">
        <v>117.92</v>
      </c>
      <c r="E4842" s="2">
        <v>118.69</v>
      </c>
      <c r="F4842" s="2">
        <v>18082228</v>
      </c>
      <c r="G4842" s="2" t="s">
        <v>579</v>
      </c>
      <c r="H4842" s="2" t="s">
        <v>580</v>
      </c>
      <c r="I4842" s="2" t="s">
        <v>581</v>
      </c>
      <c r="J4842" s="4">
        <v>-0.82699999999999996</v>
      </c>
      <c r="K4842" s="2" t="s">
        <v>359</v>
      </c>
      <c r="L4842" s="2">
        <v>2024</v>
      </c>
      <c r="M4842" s="2" t="s">
        <v>89</v>
      </c>
      <c r="N4842" s="2" t="s">
        <v>23</v>
      </c>
      <c r="O4842">
        <f t="shared" si="150"/>
        <v>2.2999999999999972</v>
      </c>
      <c r="P4842">
        <f t="shared" si="151"/>
        <v>14.374000000000004</v>
      </c>
    </row>
    <row r="4843" spans="1:16" x14ac:dyDescent="0.35">
      <c r="A4843" s="9" t="s">
        <v>371</v>
      </c>
      <c r="B4843" s="2">
        <v>118.55</v>
      </c>
      <c r="C4843" s="2">
        <v>119.35</v>
      </c>
      <c r="D4843" s="2">
        <v>117.12</v>
      </c>
      <c r="E4843" s="2">
        <v>118.63</v>
      </c>
      <c r="F4843" s="2">
        <v>14538577</v>
      </c>
      <c r="G4843" s="2" t="s">
        <v>579</v>
      </c>
      <c r="H4843" s="2" t="s">
        <v>580</v>
      </c>
      <c r="I4843" s="2" t="s">
        <v>581</v>
      </c>
      <c r="J4843" s="4">
        <v>-5.0999999999999997E-2</v>
      </c>
      <c r="K4843" s="2" t="s">
        <v>359</v>
      </c>
      <c r="L4843" s="2">
        <v>2024</v>
      </c>
      <c r="M4843" s="2" t="s">
        <v>89</v>
      </c>
      <c r="N4843" s="2" t="s">
        <v>23</v>
      </c>
      <c r="O4843">
        <f t="shared" si="150"/>
        <v>2.2299999999999898</v>
      </c>
      <c r="P4843">
        <f t="shared" si="151"/>
        <v>14.323000000000004</v>
      </c>
    </row>
    <row r="4844" spans="1:16" x14ac:dyDescent="0.35">
      <c r="A4844" s="9" t="s">
        <v>372</v>
      </c>
      <c r="B4844" s="2">
        <v>119</v>
      </c>
      <c r="C4844" s="2">
        <v>119.72</v>
      </c>
      <c r="D4844" s="2">
        <v>117.97</v>
      </c>
      <c r="E4844" s="2">
        <v>118.52</v>
      </c>
      <c r="F4844" s="2">
        <v>13821356</v>
      </c>
      <c r="G4844" s="2" t="s">
        <v>579</v>
      </c>
      <c r="H4844" s="2" t="s">
        <v>580</v>
      </c>
      <c r="I4844" s="2" t="s">
        <v>581</v>
      </c>
      <c r="J4844" s="4">
        <v>-9.2999999999999999E-2</v>
      </c>
      <c r="K4844" s="2" t="s">
        <v>359</v>
      </c>
      <c r="L4844" s="2">
        <v>2024</v>
      </c>
      <c r="M4844" s="2" t="s">
        <v>89</v>
      </c>
      <c r="N4844" s="2" t="s">
        <v>23</v>
      </c>
      <c r="O4844">
        <f t="shared" si="150"/>
        <v>1.75</v>
      </c>
      <c r="P4844">
        <f t="shared" si="151"/>
        <v>14.230000000000004</v>
      </c>
    </row>
    <row r="4845" spans="1:16" x14ac:dyDescent="0.35">
      <c r="A4845" s="9" t="s">
        <v>373</v>
      </c>
      <c r="B4845" s="2">
        <v>119.155</v>
      </c>
      <c r="C4845" s="2">
        <v>120.925</v>
      </c>
      <c r="D4845" s="2">
        <v>118.95</v>
      </c>
      <c r="E4845" s="2">
        <v>119.88</v>
      </c>
      <c r="F4845" s="2">
        <v>21563940</v>
      </c>
      <c r="G4845" s="2" t="s">
        <v>579</v>
      </c>
      <c r="H4845" s="2" t="s">
        <v>580</v>
      </c>
      <c r="I4845" s="2" t="s">
        <v>581</v>
      </c>
      <c r="J4845" s="3">
        <v>1.147</v>
      </c>
      <c r="K4845" s="2" t="s">
        <v>359</v>
      </c>
      <c r="L4845" s="2">
        <v>2024</v>
      </c>
      <c r="M4845" s="2" t="s">
        <v>89</v>
      </c>
      <c r="N4845" s="2" t="s">
        <v>21</v>
      </c>
      <c r="O4845">
        <f t="shared" si="150"/>
        <v>1.9749999999999943</v>
      </c>
      <c r="P4845">
        <f t="shared" si="151"/>
        <v>15.377000000000004</v>
      </c>
    </row>
    <row r="4846" spans="1:16" x14ac:dyDescent="0.35">
      <c r="A4846" s="9" t="s">
        <v>374</v>
      </c>
      <c r="B4846" s="2">
        <v>119.26</v>
      </c>
      <c r="C4846" s="2">
        <v>121.565</v>
      </c>
      <c r="D4846" s="2">
        <v>118.43</v>
      </c>
      <c r="E4846" s="2">
        <v>120.56</v>
      </c>
      <c r="F4846" s="2">
        <v>16340694</v>
      </c>
      <c r="G4846" s="2" t="s">
        <v>579</v>
      </c>
      <c r="H4846" s="2" t="s">
        <v>580</v>
      </c>
      <c r="I4846" s="2" t="s">
        <v>581</v>
      </c>
      <c r="J4846" s="3">
        <v>0.56699999999999995</v>
      </c>
      <c r="K4846" s="2" t="s">
        <v>359</v>
      </c>
      <c r="L4846" s="2">
        <v>2024</v>
      </c>
      <c r="M4846" s="2" t="s">
        <v>89</v>
      </c>
      <c r="N4846" s="2" t="s">
        <v>21</v>
      </c>
      <c r="O4846">
        <f t="shared" si="150"/>
        <v>3.1349999999999909</v>
      </c>
      <c r="P4846">
        <f t="shared" si="151"/>
        <v>15.944000000000004</v>
      </c>
    </row>
    <row r="4847" spans="1:16" x14ac:dyDescent="0.35">
      <c r="A4847" s="9" t="s">
        <v>375</v>
      </c>
      <c r="B4847" s="2">
        <v>120</v>
      </c>
      <c r="C4847" s="2">
        <v>121.06</v>
      </c>
      <c r="D4847" s="2">
        <v>119.45</v>
      </c>
      <c r="E4847" s="2">
        <v>121.03</v>
      </c>
      <c r="F4847" s="2">
        <v>13929816</v>
      </c>
      <c r="G4847" s="2" t="s">
        <v>579</v>
      </c>
      <c r="H4847" s="2" t="s">
        <v>580</v>
      </c>
      <c r="I4847" s="2" t="s">
        <v>581</v>
      </c>
      <c r="J4847" s="3">
        <v>0.39</v>
      </c>
      <c r="K4847" s="2" t="s">
        <v>359</v>
      </c>
      <c r="L4847" s="2">
        <v>2024</v>
      </c>
      <c r="M4847" s="2" t="s">
        <v>89</v>
      </c>
      <c r="N4847" s="2" t="s">
        <v>21</v>
      </c>
      <c r="O4847">
        <f t="shared" si="150"/>
        <v>1.6099999999999994</v>
      </c>
      <c r="P4847">
        <f t="shared" si="151"/>
        <v>16.334000000000003</v>
      </c>
    </row>
    <row r="4848" spans="1:16" x14ac:dyDescent="0.35">
      <c r="A4848" s="9" t="s">
        <v>376</v>
      </c>
      <c r="B4848" s="2">
        <v>120.3</v>
      </c>
      <c r="C4848" s="2">
        <v>121.255</v>
      </c>
      <c r="D4848" s="2">
        <v>119.39</v>
      </c>
      <c r="E4848" s="2">
        <v>121.05</v>
      </c>
      <c r="F4848" s="2">
        <v>12101161</v>
      </c>
      <c r="G4848" s="2" t="s">
        <v>579</v>
      </c>
      <c r="H4848" s="2" t="s">
        <v>580</v>
      </c>
      <c r="I4848" s="2" t="s">
        <v>581</v>
      </c>
      <c r="J4848" s="3">
        <v>1.7000000000000001E-2</v>
      </c>
      <c r="K4848" s="2" t="s">
        <v>359</v>
      </c>
      <c r="L4848" s="2">
        <v>2024</v>
      </c>
      <c r="M4848" s="2" t="s">
        <v>89</v>
      </c>
      <c r="N4848" s="2" t="s">
        <v>21</v>
      </c>
      <c r="O4848">
        <f t="shared" si="150"/>
        <v>1.8649999999999949</v>
      </c>
      <c r="P4848">
        <f t="shared" si="151"/>
        <v>16.351000000000003</v>
      </c>
    </row>
    <row r="4849" spans="1:16" x14ac:dyDescent="0.35">
      <c r="A4849" s="9" t="s">
        <v>377</v>
      </c>
      <c r="B4849" s="2">
        <v>121.03</v>
      </c>
      <c r="C4849" s="2">
        <v>121.76</v>
      </c>
      <c r="D4849" s="2">
        <v>119.4</v>
      </c>
      <c r="E4849" s="2">
        <v>121.33</v>
      </c>
      <c r="F4849" s="2">
        <v>16041029</v>
      </c>
      <c r="G4849" s="2" t="s">
        <v>579</v>
      </c>
      <c r="H4849" s="2" t="s">
        <v>580</v>
      </c>
      <c r="I4849" s="2" t="s">
        <v>581</v>
      </c>
      <c r="J4849" s="3">
        <v>0.23100000000000001</v>
      </c>
      <c r="K4849" s="2" t="s">
        <v>359</v>
      </c>
      <c r="L4849" s="2">
        <v>2024</v>
      </c>
      <c r="M4849" s="2" t="s">
        <v>89</v>
      </c>
      <c r="N4849" s="2" t="s">
        <v>21</v>
      </c>
      <c r="O4849">
        <f t="shared" si="150"/>
        <v>2.3599999999999994</v>
      </c>
      <c r="P4849">
        <f t="shared" si="151"/>
        <v>16.582000000000004</v>
      </c>
    </row>
    <row r="4850" spans="1:16" x14ac:dyDescent="0.35">
      <c r="A4850" s="9" t="s">
        <v>378</v>
      </c>
      <c r="B4850" s="2">
        <v>119</v>
      </c>
      <c r="C4850" s="2">
        <v>119.1</v>
      </c>
      <c r="D4850" s="2">
        <v>116.22</v>
      </c>
      <c r="E4850" s="2">
        <v>117.96</v>
      </c>
      <c r="F4850" s="2">
        <v>27289468</v>
      </c>
      <c r="G4850" s="2" t="s">
        <v>579</v>
      </c>
      <c r="H4850" s="2" t="s">
        <v>580</v>
      </c>
      <c r="I4850" s="2" t="s">
        <v>581</v>
      </c>
      <c r="J4850" s="4">
        <v>-2.778</v>
      </c>
      <c r="K4850" s="2" t="s">
        <v>359</v>
      </c>
      <c r="L4850" s="2">
        <v>2024</v>
      </c>
      <c r="M4850" s="2" t="s">
        <v>89</v>
      </c>
      <c r="N4850" s="2" t="s">
        <v>23</v>
      </c>
      <c r="O4850">
        <f t="shared" si="150"/>
        <v>2.8799999999999955</v>
      </c>
      <c r="P4850">
        <f t="shared" si="151"/>
        <v>13.804000000000004</v>
      </c>
    </row>
    <row r="4851" spans="1:16" x14ac:dyDescent="0.35">
      <c r="A4851" s="9" t="s">
        <v>379</v>
      </c>
      <c r="B4851" s="2">
        <v>117.76</v>
      </c>
      <c r="C4851" s="2">
        <v>120.05</v>
      </c>
      <c r="D4851" s="2">
        <v>117.76</v>
      </c>
      <c r="E4851" s="2">
        <v>119.64</v>
      </c>
      <c r="F4851" s="2">
        <v>17343755</v>
      </c>
      <c r="G4851" s="2" t="s">
        <v>579</v>
      </c>
      <c r="H4851" s="2" t="s">
        <v>580</v>
      </c>
      <c r="I4851" s="2" t="s">
        <v>581</v>
      </c>
      <c r="J4851" s="3">
        <v>1.4239999999999999</v>
      </c>
      <c r="K4851" s="2" t="s">
        <v>359</v>
      </c>
      <c r="L4851" s="2">
        <v>2024</v>
      </c>
      <c r="M4851" s="2" t="s">
        <v>89</v>
      </c>
      <c r="N4851" s="2" t="s">
        <v>21</v>
      </c>
      <c r="O4851">
        <f t="shared" si="150"/>
        <v>2.289999999999992</v>
      </c>
      <c r="P4851">
        <f t="shared" si="151"/>
        <v>15.228000000000003</v>
      </c>
    </row>
    <row r="4852" spans="1:16" x14ac:dyDescent="0.35">
      <c r="A4852" s="9" t="s">
        <v>380</v>
      </c>
      <c r="B4852" s="2">
        <v>119.11</v>
      </c>
      <c r="C4852" s="2">
        <v>120.2</v>
      </c>
      <c r="D4852" s="2">
        <v>117.98</v>
      </c>
      <c r="E4852" s="2">
        <v>118.27</v>
      </c>
      <c r="F4852" s="2">
        <v>21083294</v>
      </c>
      <c r="G4852" s="2" t="s">
        <v>579</v>
      </c>
      <c r="H4852" s="2" t="s">
        <v>580</v>
      </c>
      <c r="I4852" s="2" t="s">
        <v>581</v>
      </c>
      <c r="J4852" s="4">
        <v>-1.145</v>
      </c>
      <c r="K4852" s="2" t="s">
        <v>359</v>
      </c>
      <c r="L4852" s="2">
        <v>2024</v>
      </c>
      <c r="M4852" s="2" t="s">
        <v>89</v>
      </c>
      <c r="N4852" s="2" t="s">
        <v>23</v>
      </c>
      <c r="O4852">
        <f t="shared" si="150"/>
        <v>2.2199999999999989</v>
      </c>
      <c r="P4852">
        <f t="shared" si="151"/>
        <v>14.083000000000004</v>
      </c>
    </row>
    <row r="4853" spans="1:16" x14ac:dyDescent="0.35">
      <c r="A4853" s="9" t="s">
        <v>381</v>
      </c>
      <c r="B4853" s="2">
        <v>118.28</v>
      </c>
      <c r="C4853" s="2">
        <v>118.47</v>
      </c>
      <c r="D4853" s="2">
        <v>115.66</v>
      </c>
      <c r="E4853" s="2">
        <v>116.03</v>
      </c>
      <c r="F4853" s="2">
        <v>27789759</v>
      </c>
      <c r="G4853" s="2" t="s">
        <v>579</v>
      </c>
      <c r="H4853" s="2" t="s">
        <v>580</v>
      </c>
      <c r="I4853" s="2" t="s">
        <v>581</v>
      </c>
      <c r="J4853" s="4">
        <v>-1.8939999999999999</v>
      </c>
      <c r="K4853" s="2" t="s">
        <v>382</v>
      </c>
      <c r="L4853" s="2">
        <v>2024</v>
      </c>
      <c r="M4853" s="2" t="s">
        <v>110</v>
      </c>
      <c r="N4853" s="2" t="s">
        <v>23</v>
      </c>
      <c r="O4853">
        <f t="shared" si="150"/>
        <v>2.8100000000000023</v>
      </c>
      <c r="P4853">
        <f t="shared" si="151"/>
        <v>12.189000000000004</v>
      </c>
    </row>
    <row r="4854" spans="1:16" x14ac:dyDescent="0.35">
      <c r="A4854" s="9" t="s">
        <v>383</v>
      </c>
      <c r="B4854" s="2">
        <v>116.26</v>
      </c>
      <c r="C4854" s="2">
        <v>117.26</v>
      </c>
      <c r="D4854" s="2">
        <v>115.9</v>
      </c>
      <c r="E4854" s="2">
        <v>116.24</v>
      </c>
      <c r="F4854" s="2">
        <v>25513648</v>
      </c>
      <c r="G4854" s="2" t="s">
        <v>579</v>
      </c>
      <c r="H4854" s="2" t="s">
        <v>580</v>
      </c>
      <c r="I4854" s="2" t="s">
        <v>581</v>
      </c>
      <c r="J4854" s="3">
        <v>0.18099999999999999</v>
      </c>
      <c r="K4854" s="2" t="s">
        <v>382</v>
      </c>
      <c r="L4854" s="2">
        <v>2024</v>
      </c>
      <c r="M4854" s="2" t="s">
        <v>110</v>
      </c>
      <c r="N4854" s="2" t="s">
        <v>21</v>
      </c>
      <c r="O4854">
        <f t="shared" si="150"/>
        <v>1.3599999999999994</v>
      </c>
      <c r="P4854">
        <f t="shared" si="151"/>
        <v>12.370000000000003</v>
      </c>
    </row>
    <row r="4855" spans="1:16" x14ac:dyDescent="0.35">
      <c r="A4855" s="9" t="s">
        <v>384</v>
      </c>
      <c r="B4855" s="2">
        <v>116</v>
      </c>
      <c r="C4855" s="2">
        <v>116.07</v>
      </c>
      <c r="D4855" s="2">
        <v>114.13</v>
      </c>
      <c r="E4855" s="2">
        <v>116</v>
      </c>
      <c r="F4855" s="2">
        <v>28023313</v>
      </c>
      <c r="G4855" s="2" t="s">
        <v>579</v>
      </c>
      <c r="H4855" s="2" t="s">
        <v>580</v>
      </c>
      <c r="I4855" s="2" t="s">
        <v>581</v>
      </c>
      <c r="J4855" s="4">
        <v>-0.20599999999999999</v>
      </c>
      <c r="K4855" s="2" t="s">
        <v>382</v>
      </c>
      <c r="L4855" s="2">
        <v>2024</v>
      </c>
      <c r="M4855" s="2" t="s">
        <v>110</v>
      </c>
      <c r="N4855" s="2" t="s">
        <v>23</v>
      </c>
      <c r="O4855">
        <f t="shared" si="150"/>
        <v>1.9399999999999977</v>
      </c>
      <c r="P4855">
        <f t="shared" si="151"/>
        <v>12.164000000000003</v>
      </c>
    </row>
    <row r="4856" spans="1:16" x14ac:dyDescent="0.35">
      <c r="A4856" s="9" t="s">
        <v>385</v>
      </c>
      <c r="B4856" s="2">
        <v>116.67</v>
      </c>
      <c r="C4856" s="2">
        <v>118.34</v>
      </c>
      <c r="D4856" s="2">
        <v>116.4</v>
      </c>
      <c r="E4856" s="2">
        <v>116.75</v>
      </c>
      <c r="F4856" s="2">
        <v>31401260</v>
      </c>
      <c r="G4856" s="2" t="s">
        <v>579</v>
      </c>
      <c r="H4856" s="2" t="s">
        <v>580</v>
      </c>
      <c r="I4856" s="2" t="s">
        <v>581</v>
      </c>
      <c r="J4856" s="3">
        <v>0.64700000000000002</v>
      </c>
      <c r="K4856" s="2" t="s">
        <v>382</v>
      </c>
      <c r="L4856" s="2">
        <v>2024</v>
      </c>
      <c r="M4856" s="2" t="s">
        <v>110</v>
      </c>
      <c r="N4856" s="2" t="s">
        <v>21</v>
      </c>
      <c r="O4856">
        <f t="shared" si="150"/>
        <v>1.9399999999999977</v>
      </c>
      <c r="P4856">
        <f t="shared" si="151"/>
        <v>12.811000000000003</v>
      </c>
    </row>
    <row r="4857" spans="1:16" x14ac:dyDescent="0.35">
      <c r="A4857" s="9" t="s">
        <v>386</v>
      </c>
      <c r="B4857" s="2">
        <v>117.28</v>
      </c>
      <c r="C4857" s="2">
        <v>117.58</v>
      </c>
      <c r="D4857" s="2">
        <v>115.93</v>
      </c>
      <c r="E4857" s="2">
        <v>116.17</v>
      </c>
      <c r="F4857" s="2">
        <v>30121973</v>
      </c>
      <c r="G4857" s="2" t="s">
        <v>579</v>
      </c>
      <c r="H4857" s="2" t="s">
        <v>580</v>
      </c>
      <c r="I4857" s="2" t="s">
        <v>581</v>
      </c>
      <c r="J4857" s="4">
        <v>-0.497</v>
      </c>
      <c r="K4857" s="2" t="s">
        <v>382</v>
      </c>
      <c r="L4857" s="2">
        <v>2024</v>
      </c>
      <c r="M4857" s="2" t="s">
        <v>110</v>
      </c>
      <c r="N4857" s="2" t="s">
        <v>23</v>
      </c>
      <c r="O4857">
        <f t="shared" si="150"/>
        <v>1.6499999999999915</v>
      </c>
      <c r="P4857">
        <f t="shared" si="151"/>
        <v>12.314000000000004</v>
      </c>
    </row>
    <row r="4858" spans="1:16" x14ac:dyDescent="0.35">
      <c r="A4858" s="9" t="s">
        <v>387</v>
      </c>
      <c r="B4858" s="2">
        <v>115.71</v>
      </c>
      <c r="C4858" s="2">
        <v>116.95399999999999</v>
      </c>
      <c r="D4858" s="2">
        <v>115.41</v>
      </c>
      <c r="E4858" s="2">
        <v>116.15</v>
      </c>
      <c r="F4858" s="2">
        <v>18957166</v>
      </c>
      <c r="G4858" s="2" t="s">
        <v>579</v>
      </c>
      <c r="H4858" s="2" t="s">
        <v>580</v>
      </c>
      <c r="I4858" s="2" t="s">
        <v>581</v>
      </c>
      <c r="J4858" s="4">
        <v>-1.7000000000000001E-2</v>
      </c>
      <c r="K4858" s="2" t="s">
        <v>382</v>
      </c>
      <c r="L4858" s="2">
        <v>2024</v>
      </c>
      <c r="M4858" s="2" t="s">
        <v>110</v>
      </c>
      <c r="N4858" s="2" t="s">
        <v>23</v>
      </c>
      <c r="O4858">
        <f t="shared" si="150"/>
        <v>1.5439999999999969</v>
      </c>
      <c r="P4858">
        <f t="shared" si="151"/>
        <v>12.297000000000004</v>
      </c>
    </row>
    <row r="4859" spans="1:16" x14ac:dyDescent="0.35">
      <c r="A4859" s="9" t="s">
        <v>388</v>
      </c>
      <c r="B4859" s="2">
        <v>116.2</v>
      </c>
      <c r="C4859" s="2">
        <v>118.53</v>
      </c>
      <c r="D4859" s="2">
        <v>116.19</v>
      </c>
      <c r="E4859" s="2">
        <v>118.44</v>
      </c>
      <c r="F4859" s="2">
        <v>17563975</v>
      </c>
      <c r="G4859" s="2" t="s">
        <v>579</v>
      </c>
      <c r="H4859" s="2" t="s">
        <v>580</v>
      </c>
      <c r="I4859" s="2" t="s">
        <v>581</v>
      </c>
      <c r="J4859" s="3">
        <v>1.972</v>
      </c>
      <c r="K4859" s="2" t="s">
        <v>382</v>
      </c>
      <c r="L4859" s="2">
        <v>2024</v>
      </c>
      <c r="M4859" s="2" t="s">
        <v>110</v>
      </c>
      <c r="N4859" s="2" t="s">
        <v>21</v>
      </c>
      <c r="O4859">
        <f t="shared" si="150"/>
        <v>2.3400000000000034</v>
      </c>
      <c r="P4859">
        <f t="shared" si="151"/>
        <v>14.269000000000004</v>
      </c>
    </row>
    <row r="4860" spans="1:16" x14ac:dyDescent="0.35">
      <c r="A4860" s="9" t="s">
        <v>389</v>
      </c>
      <c r="B4860" s="2">
        <v>118.54</v>
      </c>
      <c r="C4860" s="2">
        <v>118.66</v>
      </c>
      <c r="D4860" s="2">
        <v>117.58</v>
      </c>
      <c r="E4860" s="2">
        <v>117.96</v>
      </c>
      <c r="F4860" s="2">
        <v>13648130</v>
      </c>
      <c r="G4860" s="2" t="s">
        <v>579</v>
      </c>
      <c r="H4860" s="2" t="s">
        <v>580</v>
      </c>
      <c r="I4860" s="2" t="s">
        <v>581</v>
      </c>
      <c r="J4860" s="4">
        <v>-0.40500000000000003</v>
      </c>
      <c r="K4860" s="2" t="s">
        <v>382</v>
      </c>
      <c r="L4860" s="2">
        <v>2024</v>
      </c>
      <c r="M4860" s="2" t="s">
        <v>110</v>
      </c>
      <c r="N4860" s="2" t="s">
        <v>23</v>
      </c>
      <c r="O4860">
        <f t="shared" si="150"/>
        <v>1.0799999999999983</v>
      </c>
      <c r="P4860">
        <f t="shared" si="151"/>
        <v>13.864000000000004</v>
      </c>
    </row>
    <row r="4861" spans="1:16" x14ac:dyDescent="0.35">
      <c r="A4861" s="9" t="s">
        <v>390</v>
      </c>
      <c r="B4861" s="2">
        <v>118.42</v>
      </c>
      <c r="C4861" s="2">
        <v>119.04</v>
      </c>
      <c r="D4861" s="2">
        <v>117.12</v>
      </c>
      <c r="E4861" s="2">
        <v>117.91</v>
      </c>
      <c r="F4861" s="2">
        <v>15060619</v>
      </c>
      <c r="G4861" s="2" t="s">
        <v>579</v>
      </c>
      <c r="H4861" s="2" t="s">
        <v>580</v>
      </c>
      <c r="I4861" s="2" t="s">
        <v>581</v>
      </c>
      <c r="J4861" s="4">
        <v>-4.2000000000000003E-2</v>
      </c>
      <c r="K4861" s="2" t="s">
        <v>382</v>
      </c>
      <c r="L4861" s="2">
        <v>2024</v>
      </c>
      <c r="M4861" s="2" t="s">
        <v>110</v>
      </c>
      <c r="N4861" s="2" t="s">
        <v>23</v>
      </c>
      <c r="O4861">
        <f t="shared" si="150"/>
        <v>1.9200000000000017</v>
      </c>
      <c r="P4861">
        <f t="shared" si="151"/>
        <v>13.822000000000005</v>
      </c>
    </row>
    <row r="4862" spans="1:16" x14ac:dyDescent="0.35">
      <c r="A4862" s="9" t="s">
        <v>391</v>
      </c>
      <c r="B4862" s="2">
        <v>116.79</v>
      </c>
      <c r="C4862" s="2">
        <v>117.74</v>
      </c>
      <c r="D4862" s="2">
        <v>116.48</v>
      </c>
      <c r="E4862" s="2">
        <v>117.67</v>
      </c>
      <c r="F4862" s="2">
        <v>15079131</v>
      </c>
      <c r="G4862" s="2" t="s">
        <v>579</v>
      </c>
      <c r="H4862" s="2" t="s">
        <v>580</v>
      </c>
      <c r="I4862" s="2" t="s">
        <v>581</v>
      </c>
      <c r="J4862" s="4">
        <v>-0.20399999999999999</v>
      </c>
      <c r="K4862" s="2" t="s">
        <v>382</v>
      </c>
      <c r="L4862" s="2">
        <v>2024</v>
      </c>
      <c r="M4862" s="2" t="s">
        <v>110</v>
      </c>
      <c r="N4862" s="2" t="s">
        <v>23</v>
      </c>
      <c r="O4862">
        <f t="shared" si="150"/>
        <v>1.2599999999999909</v>
      </c>
      <c r="P4862">
        <f t="shared" si="151"/>
        <v>13.618000000000004</v>
      </c>
    </row>
    <row r="4863" spans="1:16" x14ac:dyDescent="0.35">
      <c r="A4863" s="9" t="s">
        <v>392</v>
      </c>
      <c r="B4863" s="2">
        <v>117.61</v>
      </c>
      <c r="C4863" s="2">
        <v>118.84</v>
      </c>
      <c r="D4863" s="2">
        <v>116.08</v>
      </c>
      <c r="E4863" s="2">
        <v>118.58</v>
      </c>
      <c r="F4863" s="2">
        <v>18244303</v>
      </c>
      <c r="G4863" s="2" t="s">
        <v>579</v>
      </c>
      <c r="H4863" s="2" t="s">
        <v>580</v>
      </c>
      <c r="I4863" s="2" t="s">
        <v>581</v>
      </c>
      <c r="J4863" s="3">
        <v>0.77300000000000002</v>
      </c>
      <c r="K4863" s="2" t="s">
        <v>382</v>
      </c>
      <c r="L4863" s="2">
        <v>2024</v>
      </c>
      <c r="M4863" s="2" t="s">
        <v>110</v>
      </c>
      <c r="N4863" s="2" t="s">
        <v>21</v>
      </c>
      <c r="O4863">
        <f t="shared" si="150"/>
        <v>2.7600000000000051</v>
      </c>
      <c r="P4863">
        <f t="shared" si="151"/>
        <v>14.391000000000004</v>
      </c>
    </row>
    <row r="4864" spans="1:16" x14ac:dyDescent="0.35">
      <c r="A4864" s="9" t="s">
        <v>393</v>
      </c>
      <c r="B4864" s="2">
        <v>118.54</v>
      </c>
      <c r="C4864" s="2">
        <v>119.3</v>
      </c>
      <c r="D4864" s="2">
        <v>117.54</v>
      </c>
      <c r="E4864" s="2">
        <v>117.87</v>
      </c>
      <c r="F4864" s="2">
        <v>15745202</v>
      </c>
      <c r="G4864" s="2" t="s">
        <v>579</v>
      </c>
      <c r="H4864" s="2" t="s">
        <v>580</v>
      </c>
      <c r="I4864" s="2" t="s">
        <v>581</v>
      </c>
      <c r="J4864" s="4">
        <v>-0.59899999999999998</v>
      </c>
      <c r="K4864" s="2" t="s">
        <v>382</v>
      </c>
      <c r="L4864" s="2">
        <v>2024</v>
      </c>
      <c r="M4864" s="2" t="s">
        <v>110</v>
      </c>
      <c r="N4864" s="2" t="s">
        <v>23</v>
      </c>
      <c r="O4864">
        <f t="shared" si="150"/>
        <v>1.7599999999999909</v>
      </c>
      <c r="P4864">
        <f t="shared" si="151"/>
        <v>13.792000000000003</v>
      </c>
    </row>
    <row r="4865" spans="1:16" x14ac:dyDescent="0.35">
      <c r="A4865" s="9" t="s">
        <v>394</v>
      </c>
      <c r="B4865" s="2">
        <v>118.3</v>
      </c>
      <c r="C4865" s="2">
        <v>119.83</v>
      </c>
      <c r="D4865" s="2">
        <v>117.96</v>
      </c>
      <c r="E4865" s="2">
        <v>119.64</v>
      </c>
      <c r="F4865" s="2">
        <v>15104469</v>
      </c>
      <c r="G4865" s="2" t="s">
        <v>579</v>
      </c>
      <c r="H4865" s="2" t="s">
        <v>580</v>
      </c>
      <c r="I4865" s="2" t="s">
        <v>581</v>
      </c>
      <c r="J4865" s="3">
        <v>1.502</v>
      </c>
      <c r="K4865" s="2" t="s">
        <v>382</v>
      </c>
      <c r="L4865" s="2">
        <v>2024</v>
      </c>
      <c r="M4865" s="2" t="s">
        <v>110</v>
      </c>
      <c r="N4865" s="2" t="s">
        <v>21</v>
      </c>
      <c r="O4865">
        <f t="shared" si="150"/>
        <v>1.8700000000000045</v>
      </c>
      <c r="P4865">
        <f t="shared" si="151"/>
        <v>15.294000000000004</v>
      </c>
    </row>
    <row r="4866" spans="1:16" x14ac:dyDescent="0.35">
      <c r="A4866" s="9" t="s">
        <v>395</v>
      </c>
      <c r="B4866" s="2">
        <v>119.73</v>
      </c>
      <c r="C4866" s="2">
        <v>119.89</v>
      </c>
      <c r="D4866" s="2">
        <v>118.55</v>
      </c>
      <c r="E4866" s="2">
        <v>118.67</v>
      </c>
      <c r="F4866" s="2">
        <v>11551250</v>
      </c>
      <c r="G4866" s="2" t="s">
        <v>579</v>
      </c>
      <c r="H4866" s="2" t="s">
        <v>580</v>
      </c>
      <c r="I4866" s="2" t="s">
        <v>581</v>
      </c>
      <c r="J4866" s="4">
        <v>-0.81100000000000005</v>
      </c>
      <c r="K4866" s="2" t="s">
        <v>382</v>
      </c>
      <c r="L4866" s="2">
        <v>2024</v>
      </c>
      <c r="M4866" s="2" t="s">
        <v>110</v>
      </c>
      <c r="N4866" s="2" t="s">
        <v>23</v>
      </c>
      <c r="O4866">
        <f t="shared" si="150"/>
        <v>1.3400000000000034</v>
      </c>
      <c r="P4866">
        <f t="shared" si="151"/>
        <v>14.483000000000004</v>
      </c>
    </row>
    <row r="4867" spans="1:16" x14ac:dyDescent="0.35">
      <c r="A4867" s="9" t="s">
        <v>396</v>
      </c>
      <c r="B4867" s="2">
        <v>118.4</v>
      </c>
      <c r="C4867" s="2">
        <v>119.45</v>
      </c>
      <c r="D4867" s="2">
        <v>117.78</v>
      </c>
      <c r="E4867" s="2">
        <v>117.85</v>
      </c>
      <c r="F4867" s="2">
        <v>14494980</v>
      </c>
      <c r="G4867" s="2" t="s">
        <v>579</v>
      </c>
      <c r="H4867" s="2" t="s">
        <v>580</v>
      </c>
      <c r="I4867" s="2" t="s">
        <v>581</v>
      </c>
      <c r="J4867" s="4">
        <v>-0.69099999999999995</v>
      </c>
      <c r="K4867" s="2" t="s">
        <v>382</v>
      </c>
      <c r="L4867" s="2">
        <v>2024</v>
      </c>
      <c r="M4867" s="2" t="s">
        <v>110</v>
      </c>
      <c r="N4867" s="2" t="s">
        <v>23</v>
      </c>
      <c r="O4867">
        <f t="shared" ref="O4867:O4930" si="152">C4867-D4867</f>
        <v>1.6700000000000017</v>
      </c>
      <c r="P4867">
        <f t="shared" si="151"/>
        <v>13.792000000000003</v>
      </c>
    </row>
    <row r="4868" spans="1:16" x14ac:dyDescent="0.35">
      <c r="A4868" s="9" t="s">
        <v>397</v>
      </c>
      <c r="B4868" s="2">
        <v>117.46</v>
      </c>
      <c r="C4868" s="2">
        <v>117.46</v>
      </c>
      <c r="D4868" s="2">
        <v>114.96</v>
      </c>
      <c r="E4868" s="2">
        <v>115.48</v>
      </c>
      <c r="F4868" s="2">
        <v>17879252</v>
      </c>
      <c r="G4868" s="2" t="s">
        <v>579</v>
      </c>
      <c r="H4868" s="2" t="s">
        <v>580</v>
      </c>
      <c r="I4868" s="2" t="s">
        <v>581</v>
      </c>
      <c r="J4868" s="4">
        <v>-2.0110000000000001</v>
      </c>
      <c r="K4868" s="2" t="s">
        <v>382</v>
      </c>
      <c r="L4868" s="2">
        <v>2024</v>
      </c>
      <c r="M4868" s="2" t="s">
        <v>110</v>
      </c>
      <c r="N4868" s="2" t="s">
        <v>23</v>
      </c>
      <c r="O4868">
        <f t="shared" si="152"/>
        <v>2.5</v>
      </c>
      <c r="P4868">
        <f t="shared" ref="P4868:P4931" si="153">IF(G4868=G4867, P4867+J4868, J4868)</f>
        <v>11.781000000000002</v>
      </c>
    </row>
    <row r="4869" spans="1:16" x14ac:dyDescent="0.35">
      <c r="A4869" s="9" t="s">
        <v>398</v>
      </c>
      <c r="B4869" s="2">
        <v>115.6</v>
      </c>
      <c r="C4869" s="2">
        <v>117.51</v>
      </c>
      <c r="D4869" s="2">
        <v>113.36</v>
      </c>
      <c r="E4869" s="2">
        <v>113.51</v>
      </c>
      <c r="F4869" s="2">
        <v>15979835</v>
      </c>
      <c r="G4869" s="2" t="s">
        <v>579</v>
      </c>
      <c r="H4869" s="2" t="s">
        <v>580</v>
      </c>
      <c r="I4869" s="2" t="s">
        <v>581</v>
      </c>
      <c r="J4869" s="4">
        <v>-1.706</v>
      </c>
      <c r="K4869" s="2" t="s">
        <v>382</v>
      </c>
      <c r="L4869" s="2">
        <v>2024</v>
      </c>
      <c r="M4869" s="2" t="s">
        <v>110</v>
      </c>
      <c r="N4869" s="2" t="s">
        <v>23</v>
      </c>
      <c r="O4869">
        <f t="shared" si="152"/>
        <v>4.1500000000000057</v>
      </c>
      <c r="P4869">
        <f t="shared" si="153"/>
        <v>10.075000000000003</v>
      </c>
    </row>
    <row r="4870" spans="1:16" x14ac:dyDescent="0.35">
      <c r="A4870" s="9" t="s">
        <v>399</v>
      </c>
      <c r="B4870" s="2">
        <v>114.84</v>
      </c>
      <c r="C4870" s="2">
        <v>115.08</v>
      </c>
      <c r="D4870" s="2">
        <v>113.035</v>
      </c>
      <c r="E4870" s="2">
        <v>113.42</v>
      </c>
      <c r="F4870" s="2">
        <v>12212949</v>
      </c>
      <c r="G4870" s="2" t="s">
        <v>579</v>
      </c>
      <c r="H4870" s="2" t="s">
        <v>580</v>
      </c>
      <c r="I4870" s="2" t="s">
        <v>581</v>
      </c>
      <c r="J4870" s="4">
        <v>-7.9000000000000001E-2</v>
      </c>
      <c r="K4870" s="2" t="s">
        <v>382</v>
      </c>
      <c r="L4870" s="2">
        <v>2024</v>
      </c>
      <c r="M4870" s="2" t="s">
        <v>110</v>
      </c>
      <c r="N4870" s="2" t="s">
        <v>23</v>
      </c>
      <c r="O4870">
        <f t="shared" si="152"/>
        <v>2.0450000000000017</v>
      </c>
      <c r="P4870">
        <f t="shared" si="153"/>
        <v>9.9960000000000022</v>
      </c>
    </row>
    <row r="4871" spans="1:16" x14ac:dyDescent="0.35">
      <c r="A4871" s="9" t="s">
        <v>400</v>
      </c>
      <c r="B4871" s="2">
        <v>113.52</v>
      </c>
      <c r="C4871" s="2">
        <v>115.11</v>
      </c>
      <c r="D4871" s="2">
        <v>113.07</v>
      </c>
      <c r="E4871" s="2">
        <v>114.86</v>
      </c>
      <c r="F4871" s="2">
        <v>13978305</v>
      </c>
      <c r="G4871" s="2" t="s">
        <v>579</v>
      </c>
      <c r="H4871" s="2" t="s">
        <v>580</v>
      </c>
      <c r="I4871" s="2" t="s">
        <v>581</v>
      </c>
      <c r="J4871" s="3">
        <v>1.27</v>
      </c>
      <c r="K4871" s="2" t="s">
        <v>382</v>
      </c>
      <c r="L4871" s="2">
        <v>2024</v>
      </c>
      <c r="M4871" s="2" t="s">
        <v>110</v>
      </c>
      <c r="N4871" s="2" t="s">
        <v>21</v>
      </c>
      <c r="O4871">
        <f t="shared" si="152"/>
        <v>2.0400000000000063</v>
      </c>
      <c r="P4871">
        <f t="shared" si="153"/>
        <v>11.266000000000002</v>
      </c>
    </row>
    <row r="4872" spans="1:16" x14ac:dyDescent="0.35">
      <c r="A4872" s="9" t="s">
        <v>401</v>
      </c>
      <c r="B4872" s="2">
        <v>114.52500000000001</v>
      </c>
      <c r="C4872" s="2">
        <v>114.545</v>
      </c>
      <c r="D4872" s="2">
        <v>112.81</v>
      </c>
      <c r="E4872" s="2">
        <v>113.63</v>
      </c>
      <c r="F4872" s="2">
        <v>13902001</v>
      </c>
      <c r="G4872" s="2" t="s">
        <v>579</v>
      </c>
      <c r="H4872" s="2" t="s">
        <v>580</v>
      </c>
      <c r="I4872" s="2" t="s">
        <v>581</v>
      </c>
      <c r="J4872" s="4">
        <v>-1.071</v>
      </c>
      <c r="K4872" s="2" t="s">
        <v>382</v>
      </c>
      <c r="L4872" s="2">
        <v>2024</v>
      </c>
      <c r="M4872" s="2" t="s">
        <v>110</v>
      </c>
      <c r="N4872" s="2" t="s">
        <v>23</v>
      </c>
      <c r="O4872">
        <f t="shared" si="152"/>
        <v>1.7349999999999994</v>
      </c>
      <c r="P4872">
        <f t="shared" si="153"/>
        <v>10.195000000000002</v>
      </c>
    </row>
    <row r="4873" spans="1:16" x14ac:dyDescent="0.35">
      <c r="A4873" s="9" t="s">
        <v>402</v>
      </c>
      <c r="B4873" s="2">
        <v>113.27</v>
      </c>
      <c r="C4873" s="2">
        <v>114.13</v>
      </c>
      <c r="D4873" s="2">
        <v>112.955</v>
      </c>
      <c r="E4873" s="2">
        <v>113.99</v>
      </c>
      <c r="F4873" s="2">
        <v>14691976</v>
      </c>
      <c r="G4873" s="2" t="s">
        <v>579</v>
      </c>
      <c r="H4873" s="2" t="s">
        <v>580</v>
      </c>
      <c r="I4873" s="2" t="s">
        <v>581</v>
      </c>
      <c r="J4873" s="3">
        <v>0.317</v>
      </c>
      <c r="K4873" s="2" t="s">
        <v>382</v>
      </c>
      <c r="L4873" s="2">
        <v>2024</v>
      </c>
      <c r="M4873" s="2" t="s">
        <v>110</v>
      </c>
      <c r="N4873" s="2" t="s">
        <v>21</v>
      </c>
      <c r="O4873">
        <f t="shared" si="152"/>
        <v>1.1749999999999972</v>
      </c>
      <c r="P4873">
        <f t="shared" si="153"/>
        <v>10.512000000000002</v>
      </c>
    </row>
    <row r="4874" spans="1:16" x14ac:dyDescent="0.35">
      <c r="A4874" s="9" t="s">
        <v>403</v>
      </c>
      <c r="B4874" s="2">
        <v>114.12</v>
      </c>
      <c r="C4874" s="2">
        <v>117.49</v>
      </c>
      <c r="D4874" s="2">
        <v>113.99</v>
      </c>
      <c r="E4874" s="2">
        <v>117.26</v>
      </c>
      <c r="F4874" s="2">
        <v>29037378</v>
      </c>
      <c r="G4874" s="2" t="s">
        <v>579</v>
      </c>
      <c r="H4874" s="2" t="s">
        <v>580</v>
      </c>
      <c r="I4874" s="2" t="s">
        <v>581</v>
      </c>
      <c r="J4874" s="3">
        <v>2.8690000000000002</v>
      </c>
      <c r="K4874" s="2" t="s">
        <v>382</v>
      </c>
      <c r="L4874" s="2">
        <v>2024</v>
      </c>
      <c r="M4874" s="2" t="s">
        <v>110</v>
      </c>
      <c r="N4874" s="2" t="s">
        <v>21</v>
      </c>
      <c r="O4874">
        <f t="shared" si="152"/>
        <v>3.5</v>
      </c>
      <c r="P4874">
        <f t="shared" si="153"/>
        <v>13.381000000000002</v>
      </c>
    </row>
    <row r="4875" spans="1:16" x14ac:dyDescent="0.35">
      <c r="A4875" s="9" t="s">
        <v>404</v>
      </c>
      <c r="B4875" s="2">
        <v>116.3</v>
      </c>
      <c r="C4875" s="2">
        <v>116.36</v>
      </c>
      <c r="D4875" s="2">
        <v>113.76</v>
      </c>
      <c r="E4875" s="2">
        <v>114.45</v>
      </c>
      <c r="F4875" s="2">
        <v>19589338</v>
      </c>
      <c r="G4875" s="2" t="s">
        <v>579</v>
      </c>
      <c r="H4875" s="2" t="s">
        <v>580</v>
      </c>
      <c r="I4875" s="2" t="s">
        <v>581</v>
      </c>
      <c r="J4875" s="4">
        <v>-2.3959999999999999</v>
      </c>
      <c r="K4875" s="2" t="s">
        <v>405</v>
      </c>
      <c r="L4875" s="2">
        <v>2024</v>
      </c>
      <c r="M4875" s="2" t="s">
        <v>135</v>
      </c>
      <c r="N4875" s="2" t="s">
        <v>23</v>
      </c>
      <c r="O4875">
        <f t="shared" si="152"/>
        <v>2.5999999999999943</v>
      </c>
      <c r="P4875">
        <f t="shared" si="153"/>
        <v>10.985000000000003</v>
      </c>
    </row>
    <row r="4876" spans="1:16" x14ac:dyDescent="0.35">
      <c r="A4876" s="9" t="s">
        <v>406</v>
      </c>
      <c r="B4876" s="2">
        <v>113</v>
      </c>
      <c r="C4876" s="2">
        <v>113.09</v>
      </c>
      <c r="D4876" s="2">
        <v>110.92</v>
      </c>
      <c r="E4876" s="2">
        <v>112.67</v>
      </c>
      <c r="F4876" s="2">
        <v>19412238</v>
      </c>
      <c r="G4876" s="2" t="s">
        <v>579</v>
      </c>
      <c r="H4876" s="2" t="s">
        <v>580</v>
      </c>
      <c r="I4876" s="2" t="s">
        <v>581</v>
      </c>
      <c r="J4876" s="4">
        <v>-1.5549999999999999</v>
      </c>
      <c r="K4876" s="2" t="s">
        <v>405</v>
      </c>
      <c r="L4876" s="2">
        <v>2024</v>
      </c>
      <c r="M4876" s="2" t="s">
        <v>135</v>
      </c>
      <c r="N4876" s="2" t="s">
        <v>23</v>
      </c>
      <c r="O4876">
        <f t="shared" si="152"/>
        <v>2.1700000000000017</v>
      </c>
      <c r="P4876">
        <f t="shared" si="153"/>
        <v>9.4300000000000033</v>
      </c>
    </row>
    <row r="4877" spans="1:16" x14ac:dyDescent="0.35">
      <c r="A4877" s="9" t="s">
        <v>407</v>
      </c>
      <c r="B4877" s="2">
        <v>112.89</v>
      </c>
      <c r="C4877" s="2">
        <v>113.19</v>
      </c>
      <c r="D4877" s="2">
        <v>111.48</v>
      </c>
      <c r="E4877" s="2">
        <v>113.12</v>
      </c>
      <c r="F4877" s="2">
        <v>14863516</v>
      </c>
      <c r="G4877" s="2" t="s">
        <v>579</v>
      </c>
      <c r="H4877" s="2" t="s">
        <v>580</v>
      </c>
      <c r="I4877" s="2" t="s">
        <v>581</v>
      </c>
      <c r="J4877" s="3">
        <v>0.39900000000000002</v>
      </c>
      <c r="K4877" s="2" t="s">
        <v>405</v>
      </c>
      <c r="L4877" s="2">
        <v>2024</v>
      </c>
      <c r="M4877" s="2" t="s">
        <v>135</v>
      </c>
      <c r="N4877" s="2" t="s">
        <v>21</v>
      </c>
      <c r="O4877">
        <f t="shared" si="152"/>
        <v>1.7099999999999937</v>
      </c>
      <c r="P4877">
        <f t="shared" si="153"/>
        <v>9.8290000000000042</v>
      </c>
    </row>
    <row r="4878" spans="1:16" x14ac:dyDescent="0.35">
      <c r="A4878" s="9" t="s">
        <v>408</v>
      </c>
      <c r="B4878" s="2">
        <v>112.75</v>
      </c>
      <c r="C4878" s="2">
        <v>114.04</v>
      </c>
      <c r="D4878" s="2">
        <v>112.11</v>
      </c>
      <c r="E4878" s="2">
        <v>113.97</v>
      </c>
      <c r="F4878" s="2">
        <v>13154094</v>
      </c>
      <c r="G4878" s="2" t="s">
        <v>579</v>
      </c>
      <c r="H4878" s="2" t="s">
        <v>580</v>
      </c>
      <c r="I4878" s="2" t="s">
        <v>581</v>
      </c>
      <c r="J4878" s="3">
        <v>0.751</v>
      </c>
      <c r="K4878" s="2" t="s">
        <v>405</v>
      </c>
      <c r="L4878" s="2">
        <v>2024</v>
      </c>
      <c r="M4878" s="2" t="s">
        <v>135</v>
      </c>
      <c r="N4878" s="2" t="s">
        <v>21</v>
      </c>
      <c r="O4878">
        <f t="shared" si="152"/>
        <v>1.9300000000000068</v>
      </c>
      <c r="P4878">
        <f t="shared" si="153"/>
        <v>10.580000000000004</v>
      </c>
    </row>
    <row r="4879" spans="1:16" x14ac:dyDescent="0.35">
      <c r="A4879" s="9" t="s">
        <v>409</v>
      </c>
      <c r="B4879" s="2">
        <v>113.79</v>
      </c>
      <c r="C4879" s="2">
        <v>114.895</v>
      </c>
      <c r="D4879" s="2">
        <v>112.67400000000001</v>
      </c>
      <c r="E4879" s="2">
        <v>112.75</v>
      </c>
      <c r="F4879" s="2">
        <v>13289196</v>
      </c>
      <c r="G4879" s="2" t="s">
        <v>579</v>
      </c>
      <c r="H4879" s="2" t="s">
        <v>580</v>
      </c>
      <c r="I4879" s="2" t="s">
        <v>581</v>
      </c>
      <c r="J4879" s="4">
        <v>-1.07</v>
      </c>
      <c r="K4879" s="2" t="s">
        <v>405</v>
      </c>
      <c r="L4879" s="2">
        <v>2024</v>
      </c>
      <c r="M4879" s="2" t="s">
        <v>135</v>
      </c>
      <c r="N4879" s="2" t="s">
        <v>23</v>
      </c>
      <c r="O4879">
        <f t="shared" si="152"/>
        <v>2.2209999999999894</v>
      </c>
      <c r="P4879">
        <f t="shared" si="153"/>
        <v>9.5100000000000033</v>
      </c>
    </row>
    <row r="4880" spans="1:16" x14ac:dyDescent="0.35">
      <c r="A4880" s="9" t="s">
        <v>410</v>
      </c>
      <c r="B4880" s="2">
        <v>113.06</v>
      </c>
      <c r="C4880" s="2">
        <v>114.22</v>
      </c>
      <c r="D4880" s="2">
        <v>112.7</v>
      </c>
      <c r="E4880" s="2">
        <v>113.08</v>
      </c>
      <c r="F4880" s="2">
        <v>15245227</v>
      </c>
      <c r="G4880" s="2" t="s">
        <v>579</v>
      </c>
      <c r="H4880" s="2" t="s">
        <v>580</v>
      </c>
      <c r="I4880" s="2" t="s">
        <v>581</v>
      </c>
      <c r="J4880" s="3">
        <v>0.29299999999999998</v>
      </c>
      <c r="K4880" s="2" t="s">
        <v>405</v>
      </c>
      <c r="L4880" s="2">
        <v>2024</v>
      </c>
      <c r="M4880" s="2" t="s">
        <v>135</v>
      </c>
      <c r="N4880" s="2" t="s">
        <v>21</v>
      </c>
      <c r="O4880">
        <f t="shared" si="152"/>
        <v>1.519999999999996</v>
      </c>
      <c r="P4880">
        <f t="shared" si="153"/>
        <v>9.8030000000000026</v>
      </c>
    </row>
    <row r="4881" spans="1:16" x14ac:dyDescent="0.35">
      <c r="A4881" s="9" t="s">
        <v>411</v>
      </c>
      <c r="B4881" s="2">
        <v>112.49</v>
      </c>
      <c r="C4881" s="2">
        <v>112.67</v>
      </c>
      <c r="D4881" s="2">
        <v>111.31</v>
      </c>
      <c r="E4881" s="2">
        <v>112.17</v>
      </c>
      <c r="F4881" s="2">
        <v>12462403</v>
      </c>
      <c r="G4881" s="2" t="s">
        <v>579</v>
      </c>
      <c r="H4881" s="2" t="s">
        <v>580</v>
      </c>
      <c r="I4881" s="2" t="s">
        <v>581</v>
      </c>
      <c r="J4881" s="4">
        <v>-0.80500000000000005</v>
      </c>
      <c r="K4881" s="2" t="s">
        <v>405</v>
      </c>
      <c r="L4881" s="2">
        <v>2024</v>
      </c>
      <c r="M4881" s="2" t="s">
        <v>135</v>
      </c>
      <c r="N4881" s="2" t="s">
        <v>23</v>
      </c>
      <c r="O4881">
        <f t="shared" si="152"/>
        <v>1.3599999999999994</v>
      </c>
      <c r="P4881">
        <f t="shared" si="153"/>
        <v>8.9980000000000029</v>
      </c>
    </row>
    <row r="4882" spans="1:16" x14ac:dyDescent="0.35">
      <c r="A4882" s="9" t="s">
        <v>412</v>
      </c>
      <c r="B4882" s="2">
        <v>113.3</v>
      </c>
      <c r="C4882" s="2">
        <v>113.3</v>
      </c>
      <c r="D4882" s="2">
        <v>110.54</v>
      </c>
      <c r="E4882" s="2">
        <v>110.93</v>
      </c>
      <c r="F4882" s="2">
        <v>13606788</v>
      </c>
      <c r="G4882" s="2" t="s">
        <v>579</v>
      </c>
      <c r="H4882" s="2" t="s">
        <v>580</v>
      </c>
      <c r="I4882" s="2" t="s">
        <v>581</v>
      </c>
      <c r="J4882" s="4">
        <v>-1.105</v>
      </c>
      <c r="K4882" s="2" t="s">
        <v>405</v>
      </c>
      <c r="L4882" s="2">
        <v>2024</v>
      </c>
      <c r="M4882" s="2" t="s">
        <v>135</v>
      </c>
      <c r="N4882" s="2" t="s">
        <v>23</v>
      </c>
      <c r="O4882">
        <f t="shared" si="152"/>
        <v>2.7599999999999909</v>
      </c>
      <c r="P4882">
        <f t="shared" si="153"/>
        <v>7.8930000000000025</v>
      </c>
    </row>
    <row r="4883" spans="1:16" x14ac:dyDescent="0.35">
      <c r="A4883" s="9" t="s">
        <v>413</v>
      </c>
      <c r="B4883" s="2">
        <v>110.84</v>
      </c>
      <c r="C4883" s="2">
        <v>110.86</v>
      </c>
      <c r="D4883" s="2">
        <v>109.72</v>
      </c>
      <c r="E4883" s="2">
        <v>110.04</v>
      </c>
      <c r="F4883" s="2">
        <v>14466868</v>
      </c>
      <c r="G4883" s="2" t="s">
        <v>579</v>
      </c>
      <c r="H4883" s="2" t="s">
        <v>580</v>
      </c>
      <c r="I4883" s="2" t="s">
        <v>581</v>
      </c>
      <c r="J4883" s="4">
        <v>-0.80200000000000005</v>
      </c>
      <c r="K4883" s="2" t="s">
        <v>405</v>
      </c>
      <c r="L4883" s="2">
        <v>2024</v>
      </c>
      <c r="M4883" s="2" t="s">
        <v>135</v>
      </c>
      <c r="N4883" s="2" t="s">
        <v>23</v>
      </c>
      <c r="O4883">
        <f t="shared" si="152"/>
        <v>1.1400000000000006</v>
      </c>
      <c r="P4883">
        <f t="shared" si="153"/>
        <v>7.0910000000000029</v>
      </c>
    </row>
    <row r="4884" spans="1:16" x14ac:dyDescent="0.35">
      <c r="A4884" s="9" t="s">
        <v>414</v>
      </c>
      <c r="B4884" s="2">
        <v>110.02</v>
      </c>
      <c r="C4884" s="2">
        <v>110.20699999999999</v>
      </c>
      <c r="D4884" s="2">
        <v>108.59</v>
      </c>
      <c r="E4884" s="2">
        <v>109.11</v>
      </c>
      <c r="F4884" s="2">
        <v>13313430</v>
      </c>
      <c r="G4884" s="2" t="s">
        <v>579</v>
      </c>
      <c r="H4884" s="2" t="s">
        <v>580</v>
      </c>
      <c r="I4884" s="2" t="s">
        <v>581</v>
      </c>
      <c r="J4884" s="4">
        <v>-0.84499999999999997</v>
      </c>
      <c r="K4884" s="2" t="s">
        <v>405</v>
      </c>
      <c r="L4884" s="2">
        <v>2024</v>
      </c>
      <c r="M4884" s="2" t="s">
        <v>135</v>
      </c>
      <c r="N4884" s="2" t="s">
        <v>23</v>
      </c>
      <c r="O4884">
        <f t="shared" si="152"/>
        <v>1.6169999999999902</v>
      </c>
      <c r="P4884">
        <f t="shared" si="153"/>
        <v>6.2460000000000031</v>
      </c>
    </row>
    <row r="4885" spans="1:16" x14ac:dyDescent="0.35">
      <c r="A4885" s="9" t="s">
        <v>415</v>
      </c>
      <c r="B4885" s="2">
        <v>109.17</v>
      </c>
      <c r="C4885" s="2">
        <v>109.46</v>
      </c>
      <c r="D4885" s="2">
        <v>108.18</v>
      </c>
      <c r="E4885" s="2">
        <v>108.36</v>
      </c>
      <c r="F4885" s="2">
        <v>21147943</v>
      </c>
      <c r="G4885" s="2" t="s">
        <v>579</v>
      </c>
      <c r="H4885" s="2" t="s">
        <v>580</v>
      </c>
      <c r="I4885" s="2" t="s">
        <v>581</v>
      </c>
      <c r="J4885" s="4">
        <v>-0.68700000000000006</v>
      </c>
      <c r="K4885" s="2" t="s">
        <v>405</v>
      </c>
      <c r="L4885" s="2">
        <v>2024</v>
      </c>
      <c r="M4885" s="2" t="s">
        <v>135</v>
      </c>
      <c r="N4885" s="2" t="s">
        <v>23</v>
      </c>
      <c r="O4885">
        <f t="shared" si="152"/>
        <v>1.2799999999999869</v>
      </c>
      <c r="P4885">
        <f t="shared" si="153"/>
        <v>5.5590000000000028</v>
      </c>
    </row>
    <row r="4886" spans="1:16" x14ac:dyDescent="0.35">
      <c r="A4886" s="9" t="s">
        <v>416</v>
      </c>
      <c r="B4886" s="2">
        <v>109.03</v>
      </c>
      <c r="C4886" s="2">
        <v>110.72</v>
      </c>
      <c r="D4886" s="2">
        <v>108.8</v>
      </c>
      <c r="E4886" s="2">
        <v>109.38</v>
      </c>
      <c r="F4886" s="2">
        <v>17762915</v>
      </c>
      <c r="G4886" s="2" t="s">
        <v>579</v>
      </c>
      <c r="H4886" s="2" t="s">
        <v>580</v>
      </c>
      <c r="I4886" s="2" t="s">
        <v>581</v>
      </c>
      <c r="J4886" s="3">
        <v>0.94099999999999995</v>
      </c>
      <c r="K4886" s="2" t="s">
        <v>405</v>
      </c>
      <c r="L4886" s="2">
        <v>2024</v>
      </c>
      <c r="M4886" s="2" t="s">
        <v>135</v>
      </c>
      <c r="N4886" s="2" t="s">
        <v>21</v>
      </c>
      <c r="O4886">
        <f t="shared" si="152"/>
        <v>1.9200000000000017</v>
      </c>
      <c r="P4886">
        <f t="shared" si="153"/>
        <v>6.5000000000000027</v>
      </c>
    </row>
    <row r="4887" spans="1:16" x14ac:dyDescent="0.35">
      <c r="A4887" s="9" t="s">
        <v>417</v>
      </c>
      <c r="B4887" s="2">
        <v>109.91</v>
      </c>
      <c r="C4887" s="2">
        <v>112.62</v>
      </c>
      <c r="D4887" s="2">
        <v>109.59</v>
      </c>
      <c r="E4887" s="2">
        <v>111.74</v>
      </c>
      <c r="F4887" s="2">
        <v>17433192</v>
      </c>
      <c r="G4887" s="2" t="s">
        <v>579</v>
      </c>
      <c r="H4887" s="2" t="s">
        <v>580</v>
      </c>
      <c r="I4887" s="2" t="s">
        <v>581</v>
      </c>
      <c r="J4887" s="3">
        <v>2.1579999999999999</v>
      </c>
      <c r="K4887" s="2" t="s">
        <v>405</v>
      </c>
      <c r="L4887" s="2">
        <v>2024</v>
      </c>
      <c r="M4887" s="2" t="s">
        <v>135</v>
      </c>
      <c r="N4887" s="2" t="s">
        <v>21</v>
      </c>
      <c r="O4887">
        <f t="shared" si="152"/>
        <v>3.0300000000000011</v>
      </c>
      <c r="P4887">
        <f t="shared" si="153"/>
        <v>8.658000000000003</v>
      </c>
    </row>
    <row r="4888" spans="1:16" x14ac:dyDescent="0.35">
      <c r="A4888" s="9" t="s">
        <v>418</v>
      </c>
      <c r="B4888" s="2">
        <v>111.9</v>
      </c>
      <c r="C4888" s="2">
        <v>112.69499999999999</v>
      </c>
      <c r="D4888" s="2">
        <v>110.76</v>
      </c>
      <c r="E4888" s="2">
        <v>110.76</v>
      </c>
      <c r="F4888" s="2">
        <v>52220574</v>
      </c>
      <c r="G4888" s="2" t="s">
        <v>579</v>
      </c>
      <c r="H4888" s="2" t="s">
        <v>580</v>
      </c>
      <c r="I4888" s="2" t="s">
        <v>581</v>
      </c>
      <c r="J4888" s="4">
        <v>-0.877</v>
      </c>
      <c r="K4888" s="2" t="s">
        <v>405</v>
      </c>
      <c r="L4888" s="2">
        <v>2024</v>
      </c>
      <c r="M4888" s="2" t="s">
        <v>135</v>
      </c>
      <c r="N4888" s="2" t="s">
        <v>23</v>
      </c>
      <c r="O4888">
        <f t="shared" si="152"/>
        <v>1.9349999999999881</v>
      </c>
      <c r="P4888">
        <f t="shared" si="153"/>
        <v>7.7810000000000032</v>
      </c>
    </row>
    <row r="4889" spans="1:16" x14ac:dyDescent="0.35">
      <c r="A4889" s="9" t="s">
        <v>419</v>
      </c>
      <c r="B4889" s="2">
        <v>111.64</v>
      </c>
      <c r="C4889" s="2">
        <v>114.52500000000001</v>
      </c>
      <c r="D4889" s="2">
        <v>111.64</v>
      </c>
      <c r="E4889" s="2">
        <v>114.05</v>
      </c>
      <c r="F4889" s="2">
        <v>16266688</v>
      </c>
      <c r="G4889" s="2" t="s">
        <v>579</v>
      </c>
      <c r="H4889" s="2" t="s">
        <v>580</v>
      </c>
      <c r="I4889" s="2" t="s">
        <v>581</v>
      </c>
      <c r="J4889" s="3">
        <v>2.97</v>
      </c>
      <c r="K4889" s="2" t="s">
        <v>405</v>
      </c>
      <c r="L4889" s="2">
        <v>2024</v>
      </c>
      <c r="M4889" s="2" t="s">
        <v>135</v>
      </c>
      <c r="N4889" s="2" t="s">
        <v>21</v>
      </c>
      <c r="O4889">
        <f t="shared" si="152"/>
        <v>2.8850000000000051</v>
      </c>
      <c r="P4889">
        <f t="shared" si="153"/>
        <v>10.751000000000003</v>
      </c>
    </row>
    <row r="4890" spans="1:16" x14ac:dyDescent="0.35">
      <c r="A4890" s="9" t="s">
        <v>420</v>
      </c>
      <c r="B4890" s="2">
        <v>114.11</v>
      </c>
      <c r="C4890" s="2">
        <v>114.55</v>
      </c>
      <c r="D4890" s="2">
        <v>113.455</v>
      </c>
      <c r="E4890" s="2">
        <v>114.37</v>
      </c>
      <c r="F4890" s="2">
        <v>16213682</v>
      </c>
      <c r="G4890" s="2" t="s">
        <v>579</v>
      </c>
      <c r="H4890" s="2" t="s">
        <v>580</v>
      </c>
      <c r="I4890" s="2" t="s">
        <v>581</v>
      </c>
      <c r="J4890" s="3">
        <v>0.28100000000000003</v>
      </c>
      <c r="K4890" s="2" t="s">
        <v>405</v>
      </c>
      <c r="L4890" s="2">
        <v>2024</v>
      </c>
      <c r="M4890" s="2" t="s">
        <v>135</v>
      </c>
      <c r="N4890" s="2" t="s">
        <v>21</v>
      </c>
      <c r="O4890">
        <f t="shared" si="152"/>
        <v>1.0949999999999989</v>
      </c>
      <c r="P4890">
        <f t="shared" si="153"/>
        <v>11.032000000000004</v>
      </c>
    </row>
    <row r="4891" spans="1:16" x14ac:dyDescent="0.35">
      <c r="A4891" s="9" t="s">
        <v>421</v>
      </c>
      <c r="B4891" s="2">
        <v>114.39</v>
      </c>
      <c r="C4891" s="2">
        <v>114.815</v>
      </c>
      <c r="D4891" s="2">
        <v>113.14</v>
      </c>
      <c r="E4891" s="2">
        <v>114.41</v>
      </c>
      <c r="F4891" s="2">
        <v>15771751</v>
      </c>
      <c r="G4891" s="2" t="s">
        <v>579</v>
      </c>
      <c r="H4891" s="2" t="s">
        <v>580</v>
      </c>
      <c r="I4891" s="2" t="s">
        <v>581</v>
      </c>
      <c r="J4891" s="3">
        <v>3.5000000000000003E-2</v>
      </c>
      <c r="K4891" s="2" t="s">
        <v>405</v>
      </c>
      <c r="L4891" s="2">
        <v>2024</v>
      </c>
      <c r="M4891" s="2" t="s">
        <v>135</v>
      </c>
      <c r="N4891" s="2" t="s">
        <v>21</v>
      </c>
      <c r="O4891">
        <f t="shared" si="152"/>
        <v>1.6749999999999972</v>
      </c>
      <c r="P4891">
        <f t="shared" si="153"/>
        <v>11.067000000000004</v>
      </c>
    </row>
    <row r="4892" spans="1:16" x14ac:dyDescent="0.35">
      <c r="A4892" s="9" t="s">
        <v>422</v>
      </c>
      <c r="B4892" s="2">
        <v>114.99</v>
      </c>
      <c r="C4892" s="2">
        <v>114.99</v>
      </c>
      <c r="D4892" s="2">
        <v>114.11</v>
      </c>
      <c r="E4892" s="2">
        <v>114.9</v>
      </c>
      <c r="F4892" s="2">
        <v>16812731</v>
      </c>
      <c r="G4892" s="2" t="s">
        <v>579</v>
      </c>
      <c r="H4892" s="2" t="s">
        <v>580</v>
      </c>
      <c r="I4892" s="2" t="s">
        <v>581</v>
      </c>
      <c r="J4892" s="3">
        <v>0.42799999999999999</v>
      </c>
      <c r="K4892" s="2" t="s">
        <v>405</v>
      </c>
      <c r="L4892" s="2">
        <v>2024</v>
      </c>
      <c r="M4892" s="2" t="s">
        <v>135</v>
      </c>
      <c r="N4892" s="2" t="s">
        <v>21</v>
      </c>
      <c r="O4892">
        <f t="shared" si="152"/>
        <v>0.87999999999999545</v>
      </c>
      <c r="P4892">
        <f t="shared" si="153"/>
        <v>11.495000000000005</v>
      </c>
    </row>
    <row r="4893" spans="1:16" x14ac:dyDescent="0.35">
      <c r="A4893" s="9" t="s">
        <v>423</v>
      </c>
      <c r="B4893" s="2">
        <v>115.86</v>
      </c>
      <c r="C4893" s="2">
        <v>116.54</v>
      </c>
      <c r="D4893" s="2">
        <v>114.675</v>
      </c>
      <c r="E4893" s="2">
        <v>115.12</v>
      </c>
      <c r="F4893" s="2">
        <v>24565910</v>
      </c>
      <c r="G4893" s="2" t="s">
        <v>579</v>
      </c>
      <c r="H4893" s="2" t="s">
        <v>580</v>
      </c>
      <c r="I4893" s="2" t="s">
        <v>581</v>
      </c>
      <c r="J4893" s="3">
        <v>0.191</v>
      </c>
      <c r="K4893" s="2" t="s">
        <v>405</v>
      </c>
      <c r="L4893" s="2">
        <v>2024</v>
      </c>
      <c r="M4893" s="2" t="s">
        <v>135</v>
      </c>
      <c r="N4893" s="2" t="s">
        <v>21</v>
      </c>
      <c r="O4893">
        <f t="shared" si="152"/>
        <v>1.8650000000000091</v>
      </c>
      <c r="P4893">
        <f t="shared" si="153"/>
        <v>11.686000000000005</v>
      </c>
    </row>
    <row r="4894" spans="1:16" x14ac:dyDescent="0.35">
      <c r="A4894" s="9" t="s">
        <v>424</v>
      </c>
      <c r="B4894" s="2">
        <v>115.71</v>
      </c>
      <c r="C4894" s="2">
        <v>116.74</v>
      </c>
      <c r="D4894" s="2">
        <v>114.53</v>
      </c>
      <c r="E4894" s="2">
        <v>114.96</v>
      </c>
      <c r="F4894" s="2">
        <v>11972881</v>
      </c>
      <c r="G4894" s="2" t="s">
        <v>579</v>
      </c>
      <c r="H4894" s="2" t="s">
        <v>580</v>
      </c>
      <c r="I4894" s="2" t="s">
        <v>581</v>
      </c>
      <c r="J4894" s="4">
        <v>-0.13900000000000001</v>
      </c>
      <c r="K4894" s="2" t="s">
        <v>425</v>
      </c>
      <c r="L4894" s="2">
        <v>2024</v>
      </c>
      <c r="M4894" s="2" t="s">
        <v>158</v>
      </c>
      <c r="N4894" s="2" t="s">
        <v>23</v>
      </c>
      <c r="O4894">
        <f t="shared" si="152"/>
        <v>2.2099999999999937</v>
      </c>
      <c r="P4894">
        <f t="shared" si="153"/>
        <v>11.547000000000006</v>
      </c>
    </row>
    <row r="4895" spans="1:16" x14ac:dyDescent="0.35">
      <c r="A4895" s="9" t="s">
        <v>426</v>
      </c>
      <c r="B4895" s="2">
        <v>115.9</v>
      </c>
      <c r="C4895" s="2">
        <v>115.94</v>
      </c>
      <c r="D4895" s="2">
        <v>113.49</v>
      </c>
      <c r="E4895" s="2">
        <v>114.18</v>
      </c>
      <c r="F4895" s="2">
        <v>13326703</v>
      </c>
      <c r="G4895" s="2" t="s">
        <v>579</v>
      </c>
      <c r="H4895" s="2" t="s">
        <v>580</v>
      </c>
      <c r="I4895" s="2" t="s">
        <v>581</v>
      </c>
      <c r="J4895" s="4">
        <v>-0.67800000000000005</v>
      </c>
      <c r="K4895" s="2" t="s">
        <v>425</v>
      </c>
      <c r="L4895" s="2">
        <v>2024</v>
      </c>
      <c r="M4895" s="2" t="s">
        <v>158</v>
      </c>
      <c r="N4895" s="2" t="s">
        <v>23</v>
      </c>
      <c r="O4895">
        <f t="shared" si="152"/>
        <v>2.4500000000000028</v>
      </c>
      <c r="P4895">
        <f t="shared" si="153"/>
        <v>10.869000000000005</v>
      </c>
    </row>
    <row r="4896" spans="1:16" x14ac:dyDescent="0.35">
      <c r="A4896" s="9" t="s">
        <v>427</v>
      </c>
      <c r="B4896" s="2">
        <v>114.27</v>
      </c>
      <c r="C4896" s="2">
        <v>115.66</v>
      </c>
      <c r="D4896" s="2">
        <v>114.27</v>
      </c>
      <c r="E4896" s="2">
        <v>114.76</v>
      </c>
      <c r="F4896" s="2">
        <v>7732928</v>
      </c>
      <c r="G4896" s="2" t="s">
        <v>579</v>
      </c>
      <c r="H4896" s="2" t="s">
        <v>580</v>
      </c>
      <c r="I4896" s="2" t="s">
        <v>581</v>
      </c>
      <c r="J4896" s="3">
        <v>0.50800000000000001</v>
      </c>
      <c r="K4896" s="2" t="s">
        <v>425</v>
      </c>
      <c r="L4896" s="2">
        <v>2024</v>
      </c>
      <c r="M4896" s="2" t="s">
        <v>158</v>
      </c>
      <c r="N4896" s="2" t="s">
        <v>21</v>
      </c>
      <c r="O4896">
        <f t="shared" si="152"/>
        <v>1.3900000000000006</v>
      </c>
      <c r="P4896">
        <f t="shared" si="153"/>
        <v>11.377000000000006</v>
      </c>
    </row>
    <row r="4897" spans="1:16" x14ac:dyDescent="0.35">
      <c r="A4897" s="9" t="s">
        <v>428</v>
      </c>
      <c r="B4897" s="2">
        <v>114.61</v>
      </c>
      <c r="C4897" s="2">
        <v>114.63</v>
      </c>
      <c r="D4897" s="2">
        <v>112.685</v>
      </c>
      <c r="E4897" s="2">
        <v>113.37</v>
      </c>
      <c r="F4897" s="2">
        <v>12630986</v>
      </c>
      <c r="G4897" s="2" t="s">
        <v>579</v>
      </c>
      <c r="H4897" s="2" t="s">
        <v>580</v>
      </c>
      <c r="I4897" s="2" t="s">
        <v>581</v>
      </c>
      <c r="J4897" s="4">
        <v>-1.2110000000000001</v>
      </c>
      <c r="K4897" s="2" t="s">
        <v>425</v>
      </c>
      <c r="L4897" s="2">
        <v>2024</v>
      </c>
      <c r="M4897" s="2" t="s">
        <v>158</v>
      </c>
      <c r="N4897" s="2" t="s">
        <v>23</v>
      </c>
      <c r="O4897">
        <f t="shared" si="152"/>
        <v>1.9449999999999932</v>
      </c>
      <c r="P4897">
        <f t="shared" si="153"/>
        <v>10.166000000000006</v>
      </c>
    </row>
    <row r="4898" spans="1:16" x14ac:dyDescent="0.35">
      <c r="A4898" s="9" t="s">
        <v>429</v>
      </c>
      <c r="B4898" s="2">
        <v>112.39</v>
      </c>
      <c r="C4898" s="2">
        <v>113.55</v>
      </c>
      <c r="D4898" s="2">
        <v>111.42</v>
      </c>
      <c r="E4898" s="2">
        <v>112.18</v>
      </c>
      <c r="F4898" s="2">
        <v>13350549</v>
      </c>
      <c r="G4898" s="2" t="s">
        <v>579</v>
      </c>
      <c r="H4898" s="2" t="s">
        <v>580</v>
      </c>
      <c r="I4898" s="2" t="s">
        <v>581</v>
      </c>
      <c r="J4898" s="4">
        <v>-1.05</v>
      </c>
      <c r="K4898" s="2" t="s">
        <v>425</v>
      </c>
      <c r="L4898" s="2">
        <v>2024</v>
      </c>
      <c r="M4898" s="2" t="s">
        <v>158</v>
      </c>
      <c r="N4898" s="2" t="s">
        <v>23</v>
      </c>
      <c r="O4898">
        <f t="shared" si="152"/>
        <v>2.1299999999999955</v>
      </c>
      <c r="P4898">
        <f t="shared" si="153"/>
        <v>9.116000000000005</v>
      </c>
    </row>
    <row r="4899" spans="1:16" x14ac:dyDescent="0.35">
      <c r="A4899" s="9" t="s">
        <v>430</v>
      </c>
      <c r="B4899" s="2">
        <v>111.11</v>
      </c>
      <c r="C4899" s="2">
        <v>112.54</v>
      </c>
      <c r="D4899" s="2">
        <v>110.62</v>
      </c>
      <c r="E4899" s="2">
        <v>110.94</v>
      </c>
      <c r="F4899" s="2">
        <v>11729085</v>
      </c>
      <c r="G4899" s="2" t="s">
        <v>579</v>
      </c>
      <c r="H4899" s="2" t="s">
        <v>580</v>
      </c>
      <c r="I4899" s="2" t="s">
        <v>581</v>
      </c>
      <c r="J4899" s="4">
        <v>-1.105</v>
      </c>
      <c r="K4899" s="2" t="s">
        <v>425</v>
      </c>
      <c r="L4899" s="2">
        <v>2024</v>
      </c>
      <c r="M4899" s="2" t="s">
        <v>158</v>
      </c>
      <c r="N4899" s="2" t="s">
        <v>23</v>
      </c>
      <c r="O4899">
        <f t="shared" si="152"/>
        <v>1.9200000000000017</v>
      </c>
      <c r="P4899">
        <f t="shared" si="153"/>
        <v>8.0110000000000046</v>
      </c>
    </row>
    <row r="4900" spans="1:16" x14ac:dyDescent="0.35">
      <c r="A4900" s="9" t="s">
        <v>431</v>
      </c>
      <c r="B4900" s="2">
        <v>110.92</v>
      </c>
      <c r="C4900" s="2">
        <v>111.96</v>
      </c>
      <c r="D4900" s="2">
        <v>110.42</v>
      </c>
      <c r="E4900" s="2">
        <v>111.92</v>
      </c>
      <c r="F4900" s="2">
        <v>10004094</v>
      </c>
      <c r="G4900" s="2" t="s">
        <v>579</v>
      </c>
      <c r="H4900" s="2" t="s">
        <v>580</v>
      </c>
      <c r="I4900" s="2" t="s">
        <v>581</v>
      </c>
      <c r="J4900" s="3">
        <v>0.88300000000000001</v>
      </c>
      <c r="K4900" s="2" t="s">
        <v>425</v>
      </c>
      <c r="L4900" s="2">
        <v>2024</v>
      </c>
      <c r="M4900" s="2" t="s">
        <v>158</v>
      </c>
      <c r="N4900" s="2" t="s">
        <v>21</v>
      </c>
      <c r="O4900">
        <f t="shared" si="152"/>
        <v>1.539999999999992</v>
      </c>
      <c r="P4900">
        <f t="shared" si="153"/>
        <v>8.8940000000000055</v>
      </c>
    </row>
    <row r="4901" spans="1:16" x14ac:dyDescent="0.35">
      <c r="A4901" s="9" t="s">
        <v>432</v>
      </c>
      <c r="B4901" s="2">
        <v>111.43</v>
      </c>
      <c r="C4901" s="2">
        <v>113.315</v>
      </c>
      <c r="D4901" s="2">
        <v>110.93</v>
      </c>
      <c r="E4901" s="2">
        <v>113.25</v>
      </c>
      <c r="F4901" s="2">
        <v>13084875</v>
      </c>
      <c r="G4901" s="2" t="s">
        <v>579</v>
      </c>
      <c r="H4901" s="2" t="s">
        <v>580</v>
      </c>
      <c r="I4901" s="2" t="s">
        <v>581</v>
      </c>
      <c r="J4901" s="3">
        <v>1.1879999999999999</v>
      </c>
      <c r="K4901" s="2" t="s">
        <v>425</v>
      </c>
      <c r="L4901" s="2">
        <v>2024</v>
      </c>
      <c r="M4901" s="2" t="s">
        <v>158</v>
      </c>
      <c r="N4901" s="2" t="s">
        <v>21</v>
      </c>
      <c r="O4901">
        <f t="shared" si="152"/>
        <v>2.3849999999999909</v>
      </c>
      <c r="P4901">
        <f t="shared" si="153"/>
        <v>10.082000000000006</v>
      </c>
    </row>
    <row r="4902" spans="1:16" x14ac:dyDescent="0.35">
      <c r="A4902" s="9" t="s">
        <v>433</v>
      </c>
      <c r="B4902" s="2">
        <v>113.99</v>
      </c>
      <c r="C4902" s="2">
        <v>114.15</v>
      </c>
      <c r="D4902" s="2">
        <v>112.63</v>
      </c>
      <c r="E4902" s="2">
        <v>113.27</v>
      </c>
      <c r="F4902" s="2">
        <v>11684946</v>
      </c>
      <c r="G4902" s="2" t="s">
        <v>579</v>
      </c>
      <c r="H4902" s="2" t="s">
        <v>580</v>
      </c>
      <c r="I4902" s="2" t="s">
        <v>581</v>
      </c>
      <c r="J4902" s="3">
        <v>1.7999999999999999E-2</v>
      </c>
      <c r="K4902" s="2" t="s">
        <v>425</v>
      </c>
      <c r="L4902" s="2">
        <v>2024</v>
      </c>
      <c r="M4902" s="2" t="s">
        <v>158</v>
      </c>
      <c r="N4902" s="2" t="s">
        <v>21</v>
      </c>
      <c r="O4902">
        <f t="shared" si="152"/>
        <v>1.5200000000000102</v>
      </c>
      <c r="P4902">
        <f t="shared" si="153"/>
        <v>10.100000000000007</v>
      </c>
    </row>
    <row r="4903" spans="1:16" x14ac:dyDescent="0.35">
      <c r="A4903" s="9" t="s">
        <v>434</v>
      </c>
      <c r="B4903" s="2">
        <v>114.27</v>
      </c>
      <c r="C4903" s="2">
        <v>116.16</v>
      </c>
      <c r="D4903" s="2">
        <v>113.575</v>
      </c>
      <c r="E4903" s="2">
        <v>115.21</v>
      </c>
      <c r="F4903" s="2">
        <v>13032503</v>
      </c>
      <c r="G4903" s="2" t="s">
        <v>579</v>
      </c>
      <c r="H4903" s="2" t="s">
        <v>580</v>
      </c>
      <c r="I4903" s="2" t="s">
        <v>581</v>
      </c>
      <c r="J4903" s="3">
        <v>1.7130000000000001</v>
      </c>
      <c r="K4903" s="2" t="s">
        <v>425</v>
      </c>
      <c r="L4903" s="2">
        <v>2024</v>
      </c>
      <c r="M4903" s="2" t="s">
        <v>158</v>
      </c>
      <c r="N4903" s="2" t="s">
        <v>21</v>
      </c>
      <c r="O4903">
        <f t="shared" si="152"/>
        <v>2.5849999999999937</v>
      </c>
      <c r="P4903">
        <f t="shared" si="153"/>
        <v>11.813000000000006</v>
      </c>
    </row>
    <row r="4904" spans="1:16" x14ac:dyDescent="0.35">
      <c r="A4904" s="9" t="s">
        <v>435</v>
      </c>
      <c r="B4904" s="2">
        <v>114.35</v>
      </c>
      <c r="C4904" s="2">
        <v>116.35</v>
      </c>
      <c r="D4904" s="2">
        <v>113.71</v>
      </c>
      <c r="E4904" s="2">
        <v>116.04</v>
      </c>
      <c r="F4904" s="2">
        <v>13614050</v>
      </c>
      <c r="G4904" s="2" t="s">
        <v>579</v>
      </c>
      <c r="H4904" s="2" t="s">
        <v>580</v>
      </c>
      <c r="I4904" s="2" t="s">
        <v>581</v>
      </c>
      <c r="J4904" s="3">
        <v>0.72</v>
      </c>
      <c r="K4904" s="2" t="s">
        <v>425</v>
      </c>
      <c r="L4904" s="2">
        <v>2024</v>
      </c>
      <c r="M4904" s="2" t="s">
        <v>158</v>
      </c>
      <c r="N4904" s="2" t="s">
        <v>21</v>
      </c>
      <c r="O4904">
        <f t="shared" si="152"/>
        <v>2.6400000000000006</v>
      </c>
      <c r="P4904">
        <f t="shared" si="153"/>
        <v>12.533000000000007</v>
      </c>
    </row>
    <row r="4905" spans="1:16" x14ac:dyDescent="0.35">
      <c r="A4905" s="9" t="s">
        <v>436</v>
      </c>
      <c r="B4905" s="2">
        <v>116.74</v>
      </c>
      <c r="C4905" s="2">
        <v>118.175</v>
      </c>
      <c r="D4905" s="2">
        <v>116.55</v>
      </c>
      <c r="E4905" s="2">
        <v>117.64</v>
      </c>
      <c r="F4905" s="2">
        <v>13602766</v>
      </c>
      <c r="G4905" s="2" t="s">
        <v>579</v>
      </c>
      <c r="H4905" s="2" t="s">
        <v>580</v>
      </c>
      <c r="I4905" s="2" t="s">
        <v>581</v>
      </c>
      <c r="J4905" s="3">
        <v>1.379</v>
      </c>
      <c r="K4905" s="2" t="s">
        <v>425</v>
      </c>
      <c r="L4905" s="2">
        <v>2024</v>
      </c>
      <c r="M4905" s="2" t="s">
        <v>158</v>
      </c>
      <c r="N4905" s="2" t="s">
        <v>21</v>
      </c>
      <c r="O4905">
        <f t="shared" si="152"/>
        <v>1.625</v>
      </c>
      <c r="P4905">
        <f t="shared" si="153"/>
        <v>13.912000000000006</v>
      </c>
    </row>
    <row r="4906" spans="1:16" x14ac:dyDescent="0.35">
      <c r="A4906" s="9" t="s">
        <v>437</v>
      </c>
      <c r="B4906" s="2">
        <v>117.95</v>
      </c>
      <c r="C4906" s="2">
        <v>119.92</v>
      </c>
      <c r="D4906" s="2">
        <v>117.435</v>
      </c>
      <c r="E4906" s="2">
        <v>118.8</v>
      </c>
      <c r="F4906" s="2">
        <v>13033563</v>
      </c>
      <c r="G4906" s="2" t="s">
        <v>579</v>
      </c>
      <c r="H4906" s="2" t="s">
        <v>580</v>
      </c>
      <c r="I4906" s="2" t="s">
        <v>581</v>
      </c>
      <c r="J4906" s="3">
        <v>0.98599999999999999</v>
      </c>
      <c r="K4906" s="2" t="s">
        <v>425</v>
      </c>
      <c r="L4906" s="2">
        <v>2024</v>
      </c>
      <c r="M4906" s="2" t="s">
        <v>158</v>
      </c>
      <c r="N4906" s="2" t="s">
        <v>21</v>
      </c>
      <c r="O4906">
        <f t="shared" si="152"/>
        <v>2.4849999999999994</v>
      </c>
      <c r="P4906">
        <f t="shared" si="153"/>
        <v>14.898000000000007</v>
      </c>
    </row>
    <row r="4907" spans="1:16" x14ac:dyDescent="0.35">
      <c r="A4907" s="9" t="s">
        <v>438</v>
      </c>
      <c r="B4907" s="2">
        <v>118.59</v>
      </c>
      <c r="C4907" s="2">
        <v>118.879</v>
      </c>
      <c r="D4907" s="2">
        <v>115.87</v>
      </c>
      <c r="E4907" s="2">
        <v>116.07</v>
      </c>
      <c r="F4907" s="2">
        <v>16157707</v>
      </c>
      <c r="G4907" s="2" t="s">
        <v>579</v>
      </c>
      <c r="H4907" s="2" t="s">
        <v>580</v>
      </c>
      <c r="I4907" s="2" t="s">
        <v>581</v>
      </c>
      <c r="J4907" s="4">
        <v>-2.298</v>
      </c>
      <c r="K4907" s="2" t="s">
        <v>425</v>
      </c>
      <c r="L4907" s="2">
        <v>2024</v>
      </c>
      <c r="M4907" s="2" t="s">
        <v>158</v>
      </c>
      <c r="N4907" s="2" t="s">
        <v>23</v>
      </c>
      <c r="O4907">
        <f t="shared" si="152"/>
        <v>3.0090000000000003</v>
      </c>
      <c r="P4907">
        <f t="shared" si="153"/>
        <v>12.600000000000007</v>
      </c>
    </row>
    <row r="4908" spans="1:16" x14ac:dyDescent="0.35">
      <c r="A4908" s="9" t="s">
        <v>439</v>
      </c>
      <c r="B4908" s="2">
        <v>115.18</v>
      </c>
      <c r="C4908" s="2">
        <v>115.94</v>
      </c>
      <c r="D4908" s="2">
        <v>114.58</v>
      </c>
      <c r="E4908" s="2">
        <v>115.27</v>
      </c>
      <c r="F4908" s="2">
        <v>12065877</v>
      </c>
      <c r="G4908" s="2" t="s">
        <v>579</v>
      </c>
      <c r="H4908" s="2" t="s">
        <v>580</v>
      </c>
      <c r="I4908" s="2" t="s">
        <v>581</v>
      </c>
      <c r="J4908" s="4">
        <v>-0.68899999999999995</v>
      </c>
      <c r="K4908" s="2" t="s">
        <v>425</v>
      </c>
      <c r="L4908" s="2">
        <v>2024</v>
      </c>
      <c r="M4908" s="2" t="s">
        <v>158</v>
      </c>
      <c r="N4908" s="2" t="s">
        <v>23</v>
      </c>
      <c r="O4908">
        <f t="shared" si="152"/>
        <v>1.3599999999999994</v>
      </c>
      <c r="P4908">
        <f t="shared" si="153"/>
        <v>11.911000000000007</v>
      </c>
    </row>
    <row r="4909" spans="1:16" x14ac:dyDescent="0.35">
      <c r="A4909" s="9" t="s">
        <v>440</v>
      </c>
      <c r="B4909" s="2">
        <v>114.81</v>
      </c>
      <c r="C4909" s="2">
        <v>115.17</v>
      </c>
      <c r="D4909" s="2">
        <v>113.17</v>
      </c>
      <c r="E4909" s="2">
        <v>113.41</v>
      </c>
      <c r="F4909" s="2">
        <v>11251733</v>
      </c>
      <c r="G4909" s="2" t="s">
        <v>579</v>
      </c>
      <c r="H4909" s="2" t="s">
        <v>580</v>
      </c>
      <c r="I4909" s="2" t="s">
        <v>581</v>
      </c>
      <c r="J4909" s="4">
        <v>-1.6140000000000001</v>
      </c>
      <c r="K4909" s="2" t="s">
        <v>425</v>
      </c>
      <c r="L4909" s="2">
        <v>2024</v>
      </c>
      <c r="M4909" s="2" t="s">
        <v>158</v>
      </c>
      <c r="N4909" s="2" t="s">
        <v>23</v>
      </c>
      <c r="O4909">
        <f t="shared" si="152"/>
        <v>2</v>
      </c>
      <c r="P4909">
        <f t="shared" si="153"/>
        <v>10.297000000000006</v>
      </c>
    </row>
    <row r="4910" spans="1:16" x14ac:dyDescent="0.35">
      <c r="A4910" s="9" t="s">
        <v>441</v>
      </c>
      <c r="B4910" s="2">
        <v>113.765</v>
      </c>
      <c r="C4910" s="2">
        <v>115.2</v>
      </c>
      <c r="D4910" s="2">
        <v>113.065</v>
      </c>
      <c r="E4910" s="2">
        <v>115.01</v>
      </c>
      <c r="F4910" s="2">
        <v>14925184</v>
      </c>
      <c r="G4910" s="2" t="s">
        <v>579</v>
      </c>
      <c r="H4910" s="2" t="s">
        <v>580</v>
      </c>
      <c r="I4910" s="2" t="s">
        <v>581</v>
      </c>
      <c r="J4910" s="3">
        <v>1.411</v>
      </c>
      <c r="K4910" s="2" t="s">
        <v>425</v>
      </c>
      <c r="L4910" s="2">
        <v>2024</v>
      </c>
      <c r="M4910" s="2" t="s">
        <v>158</v>
      </c>
      <c r="N4910" s="2" t="s">
        <v>21</v>
      </c>
      <c r="O4910">
        <f t="shared" si="152"/>
        <v>2.1350000000000051</v>
      </c>
      <c r="P4910">
        <f t="shared" si="153"/>
        <v>11.708000000000006</v>
      </c>
    </row>
    <row r="4911" spans="1:16" x14ac:dyDescent="0.35">
      <c r="A4911" s="9" t="s">
        <v>442</v>
      </c>
      <c r="B4911" s="2">
        <v>115.17</v>
      </c>
      <c r="C4911" s="2">
        <v>118.03</v>
      </c>
      <c r="D4911" s="2">
        <v>114.56</v>
      </c>
      <c r="E4911" s="2">
        <v>117.43</v>
      </c>
      <c r="F4911" s="2">
        <v>17021698</v>
      </c>
      <c r="G4911" s="2" t="s">
        <v>579</v>
      </c>
      <c r="H4911" s="2" t="s">
        <v>580</v>
      </c>
      <c r="I4911" s="2" t="s">
        <v>581</v>
      </c>
      <c r="J4911" s="3">
        <v>2.1040000000000001</v>
      </c>
      <c r="K4911" s="2" t="s">
        <v>425</v>
      </c>
      <c r="L4911" s="2">
        <v>2024</v>
      </c>
      <c r="M4911" s="2" t="s">
        <v>158</v>
      </c>
      <c r="N4911" s="2" t="s">
        <v>21</v>
      </c>
      <c r="O4911">
        <f t="shared" si="152"/>
        <v>3.4699999999999989</v>
      </c>
      <c r="P4911">
        <f t="shared" si="153"/>
        <v>13.812000000000005</v>
      </c>
    </row>
    <row r="4912" spans="1:16" x14ac:dyDescent="0.35">
      <c r="A4912" s="9" t="s">
        <v>443</v>
      </c>
      <c r="B4912" s="2">
        <v>116.77</v>
      </c>
      <c r="C4912" s="2">
        <v>118.03</v>
      </c>
      <c r="D4912" s="2">
        <v>116.47</v>
      </c>
      <c r="E4912" s="2">
        <v>117.33</v>
      </c>
      <c r="F4912" s="2">
        <v>11252479</v>
      </c>
      <c r="G4912" s="2" t="s">
        <v>579</v>
      </c>
      <c r="H4912" s="2" t="s">
        <v>580</v>
      </c>
      <c r="I4912" s="2" t="s">
        <v>581</v>
      </c>
      <c r="J4912" s="4">
        <v>-8.5000000000000006E-2</v>
      </c>
      <c r="K4912" s="2" t="s">
        <v>425</v>
      </c>
      <c r="L4912" s="2">
        <v>2024</v>
      </c>
      <c r="M4912" s="2" t="s">
        <v>158</v>
      </c>
      <c r="N4912" s="2" t="s">
        <v>23</v>
      </c>
      <c r="O4912">
        <f t="shared" si="152"/>
        <v>1.5600000000000023</v>
      </c>
      <c r="P4912">
        <f t="shared" si="153"/>
        <v>13.727000000000004</v>
      </c>
    </row>
    <row r="4913" spans="1:16" x14ac:dyDescent="0.35">
      <c r="A4913" s="9" t="s">
        <v>444</v>
      </c>
      <c r="B4913" s="2">
        <v>117.32</v>
      </c>
      <c r="C4913" s="2">
        <v>117.39</v>
      </c>
      <c r="D4913" s="2">
        <v>115.38</v>
      </c>
      <c r="E4913" s="2">
        <v>116.1</v>
      </c>
      <c r="F4913" s="2">
        <v>8861806</v>
      </c>
      <c r="G4913" s="2" t="s">
        <v>579</v>
      </c>
      <c r="H4913" s="2" t="s">
        <v>580</v>
      </c>
      <c r="I4913" s="2" t="s">
        <v>581</v>
      </c>
      <c r="J4913" s="4">
        <v>-1.048</v>
      </c>
      <c r="K4913" s="2" t="s">
        <v>425</v>
      </c>
      <c r="L4913" s="2">
        <v>2024</v>
      </c>
      <c r="M4913" s="2" t="s">
        <v>158</v>
      </c>
      <c r="N4913" s="2" t="s">
        <v>23</v>
      </c>
      <c r="O4913">
        <f t="shared" si="152"/>
        <v>2.0100000000000051</v>
      </c>
      <c r="P4913">
        <f t="shared" si="153"/>
        <v>12.679000000000004</v>
      </c>
    </row>
    <row r="4914" spans="1:16" x14ac:dyDescent="0.35">
      <c r="A4914" s="9" t="s">
        <v>445</v>
      </c>
      <c r="B4914" s="2">
        <v>116.36</v>
      </c>
      <c r="C4914" s="2">
        <v>118.595</v>
      </c>
      <c r="D4914" s="2">
        <v>116.23</v>
      </c>
      <c r="E4914" s="2">
        <v>118.17</v>
      </c>
      <c r="F4914" s="2">
        <v>12483857</v>
      </c>
      <c r="G4914" s="2" t="s">
        <v>579</v>
      </c>
      <c r="H4914" s="2" t="s">
        <v>580</v>
      </c>
      <c r="I4914" s="2" t="s">
        <v>581</v>
      </c>
      <c r="J4914" s="3">
        <v>1.7829999999999999</v>
      </c>
      <c r="K4914" s="2" t="s">
        <v>425</v>
      </c>
      <c r="L4914" s="2">
        <v>2024</v>
      </c>
      <c r="M4914" s="2" t="s">
        <v>158</v>
      </c>
      <c r="N4914" s="2" t="s">
        <v>21</v>
      </c>
      <c r="O4914">
        <f t="shared" si="152"/>
        <v>2.3649999999999949</v>
      </c>
      <c r="P4914">
        <f t="shared" si="153"/>
        <v>14.462000000000003</v>
      </c>
    </row>
    <row r="4915" spans="1:16" x14ac:dyDescent="0.35">
      <c r="A4915" s="9" t="s">
        <v>446</v>
      </c>
      <c r="B4915" s="2">
        <v>119.64</v>
      </c>
      <c r="C4915" s="2">
        <v>119.76</v>
      </c>
      <c r="D4915" s="2">
        <v>118.56</v>
      </c>
      <c r="E4915" s="2">
        <v>118.59</v>
      </c>
      <c r="F4915" s="2">
        <v>15137710</v>
      </c>
      <c r="G4915" s="2" t="s">
        <v>579</v>
      </c>
      <c r="H4915" s="2" t="s">
        <v>580</v>
      </c>
      <c r="I4915" s="2" t="s">
        <v>581</v>
      </c>
      <c r="J4915" s="3">
        <v>0.35499999999999998</v>
      </c>
      <c r="K4915" s="2" t="s">
        <v>425</v>
      </c>
      <c r="L4915" s="2">
        <v>2024</v>
      </c>
      <c r="M4915" s="2" t="s">
        <v>158</v>
      </c>
      <c r="N4915" s="2" t="s">
        <v>21</v>
      </c>
      <c r="O4915">
        <f t="shared" si="152"/>
        <v>1.2000000000000028</v>
      </c>
      <c r="P4915">
        <f t="shared" si="153"/>
        <v>14.817000000000004</v>
      </c>
    </row>
    <row r="4916" spans="1:16" x14ac:dyDescent="0.35">
      <c r="A4916" s="9" t="s">
        <v>447</v>
      </c>
      <c r="B4916" s="2">
        <v>118.35</v>
      </c>
      <c r="C4916" s="2">
        <v>119.49</v>
      </c>
      <c r="D4916" s="2">
        <v>116.36</v>
      </c>
      <c r="E4916" s="2">
        <v>116.95</v>
      </c>
      <c r="F4916" s="2">
        <v>15051482</v>
      </c>
      <c r="G4916" s="2" t="s">
        <v>579</v>
      </c>
      <c r="H4916" s="2" t="s">
        <v>580</v>
      </c>
      <c r="I4916" s="2" t="s">
        <v>581</v>
      </c>
      <c r="J4916" s="4">
        <v>-1.383</v>
      </c>
      <c r="K4916" s="2" t="s">
        <v>448</v>
      </c>
      <c r="L4916" s="2">
        <v>2024</v>
      </c>
      <c r="M4916" s="2" t="s">
        <v>180</v>
      </c>
      <c r="N4916" s="2" t="s">
        <v>23</v>
      </c>
      <c r="O4916">
        <f t="shared" si="152"/>
        <v>3.1299999999999955</v>
      </c>
      <c r="P4916">
        <f t="shared" si="153"/>
        <v>13.434000000000005</v>
      </c>
    </row>
    <row r="4917" spans="1:16" x14ac:dyDescent="0.35">
      <c r="A4917" s="9" t="s">
        <v>449</v>
      </c>
      <c r="B4917" s="2">
        <v>115.97</v>
      </c>
      <c r="C4917" s="2">
        <v>118.87</v>
      </c>
      <c r="D4917" s="2">
        <v>115.42</v>
      </c>
      <c r="E4917" s="2">
        <v>116.88</v>
      </c>
      <c r="F4917" s="2">
        <v>20403773</v>
      </c>
      <c r="G4917" s="2" t="s">
        <v>579</v>
      </c>
      <c r="H4917" s="2" t="s">
        <v>580</v>
      </c>
      <c r="I4917" s="2" t="s">
        <v>581</v>
      </c>
      <c r="J4917" s="4">
        <v>-0.06</v>
      </c>
      <c r="K4917" s="2" t="s">
        <v>448</v>
      </c>
      <c r="L4917" s="2">
        <v>2024</v>
      </c>
      <c r="M4917" s="2" t="s">
        <v>180</v>
      </c>
      <c r="N4917" s="2" t="s">
        <v>23</v>
      </c>
      <c r="O4917">
        <f t="shared" si="152"/>
        <v>3.4500000000000028</v>
      </c>
      <c r="P4917">
        <f t="shared" si="153"/>
        <v>13.374000000000004</v>
      </c>
    </row>
    <row r="4918" spans="1:16" x14ac:dyDescent="0.35">
      <c r="A4918" s="9" t="s">
        <v>450</v>
      </c>
      <c r="B4918" s="2">
        <v>115.54</v>
      </c>
      <c r="C4918" s="2">
        <v>116.03</v>
      </c>
      <c r="D4918" s="2">
        <v>113.25</v>
      </c>
      <c r="E4918" s="2">
        <v>114.77</v>
      </c>
      <c r="F4918" s="2">
        <v>18025858</v>
      </c>
      <c r="G4918" s="2" t="s">
        <v>579</v>
      </c>
      <c r="H4918" s="2" t="s">
        <v>580</v>
      </c>
      <c r="I4918" s="2" t="s">
        <v>581</v>
      </c>
      <c r="J4918" s="4">
        <v>-1.8049999999999999</v>
      </c>
      <c r="K4918" s="2" t="s">
        <v>448</v>
      </c>
      <c r="L4918" s="2">
        <v>2024</v>
      </c>
      <c r="M4918" s="2" t="s">
        <v>180</v>
      </c>
      <c r="N4918" s="2" t="s">
        <v>23</v>
      </c>
      <c r="O4918">
        <f t="shared" si="152"/>
        <v>2.7800000000000011</v>
      </c>
      <c r="P4918">
        <f t="shared" si="153"/>
        <v>11.569000000000004</v>
      </c>
    </row>
    <row r="4919" spans="1:16" x14ac:dyDescent="0.35">
      <c r="A4919" s="9" t="s">
        <v>451</v>
      </c>
      <c r="B4919" s="2">
        <v>114.45</v>
      </c>
      <c r="C4919" s="2">
        <v>115.63</v>
      </c>
      <c r="D4919" s="2">
        <v>113.63</v>
      </c>
      <c r="E4919" s="2">
        <v>114.16</v>
      </c>
      <c r="F4919" s="2">
        <v>13647778</v>
      </c>
      <c r="G4919" s="2" t="s">
        <v>579</v>
      </c>
      <c r="H4919" s="2" t="s">
        <v>580</v>
      </c>
      <c r="I4919" s="2" t="s">
        <v>581</v>
      </c>
      <c r="J4919" s="4">
        <v>-0.53100000000000003</v>
      </c>
      <c r="K4919" s="2" t="s">
        <v>448</v>
      </c>
      <c r="L4919" s="2">
        <v>2024</v>
      </c>
      <c r="M4919" s="2" t="s">
        <v>180</v>
      </c>
      <c r="N4919" s="2" t="s">
        <v>23</v>
      </c>
      <c r="O4919">
        <f t="shared" si="152"/>
        <v>2</v>
      </c>
      <c r="P4919">
        <f t="shared" si="153"/>
        <v>11.038000000000004</v>
      </c>
    </row>
    <row r="4920" spans="1:16" x14ac:dyDescent="0.35">
      <c r="A4920" s="9" t="s">
        <v>452</v>
      </c>
      <c r="B4920" s="2">
        <v>115.45</v>
      </c>
      <c r="C4920" s="2">
        <v>117.119</v>
      </c>
      <c r="D4920" s="2">
        <v>115.26</v>
      </c>
      <c r="E4920" s="2">
        <v>115.68</v>
      </c>
      <c r="F4920" s="2">
        <v>13660657</v>
      </c>
      <c r="G4920" s="2" t="s">
        <v>579</v>
      </c>
      <c r="H4920" s="2" t="s">
        <v>580</v>
      </c>
      <c r="I4920" s="2" t="s">
        <v>581</v>
      </c>
      <c r="J4920" s="3">
        <v>1.331</v>
      </c>
      <c r="K4920" s="2" t="s">
        <v>448</v>
      </c>
      <c r="L4920" s="2">
        <v>2024</v>
      </c>
      <c r="M4920" s="2" t="s">
        <v>180</v>
      </c>
      <c r="N4920" s="2" t="s">
        <v>21</v>
      </c>
      <c r="O4920">
        <f t="shared" si="152"/>
        <v>1.8589999999999947</v>
      </c>
      <c r="P4920">
        <f t="shared" si="153"/>
        <v>12.369000000000003</v>
      </c>
    </row>
    <row r="4921" spans="1:16" x14ac:dyDescent="0.35">
      <c r="A4921" s="9" t="s">
        <v>453</v>
      </c>
      <c r="B4921" s="2">
        <v>116.08</v>
      </c>
      <c r="C4921" s="2">
        <v>118.105</v>
      </c>
      <c r="D4921" s="2">
        <v>115.73</v>
      </c>
      <c r="E4921" s="2">
        <v>117.89</v>
      </c>
      <c r="F4921" s="2">
        <v>13850993</v>
      </c>
      <c r="G4921" s="2" t="s">
        <v>579</v>
      </c>
      <c r="H4921" s="2" t="s">
        <v>580</v>
      </c>
      <c r="I4921" s="2" t="s">
        <v>581</v>
      </c>
      <c r="J4921" s="3">
        <v>1.91</v>
      </c>
      <c r="K4921" s="2" t="s">
        <v>448</v>
      </c>
      <c r="L4921" s="2">
        <v>2024</v>
      </c>
      <c r="M4921" s="2" t="s">
        <v>180</v>
      </c>
      <c r="N4921" s="2" t="s">
        <v>21</v>
      </c>
      <c r="O4921">
        <f t="shared" si="152"/>
        <v>2.375</v>
      </c>
      <c r="P4921">
        <f t="shared" si="153"/>
        <v>14.279000000000003</v>
      </c>
    </row>
    <row r="4922" spans="1:16" x14ac:dyDescent="0.35">
      <c r="A4922" s="9" t="s">
        <v>454</v>
      </c>
      <c r="B4922" s="2">
        <v>117.88500000000001</v>
      </c>
      <c r="C4922" s="2">
        <v>119.31</v>
      </c>
      <c r="D4922" s="2">
        <v>117.36</v>
      </c>
      <c r="E4922" s="2">
        <v>118.85</v>
      </c>
      <c r="F4922" s="2">
        <v>12151867</v>
      </c>
      <c r="G4922" s="2" t="s">
        <v>579</v>
      </c>
      <c r="H4922" s="2" t="s">
        <v>580</v>
      </c>
      <c r="I4922" s="2" t="s">
        <v>581</v>
      </c>
      <c r="J4922" s="3">
        <v>0.81399999999999995</v>
      </c>
      <c r="K4922" s="2" t="s">
        <v>448</v>
      </c>
      <c r="L4922" s="2">
        <v>2024</v>
      </c>
      <c r="M4922" s="2" t="s">
        <v>180</v>
      </c>
      <c r="N4922" s="2" t="s">
        <v>21</v>
      </c>
      <c r="O4922">
        <f t="shared" si="152"/>
        <v>1.9500000000000028</v>
      </c>
      <c r="P4922">
        <f t="shared" si="153"/>
        <v>15.093000000000004</v>
      </c>
    </row>
    <row r="4923" spans="1:16" x14ac:dyDescent="0.35">
      <c r="A4923" s="9" t="s">
        <v>455</v>
      </c>
      <c r="B4923" s="2">
        <v>119.55</v>
      </c>
      <c r="C4923" s="2">
        <v>120.17</v>
      </c>
      <c r="D4923" s="2">
        <v>118.02</v>
      </c>
      <c r="E4923" s="2">
        <v>119</v>
      </c>
      <c r="F4923" s="2">
        <v>13228911</v>
      </c>
      <c r="G4923" s="2" t="s">
        <v>579</v>
      </c>
      <c r="H4923" s="2" t="s">
        <v>580</v>
      </c>
      <c r="I4923" s="2" t="s">
        <v>581</v>
      </c>
      <c r="J4923" s="3">
        <v>0.126</v>
      </c>
      <c r="K4923" s="2" t="s">
        <v>448</v>
      </c>
      <c r="L4923" s="2">
        <v>2024</v>
      </c>
      <c r="M4923" s="2" t="s">
        <v>180</v>
      </c>
      <c r="N4923" s="2" t="s">
        <v>21</v>
      </c>
      <c r="O4923">
        <f t="shared" si="152"/>
        <v>2.1500000000000057</v>
      </c>
      <c r="P4923">
        <f t="shared" si="153"/>
        <v>15.219000000000003</v>
      </c>
    </row>
    <row r="4924" spans="1:16" x14ac:dyDescent="0.35">
      <c r="A4924" s="9" t="s">
        <v>456</v>
      </c>
      <c r="B4924" s="2">
        <v>118.27500000000001</v>
      </c>
      <c r="C4924" s="2">
        <v>118.51</v>
      </c>
      <c r="D4924" s="2">
        <v>117.5</v>
      </c>
      <c r="E4924" s="2">
        <v>117.86</v>
      </c>
      <c r="F4924" s="2">
        <v>11585067</v>
      </c>
      <c r="G4924" s="2" t="s">
        <v>579</v>
      </c>
      <c r="H4924" s="2" t="s">
        <v>580</v>
      </c>
      <c r="I4924" s="2" t="s">
        <v>581</v>
      </c>
      <c r="J4924" s="4">
        <v>-0.95799999999999996</v>
      </c>
      <c r="K4924" s="2" t="s">
        <v>448</v>
      </c>
      <c r="L4924" s="2">
        <v>2024</v>
      </c>
      <c r="M4924" s="2" t="s">
        <v>180</v>
      </c>
      <c r="N4924" s="2" t="s">
        <v>23</v>
      </c>
      <c r="O4924">
        <f t="shared" si="152"/>
        <v>1.0100000000000051</v>
      </c>
      <c r="P4924">
        <f t="shared" si="153"/>
        <v>14.261000000000003</v>
      </c>
    </row>
    <row r="4925" spans="1:16" x14ac:dyDescent="0.35">
      <c r="A4925" s="9" t="s">
        <v>457</v>
      </c>
      <c r="B4925" s="2">
        <v>118.1</v>
      </c>
      <c r="C4925" s="2">
        <v>119.9</v>
      </c>
      <c r="D4925" s="2">
        <v>117.63</v>
      </c>
      <c r="E4925" s="2">
        <v>118.95</v>
      </c>
      <c r="F4925" s="2">
        <v>12194520</v>
      </c>
      <c r="G4925" s="2" t="s">
        <v>579</v>
      </c>
      <c r="H4925" s="2" t="s">
        <v>580</v>
      </c>
      <c r="I4925" s="2" t="s">
        <v>581</v>
      </c>
      <c r="J4925" s="3">
        <v>0.92500000000000004</v>
      </c>
      <c r="K4925" s="2" t="s">
        <v>448</v>
      </c>
      <c r="L4925" s="2">
        <v>2024</v>
      </c>
      <c r="M4925" s="2" t="s">
        <v>180</v>
      </c>
      <c r="N4925" s="2" t="s">
        <v>21</v>
      </c>
      <c r="O4925">
        <f t="shared" si="152"/>
        <v>2.2700000000000102</v>
      </c>
      <c r="P4925">
        <f t="shared" si="153"/>
        <v>15.186000000000003</v>
      </c>
    </row>
    <row r="4926" spans="1:16" x14ac:dyDescent="0.35">
      <c r="A4926" s="9" t="s">
        <v>458</v>
      </c>
      <c r="B4926" s="2">
        <v>118.25</v>
      </c>
      <c r="C4926" s="2">
        <v>119.63</v>
      </c>
      <c r="D4926" s="2">
        <v>118.12</v>
      </c>
      <c r="E4926" s="2">
        <v>118.73</v>
      </c>
      <c r="F4926" s="2">
        <v>11579432</v>
      </c>
      <c r="G4926" s="2" t="s">
        <v>579</v>
      </c>
      <c r="H4926" s="2" t="s">
        <v>580</v>
      </c>
      <c r="I4926" s="2" t="s">
        <v>581</v>
      </c>
      <c r="J4926" s="4">
        <v>-0.185</v>
      </c>
      <c r="K4926" s="2" t="s">
        <v>448</v>
      </c>
      <c r="L4926" s="2">
        <v>2024</v>
      </c>
      <c r="M4926" s="2" t="s">
        <v>180</v>
      </c>
      <c r="N4926" s="2" t="s">
        <v>23</v>
      </c>
      <c r="O4926">
        <f t="shared" si="152"/>
        <v>1.5099999999999909</v>
      </c>
      <c r="P4926">
        <f t="shared" si="153"/>
        <v>15.001000000000003</v>
      </c>
    </row>
    <row r="4927" spans="1:16" x14ac:dyDescent="0.35">
      <c r="A4927" s="9" t="s">
        <v>459</v>
      </c>
      <c r="B4927" s="2">
        <v>117.99</v>
      </c>
      <c r="C4927" s="2">
        <v>118.48</v>
      </c>
      <c r="D4927" s="2">
        <v>117.66</v>
      </c>
      <c r="E4927" s="2">
        <v>118.17</v>
      </c>
      <c r="F4927" s="2">
        <v>10056024</v>
      </c>
      <c r="G4927" s="2" t="s">
        <v>579</v>
      </c>
      <c r="H4927" s="2" t="s">
        <v>580</v>
      </c>
      <c r="I4927" s="2" t="s">
        <v>581</v>
      </c>
      <c r="J4927" s="4">
        <v>-0.47199999999999998</v>
      </c>
      <c r="K4927" s="2" t="s">
        <v>448</v>
      </c>
      <c r="L4927" s="2">
        <v>2024</v>
      </c>
      <c r="M4927" s="2" t="s">
        <v>180</v>
      </c>
      <c r="N4927" s="2" t="s">
        <v>23</v>
      </c>
      <c r="O4927">
        <f t="shared" si="152"/>
        <v>0.82000000000000739</v>
      </c>
      <c r="P4927">
        <f t="shared" si="153"/>
        <v>14.529000000000003</v>
      </c>
    </row>
    <row r="4928" spans="1:16" x14ac:dyDescent="0.35">
      <c r="A4928" s="9" t="s">
        <v>460</v>
      </c>
      <c r="B4928" s="2">
        <v>118.4</v>
      </c>
      <c r="C4928" s="2">
        <v>120.5</v>
      </c>
      <c r="D4928" s="2">
        <v>118.17</v>
      </c>
      <c r="E4928" s="2">
        <v>118.53</v>
      </c>
      <c r="F4928" s="2">
        <v>12417467</v>
      </c>
      <c r="G4928" s="2" t="s">
        <v>579</v>
      </c>
      <c r="H4928" s="2" t="s">
        <v>580</v>
      </c>
      <c r="I4928" s="2" t="s">
        <v>581</v>
      </c>
      <c r="J4928" s="3">
        <v>0.30499999999999999</v>
      </c>
      <c r="K4928" s="2" t="s">
        <v>448</v>
      </c>
      <c r="L4928" s="2">
        <v>2024</v>
      </c>
      <c r="M4928" s="2" t="s">
        <v>180</v>
      </c>
      <c r="N4928" s="2" t="s">
        <v>21</v>
      </c>
      <c r="O4928">
        <f t="shared" si="152"/>
        <v>2.3299999999999983</v>
      </c>
      <c r="P4928">
        <f t="shared" si="153"/>
        <v>14.834000000000003</v>
      </c>
    </row>
    <row r="4929" spans="1:16" x14ac:dyDescent="0.35">
      <c r="A4929" s="9" t="s">
        <v>461</v>
      </c>
      <c r="B4929" s="2">
        <v>118.65</v>
      </c>
      <c r="C4929" s="2">
        <v>118.65</v>
      </c>
      <c r="D4929" s="2">
        <v>114.51</v>
      </c>
      <c r="E4929" s="2">
        <v>114.58</v>
      </c>
      <c r="F4929" s="2">
        <v>15631967</v>
      </c>
      <c r="G4929" s="2" t="s">
        <v>579</v>
      </c>
      <c r="H4929" s="2" t="s">
        <v>580</v>
      </c>
      <c r="I4929" s="2" t="s">
        <v>581</v>
      </c>
      <c r="J4929" s="4">
        <v>-3.3319999999999999</v>
      </c>
      <c r="K4929" s="2" t="s">
        <v>448</v>
      </c>
      <c r="L4929" s="2">
        <v>2024</v>
      </c>
      <c r="M4929" s="2" t="s">
        <v>180</v>
      </c>
      <c r="N4929" s="2" t="s">
        <v>23</v>
      </c>
      <c r="O4929">
        <f t="shared" si="152"/>
        <v>4.1400000000000006</v>
      </c>
      <c r="P4929">
        <f t="shared" si="153"/>
        <v>11.502000000000002</v>
      </c>
    </row>
    <row r="4930" spans="1:16" x14ac:dyDescent="0.35">
      <c r="A4930" s="9" t="s">
        <v>462</v>
      </c>
      <c r="B4930" s="2">
        <v>115.01</v>
      </c>
      <c r="C4930" s="2">
        <v>115.57</v>
      </c>
      <c r="D4930" s="2">
        <v>113.76</v>
      </c>
      <c r="E4930" s="2">
        <v>113.85</v>
      </c>
      <c r="F4930" s="2">
        <v>11752358</v>
      </c>
      <c r="G4930" s="2" t="s">
        <v>579</v>
      </c>
      <c r="H4930" s="2" t="s">
        <v>580</v>
      </c>
      <c r="I4930" s="2" t="s">
        <v>581</v>
      </c>
      <c r="J4930" s="4">
        <v>-0.63700000000000001</v>
      </c>
      <c r="K4930" s="2" t="s">
        <v>448</v>
      </c>
      <c r="L4930" s="2">
        <v>2024</v>
      </c>
      <c r="M4930" s="2" t="s">
        <v>180</v>
      </c>
      <c r="N4930" s="2" t="s">
        <v>23</v>
      </c>
      <c r="O4930">
        <f t="shared" si="152"/>
        <v>1.8099999999999881</v>
      </c>
      <c r="P4930">
        <f t="shared" si="153"/>
        <v>10.865000000000002</v>
      </c>
    </row>
    <row r="4931" spans="1:16" x14ac:dyDescent="0.35">
      <c r="A4931" s="9" t="s">
        <v>463</v>
      </c>
      <c r="B4931" s="2">
        <v>113.78</v>
      </c>
      <c r="C4931" s="2">
        <v>115.01</v>
      </c>
      <c r="D4931" s="2">
        <v>113.63500000000001</v>
      </c>
      <c r="E4931" s="2">
        <v>114.73</v>
      </c>
      <c r="F4931" s="2">
        <v>10609501</v>
      </c>
      <c r="G4931" s="2" t="s">
        <v>579</v>
      </c>
      <c r="H4931" s="2" t="s">
        <v>580</v>
      </c>
      <c r="I4931" s="2" t="s">
        <v>581</v>
      </c>
      <c r="J4931" s="3">
        <v>0.77300000000000002</v>
      </c>
      <c r="K4931" s="2" t="s">
        <v>448</v>
      </c>
      <c r="L4931" s="2">
        <v>2024</v>
      </c>
      <c r="M4931" s="2" t="s">
        <v>180</v>
      </c>
      <c r="N4931" s="2" t="s">
        <v>21</v>
      </c>
      <c r="O4931">
        <f t="shared" ref="O4931:O4994" si="154">C4931-D4931</f>
        <v>1.375</v>
      </c>
      <c r="P4931">
        <f t="shared" si="153"/>
        <v>11.638000000000002</v>
      </c>
    </row>
    <row r="4932" spans="1:16" x14ac:dyDescent="0.35">
      <c r="A4932" s="9" t="s">
        <v>464</v>
      </c>
      <c r="B4932" s="2">
        <v>115.02500000000001</v>
      </c>
      <c r="C4932" s="2">
        <v>116.72</v>
      </c>
      <c r="D4932" s="2">
        <v>115.02500000000001</v>
      </c>
      <c r="E4932" s="2">
        <v>116.32</v>
      </c>
      <c r="F4932" s="2">
        <v>10381431</v>
      </c>
      <c r="G4932" s="2" t="s">
        <v>579</v>
      </c>
      <c r="H4932" s="2" t="s">
        <v>580</v>
      </c>
      <c r="I4932" s="2" t="s">
        <v>581</v>
      </c>
      <c r="J4932" s="3">
        <v>1.3859999999999999</v>
      </c>
      <c r="K4932" s="2" t="s">
        <v>448</v>
      </c>
      <c r="L4932" s="2">
        <v>2024</v>
      </c>
      <c r="M4932" s="2" t="s">
        <v>180</v>
      </c>
      <c r="N4932" s="2" t="s">
        <v>21</v>
      </c>
      <c r="O4932">
        <f t="shared" si="154"/>
        <v>1.6949999999999932</v>
      </c>
      <c r="P4932">
        <f t="shared" ref="P4932:P4995" si="155">IF(G4932=G4931, P4931+J4932, J4932)</f>
        <v>13.024000000000001</v>
      </c>
    </row>
    <row r="4933" spans="1:16" x14ac:dyDescent="0.35">
      <c r="A4933" s="9" t="s">
        <v>465</v>
      </c>
      <c r="B4933" s="2">
        <v>117.76</v>
      </c>
      <c r="C4933" s="2">
        <v>118.94</v>
      </c>
      <c r="D4933" s="2">
        <v>116.92</v>
      </c>
      <c r="E4933" s="2">
        <v>118.81</v>
      </c>
      <c r="F4933" s="2">
        <v>13671016</v>
      </c>
      <c r="G4933" s="2" t="s">
        <v>579</v>
      </c>
      <c r="H4933" s="2" t="s">
        <v>580</v>
      </c>
      <c r="I4933" s="2" t="s">
        <v>581</v>
      </c>
      <c r="J4933" s="3">
        <v>2.141</v>
      </c>
      <c r="K4933" s="2" t="s">
        <v>448</v>
      </c>
      <c r="L4933" s="2">
        <v>2024</v>
      </c>
      <c r="M4933" s="2" t="s">
        <v>180</v>
      </c>
      <c r="N4933" s="2" t="s">
        <v>21</v>
      </c>
      <c r="O4933">
        <f t="shared" si="154"/>
        <v>2.019999999999996</v>
      </c>
      <c r="P4933">
        <f t="shared" si="155"/>
        <v>15.165000000000001</v>
      </c>
    </row>
    <row r="4934" spans="1:16" x14ac:dyDescent="0.35">
      <c r="A4934" s="9" t="s">
        <v>466</v>
      </c>
      <c r="B4934" s="2">
        <v>118.96</v>
      </c>
      <c r="C4934" s="2">
        <v>119.41</v>
      </c>
      <c r="D4934" s="2">
        <v>117.4</v>
      </c>
      <c r="E4934" s="2">
        <v>117.68</v>
      </c>
      <c r="F4934" s="2">
        <v>9991631</v>
      </c>
      <c r="G4934" s="2" t="s">
        <v>579</v>
      </c>
      <c r="H4934" s="2" t="s">
        <v>580</v>
      </c>
      <c r="I4934" s="2" t="s">
        <v>581</v>
      </c>
      <c r="J4934" s="4">
        <v>-0.95099999999999996</v>
      </c>
      <c r="K4934" s="2" t="s">
        <v>448</v>
      </c>
      <c r="L4934" s="2">
        <v>2024</v>
      </c>
      <c r="M4934" s="2" t="s">
        <v>180</v>
      </c>
      <c r="N4934" s="2" t="s">
        <v>23</v>
      </c>
      <c r="O4934">
        <f t="shared" si="154"/>
        <v>2.0099999999999909</v>
      </c>
      <c r="P4934">
        <f t="shared" si="155"/>
        <v>14.214</v>
      </c>
    </row>
    <row r="4935" spans="1:16" x14ac:dyDescent="0.35">
      <c r="A4935" s="9" t="s">
        <v>467</v>
      </c>
      <c r="B4935" s="2">
        <v>117</v>
      </c>
      <c r="C4935" s="2">
        <v>117.58</v>
      </c>
      <c r="D4935" s="2">
        <v>116.26</v>
      </c>
      <c r="E4935" s="2">
        <v>116.52</v>
      </c>
      <c r="F4935" s="2">
        <v>10742867</v>
      </c>
      <c r="G4935" s="2" t="s">
        <v>579</v>
      </c>
      <c r="H4935" s="2" t="s">
        <v>580</v>
      </c>
      <c r="I4935" s="2" t="s">
        <v>581</v>
      </c>
      <c r="J4935" s="4">
        <v>-0.98599999999999999</v>
      </c>
      <c r="K4935" s="2" t="s">
        <v>448</v>
      </c>
      <c r="L4935" s="2">
        <v>2024</v>
      </c>
      <c r="M4935" s="2" t="s">
        <v>180</v>
      </c>
      <c r="N4935" s="2" t="s">
        <v>23</v>
      </c>
      <c r="O4935">
        <f t="shared" si="154"/>
        <v>1.3199999999999932</v>
      </c>
      <c r="P4935">
        <f t="shared" si="155"/>
        <v>13.228</v>
      </c>
    </row>
    <row r="4936" spans="1:16" x14ac:dyDescent="0.35">
      <c r="A4936" s="9" t="s">
        <v>468</v>
      </c>
      <c r="B4936" s="2">
        <v>117.2</v>
      </c>
      <c r="C4936" s="2">
        <v>118.79</v>
      </c>
      <c r="D4936" s="2">
        <v>116.35</v>
      </c>
      <c r="E4936" s="2">
        <v>118.13</v>
      </c>
      <c r="F4936" s="2">
        <v>10753895</v>
      </c>
      <c r="G4936" s="2" t="s">
        <v>579</v>
      </c>
      <c r="H4936" s="2" t="s">
        <v>580</v>
      </c>
      <c r="I4936" s="2" t="s">
        <v>581</v>
      </c>
      <c r="J4936" s="3">
        <v>1.3819999999999999</v>
      </c>
      <c r="K4936" s="2" t="s">
        <v>448</v>
      </c>
      <c r="L4936" s="2">
        <v>2024</v>
      </c>
      <c r="M4936" s="2" t="s">
        <v>180</v>
      </c>
      <c r="N4936" s="2" t="s">
        <v>21</v>
      </c>
      <c r="O4936">
        <f t="shared" si="154"/>
        <v>2.4400000000000119</v>
      </c>
      <c r="P4936">
        <f t="shared" si="155"/>
        <v>14.61</v>
      </c>
    </row>
    <row r="4937" spans="1:16" x14ac:dyDescent="0.35">
      <c r="A4937" s="9" t="s">
        <v>469</v>
      </c>
      <c r="B4937" s="2">
        <v>116.79</v>
      </c>
      <c r="C4937" s="2">
        <v>118.02</v>
      </c>
      <c r="D4937" s="2">
        <v>116.29</v>
      </c>
      <c r="E4937" s="2">
        <v>117.94</v>
      </c>
      <c r="F4937" s="2">
        <v>13284689</v>
      </c>
      <c r="G4937" s="2" t="s">
        <v>579</v>
      </c>
      <c r="H4937" s="2" t="s">
        <v>580</v>
      </c>
      <c r="I4937" s="2" t="s">
        <v>581</v>
      </c>
      <c r="J4937" s="4">
        <v>-0.161</v>
      </c>
      <c r="K4937" s="2" t="s">
        <v>448</v>
      </c>
      <c r="L4937" s="2">
        <v>2024</v>
      </c>
      <c r="M4937" s="2" t="s">
        <v>180</v>
      </c>
      <c r="N4937" s="2" t="s">
        <v>23</v>
      </c>
      <c r="O4937">
        <f t="shared" si="154"/>
        <v>1.7299999999999898</v>
      </c>
      <c r="P4937">
        <f t="shared" si="155"/>
        <v>14.449</v>
      </c>
    </row>
    <row r="4938" spans="1:16" x14ac:dyDescent="0.35">
      <c r="A4938" s="9" t="s">
        <v>470</v>
      </c>
      <c r="B4938" s="2">
        <v>115.84</v>
      </c>
      <c r="C4938" s="2">
        <v>116.09</v>
      </c>
      <c r="D4938" s="2">
        <v>114.04</v>
      </c>
      <c r="E4938" s="2">
        <v>115.47</v>
      </c>
      <c r="F4938" s="2">
        <v>15725139</v>
      </c>
      <c r="G4938" s="2" t="s">
        <v>579</v>
      </c>
      <c r="H4938" s="2" t="s">
        <v>580</v>
      </c>
      <c r="I4938" s="2" t="s">
        <v>581</v>
      </c>
      <c r="J4938" s="4">
        <v>-2.0939999999999999</v>
      </c>
      <c r="K4938" s="2" t="s">
        <v>471</v>
      </c>
      <c r="L4938" s="2">
        <v>2024</v>
      </c>
      <c r="M4938" s="2" t="s">
        <v>205</v>
      </c>
      <c r="N4938" s="2" t="s">
        <v>23</v>
      </c>
      <c r="O4938">
        <f t="shared" si="154"/>
        <v>2.0499999999999972</v>
      </c>
      <c r="P4938">
        <f t="shared" si="155"/>
        <v>12.355</v>
      </c>
    </row>
    <row r="4939" spans="1:16" x14ac:dyDescent="0.35">
      <c r="A4939" s="9" t="s">
        <v>472</v>
      </c>
      <c r="B4939" s="2">
        <v>115.29</v>
      </c>
      <c r="C4939" s="2">
        <v>116.15</v>
      </c>
      <c r="D4939" s="2">
        <v>113.97499999999999</v>
      </c>
      <c r="E4939" s="2">
        <v>114.06</v>
      </c>
      <c r="F4939" s="2">
        <v>12620584</v>
      </c>
      <c r="G4939" s="2" t="s">
        <v>579</v>
      </c>
      <c r="H4939" s="2" t="s">
        <v>580</v>
      </c>
      <c r="I4939" s="2" t="s">
        <v>581</v>
      </c>
      <c r="J4939" s="4">
        <v>-1.2210000000000001</v>
      </c>
      <c r="K4939" s="2" t="s">
        <v>471</v>
      </c>
      <c r="L4939" s="2">
        <v>2024</v>
      </c>
      <c r="M4939" s="2" t="s">
        <v>205</v>
      </c>
      <c r="N4939" s="2" t="s">
        <v>23</v>
      </c>
      <c r="O4939">
        <f t="shared" si="154"/>
        <v>2.1750000000000114</v>
      </c>
      <c r="P4939">
        <f t="shared" si="155"/>
        <v>11.134</v>
      </c>
    </row>
    <row r="4940" spans="1:16" x14ac:dyDescent="0.35">
      <c r="A4940" s="9" t="s">
        <v>473</v>
      </c>
      <c r="B4940" s="2">
        <v>115.07</v>
      </c>
      <c r="C4940" s="2">
        <v>115.28</v>
      </c>
      <c r="D4940" s="2">
        <v>113.07</v>
      </c>
      <c r="E4940" s="2">
        <v>113.17</v>
      </c>
      <c r="F4940" s="2">
        <v>17200770</v>
      </c>
      <c r="G4940" s="2" t="s">
        <v>579</v>
      </c>
      <c r="H4940" s="2" t="s">
        <v>580</v>
      </c>
      <c r="I4940" s="2" t="s">
        <v>581</v>
      </c>
      <c r="J4940" s="4">
        <v>-0.78</v>
      </c>
      <c r="K4940" s="2" t="s">
        <v>471</v>
      </c>
      <c r="L4940" s="2">
        <v>2024</v>
      </c>
      <c r="M4940" s="2" t="s">
        <v>205</v>
      </c>
      <c r="N4940" s="2" t="s">
        <v>23</v>
      </c>
      <c r="O4940">
        <f t="shared" si="154"/>
        <v>2.210000000000008</v>
      </c>
      <c r="P4940">
        <f t="shared" si="155"/>
        <v>10.354000000000001</v>
      </c>
    </row>
    <row r="4941" spans="1:16" x14ac:dyDescent="0.35">
      <c r="A4941" s="9" t="s">
        <v>474</v>
      </c>
      <c r="B4941" s="2">
        <v>113.59</v>
      </c>
      <c r="C4941" s="2">
        <v>114.18</v>
      </c>
      <c r="D4941" s="2">
        <v>111.732</v>
      </c>
      <c r="E4941" s="2">
        <v>112.64</v>
      </c>
      <c r="F4941" s="2">
        <v>13467747</v>
      </c>
      <c r="G4941" s="2" t="s">
        <v>579</v>
      </c>
      <c r="H4941" s="2" t="s">
        <v>580</v>
      </c>
      <c r="I4941" s="2" t="s">
        <v>581</v>
      </c>
      <c r="J4941" s="4">
        <v>-0.46800000000000003</v>
      </c>
      <c r="K4941" s="2" t="s">
        <v>471</v>
      </c>
      <c r="L4941" s="2">
        <v>2024</v>
      </c>
      <c r="M4941" s="2" t="s">
        <v>205</v>
      </c>
      <c r="N4941" s="2" t="s">
        <v>23</v>
      </c>
      <c r="O4941">
        <f t="shared" si="154"/>
        <v>2.4480000000000075</v>
      </c>
      <c r="P4941">
        <f t="shared" si="155"/>
        <v>9.886000000000001</v>
      </c>
    </row>
    <row r="4942" spans="1:16" x14ac:dyDescent="0.35">
      <c r="A4942" s="9" t="s">
        <v>475</v>
      </c>
      <c r="B4942" s="2">
        <v>112.87</v>
      </c>
      <c r="C4942" s="2">
        <v>116.15</v>
      </c>
      <c r="D4942" s="2">
        <v>112.66</v>
      </c>
      <c r="E4942" s="2">
        <v>115.01</v>
      </c>
      <c r="F4942" s="2">
        <v>21645325</v>
      </c>
      <c r="G4942" s="2" t="s">
        <v>579</v>
      </c>
      <c r="H4942" s="2" t="s">
        <v>580</v>
      </c>
      <c r="I4942" s="2" t="s">
        <v>581</v>
      </c>
      <c r="J4942" s="3">
        <v>2.1040000000000001</v>
      </c>
      <c r="K4942" s="2" t="s">
        <v>471</v>
      </c>
      <c r="L4942" s="2">
        <v>2024</v>
      </c>
      <c r="M4942" s="2" t="s">
        <v>205</v>
      </c>
      <c r="N4942" s="2" t="s">
        <v>21</v>
      </c>
      <c r="O4942">
        <f t="shared" si="154"/>
        <v>3.4900000000000091</v>
      </c>
      <c r="P4942">
        <f t="shared" si="155"/>
        <v>11.990000000000002</v>
      </c>
    </row>
    <row r="4943" spans="1:16" x14ac:dyDescent="0.35">
      <c r="A4943" s="9" t="s">
        <v>476</v>
      </c>
      <c r="B4943" s="2">
        <v>115.1</v>
      </c>
      <c r="C4943" s="2">
        <v>115.4</v>
      </c>
      <c r="D4943" s="2">
        <v>110.17</v>
      </c>
      <c r="E4943" s="2">
        <v>110.82</v>
      </c>
      <c r="F4943" s="2">
        <v>20913405</v>
      </c>
      <c r="G4943" s="2" t="s">
        <v>579</v>
      </c>
      <c r="H4943" s="2" t="s">
        <v>580</v>
      </c>
      <c r="I4943" s="2" t="s">
        <v>581</v>
      </c>
      <c r="J4943" s="4">
        <v>-3.6429999999999998</v>
      </c>
      <c r="K4943" s="2" t="s">
        <v>471</v>
      </c>
      <c r="L4943" s="2">
        <v>2024</v>
      </c>
      <c r="M4943" s="2" t="s">
        <v>205</v>
      </c>
      <c r="N4943" s="2" t="s">
        <v>23</v>
      </c>
      <c r="O4943">
        <f t="shared" si="154"/>
        <v>5.230000000000004</v>
      </c>
      <c r="P4943">
        <f t="shared" si="155"/>
        <v>8.3470000000000013</v>
      </c>
    </row>
    <row r="4944" spans="1:16" x14ac:dyDescent="0.35">
      <c r="A4944" s="9" t="s">
        <v>477</v>
      </c>
      <c r="B4944" s="2">
        <v>110.77500000000001</v>
      </c>
      <c r="C4944" s="2">
        <v>110.95</v>
      </c>
      <c r="D4944" s="2">
        <v>107.77</v>
      </c>
      <c r="E4944" s="2">
        <v>109.72</v>
      </c>
      <c r="F4944" s="2">
        <v>19571945</v>
      </c>
      <c r="G4944" s="2" t="s">
        <v>579</v>
      </c>
      <c r="H4944" s="2" t="s">
        <v>580</v>
      </c>
      <c r="I4944" s="2" t="s">
        <v>581</v>
      </c>
      <c r="J4944" s="4">
        <v>-0.99299999999999999</v>
      </c>
      <c r="K4944" s="2" t="s">
        <v>471</v>
      </c>
      <c r="L4944" s="2">
        <v>2024</v>
      </c>
      <c r="M4944" s="2" t="s">
        <v>205</v>
      </c>
      <c r="N4944" s="2" t="s">
        <v>23</v>
      </c>
      <c r="O4944">
        <f t="shared" si="154"/>
        <v>3.1800000000000068</v>
      </c>
      <c r="P4944">
        <f t="shared" si="155"/>
        <v>7.354000000000001</v>
      </c>
    </row>
    <row r="4945" spans="1:16" x14ac:dyDescent="0.35">
      <c r="A4945" s="9" t="s">
        <v>478</v>
      </c>
      <c r="B4945" s="2">
        <v>109.9</v>
      </c>
      <c r="C4945" s="2">
        <v>111.33</v>
      </c>
      <c r="D4945" s="2">
        <v>109.761</v>
      </c>
      <c r="E4945" s="2">
        <v>111.23</v>
      </c>
      <c r="F4945" s="2">
        <v>15923318</v>
      </c>
      <c r="G4945" s="2" t="s">
        <v>579</v>
      </c>
      <c r="H4945" s="2" t="s">
        <v>580</v>
      </c>
      <c r="I4945" s="2" t="s">
        <v>581</v>
      </c>
      <c r="J4945" s="3">
        <v>1.3759999999999999</v>
      </c>
      <c r="K4945" s="2" t="s">
        <v>471</v>
      </c>
      <c r="L4945" s="2">
        <v>2024</v>
      </c>
      <c r="M4945" s="2" t="s">
        <v>205</v>
      </c>
      <c r="N4945" s="2" t="s">
        <v>21</v>
      </c>
      <c r="O4945">
        <f t="shared" si="154"/>
        <v>1.5690000000000026</v>
      </c>
      <c r="P4945">
        <f t="shared" si="155"/>
        <v>8.73</v>
      </c>
    </row>
    <row r="4946" spans="1:16" x14ac:dyDescent="0.35">
      <c r="A4946" s="9" t="s">
        <v>479</v>
      </c>
      <c r="B4946" s="2">
        <v>111.47</v>
      </c>
      <c r="C4946" s="2">
        <v>112.47</v>
      </c>
      <c r="D4946" s="2">
        <v>110.93</v>
      </c>
      <c r="E4946" s="2">
        <v>111.15</v>
      </c>
      <c r="F4946" s="2">
        <v>10035392</v>
      </c>
      <c r="G4946" s="2" t="s">
        <v>579</v>
      </c>
      <c r="H4946" s="2" t="s">
        <v>580</v>
      </c>
      <c r="I4946" s="2" t="s">
        <v>581</v>
      </c>
      <c r="J4946" s="4">
        <v>-7.1999999999999995E-2</v>
      </c>
      <c r="K4946" s="2" t="s">
        <v>471</v>
      </c>
      <c r="L4946" s="2">
        <v>2024</v>
      </c>
      <c r="M4946" s="2" t="s">
        <v>205</v>
      </c>
      <c r="N4946" s="2" t="s">
        <v>23</v>
      </c>
      <c r="O4946">
        <f t="shared" si="154"/>
        <v>1.539999999999992</v>
      </c>
      <c r="P4946">
        <f t="shared" si="155"/>
        <v>8.6580000000000013</v>
      </c>
    </row>
    <row r="4947" spans="1:16" x14ac:dyDescent="0.35">
      <c r="A4947" s="9" t="s">
        <v>480</v>
      </c>
      <c r="B4947" s="2">
        <v>112.05</v>
      </c>
      <c r="C4947" s="2">
        <v>113.08499999999999</v>
      </c>
      <c r="D4947" s="2">
        <v>111.69</v>
      </c>
      <c r="E4947" s="2">
        <v>112.71</v>
      </c>
      <c r="F4947" s="2">
        <v>11729034</v>
      </c>
      <c r="G4947" s="2" t="s">
        <v>579</v>
      </c>
      <c r="H4947" s="2" t="s">
        <v>580</v>
      </c>
      <c r="I4947" s="2" t="s">
        <v>581</v>
      </c>
      <c r="J4947" s="3">
        <v>1.4039999999999999</v>
      </c>
      <c r="K4947" s="2" t="s">
        <v>471</v>
      </c>
      <c r="L4947" s="2">
        <v>2024</v>
      </c>
      <c r="M4947" s="2" t="s">
        <v>205</v>
      </c>
      <c r="N4947" s="2" t="s">
        <v>21</v>
      </c>
      <c r="O4947">
        <f t="shared" si="154"/>
        <v>1.394999999999996</v>
      </c>
      <c r="P4947">
        <f t="shared" si="155"/>
        <v>10.062000000000001</v>
      </c>
    </row>
    <row r="4948" spans="1:16" x14ac:dyDescent="0.35">
      <c r="A4948" s="9" t="s">
        <v>481</v>
      </c>
      <c r="B4948" s="2">
        <v>112.32</v>
      </c>
      <c r="C4948" s="2">
        <v>114.37</v>
      </c>
      <c r="D4948" s="2">
        <v>112.12</v>
      </c>
      <c r="E4948" s="2">
        <v>114.18</v>
      </c>
      <c r="F4948" s="2">
        <v>12202556</v>
      </c>
      <c r="G4948" s="2" t="s">
        <v>579</v>
      </c>
      <c r="H4948" s="2" t="s">
        <v>580</v>
      </c>
      <c r="I4948" s="2" t="s">
        <v>581</v>
      </c>
      <c r="J4948" s="3">
        <v>1.304</v>
      </c>
      <c r="K4948" s="2" t="s">
        <v>471</v>
      </c>
      <c r="L4948" s="2">
        <v>2024</v>
      </c>
      <c r="M4948" s="2" t="s">
        <v>205</v>
      </c>
      <c r="N4948" s="2" t="s">
        <v>21</v>
      </c>
      <c r="O4948">
        <f t="shared" si="154"/>
        <v>2.25</v>
      </c>
      <c r="P4948">
        <f t="shared" si="155"/>
        <v>11.366000000000001</v>
      </c>
    </row>
    <row r="4949" spans="1:16" x14ac:dyDescent="0.35">
      <c r="A4949" s="9" t="s">
        <v>482</v>
      </c>
      <c r="B4949" s="2">
        <v>114.11</v>
      </c>
      <c r="C4949" s="2">
        <v>115.63</v>
      </c>
      <c r="D4949" s="2">
        <v>113.81</v>
      </c>
      <c r="E4949" s="2">
        <v>114.58</v>
      </c>
      <c r="F4949" s="2">
        <v>12569929</v>
      </c>
      <c r="G4949" s="2" t="s">
        <v>579</v>
      </c>
      <c r="H4949" s="2" t="s">
        <v>580</v>
      </c>
      <c r="I4949" s="2" t="s">
        <v>581</v>
      </c>
      <c r="J4949" s="3">
        <v>0.35</v>
      </c>
      <c r="K4949" s="2" t="s">
        <v>471</v>
      </c>
      <c r="L4949" s="2">
        <v>2024</v>
      </c>
      <c r="M4949" s="2" t="s">
        <v>205</v>
      </c>
      <c r="N4949" s="2" t="s">
        <v>21</v>
      </c>
      <c r="O4949">
        <f t="shared" si="154"/>
        <v>1.8199999999999932</v>
      </c>
      <c r="P4949">
        <f t="shared" si="155"/>
        <v>11.716000000000001</v>
      </c>
    </row>
    <row r="4950" spans="1:16" x14ac:dyDescent="0.35">
      <c r="A4950" s="9" t="s">
        <v>483</v>
      </c>
      <c r="B4950" s="2">
        <v>116.16</v>
      </c>
      <c r="C4950" s="2">
        <v>117.575</v>
      </c>
      <c r="D4950" s="2">
        <v>115.19</v>
      </c>
      <c r="E4950" s="2">
        <v>116</v>
      </c>
      <c r="F4950" s="2">
        <v>12660642</v>
      </c>
      <c r="G4950" s="2" t="s">
        <v>579</v>
      </c>
      <c r="H4950" s="2" t="s">
        <v>580</v>
      </c>
      <c r="I4950" s="2" t="s">
        <v>581</v>
      </c>
      <c r="J4950" s="3">
        <v>1.2390000000000001</v>
      </c>
      <c r="K4950" s="2" t="s">
        <v>471</v>
      </c>
      <c r="L4950" s="2">
        <v>2024</v>
      </c>
      <c r="M4950" s="2" t="s">
        <v>205</v>
      </c>
      <c r="N4950" s="2" t="s">
        <v>21</v>
      </c>
      <c r="O4950">
        <f t="shared" si="154"/>
        <v>2.3850000000000051</v>
      </c>
      <c r="P4950">
        <f t="shared" si="155"/>
        <v>12.955000000000002</v>
      </c>
    </row>
    <row r="4951" spans="1:16" x14ac:dyDescent="0.35">
      <c r="A4951" s="9" t="s">
        <v>484</v>
      </c>
      <c r="B4951" s="2">
        <v>115.46</v>
      </c>
      <c r="C4951" s="2">
        <v>115.51</v>
      </c>
      <c r="D4951" s="2">
        <v>114.25</v>
      </c>
      <c r="E4951" s="2">
        <v>115.27</v>
      </c>
      <c r="F4951" s="2">
        <v>36206195</v>
      </c>
      <c r="G4951" s="2" t="s">
        <v>579</v>
      </c>
      <c r="H4951" s="2" t="s">
        <v>580</v>
      </c>
      <c r="I4951" s="2" t="s">
        <v>581</v>
      </c>
      <c r="J4951" s="4">
        <v>-0.629</v>
      </c>
      <c r="K4951" s="2" t="s">
        <v>471</v>
      </c>
      <c r="L4951" s="2">
        <v>2024</v>
      </c>
      <c r="M4951" s="2" t="s">
        <v>205</v>
      </c>
      <c r="N4951" s="2" t="s">
        <v>23</v>
      </c>
      <c r="O4951">
        <f t="shared" si="154"/>
        <v>1.2600000000000051</v>
      </c>
      <c r="P4951">
        <f t="shared" si="155"/>
        <v>12.326000000000002</v>
      </c>
    </row>
    <row r="4952" spans="1:16" x14ac:dyDescent="0.35">
      <c r="A4952" s="9" t="s">
        <v>485</v>
      </c>
      <c r="B4952" s="2">
        <v>115.33</v>
      </c>
      <c r="C4952" s="2">
        <v>117.79300000000001</v>
      </c>
      <c r="D4952" s="2">
        <v>115.12</v>
      </c>
      <c r="E4952" s="2">
        <v>117.36</v>
      </c>
      <c r="F4952" s="2">
        <v>16066285</v>
      </c>
      <c r="G4952" s="2" t="s">
        <v>579</v>
      </c>
      <c r="H4952" s="2" t="s">
        <v>580</v>
      </c>
      <c r="I4952" s="2" t="s">
        <v>581</v>
      </c>
      <c r="J4952" s="3">
        <v>1.8129999999999999</v>
      </c>
      <c r="K4952" s="2" t="s">
        <v>471</v>
      </c>
      <c r="L4952" s="2">
        <v>2024</v>
      </c>
      <c r="M4952" s="2" t="s">
        <v>205</v>
      </c>
      <c r="N4952" s="2" t="s">
        <v>21</v>
      </c>
      <c r="O4952">
        <f t="shared" si="154"/>
        <v>2.6730000000000018</v>
      </c>
      <c r="P4952">
        <f t="shared" si="155"/>
        <v>14.139000000000003</v>
      </c>
    </row>
    <row r="4953" spans="1:16" x14ac:dyDescent="0.35">
      <c r="A4953" s="9" t="s">
        <v>486</v>
      </c>
      <c r="B4953" s="2">
        <v>117.84</v>
      </c>
      <c r="C4953" s="2">
        <v>118.16</v>
      </c>
      <c r="D4953" s="2">
        <v>116.83</v>
      </c>
      <c r="E4953" s="2">
        <v>117.05</v>
      </c>
      <c r="F4953" s="2">
        <v>11984863</v>
      </c>
      <c r="G4953" s="2" t="s">
        <v>579</v>
      </c>
      <c r="H4953" s="2" t="s">
        <v>580</v>
      </c>
      <c r="I4953" s="2" t="s">
        <v>581</v>
      </c>
      <c r="J4953" s="4">
        <v>-0.26400000000000001</v>
      </c>
      <c r="K4953" s="2" t="s">
        <v>471</v>
      </c>
      <c r="L4953" s="2">
        <v>2024</v>
      </c>
      <c r="M4953" s="2" t="s">
        <v>205</v>
      </c>
      <c r="N4953" s="2" t="s">
        <v>23</v>
      </c>
      <c r="O4953">
        <f t="shared" si="154"/>
        <v>1.3299999999999983</v>
      </c>
      <c r="P4953">
        <f t="shared" si="155"/>
        <v>13.875000000000004</v>
      </c>
    </row>
    <row r="4954" spans="1:16" x14ac:dyDescent="0.35">
      <c r="A4954" s="9" t="s">
        <v>487</v>
      </c>
      <c r="B4954" s="2">
        <v>116.485</v>
      </c>
      <c r="C4954" s="2">
        <v>117.05</v>
      </c>
      <c r="D4954" s="2">
        <v>114.04</v>
      </c>
      <c r="E4954" s="2">
        <v>114.77</v>
      </c>
      <c r="F4954" s="2">
        <v>13816041</v>
      </c>
      <c r="G4954" s="2" t="s">
        <v>579</v>
      </c>
      <c r="H4954" s="2" t="s">
        <v>580</v>
      </c>
      <c r="I4954" s="2" t="s">
        <v>581</v>
      </c>
      <c r="J4954" s="4">
        <v>-1.948</v>
      </c>
      <c r="K4954" s="2" t="s">
        <v>471</v>
      </c>
      <c r="L4954" s="2">
        <v>2024</v>
      </c>
      <c r="M4954" s="2" t="s">
        <v>205</v>
      </c>
      <c r="N4954" s="2" t="s">
        <v>23</v>
      </c>
      <c r="O4954">
        <f t="shared" si="154"/>
        <v>3.0099999999999909</v>
      </c>
      <c r="P4954">
        <f t="shared" si="155"/>
        <v>11.927000000000003</v>
      </c>
    </row>
    <row r="4955" spans="1:16" x14ac:dyDescent="0.35">
      <c r="A4955" s="9" t="s">
        <v>488</v>
      </c>
      <c r="B4955" s="2">
        <v>111.14</v>
      </c>
      <c r="C4955" s="2">
        <v>113.48</v>
      </c>
      <c r="D4955" s="2">
        <v>111.14</v>
      </c>
      <c r="E4955" s="2">
        <v>112.8</v>
      </c>
      <c r="F4955" s="2">
        <v>16887908</v>
      </c>
      <c r="G4955" s="2" t="s">
        <v>579</v>
      </c>
      <c r="H4955" s="2" t="s">
        <v>580</v>
      </c>
      <c r="I4955" s="2" t="s">
        <v>581</v>
      </c>
      <c r="J4955" s="4">
        <v>-1.716</v>
      </c>
      <c r="K4955" s="2" t="s">
        <v>471</v>
      </c>
      <c r="L4955" s="2">
        <v>2024</v>
      </c>
      <c r="M4955" s="2" t="s">
        <v>205</v>
      </c>
      <c r="N4955" s="2" t="s">
        <v>23</v>
      </c>
      <c r="O4955">
        <f t="shared" si="154"/>
        <v>2.3400000000000034</v>
      </c>
      <c r="P4955">
        <f t="shared" si="155"/>
        <v>10.211000000000004</v>
      </c>
    </row>
    <row r="4956" spans="1:16" x14ac:dyDescent="0.35">
      <c r="A4956" s="9" t="s">
        <v>489</v>
      </c>
      <c r="B4956" s="2">
        <v>113.76</v>
      </c>
      <c r="C4956" s="2">
        <v>116.09</v>
      </c>
      <c r="D4956" s="2">
        <v>113.25</v>
      </c>
      <c r="E4956" s="2">
        <v>115.82</v>
      </c>
      <c r="F4956" s="2">
        <v>15963973</v>
      </c>
      <c r="G4956" s="2" t="s">
        <v>579</v>
      </c>
      <c r="H4956" s="2" t="s">
        <v>580</v>
      </c>
      <c r="I4956" s="2" t="s">
        <v>581</v>
      </c>
      <c r="J4956" s="3">
        <v>2.677</v>
      </c>
      <c r="K4956" s="2" t="s">
        <v>471</v>
      </c>
      <c r="L4956" s="2">
        <v>2024</v>
      </c>
      <c r="M4956" s="2" t="s">
        <v>205</v>
      </c>
      <c r="N4956" s="2" t="s">
        <v>21</v>
      </c>
      <c r="O4956">
        <f t="shared" si="154"/>
        <v>2.8400000000000034</v>
      </c>
      <c r="P4956">
        <f t="shared" si="155"/>
        <v>12.888000000000003</v>
      </c>
    </row>
    <row r="4957" spans="1:16" x14ac:dyDescent="0.35">
      <c r="A4957" s="9" t="s">
        <v>490</v>
      </c>
      <c r="B4957" s="2">
        <v>115.46</v>
      </c>
      <c r="C4957" s="2">
        <v>117.39</v>
      </c>
      <c r="D4957" s="2">
        <v>114.96</v>
      </c>
      <c r="E4957" s="2">
        <v>117.22</v>
      </c>
      <c r="F4957" s="2">
        <v>13250657</v>
      </c>
      <c r="G4957" s="2" t="s">
        <v>579</v>
      </c>
      <c r="H4957" s="2" t="s">
        <v>580</v>
      </c>
      <c r="I4957" s="2" t="s">
        <v>581</v>
      </c>
      <c r="J4957" s="3">
        <v>1.2090000000000001</v>
      </c>
      <c r="K4957" s="2" t="s">
        <v>471</v>
      </c>
      <c r="L4957" s="2">
        <v>2024</v>
      </c>
      <c r="M4957" s="2" t="s">
        <v>205</v>
      </c>
      <c r="N4957" s="2" t="s">
        <v>21</v>
      </c>
      <c r="O4957">
        <f t="shared" si="154"/>
        <v>2.4300000000000068</v>
      </c>
      <c r="P4957">
        <f t="shared" si="155"/>
        <v>14.097000000000003</v>
      </c>
    </row>
    <row r="4958" spans="1:16" x14ac:dyDescent="0.35">
      <c r="A4958" s="9" t="s">
        <v>491</v>
      </c>
      <c r="B4958" s="2">
        <v>116.04</v>
      </c>
      <c r="C4958" s="2">
        <v>120.6</v>
      </c>
      <c r="D4958" s="2">
        <v>115.93</v>
      </c>
      <c r="E4958" s="2">
        <v>119.93</v>
      </c>
      <c r="F4958" s="2">
        <v>23235878</v>
      </c>
      <c r="G4958" s="2" t="s">
        <v>579</v>
      </c>
      <c r="H4958" s="2" t="s">
        <v>580</v>
      </c>
      <c r="I4958" s="2" t="s">
        <v>581</v>
      </c>
      <c r="J4958" s="3">
        <v>2.3119999999999998</v>
      </c>
      <c r="K4958" s="2" t="s">
        <v>492</v>
      </c>
      <c r="L4958" s="2">
        <v>2024</v>
      </c>
      <c r="M4958" s="2" t="s">
        <v>227</v>
      </c>
      <c r="N4958" s="2" t="s">
        <v>21</v>
      </c>
      <c r="O4958">
        <f t="shared" si="154"/>
        <v>4.6699999999999875</v>
      </c>
      <c r="P4958">
        <f t="shared" si="155"/>
        <v>16.409000000000002</v>
      </c>
    </row>
    <row r="4959" spans="1:16" x14ac:dyDescent="0.35">
      <c r="A4959" s="9" t="s">
        <v>493</v>
      </c>
      <c r="B4959" s="2">
        <v>121.93</v>
      </c>
      <c r="C4959" s="2">
        <v>122.82</v>
      </c>
      <c r="D4959" s="2">
        <v>120.2</v>
      </c>
      <c r="E4959" s="2">
        <v>121.52</v>
      </c>
      <c r="F4959" s="2">
        <v>17129676</v>
      </c>
      <c r="G4959" s="2" t="s">
        <v>579</v>
      </c>
      <c r="H4959" s="2" t="s">
        <v>580</v>
      </c>
      <c r="I4959" s="2" t="s">
        <v>581</v>
      </c>
      <c r="J4959" s="3">
        <v>1.3260000000000001</v>
      </c>
      <c r="K4959" s="2" t="s">
        <v>492</v>
      </c>
      <c r="L4959" s="2">
        <v>2024</v>
      </c>
      <c r="M4959" s="2" t="s">
        <v>227</v>
      </c>
      <c r="N4959" s="2" t="s">
        <v>21</v>
      </c>
      <c r="O4959">
        <f t="shared" si="154"/>
        <v>2.6199999999999903</v>
      </c>
      <c r="P4959">
        <f t="shared" si="155"/>
        <v>17.735000000000003</v>
      </c>
    </row>
    <row r="4960" spans="1:16" x14ac:dyDescent="0.35">
      <c r="A4960" s="9" t="s">
        <v>494</v>
      </c>
      <c r="B4960" s="2">
        <v>121.9</v>
      </c>
      <c r="C4960" s="2">
        <v>123.17</v>
      </c>
      <c r="D4960" s="2">
        <v>120.929</v>
      </c>
      <c r="E4960" s="2">
        <v>122.58</v>
      </c>
      <c r="F4960" s="2">
        <v>16524334</v>
      </c>
      <c r="G4960" s="2" t="s">
        <v>579</v>
      </c>
      <c r="H4960" s="2" t="s">
        <v>580</v>
      </c>
      <c r="I4960" s="2" t="s">
        <v>581</v>
      </c>
      <c r="J4960" s="3">
        <v>0.872</v>
      </c>
      <c r="K4960" s="2" t="s">
        <v>492</v>
      </c>
      <c r="L4960" s="2">
        <v>2024</v>
      </c>
      <c r="M4960" s="2" t="s">
        <v>227</v>
      </c>
      <c r="N4960" s="2" t="s">
        <v>21</v>
      </c>
      <c r="O4960">
        <f t="shared" si="154"/>
        <v>2.2409999999999997</v>
      </c>
      <c r="P4960">
        <f t="shared" si="155"/>
        <v>18.607000000000003</v>
      </c>
    </row>
    <row r="4961" spans="1:16" x14ac:dyDescent="0.35">
      <c r="A4961" s="9" t="s">
        <v>495</v>
      </c>
      <c r="B4961" s="2">
        <v>123.2</v>
      </c>
      <c r="C4961" s="2">
        <v>125.19</v>
      </c>
      <c r="D4961" s="2">
        <v>122.43</v>
      </c>
      <c r="E4961" s="2">
        <v>124.83</v>
      </c>
      <c r="F4961" s="2">
        <v>19759207</v>
      </c>
      <c r="G4961" s="2" t="s">
        <v>579</v>
      </c>
      <c r="H4961" s="2" t="s">
        <v>580</v>
      </c>
      <c r="I4961" s="2" t="s">
        <v>581</v>
      </c>
      <c r="J4961" s="3">
        <v>1.8360000000000001</v>
      </c>
      <c r="K4961" s="2" t="s">
        <v>492</v>
      </c>
      <c r="L4961" s="2">
        <v>2024</v>
      </c>
      <c r="M4961" s="2" t="s">
        <v>227</v>
      </c>
      <c r="N4961" s="2" t="s">
        <v>21</v>
      </c>
      <c r="O4961">
        <f t="shared" si="154"/>
        <v>2.7599999999999909</v>
      </c>
      <c r="P4961">
        <f t="shared" si="155"/>
        <v>20.443000000000001</v>
      </c>
    </row>
    <row r="4962" spans="1:16" x14ac:dyDescent="0.35">
      <c r="A4962" s="9" t="s">
        <v>496</v>
      </c>
      <c r="B4962" s="2">
        <v>125.25</v>
      </c>
      <c r="C4962" s="2">
        <v>126.34</v>
      </c>
      <c r="D4962" s="2">
        <v>124.86</v>
      </c>
      <c r="E4962" s="2">
        <v>125.37</v>
      </c>
      <c r="F4962" s="2">
        <v>15714440</v>
      </c>
      <c r="G4962" s="2" t="s">
        <v>579</v>
      </c>
      <c r="H4962" s="2" t="s">
        <v>580</v>
      </c>
      <c r="I4962" s="2" t="s">
        <v>581</v>
      </c>
      <c r="J4962" s="3">
        <v>0.433</v>
      </c>
      <c r="K4962" s="2" t="s">
        <v>492</v>
      </c>
      <c r="L4962" s="2">
        <v>2024</v>
      </c>
      <c r="M4962" s="2" t="s">
        <v>227</v>
      </c>
      <c r="N4962" s="2" t="s">
        <v>21</v>
      </c>
      <c r="O4962">
        <f t="shared" si="154"/>
        <v>1.480000000000004</v>
      </c>
      <c r="P4962">
        <f t="shared" si="155"/>
        <v>20.876000000000001</v>
      </c>
    </row>
    <row r="4963" spans="1:16" x14ac:dyDescent="0.35">
      <c r="A4963" s="9" t="s">
        <v>497</v>
      </c>
      <c r="B4963" s="2">
        <v>123.88</v>
      </c>
      <c r="C4963" s="2">
        <v>124.02</v>
      </c>
      <c r="D4963" s="2">
        <v>121.26</v>
      </c>
      <c r="E4963" s="2">
        <v>122.04</v>
      </c>
      <c r="F4963" s="2">
        <v>14818475</v>
      </c>
      <c r="G4963" s="2" t="s">
        <v>579</v>
      </c>
      <c r="H4963" s="2" t="s">
        <v>580</v>
      </c>
      <c r="I4963" s="2" t="s">
        <v>581</v>
      </c>
      <c r="J4963" s="4">
        <v>-2.6560000000000001</v>
      </c>
      <c r="K4963" s="2" t="s">
        <v>492</v>
      </c>
      <c r="L4963" s="2">
        <v>2024</v>
      </c>
      <c r="M4963" s="2" t="s">
        <v>227</v>
      </c>
      <c r="N4963" s="2" t="s">
        <v>23</v>
      </c>
      <c r="O4963">
        <f t="shared" si="154"/>
        <v>2.7599999999999909</v>
      </c>
      <c r="P4963">
        <f t="shared" si="155"/>
        <v>18.220000000000002</v>
      </c>
    </row>
    <row r="4964" spans="1:16" x14ac:dyDescent="0.35">
      <c r="A4964" s="9" t="s">
        <v>498</v>
      </c>
      <c r="B4964" s="2">
        <v>120.9</v>
      </c>
      <c r="C4964" s="2">
        <v>122.58</v>
      </c>
      <c r="D4964" s="2">
        <v>120.8</v>
      </c>
      <c r="E4964" s="2">
        <v>122.09</v>
      </c>
      <c r="F4964" s="2">
        <v>11144864</v>
      </c>
      <c r="G4964" s="2" t="s">
        <v>579</v>
      </c>
      <c r="H4964" s="2" t="s">
        <v>580</v>
      </c>
      <c r="I4964" s="2" t="s">
        <v>581</v>
      </c>
      <c r="J4964" s="3">
        <v>4.1000000000000002E-2</v>
      </c>
      <c r="K4964" s="2" t="s">
        <v>492</v>
      </c>
      <c r="L4964" s="2">
        <v>2024</v>
      </c>
      <c r="M4964" s="2" t="s">
        <v>227</v>
      </c>
      <c r="N4964" s="2" t="s">
        <v>21</v>
      </c>
      <c r="O4964">
        <f t="shared" si="154"/>
        <v>1.7800000000000011</v>
      </c>
      <c r="P4964">
        <f t="shared" si="155"/>
        <v>18.261000000000003</v>
      </c>
    </row>
    <row r="4965" spans="1:16" x14ac:dyDescent="0.35">
      <c r="A4965" s="9" t="s">
        <v>499</v>
      </c>
      <c r="B4965" s="2">
        <v>123.16</v>
      </c>
      <c r="C4965" s="2">
        <v>123.70099999999999</v>
      </c>
      <c r="D4965" s="2">
        <v>122.29</v>
      </c>
      <c r="E4965" s="2">
        <v>123.14</v>
      </c>
      <c r="F4965" s="2">
        <v>10243320</v>
      </c>
      <c r="G4965" s="2" t="s">
        <v>579</v>
      </c>
      <c r="H4965" s="2" t="s">
        <v>580</v>
      </c>
      <c r="I4965" s="2" t="s">
        <v>581</v>
      </c>
      <c r="J4965" s="3">
        <v>0.86</v>
      </c>
      <c r="K4965" s="2" t="s">
        <v>492</v>
      </c>
      <c r="L4965" s="2">
        <v>2024</v>
      </c>
      <c r="M4965" s="2" t="s">
        <v>227</v>
      </c>
      <c r="N4965" s="2" t="s">
        <v>21</v>
      </c>
      <c r="O4965">
        <f t="shared" si="154"/>
        <v>1.4109999999999872</v>
      </c>
      <c r="P4965">
        <f t="shared" si="155"/>
        <v>19.121000000000002</v>
      </c>
    </row>
    <row r="4966" spans="1:16" x14ac:dyDescent="0.35">
      <c r="A4966" s="9" t="s">
        <v>500</v>
      </c>
      <c r="B4966" s="2">
        <v>123.1</v>
      </c>
      <c r="C4966" s="2">
        <v>124.03400000000001</v>
      </c>
      <c r="D4966" s="2">
        <v>122.94</v>
      </c>
      <c r="E4966" s="2">
        <v>123.61</v>
      </c>
      <c r="F4966" s="2">
        <v>8294839</v>
      </c>
      <c r="G4966" s="2" t="s">
        <v>579</v>
      </c>
      <c r="H4966" s="2" t="s">
        <v>580</v>
      </c>
      <c r="I4966" s="2" t="s">
        <v>581</v>
      </c>
      <c r="J4966" s="3">
        <v>0.38200000000000001</v>
      </c>
      <c r="K4966" s="2" t="s">
        <v>492</v>
      </c>
      <c r="L4966" s="2">
        <v>2024</v>
      </c>
      <c r="M4966" s="2" t="s">
        <v>227</v>
      </c>
      <c r="N4966" s="2" t="s">
        <v>21</v>
      </c>
      <c r="O4966">
        <f t="shared" si="154"/>
        <v>1.0940000000000083</v>
      </c>
      <c r="P4966">
        <f t="shared" si="155"/>
        <v>19.503000000000004</v>
      </c>
    </row>
    <row r="4967" spans="1:16" x14ac:dyDescent="0.35">
      <c r="A4967" s="9" t="s">
        <v>501</v>
      </c>
      <c r="B4967" s="2">
        <v>123.24</v>
      </c>
      <c r="C4967" s="2">
        <v>124.26</v>
      </c>
      <c r="D4967" s="2">
        <v>122.61499999999999</v>
      </c>
      <c r="E4967" s="2">
        <v>124.08</v>
      </c>
      <c r="F4967" s="2">
        <v>9808122</v>
      </c>
      <c r="G4967" s="2" t="s">
        <v>579</v>
      </c>
      <c r="H4967" s="2" t="s">
        <v>580</v>
      </c>
      <c r="I4967" s="2" t="s">
        <v>581</v>
      </c>
      <c r="J4967" s="3">
        <v>0.38</v>
      </c>
      <c r="K4967" s="2" t="s">
        <v>492</v>
      </c>
      <c r="L4967" s="2">
        <v>2024</v>
      </c>
      <c r="M4967" s="2" t="s">
        <v>227</v>
      </c>
      <c r="N4967" s="2" t="s">
        <v>21</v>
      </c>
      <c r="O4967">
        <f t="shared" si="154"/>
        <v>1.6450000000000102</v>
      </c>
      <c r="P4967">
        <f t="shared" si="155"/>
        <v>19.883000000000003</v>
      </c>
    </row>
    <row r="4968" spans="1:16" x14ac:dyDescent="0.35">
      <c r="A4968" s="9" t="s">
        <v>502</v>
      </c>
      <c r="B4968" s="2">
        <v>120.82</v>
      </c>
      <c r="C4968" s="2">
        <v>121.95</v>
      </c>
      <c r="D4968" s="2">
        <v>119.78</v>
      </c>
      <c r="E4968" s="2">
        <v>120.35</v>
      </c>
      <c r="F4968" s="2">
        <v>15771317</v>
      </c>
      <c r="G4968" s="2" t="s">
        <v>579</v>
      </c>
      <c r="H4968" s="2" t="s">
        <v>580</v>
      </c>
      <c r="I4968" s="2" t="s">
        <v>581</v>
      </c>
      <c r="J4968" s="4">
        <v>-3.0059999999999998</v>
      </c>
      <c r="K4968" s="2" t="s">
        <v>492</v>
      </c>
      <c r="L4968" s="2">
        <v>2024</v>
      </c>
      <c r="M4968" s="2" t="s">
        <v>227</v>
      </c>
      <c r="N4968" s="2" t="s">
        <v>23</v>
      </c>
      <c r="O4968">
        <f t="shared" si="154"/>
        <v>2.1700000000000017</v>
      </c>
      <c r="P4968">
        <f t="shared" si="155"/>
        <v>16.877000000000002</v>
      </c>
    </row>
    <row r="4969" spans="1:16" x14ac:dyDescent="0.35">
      <c r="A4969" s="9" t="s">
        <v>503</v>
      </c>
      <c r="B4969" s="2">
        <v>121.02</v>
      </c>
      <c r="C4969" s="2">
        <v>121.435</v>
      </c>
      <c r="D4969" s="2">
        <v>120.6</v>
      </c>
      <c r="E4969" s="2">
        <v>120.66</v>
      </c>
      <c r="F4969" s="2">
        <v>8426770</v>
      </c>
      <c r="G4969" s="2" t="s">
        <v>579</v>
      </c>
      <c r="H4969" s="2" t="s">
        <v>580</v>
      </c>
      <c r="I4969" s="2" t="s">
        <v>581</v>
      </c>
      <c r="J4969" s="3">
        <v>0.25800000000000001</v>
      </c>
      <c r="K4969" s="2" t="s">
        <v>492</v>
      </c>
      <c r="L4969" s="2">
        <v>2024</v>
      </c>
      <c r="M4969" s="2" t="s">
        <v>227</v>
      </c>
      <c r="N4969" s="2" t="s">
        <v>21</v>
      </c>
      <c r="O4969">
        <f t="shared" si="154"/>
        <v>0.83500000000000796</v>
      </c>
      <c r="P4969">
        <f t="shared" si="155"/>
        <v>17.135000000000002</v>
      </c>
    </row>
    <row r="4970" spans="1:16" x14ac:dyDescent="0.35">
      <c r="A4970" s="9" t="s">
        <v>504</v>
      </c>
      <c r="B4970" s="2">
        <v>120.76</v>
      </c>
      <c r="C4970" s="2">
        <v>121.58</v>
      </c>
      <c r="D4970" s="2">
        <v>119.71</v>
      </c>
      <c r="E4970" s="2">
        <v>120.35</v>
      </c>
      <c r="F4970" s="2">
        <v>11204857</v>
      </c>
      <c r="G4970" s="2" t="s">
        <v>579</v>
      </c>
      <c r="H4970" s="2" t="s">
        <v>580</v>
      </c>
      <c r="I4970" s="2" t="s">
        <v>581</v>
      </c>
      <c r="J4970" s="4">
        <v>-0.25700000000000001</v>
      </c>
      <c r="K4970" s="2" t="s">
        <v>492</v>
      </c>
      <c r="L4970" s="2">
        <v>2024</v>
      </c>
      <c r="M4970" s="2" t="s">
        <v>227</v>
      </c>
      <c r="N4970" s="2" t="s">
        <v>23</v>
      </c>
      <c r="O4970">
        <f t="shared" si="154"/>
        <v>1.8700000000000045</v>
      </c>
      <c r="P4970">
        <f t="shared" si="155"/>
        <v>16.878</v>
      </c>
    </row>
    <row r="4971" spans="1:16" x14ac:dyDescent="0.35">
      <c r="A4971" s="9" t="s">
        <v>505</v>
      </c>
      <c r="B4971" s="2">
        <v>120.44</v>
      </c>
      <c r="C4971" s="2">
        <v>120.64</v>
      </c>
      <c r="D4971" s="2">
        <v>119.15</v>
      </c>
      <c r="E4971" s="2">
        <v>120.01</v>
      </c>
      <c r="F4971" s="2">
        <v>12898640</v>
      </c>
      <c r="G4971" s="2" t="s">
        <v>579</v>
      </c>
      <c r="H4971" s="2" t="s">
        <v>580</v>
      </c>
      <c r="I4971" s="2" t="s">
        <v>581</v>
      </c>
      <c r="J4971" s="4">
        <v>-0.28299999999999997</v>
      </c>
      <c r="K4971" s="2" t="s">
        <v>492</v>
      </c>
      <c r="L4971" s="2">
        <v>2024</v>
      </c>
      <c r="M4971" s="2" t="s">
        <v>227</v>
      </c>
      <c r="N4971" s="2" t="s">
        <v>23</v>
      </c>
      <c r="O4971">
        <f t="shared" si="154"/>
        <v>1.4899999999999949</v>
      </c>
      <c r="P4971">
        <f t="shared" si="155"/>
        <v>16.594999999999999</v>
      </c>
    </row>
    <row r="4972" spans="1:16" x14ac:dyDescent="0.35">
      <c r="A4972" s="9" t="s">
        <v>506</v>
      </c>
      <c r="B4972" s="2">
        <v>120.98</v>
      </c>
      <c r="C4972" s="2">
        <v>121.48</v>
      </c>
      <c r="D4972" s="2">
        <v>119.72</v>
      </c>
      <c r="E4972" s="2">
        <v>120.08</v>
      </c>
      <c r="F4972" s="2">
        <v>10177777</v>
      </c>
      <c r="G4972" s="2" t="s">
        <v>579</v>
      </c>
      <c r="H4972" s="2" t="s">
        <v>580</v>
      </c>
      <c r="I4972" s="2" t="s">
        <v>581</v>
      </c>
      <c r="J4972" s="3">
        <v>5.8000000000000003E-2</v>
      </c>
      <c r="K4972" s="2" t="s">
        <v>492</v>
      </c>
      <c r="L4972" s="2">
        <v>2024</v>
      </c>
      <c r="M4972" s="2" t="s">
        <v>227</v>
      </c>
      <c r="N4972" s="2" t="s">
        <v>21</v>
      </c>
      <c r="O4972">
        <f t="shared" si="154"/>
        <v>1.7600000000000051</v>
      </c>
      <c r="P4972">
        <f t="shared" si="155"/>
        <v>16.652999999999999</v>
      </c>
    </row>
    <row r="4973" spans="1:16" x14ac:dyDescent="0.35">
      <c r="A4973" s="9" t="s">
        <v>507</v>
      </c>
      <c r="B4973" s="2">
        <v>120.26</v>
      </c>
      <c r="C4973" s="2">
        <v>121.19</v>
      </c>
      <c r="D4973" s="2">
        <v>119.94</v>
      </c>
      <c r="E4973" s="2">
        <v>120.7</v>
      </c>
      <c r="F4973" s="2">
        <v>9201408</v>
      </c>
      <c r="G4973" s="2" t="s">
        <v>579</v>
      </c>
      <c r="H4973" s="2" t="s">
        <v>580</v>
      </c>
      <c r="I4973" s="2" t="s">
        <v>581</v>
      </c>
      <c r="J4973" s="3">
        <v>0.51600000000000001</v>
      </c>
      <c r="K4973" s="2" t="s">
        <v>492</v>
      </c>
      <c r="L4973" s="2">
        <v>2024</v>
      </c>
      <c r="M4973" s="2" t="s">
        <v>227</v>
      </c>
      <c r="N4973" s="2" t="s">
        <v>21</v>
      </c>
      <c r="O4973">
        <f t="shared" si="154"/>
        <v>1.25</v>
      </c>
      <c r="P4973">
        <f t="shared" si="155"/>
        <v>17.168999999999997</v>
      </c>
    </row>
    <row r="4974" spans="1:16" x14ac:dyDescent="0.35">
      <c r="A4974" s="9" t="s">
        <v>508</v>
      </c>
      <c r="B4974" s="2">
        <v>119.97</v>
      </c>
      <c r="C4974" s="2">
        <v>120.75</v>
      </c>
      <c r="D4974" s="2">
        <v>119.4</v>
      </c>
      <c r="E4974" s="2">
        <v>120.27</v>
      </c>
      <c r="F4974" s="2">
        <v>8320330</v>
      </c>
      <c r="G4974" s="2" t="s">
        <v>579</v>
      </c>
      <c r="H4974" s="2" t="s">
        <v>580</v>
      </c>
      <c r="I4974" s="2" t="s">
        <v>581</v>
      </c>
      <c r="J4974" s="4">
        <v>-0.35599999999999998</v>
      </c>
      <c r="K4974" s="2" t="s">
        <v>492</v>
      </c>
      <c r="L4974" s="2">
        <v>2024</v>
      </c>
      <c r="M4974" s="2" t="s">
        <v>227</v>
      </c>
      <c r="N4974" s="2" t="s">
        <v>23</v>
      </c>
      <c r="O4974">
        <f t="shared" si="154"/>
        <v>1.3499999999999943</v>
      </c>
      <c r="P4974">
        <f t="shared" si="155"/>
        <v>16.812999999999995</v>
      </c>
    </row>
    <row r="4975" spans="1:16" x14ac:dyDescent="0.35">
      <c r="A4975" s="9" t="s">
        <v>509</v>
      </c>
      <c r="B4975" s="2">
        <v>120</v>
      </c>
      <c r="C4975" s="2">
        <v>120.44</v>
      </c>
      <c r="D4975" s="2">
        <v>119.125</v>
      </c>
      <c r="E4975" s="2">
        <v>119.59</v>
      </c>
      <c r="F4975" s="2">
        <v>9905556</v>
      </c>
      <c r="G4975" s="2" t="s">
        <v>579</v>
      </c>
      <c r="H4975" s="2" t="s">
        <v>580</v>
      </c>
      <c r="I4975" s="2" t="s">
        <v>581</v>
      </c>
      <c r="J4975" s="4">
        <v>-0.56499999999999995</v>
      </c>
      <c r="K4975" s="2" t="s">
        <v>492</v>
      </c>
      <c r="L4975" s="2">
        <v>2024</v>
      </c>
      <c r="M4975" s="2" t="s">
        <v>227</v>
      </c>
      <c r="N4975" s="2" t="s">
        <v>23</v>
      </c>
      <c r="O4975">
        <f t="shared" si="154"/>
        <v>1.3149999999999977</v>
      </c>
      <c r="P4975">
        <f t="shared" si="155"/>
        <v>16.247999999999994</v>
      </c>
    </row>
    <row r="4976" spans="1:16" x14ac:dyDescent="0.35">
      <c r="A4976" s="9" t="s">
        <v>510</v>
      </c>
      <c r="B4976" s="2">
        <v>120.2</v>
      </c>
      <c r="C4976" s="2">
        <v>120.43</v>
      </c>
      <c r="D4976" s="2">
        <v>119.315</v>
      </c>
      <c r="E4976" s="2">
        <v>119.49</v>
      </c>
      <c r="F4976" s="2">
        <v>10714583</v>
      </c>
      <c r="G4976" s="2" t="s">
        <v>579</v>
      </c>
      <c r="H4976" s="2" t="s">
        <v>580</v>
      </c>
      <c r="I4976" s="2" t="s">
        <v>581</v>
      </c>
      <c r="J4976" s="4">
        <v>-8.4000000000000005E-2</v>
      </c>
      <c r="K4976" s="2" t="s">
        <v>492</v>
      </c>
      <c r="L4976" s="2">
        <v>2024</v>
      </c>
      <c r="M4976" s="2" t="s">
        <v>227</v>
      </c>
      <c r="N4976" s="2" t="s">
        <v>23</v>
      </c>
      <c r="O4976">
        <f t="shared" si="154"/>
        <v>1.1150000000000091</v>
      </c>
      <c r="P4976">
        <f t="shared" si="155"/>
        <v>16.163999999999994</v>
      </c>
    </row>
    <row r="4977" spans="1:16" x14ac:dyDescent="0.35">
      <c r="A4977" s="9" t="s">
        <v>511</v>
      </c>
      <c r="B4977" s="2">
        <v>116.79</v>
      </c>
      <c r="C4977" s="2">
        <v>119.01</v>
      </c>
      <c r="D4977" s="2">
        <v>116.77</v>
      </c>
      <c r="E4977" s="2">
        <v>118.9</v>
      </c>
      <c r="F4977" s="2">
        <v>11844545</v>
      </c>
      <c r="G4977" s="2" t="s">
        <v>579</v>
      </c>
      <c r="H4977" s="2" t="s">
        <v>580</v>
      </c>
      <c r="I4977" s="2" t="s">
        <v>581</v>
      </c>
      <c r="J4977" s="4">
        <v>-0.49399999999999999</v>
      </c>
      <c r="K4977" s="2" t="s">
        <v>492</v>
      </c>
      <c r="L4977" s="2">
        <v>2024</v>
      </c>
      <c r="M4977" s="2" t="s">
        <v>227</v>
      </c>
      <c r="N4977" s="2" t="s">
        <v>23</v>
      </c>
      <c r="O4977">
        <f t="shared" si="154"/>
        <v>2.2400000000000091</v>
      </c>
      <c r="P4977">
        <f t="shared" si="155"/>
        <v>15.669999999999995</v>
      </c>
    </row>
    <row r="4978" spans="1:16" x14ac:dyDescent="0.35">
      <c r="A4978" s="9" t="s">
        <v>512</v>
      </c>
      <c r="B4978" s="2">
        <v>118.58</v>
      </c>
      <c r="C4978" s="2">
        <v>119.172</v>
      </c>
      <c r="D4978" s="2">
        <v>117.07</v>
      </c>
      <c r="E4978" s="2">
        <v>117.28</v>
      </c>
      <c r="F4978" s="2">
        <v>14731024</v>
      </c>
      <c r="G4978" s="2" t="s">
        <v>579</v>
      </c>
      <c r="H4978" s="2" t="s">
        <v>580</v>
      </c>
      <c r="I4978" s="2" t="s">
        <v>581</v>
      </c>
      <c r="J4978" s="4">
        <v>-1.3620000000000001</v>
      </c>
      <c r="K4978" s="2" t="s">
        <v>492</v>
      </c>
      <c r="L4978" s="2">
        <v>2024</v>
      </c>
      <c r="M4978" s="2" t="s">
        <v>227</v>
      </c>
      <c r="N4978" s="2" t="s">
        <v>23</v>
      </c>
      <c r="O4978">
        <f t="shared" si="154"/>
        <v>2.1020000000000039</v>
      </c>
      <c r="P4978">
        <f t="shared" si="155"/>
        <v>14.307999999999995</v>
      </c>
    </row>
    <row r="4979" spans="1:16" x14ac:dyDescent="0.35">
      <c r="A4979" s="9" t="s">
        <v>513</v>
      </c>
      <c r="B4979" s="2">
        <v>117.62</v>
      </c>
      <c r="C4979" s="2">
        <v>118.27</v>
      </c>
      <c r="D4979" s="2">
        <v>116.48</v>
      </c>
      <c r="E4979" s="2">
        <v>116.69</v>
      </c>
      <c r="F4979" s="2">
        <v>12303738</v>
      </c>
      <c r="G4979" s="2" t="s">
        <v>579</v>
      </c>
      <c r="H4979" s="2" t="s">
        <v>580</v>
      </c>
      <c r="I4979" s="2" t="s">
        <v>581</v>
      </c>
      <c r="J4979" s="4">
        <v>-0.503</v>
      </c>
      <c r="K4979" s="2" t="s">
        <v>492</v>
      </c>
      <c r="L4979" s="2">
        <v>2024</v>
      </c>
      <c r="M4979" s="2" t="s">
        <v>227</v>
      </c>
      <c r="N4979" s="2" t="s">
        <v>23</v>
      </c>
      <c r="O4979">
        <f t="shared" si="154"/>
        <v>1.789999999999992</v>
      </c>
      <c r="P4979">
        <f t="shared" si="155"/>
        <v>13.804999999999994</v>
      </c>
    </row>
    <row r="4980" spans="1:16" x14ac:dyDescent="0.35">
      <c r="A4980" s="9" t="s">
        <v>514</v>
      </c>
      <c r="B4980" s="2">
        <v>117.15</v>
      </c>
      <c r="C4980" s="2">
        <v>118.67</v>
      </c>
      <c r="D4980" s="2">
        <v>116.68</v>
      </c>
      <c r="E4980" s="2">
        <v>116.78</v>
      </c>
      <c r="F4980" s="2">
        <v>20511977</v>
      </c>
      <c r="G4980" s="2" t="s">
        <v>579</v>
      </c>
      <c r="H4980" s="2" t="s">
        <v>580</v>
      </c>
      <c r="I4980" s="2" t="s">
        <v>581</v>
      </c>
      <c r="J4980" s="3">
        <v>7.6999999999999999E-2</v>
      </c>
      <c r="K4980" s="2" t="s">
        <v>492</v>
      </c>
      <c r="L4980" s="2">
        <v>2024</v>
      </c>
      <c r="M4980" s="2" t="s">
        <v>227</v>
      </c>
      <c r="N4980" s="2" t="s">
        <v>21</v>
      </c>
      <c r="O4980">
        <f t="shared" si="154"/>
        <v>1.9899999999999949</v>
      </c>
      <c r="P4980">
        <f t="shared" si="155"/>
        <v>13.881999999999994</v>
      </c>
    </row>
    <row r="4981" spans="1:16" x14ac:dyDescent="0.35">
      <c r="A4981" s="9" t="s">
        <v>515</v>
      </c>
      <c r="B4981" s="2">
        <v>119.93</v>
      </c>
      <c r="C4981" s="2">
        <v>119.95</v>
      </c>
      <c r="D4981" s="2">
        <v>114.84</v>
      </c>
      <c r="E4981" s="2">
        <v>114.95</v>
      </c>
      <c r="F4981" s="2">
        <v>20939321</v>
      </c>
      <c r="G4981" s="2" t="s">
        <v>579</v>
      </c>
      <c r="H4981" s="2" t="s">
        <v>580</v>
      </c>
      <c r="I4981" s="2" t="s">
        <v>581</v>
      </c>
      <c r="J4981" s="4">
        <v>-1.5669999999999999</v>
      </c>
      <c r="K4981" s="2" t="s">
        <v>516</v>
      </c>
      <c r="L4981" s="2">
        <v>2024</v>
      </c>
      <c r="M4981" s="2" t="s">
        <v>251</v>
      </c>
      <c r="N4981" s="2" t="s">
        <v>23</v>
      </c>
      <c r="O4981">
        <f t="shared" si="154"/>
        <v>5.1099999999999994</v>
      </c>
      <c r="P4981">
        <f t="shared" si="155"/>
        <v>12.314999999999994</v>
      </c>
    </row>
    <row r="4982" spans="1:16" x14ac:dyDescent="0.35">
      <c r="A4982" s="9" t="s">
        <v>517</v>
      </c>
      <c r="B4982" s="2">
        <v>116.13</v>
      </c>
      <c r="C4982" s="2">
        <v>118.7</v>
      </c>
      <c r="D4982" s="2">
        <v>115.93</v>
      </c>
      <c r="E4982" s="2">
        <v>118.61</v>
      </c>
      <c r="F4982" s="2">
        <v>14965433</v>
      </c>
      <c r="G4982" s="2" t="s">
        <v>579</v>
      </c>
      <c r="H4982" s="2" t="s">
        <v>580</v>
      </c>
      <c r="I4982" s="2" t="s">
        <v>581</v>
      </c>
      <c r="J4982" s="3">
        <v>3.1840000000000002</v>
      </c>
      <c r="K4982" s="2" t="s">
        <v>516</v>
      </c>
      <c r="L4982" s="2">
        <v>2024</v>
      </c>
      <c r="M4982" s="2" t="s">
        <v>251</v>
      </c>
      <c r="N4982" s="2" t="s">
        <v>21</v>
      </c>
      <c r="O4982">
        <f t="shared" si="154"/>
        <v>2.769999999999996</v>
      </c>
      <c r="P4982">
        <f t="shared" si="155"/>
        <v>15.498999999999995</v>
      </c>
    </row>
    <row r="4983" spans="1:16" x14ac:dyDescent="0.35">
      <c r="A4983" s="9" t="s">
        <v>518</v>
      </c>
      <c r="B4983" s="2">
        <v>119.08</v>
      </c>
      <c r="C4983" s="2">
        <v>119.21</v>
      </c>
      <c r="D4983" s="2">
        <v>118.01</v>
      </c>
      <c r="E4983" s="2">
        <v>118.96</v>
      </c>
      <c r="F4983" s="2">
        <v>10436744</v>
      </c>
      <c r="G4983" s="2" t="s">
        <v>579</v>
      </c>
      <c r="H4983" s="2" t="s">
        <v>580</v>
      </c>
      <c r="I4983" s="2" t="s">
        <v>581</v>
      </c>
      <c r="J4983" s="3">
        <v>0.29499999999999998</v>
      </c>
      <c r="K4983" s="2" t="s">
        <v>516</v>
      </c>
      <c r="L4983" s="2">
        <v>2024</v>
      </c>
      <c r="M4983" s="2" t="s">
        <v>251</v>
      </c>
      <c r="N4983" s="2" t="s">
        <v>21</v>
      </c>
      <c r="O4983">
        <f t="shared" si="154"/>
        <v>1.1999999999999886</v>
      </c>
      <c r="P4983">
        <f t="shared" si="155"/>
        <v>15.793999999999995</v>
      </c>
    </row>
    <row r="4984" spans="1:16" x14ac:dyDescent="0.35">
      <c r="A4984" s="9" t="s">
        <v>519</v>
      </c>
      <c r="B4984" s="2">
        <v>121.145</v>
      </c>
      <c r="C4984" s="2">
        <v>121.91</v>
      </c>
      <c r="D4984" s="2">
        <v>119.3</v>
      </c>
      <c r="E4984" s="2">
        <v>121</v>
      </c>
      <c r="F4984" s="2">
        <v>20807681</v>
      </c>
      <c r="G4984" s="2" t="s">
        <v>579</v>
      </c>
      <c r="H4984" s="2" t="s">
        <v>580</v>
      </c>
      <c r="I4984" s="2" t="s">
        <v>581</v>
      </c>
      <c r="J4984" s="3">
        <v>1.7150000000000001</v>
      </c>
      <c r="K4984" s="2" t="s">
        <v>516</v>
      </c>
      <c r="L4984" s="2">
        <v>2024</v>
      </c>
      <c r="M4984" s="2" t="s">
        <v>251</v>
      </c>
      <c r="N4984" s="2" t="s">
        <v>21</v>
      </c>
      <c r="O4984">
        <f t="shared" si="154"/>
        <v>2.6099999999999994</v>
      </c>
      <c r="P4984">
        <f t="shared" si="155"/>
        <v>17.508999999999997</v>
      </c>
    </row>
    <row r="4985" spans="1:16" x14ac:dyDescent="0.35">
      <c r="A4985" s="9" t="s">
        <v>520</v>
      </c>
      <c r="B4985" s="2">
        <v>121.3</v>
      </c>
      <c r="C4985" s="2">
        <v>121.5</v>
      </c>
      <c r="D4985" s="2">
        <v>119.61</v>
      </c>
      <c r="E4985" s="2">
        <v>121.15</v>
      </c>
      <c r="F4985" s="2">
        <v>12184431</v>
      </c>
      <c r="G4985" s="2" t="s">
        <v>579</v>
      </c>
      <c r="H4985" s="2" t="s">
        <v>580</v>
      </c>
      <c r="I4985" s="2" t="s">
        <v>581</v>
      </c>
      <c r="J4985" s="3">
        <v>0.124</v>
      </c>
      <c r="K4985" s="2" t="s">
        <v>516</v>
      </c>
      <c r="L4985" s="2">
        <v>2024</v>
      </c>
      <c r="M4985" s="2" t="s">
        <v>251</v>
      </c>
      <c r="N4985" s="2" t="s">
        <v>21</v>
      </c>
      <c r="O4985">
        <f t="shared" si="154"/>
        <v>1.8900000000000006</v>
      </c>
      <c r="P4985">
        <f t="shared" si="155"/>
        <v>17.632999999999996</v>
      </c>
    </row>
    <row r="4986" spans="1:16" x14ac:dyDescent="0.35">
      <c r="A4986" s="9" t="s">
        <v>521</v>
      </c>
      <c r="B4986" s="2">
        <v>120.98</v>
      </c>
      <c r="C4986" s="2">
        <v>121.42</v>
      </c>
      <c r="D4986" s="2">
        <v>119.66</v>
      </c>
      <c r="E4986" s="2">
        <v>121.11</v>
      </c>
      <c r="F4986" s="2">
        <v>12835969</v>
      </c>
      <c r="G4986" s="2" t="s">
        <v>579</v>
      </c>
      <c r="H4986" s="2" t="s">
        <v>580</v>
      </c>
      <c r="I4986" s="2" t="s">
        <v>581</v>
      </c>
      <c r="J4986" s="4">
        <v>-3.3000000000000002E-2</v>
      </c>
      <c r="K4986" s="2" t="s">
        <v>516</v>
      </c>
      <c r="L4986" s="2">
        <v>2024</v>
      </c>
      <c r="M4986" s="2" t="s">
        <v>251</v>
      </c>
      <c r="N4986" s="2" t="s">
        <v>23</v>
      </c>
      <c r="O4986">
        <f t="shared" si="154"/>
        <v>1.7600000000000051</v>
      </c>
      <c r="P4986">
        <f t="shared" si="155"/>
        <v>17.599999999999994</v>
      </c>
    </row>
    <row r="4987" spans="1:16" x14ac:dyDescent="0.35">
      <c r="A4987" s="9" t="s">
        <v>522</v>
      </c>
      <c r="B4987" s="2">
        <v>121</v>
      </c>
      <c r="C4987" s="2">
        <v>121.62</v>
      </c>
      <c r="D4987" s="2">
        <v>120.07</v>
      </c>
      <c r="E4987" s="2">
        <v>120.47</v>
      </c>
      <c r="F4987" s="2">
        <v>11969663</v>
      </c>
      <c r="G4987" s="2" t="s">
        <v>579</v>
      </c>
      <c r="H4987" s="2" t="s">
        <v>580</v>
      </c>
      <c r="I4987" s="2" t="s">
        <v>581</v>
      </c>
      <c r="J4987" s="4">
        <v>-0.52800000000000002</v>
      </c>
      <c r="K4987" s="2" t="s">
        <v>516</v>
      </c>
      <c r="L4987" s="2">
        <v>2024</v>
      </c>
      <c r="M4987" s="2" t="s">
        <v>251</v>
      </c>
      <c r="N4987" s="2" t="s">
        <v>23</v>
      </c>
      <c r="O4987">
        <f t="shared" si="154"/>
        <v>1.5500000000000114</v>
      </c>
      <c r="P4987">
        <f t="shared" si="155"/>
        <v>17.071999999999996</v>
      </c>
    </row>
    <row r="4988" spans="1:16" x14ac:dyDescent="0.35">
      <c r="A4988" s="9" t="s">
        <v>523</v>
      </c>
      <c r="B4988" s="2">
        <v>121.13</v>
      </c>
      <c r="C4988" s="2">
        <v>121.31</v>
      </c>
      <c r="D4988" s="2">
        <v>119.837</v>
      </c>
      <c r="E4988" s="2">
        <v>120.35</v>
      </c>
      <c r="F4988" s="2">
        <v>11972802</v>
      </c>
      <c r="G4988" s="2" t="s">
        <v>579</v>
      </c>
      <c r="H4988" s="2" t="s">
        <v>580</v>
      </c>
      <c r="I4988" s="2" t="s">
        <v>581</v>
      </c>
      <c r="J4988" s="4">
        <v>-0.1</v>
      </c>
      <c r="K4988" s="2" t="s">
        <v>516</v>
      </c>
      <c r="L4988" s="2">
        <v>2024</v>
      </c>
      <c r="M4988" s="2" t="s">
        <v>251</v>
      </c>
      <c r="N4988" s="2" t="s">
        <v>23</v>
      </c>
      <c r="O4988">
        <f t="shared" si="154"/>
        <v>1.472999999999999</v>
      </c>
      <c r="P4988">
        <f t="shared" si="155"/>
        <v>16.971999999999994</v>
      </c>
    </row>
    <row r="4989" spans="1:16" x14ac:dyDescent="0.35">
      <c r="A4989" s="9" t="s">
        <v>524</v>
      </c>
      <c r="B4989" s="2">
        <v>120.565</v>
      </c>
      <c r="C4989" s="2">
        <v>122.05</v>
      </c>
      <c r="D4989" s="2">
        <v>118.8</v>
      </c>
      <c r="E4989" s="2">
        <v>121.47</v>
      </c>
      <c r="F4989" s="2">
        <v>15127877</v>
      </c>
      <c r="G4989" s="2" t="s">
        <v>579</v>
      </c>
      <c r="H4989" s="2" t="s">
        <v>580</v>
      </c>
      <c r="I4989" s="2" t="s">
        <v>581</v>
      </c>
      <c r="J4989" s="3">
        <v>0.93100000000000005</v>
      </c>
      <c r="K4989" s="2" t="s">
        <v>516</v>
      </c>
      <c r="L4989" s="2">
        <v>2024</v>
      </c>
      <c r="M4989" s="2" t="s">
        <v>251</v>
      </c>
      <c r="N4989" s="2" t="s">
        <v>21</v>
      </c>
      <c r="O4989">
        <f t="shared" si="154"/>
        <v>3.25</v>
      </c>
      <c r="P4989">
        <f t="shared" si="155"/>
        <v>17.902999999999995</v>
      </c>
    </row>
    <row r="4990" spans="1:16" x14ac:dyDescent="0.35">
      <c r="A4990" s="9" t="s">
        <v>525</v>
      </c>
      <c r="B4990" s="2">
        <v>121.5</v>
      </c>
      <c r="C4990" s="2">
        <v>121.88</v>
      </c>
      <c r="D4990" s="2">
        <v>120.33</v>
      </c>
      <c r="E4990" s="2">
        <v>120.56</v>
      </c>
      <c r="F4990" s="2">
        <v>13041845</v>
      </c>
      <c r="G4990" s="2" t="s">
        <v>579</v>
      </c>
      <c r="H4990" s="2" t="s">
        <v>580</v>
      </c>
      <c r="I4990" s="2" t="s">
        <v>581</v>
      </c>
      <c r="J4990" s="4">
        <v>-0.749</v>
      </c>
      <c r="K4990" s="2" t="s">
        <v>516</v>
      </c>
      <c r="L4990" s="2">
        <v>2024</v>
      </c>
      <c r="M4990" s="2" t="s">
        <v>251</v>
      </c>
      <c r="N4990" s="2" t="s">
        <v>23</v>
      </c>
      <c r="O4990">
        <f t="shared" si="154"/>
        <v>1.5499999999999972</v>
      </c>
      <c r="P4990">
        <f t="shared" si="155"/>
        <v>17.153999999999996</v>
      </c>
    </row>
    <row r="4991" spans="1:16" x14ac:dyDescent="0.35">
      <c r="A4991" s="9" t="s">
        <v>526</v>
      </c>
      <c r="B4991" s="2">
        <v>120.4</v>
      </c>
      <c r="C4991" s="2">
        <v>121.24</v>
      </c>
      <c r="D4991" s="2">
        <v>119.13</v>
      </c>
      <c r="E4991" s="2">
        <v>119.31</v>
      </c>
      <c r="F4991" s="2">
        <v>19051713</v>
      </c>
      <c r="G4991" s="2" t="s">
        <v>579</v>
      </c>
      <c r="H4991" s="2" t="s">
        <v>580</v>
      </c>
      <c r="I4991" s="2" t="s">
        <v>581</v>
      </c>
      <c r="J4991" s="4">
        <v>-1.0369999999999999</v>
      </c>
      <c r="K4991" s="2" t="s">
        <v>516</v>
      </c>
      <c r="L4991" s="2">
        <v>2024</v>
      </c>
      <c r="M4991" s="2" t="s">
        <v>251</v>
      </c>
      <c r="N4991" s="2" t="s">
        <v>23</v>
      </c>
      <c r="O4991">
        <f t="shared" si="154"/>
        <v>2.1099999999999994</v>
      </c>
      <c r="P4991">
        <f t="shared" si="155"/>
        <v>16.116999999999997</v>
      </c>
    </row>
    <row r="4992" spans="1:16" x14ac:dyDescent="0.35">
      <c r="A4992" s="9" t="s">
        <v>527</v>
      </c>
      <c r="B4992" s="2">
        <v>119.79</v>
      </c>
      <c r="C4992" s="2">
        <v>120.62</v>
      </c>
      <c r="D4992" s="2">
        <v>119.27</v>
      </c>
      <c r="E4992" s="2">
        <v>120.31</v>
      </c>
      <c r="F4992" s="2">
        <v>14243701</v>
      </c>
      <c r="G4992" s="2" t="s">
        <v>579</v>
      </c>
      <c r="H4992" s="2" t="s">
        <v>580</v>
      </c>
      <c r="I4992" s="2" t="s">
        <v>581</v>
      </c>
      <c r="J4992" s="3">
        <v>0.83799999999999997</v>
      </c>
      <c r="K4992" s="2" t="s">
        <v>516</v>
      </c>
      <c r="L4992" s="2">
        <v>2024</v>
      </c>
      <c r="M4992" s="2" t="s">
        <v>251</v>
      </c>
      <c r="N4992" s="2" t="s">
        <v>21</v>
      </c>
      <c r="O4992">
        <f t="shared" si="154"/>
        <v>1.3500000000000085</v>
      </c>
      <c r="P4992">
        <f t="shared" si="155"/>
        <v>16.954999999999998</v>
      </c>
    </row>
    <row r="4993" spans="1:16" x14ac:dyDescent="0.35">
      <c r="A4993" s="9" t="s">
        <v>528</v>
      </c>
      <c r="B4993" s="2">
        <v>119.75</v>
      </c>
      <c r="C4993" s="2">
        <v>119.75</v>
      </c>
      <c r="D4993" s="2">
        <v>118.2</v>
      </c>
      <c r="E4993" s="2">
        <v>118.63</v>
      </c>
      <c r="F4993" s="2">
        <v>11584382</v>
      </c>
      <c r="G4993" s="2" t="s">
        <v>579</v>
      </c>
      <c r="H4993" s="2" t="s">
        <v>580</v>
      </c>
      <c r="I4993" s="2" t="s">
        <v>581</v>
      </c>
      <c r="J4993" s="4">
        <v>-1.3959999999999999</v>
      </c>
      <c r="K4993" s="2" t="s">
        <v>516</v>
      </c>
      <c r="L4993" s="2">
        <v>2024</v>
      </c>
      <c r="M4993" s="2" t="s">
        <v>251</v>
      </c>
      <c r="N4993" s="2" t="s">
        <v>23</v>
      </c>
      <c r="O4993">
        <f t="shared" si="154"/>
        <v>1.5499999999999972</v>
      </c>
      <c r="P4993">
        <f t="shared" si="155"/>
        <v>15.558999999999997</v>
      </c>
    </row>
    <row r="4994" spans="1:16" x14ac:dyDescent="0.35">
      <c r="A4994" s="9" t="s">
        <v>529</v>
      </c>
      <c r="B4994" s="2">
        <v>119.17</v>
      </c>
      <c r="C4994" s="2">
        <v>120.47</v>
      </c>
      <c r="D4994" s="2">
        <v>118.64</v>
      </c>
      <c r="E4994" s="2">
        <v>120.32</v>
      </c>
      <c r="F4994" s="2">
        <v>11360932</v>
      </c>
      <c r="G4994" s="2" t="s">
        <v>579</v>
      </c>
      <c r="H4994" s="2" t="s">
        <v>580</v>
      </c>
      <c r="I4994" s="2" t="s">
        <v>581</v>
      </c>
      <c r="J4994" s="3">
        <v>1.425</v>
      </c>
      <c r="K4994" s="2" t="s">
        <v>516</v>
      </c>
      <c r="L4994" s="2">
        <v>2024</v>
      </c>
      <c r="M4994" s="2" t="s">
        <v>251</v>
      </c>
      <c r="N4994" s="2" t="s">
        <v>21</v>
      </c>
      <c r="O4994">
        <f t="shared" si="154"/>
        <v>1.8299999999999983</v>
      </c>
      <c r="P4994">
        <f t="shared" si="155"/>
        <v>16.983999999999998</v>
      </c>
    </row>
    <row r="4995" spans="1:16" x14ac:dyDescent="0.35">
      <c r="A4995" s="9" t="s">
        <v>530</v>
      </c>
      <c r="B4995" s="2">
        <v>121.08</v>
      </c>
      <c r="C4995" s="2">
        <v>122.55500000000001</v>
      </c>
      <c r="D4995" s="2">
        <v>120.27</v>
      </c>
      <c r="E4995" s="2">
        <v>121.93</v>
      </c>
      <c r="F4995" s="2">
        <v>14675422</v>
      </c>
      <c r="G4995" s="2" t="s">
        <v>579</v>
      </c>
      <c r="H4995" s="2" t="s">
        <v>580</v>
      </c>
      <c r="I4995" s="2" t="s">
        <v>581</v>
      </c>
      <c r="J4995" s="3">
        <v>1.3380000000000001</v>
      </c>
      <c r="K4995" s="2" t="s">
        <v>516</v>
      </c>
      <c r="L4995" s="2">
        <v>2024</v>
      </c>
      <c r="M4995" s="2" t="s">
        <v>251</v>
      </c>
      <c r="N4995" s="2" t="s">
        <v>21</v>
      </c>
      <c r="O4995">
        <f t="shared" ref="O4995:O5021" si="156">C4995-D4995</f>
        <v>2.2850000000000108</v>
      </c>
      <c r="P4995">
        <f t="shared" si="155"/>
        <v>18.321999999999999</v>
      </c>
    </row>
    <row r="4996" spans="1:16" x14ac:dyDescent="0.35">
      <c r="A4996" s="9" t="s">
        <v>531</v>
      </c>
      <c r="B4996" s="2">
        <v>121.82</v>
      </c>
      <c r="C4996" s="2">
        <v>123.21</v>
      </c>
      <c r="D4996" s="2">
        <v>121.64</v>
      </c>
      <c r="E4996" s="2">
        <v>121.79</v>
      </c>
      <c r="F4996" s="2">
        <v>13323431</v>
      </c>
      <c r="G4996" s="2" t="s">
        <v>579</v>
      </c>
      <c r="H4996" s="2" t="s">
        <v>580</v>
      </c>
      <c r="I4996" s="2" t="s">
        <v>581</v>
      </c>
      <c r="J4996" s="4">
        <v>-0.115</v>
      </c>
      <c r="K4996" s="2" t="s">
        <v>516</v>
      </c>
      <c r="L4996" s="2">
        <v>2024</v>
      </c>
      <c r="M4996" s="2" t="s">
        <v>251</v>
      </c>
      <c r="N4996" s="2" t="s">
        <v>23</v>
      </c>
      <c r="O4996">
        <f t="shared" si="156"/>
        <v>1.5699999999999932</v>
      </c>
      <c r="P4996">
        <f t="shared" ref="P4996:P5021" si="157">IF(G4996=G4995, P4995+J4996, J4996)</f>
        <v>18.207000000000001</v>
      </c>
    </row>
    <row r="4997" spans="1:16" x14ac:dyDescent="0.35">
      <c r="A4997" s="9" t="s">
        <v>532</v>
      </c>
      <c r="B4997" s="2">
        <v>121.43</v>
      </c>
      <c r="C4997" s="2">
        <v>121.88</v>
      </c>
      <c r="D4997" s="2">
        <v>119.61</v>
      </c>
      <c r="E4997" s="2">
        <v>119.97</v>
      </c>
      <c r="F4997" s="2">
        <v>26580295</v>
      </c>
      <c r="G4997" s="2" t="s">
        <v>579</v>
      </c>
      <c r="H4997" s="2" t="s">
        <v>580</v>
      </c>
      <c r="I4997" s="2" t="s">
        <v>581</v>
      </c>
      <c r="J4997" s="4">
        <v>-1.494</v>
      </c>
      <c r="K4997" s="2" t="s">
        <v>516</v>
      </c>
      <c r="L4997" s="2">
        <v>2024</v>
      </c>
      <c r="M4997" s="2" t="s">
        <v>251</v>
      </c>
      <c r="N4997" s="2" t="s">
        <v>23</v>
      </c>
      <c r="O4997">
        <f t="shared" si="156"/>
        <v>2.269999999999996</v>
      </c>
      <c r="P4997">
        <f t="shared" si="157"/>
        <v>16.713000000000001</v>
      </c>
    </row>
    <row r="4998" spans="1:16" x14ac:dyDescent="0.35">
      <c r="A4998" s="9" t="s">
        <v>533</v>
      </c>
      <c r="B4998" s="2">
        <v>119.53</v>
      </c>
      <c r="C4998" s="2">
        <v>119.68</v>
      </c>
      <c r="D4998" s="2">
        <v>117.845</v>
      </c>
      <c r="E4998" s="2">
        <v>117.97</v>
      </c>
      <c r="F4998" s="2">
        <v>14827327</v>
      </c>
      <c r="G4998" s="2" t="s">
        <v>579</v>
      </c>
      <c r="H4998" s="2" t="s">
        <v>580</v>
      </c>
      <c r="I4998" s="2" t="s">
        <v>581</v>
      </c>
      <c r="J4998" s="4">
        <v>-1.667</v>
      </c>
      <c r="K4998" s="2" t="s">
        <v>516</v>
      </c>
      <c r="L4998" s="2">
        <v>2024</v>
      </c>
      <c r="M4998" s="2" t="s">
        <v>251</v>
      </c>
      <c r="N4998" s="2" t="s">
        <v>23</v>
      </c>
      <c r="O4998">
        <f t="shared" si="156"/>
        <v>1.835000000000008</v>
      </c>
      <c r="P4998">
        <f t="shared" si="157"/>
        <v>15.046000000000001</v>
      </c>
    </row>
    <row r="4999" spans="1:16" x14ac:dyDescent="0.35">
      <c r="A4999" s="9" t="s">
        <v>534</v>
      </c>
      <c r="B4999" s="2">
        <v>118.09</v>
      </c>
      <c r="C4999" s="2">
        <v>118.73</v>
      </c>
      <c r="D4999" s="2">
        <v>117.43</v>
      </c>
      <c r="E4999" s="2">
        <v>117.66</v>
      </c>
      <c r="F4999" s="2">
        <v>11079122</v>
      </c>
      <c r="G4999" s="2" t="s">
        <v>579</v>
      </c>
      <c r="H4999" s="2" t="s">
        <v>580</v>
      </c>
      <c r="I4999" s="2" t="s">
        <v>581</v>
      </c>
      <c r="J4999" s="4">
        <v>-0.26300000000000001</v>
      </c>
      <c r="K4999" s="2" t="s">
        <v>516</v>
      </c>
      <c r="L4999" s="2">
        <v>2024</v>
      </c>
      <c r="M4999" s="2" t="s">
        <v>251</v>
      </c>
      <c r="N4999" s="2" t="s">
        <v>23</v>
      </c>
      <c r="O4999">
        <f t="shared" si="156"/>
        <v>1.2999999999999972</v>
      </c>
      <c r="P4999">
        <f t="shared" si="157"/>
        <v>14.783000000000001</v>
      </c>
    </row>
    <row r="5000" spans="1:16" x14ac:dyDescent="0.35">
      <c r="A5000" s="9" t="s">
        <v>535</v>
      </c>
      <c r="B5000" s="2">
        <v>117.44</v>
      </c>
      <c r="C5000" s="2">
        <v>118.5</v>
      </c>
      <c r="D5000" s="2">
        <v>116.95</v>
      </c>
      <c r="E5000" s="2">
        <v>117.96</v>
      </c>
      <c r="F5000" s="2">
        <v>9426499</v>
      </c>
      <c r="G5000" s="2" t="s">
        <v>579</v>
      </c>
      <c r="H5000" s="2" t="s">
        <v>580</v>
      </c>
      <c r="I5000" s="2" t="s">
        <v>581</v>
      </c>
      <c r="J5000" s="3">
        <v>0.255</v>
      </c>
      <c r="K5000" s="2" t="s">
        <v>516</v>
      </c>
      <c r="L5000" s="2">
        <v>2024</v>
      </c>
      <c r="M5000" s="2" t="s">
        <v>251</v>
      </c>
      <c r="N5000" s="2" t="s">
        <v>21</v>
      </c>
      <c r="O5000">
        <f t="shared" si="156"/>
        <v>1.5499999999999972</v>
      </c>
      <c r="P5000">
        <f t="shared" si="157"/>
        <v>15.038000000000002</v>
      </c>
    </row>
    <row r="5001" spans="1:16" x14ac:dyDescent="0.35">
      <c r="A5001" s="9" t="s">
        <v>536</v>
      </c>
      <c r="B5001" s="2">
        <v>118.05</v>
      </c>
      <c r="C5001" s="2">
        <v>118.2</v>
      </c>
      <c r="D5001" s="2">
        <v>116.82</v>
      </c>
      <c r="E5001" s="2">
        <v>117.85</v>
      </c>
      <c r="F5001" s="2">
        <v>12687317</v>
      </c>
      <c r="G5001" s="2" t="s">
        <v>579</v>
      </c>
      <c r="H5001" s="2" t="s">
        <v>580</v>
      </c>
      <c r="I5001" s="2" t="s">
        <v>581</v>
      </c>
      <c r="J5001" s="4">
        <v>-9.2999999999999999E-2</v>
      </c>
      <c r="K5001" s="2" t="s">
        <v>537</v>
      </c>
      <c r="L5001" s="2">
        <v>2024</v>
      </c>
      <c r="M5001" s="2" t="s">
        <v>274</v>
      </c>
      <c r="N5001" s="2" t="s">
        <v>23</v>
      </c>
      <c r="O5001">
        <f t="shared" si="156"/>
        <v>1.3800000000000097</v>
      </c>
      <c r="P5001">
        <f t="shared" si="157"/>
        <v>14.945000000000002</v>
      </c>
    </row>
    <row r="5002" spans="1:16" x14ac:dyDescent="0.35">
      <c r="A5002" s="9" t="s">
        <v>538</v>
      </c>
      <c r="B5002" s="2">
        <v>118.72</v>
      </c>
      <c r="C5002" s="2">
        <v>118.72</v>
      </c>
      <c r="D5002" s="2">
        <v>117.255</v>
      </c>
      <c r="E5002" s="2">
        <v>117.67</v>
      </c>
      <c r="F5002" s="2">
        <v>11756566</v>
      </c>
      <c r="G5002" s="2" t="s">
        <v>579</v>
      </c>
      <c r="H5002" s="2" t="s">
        <v>580</v>
      </c>
      <c r="I5002" s="2" t="s">
        <v>581</v>
      </c>
      <c r="J5002" s="4">
        <v>-0.153</v>
      </c>
      <c r="K5002" s="2" t="s">
        <v>537</v>
      </c>
      <c r="L5002" s="2">
        <v>2024</v>
      </c>
      <c r="M5002" s="2" t="s">
        <v>274</v>
      </c>
      <c r="N5002" s="2" t="s">
        <v>23</v>
      </c>
      <c r="O5002">
        <f t="shared" si="156"/>
        <v>1.4650000000000034</v>
      </c>
      <c r="P5002">
        <f t="shared" si="157"/>
        <v>14.792000000000002</v>
      </c>
    </row>
    <row r="5003" spans="1:16" x14ac:dyDescent="0.35">
      <c r="A5003" s="9" t="s">
        <v>539</v>
      </c>
      <c r="B5003" s="2">
        <v>117.5</v>
      </c>
      <c r="C5003" s="2">
        <v>117.55</v>
      </c>
      <c r="D5003" s="2">
        <v>113.861</v>
      </c>
      <c r="E5003" s="2">
        <v>114.28</v>
      </c>
      <c r="F5003" s="2">
        <v>19520583</v>
      </c>
      <c r="G5003" s="2" t="s">
        <v>579</v>
      </c>
      <c r="H5003" s="2" t="s">
        <v>580</v>
      </c>
      <c r="I5003" s="2" t="s">
        <v>581</v>
      </c>
      <c r="J5003" s="4">
        <v>-2.8809999999999998</v>
      </c>
      <c r="K5003" s="2" t="s">
        <v>537</v>
      </c>
      <c r="L5003" s="2">
        <v>2024</v>
      </c>
      <c r="M5003" s="2" t="s">
        <v>274</v>
      </c>
      <c r="N5003" s="2" t="s">
        <v>23</v>
      </c>
      <c r="O5003">
        <f t="shared" si="156"/>
        <v>3.688999999999993</v>
      </c>
      <c r="P5003">
        <f t="shared" si="157"/>
        <v>11.911000000000001</v>
      </c>
    </row>
    <row r="5004" spans="1:16" x14ac:dyDescent="0.35">
      <c r="A5004" s="9" t="s">
        <v>540</v>
      </c>
      <c r="B5004" s="2">
        <v>114.71</v>
      </c>
      <c r="C5004" s="2">
        <v>115.62</v>
      </c>
      <c r="D5004" s="2">
        <v>114.06</v>
      </c>
      <c r="E5004" s="2">
        <v>114.78</v>
      </c>
      <c r="F5004" s="2">
        <v>15751204</v>
      </c>
      <c r="G5004" s="2" t="s">
        <v>579</v>
      </c>
      <c r="H5004" s="2" t="s">
        <v>580</v>
      </c>
      <c r="I5004" s="2" t="s">
        <v>581</v>
      </c>
      <c r="J5004" s="3">
        <v>0.438</v>
      </c>
      <c r="K5004" s="2" t="s">
        <v>537</v>
      </c>
      <c r="L5004" s="2">
        <v>2024</v>
      </c>
      <c r="M5004" s="2" t="s">
        <v>274</v>
      </c>
      <c r="N5004" s="2" t="s">
        <v>21</v>
      </c>
      <c r="O5004">
        <f t="shared" si="156"/>
        <v>1.5600000000000023</v>
      </c>
      <c r="P5004">
        <f t="shared" si="157"/>
        <v>12.349000000000002</v>
      </c>
    </row>
    <row r="5005" spans="1:16" x14ac:dyDescent="0.35">
      <c r="A5005" s="9" t="s">
        <v>541</v>
      </c>
      <c r="B5005" s="2">
        <v>114.54</v>
      </c>
      <c r="C5005" s="2">
        <v>114.77</v>
      </c>
      <c r="D5005" s="2">
        <v>113.5</v>
      </c>
      <c r="E5005" s="2">
        <v>113.57</v>
      </c>
      <c r="F5005" s="2">
        <v>16171066</v>
      </c>
      <c r="G5005" s="2" t="s">
        <v>579</v>
      </c>
      <c r="H5005" s="2" t="s">
        <v>580</v>
      </c>
      <c r="I5005" s="2" t="s">
        <v>581</v>
      </c>
      <c r="J5005" s="4">
        <v>-1.054</v>
      </c>
      <c r="K5005" s="2" t="s">
        <v>537</v>
      </c>
      <c r="L5005" s="2">
        <v>2024</v>
      </c>
      <c r="M5005" s="2" t="s">
        <v>274</v>
      </c>
      <c r="N5005" s="2" t="s">
        <v>23</v>
      </c>
      <c r="O5005">
        <f t="shared" si="156"/>
        <v>1.269999999999996</v>
      </c>
      <c r="P5005">
        <f t="shared" si="157"/>
        <v>11.295000000000002</v>
      </c>
    </row>
    <row r="5006" spans="1:16" x14ac:dyDescent="0.35">
      <c r="A5006" s="9" t="s">
        <v>542</v>
      </c>
      <c r="B5006" s="2">
        <v>114.64</v>
      </c>
      <c r="C5006" s="2">
        <v>114.94</v>
      </c>
      <c r="D5006" s="2">
        <v>112.745</v>
      </c>
      <c r="E5006" s="2">
        <v>112.9</v>
      </c>
      <c r="F5006" s="2">
        <v>17412565</v>
      </c>
      <c r="G5006" s="2" t="s">
        <v>579</v>
      </c>
      <c r="H5006" s="2" t="s">
        <v>580</v>
      </c>
      <c r="I5006" s="2" t="s">
        <v>581</v>
      </c>
      <c r="J5006" s="4">
        <v>-0.59</v>
      </c>
      <c r="K5006" s="2" t="s">
        <v>537</v>
      </c>
      <c r="L5006" s="2">
        <v>2024</v>
      </c>
      <c r="M5006" s="2" t="s">
        <v>274</v>
      </c>
      <c r="N5006" s="2" t="s">
        <v>23</v>
      </c>
      <c r="O5006">
        <f t="shared" si="156"/>
        <v>2.1949999999999932</v>
      </c>
      <c r="P5006">
        <f t="shared" si="157"/>
        <v>10.705000000000002</v>
      </c>
    </row>
    <row r="5007" spans="1:16" x14ac:dyDescent="0.35">
      <c r="A5007" s="9" t="s">
        <v>543</v>
      </c>
      <c r="B5007" s="2">
        <v>113.58499999999999</v>
      </c>
      <c r="C5007" s="2">
        <v>113.88</v>
      </c>
      <c r="D5007" s="2">
        <v>111.75</v>
      </c>
      <c r="E5007" s="2">
        <v>112.67</v>
      </c>
      <c r="F5007" s="2">
        <v>20990943</v>
      </c>
      <c r="G5007" s="2" t="s">
        <v>579</v>
      </c>
      <c r="H5007" s="2" t="s">
        <v>580</v>
      </c>
      <c r="I5007" s="2" t="s">
        <v>581</v>
      </c>
      <c r="J5007" s="4">
        <v>-0.20399999999999999</v>
      </c>
      <c r="K5007" s="2" t="s">
        <v>537</v>
      </c>
      <c r="L5007" s="2">
        <v>2024</v>
      </c>
      <c r="M5007" s="2" t="s">
        <v>274</v>
      </c>
      <c r="N5007" s="2" t="s">
        <v>23</v>
      </c>
      <c r="O5007">
        <f t="shared" si="156"/>
        <v>2.1299999999999955</v>
      </c>
      <c r="P5007">
        <f t="shared" si="157"/>
        <v>10.501000000000001</v>
      </c>
    </row>
    <row r="5008" spans="1:16" x14ac:dyDescent="0.35">
      <c r="A5008" s="9" t="s">
        <v>544</v>
      </c>
      <c r="B5008" s="2">
        <v>112</v>
      </c>
      <c r="C5008" s="2">
        <v>112.39</v>
      </c>
      <c r="D5008" s="2">
        <v>111.11</v>
      </c>
      <c r="E5008" s="2">
        <v>111.92</v>
      </c>
      <c r="F5008" s="2">
        <v>32392238</v>
      </c>
      <c r="G5008" s="2" t="s">
        <v>579</v>
      </c>
      <c r="H5008" s="2" t="s">
        <v>580</v>
      </c>
      <c r="I5008" s="2" t="s">
        <v>581</v>
      </c>
      <c r="J5008" s="4">
        <v>-0.66600000000000004</v>
      </c>
      <c r="K5008" s="2" t="s">
        <v>537</v>
      </c>
      <c r="L5008" s="2">
        <v>2024</v>
      </c>
      <c r="M5008" s="2" t="s">
        <v>274</v>
      </c>
      <c r="N5008" s="2" t="s">
        <v>23</v>
      </c>
      <c r="O5008">
        <f t="shared" si="156"/>
        <v>1.2800000000000011</v>
      </c>
      <c r="P5008">
        <f t="shared" si="157"/>
        <v>9.8350000000000009</v>
      </c>
    </row>
    <row r="5009" spans="1:16" x14ac:dyDescent="0.35">
      <c r="A5009" s="9" t="s">
        <v>545</v>
      </c>
      <c r="B5009" s="2">
        <v>111.59</v>
      </c>
      <c r="C5009" s="2">
        <v>112.38</v>
      </c>
      <c r="D5009" s="2">
        <v>110.78</v>
      </c>
      <c r="E5009" s="2">
        <v>111.82</v>
      </c>
      <c r="F5009" s="2">
        <v>14543256</v>
      </c>
      <c r="G5009" s="2" t="s">
        <v>579</v>
      </c>
      <c r="H5009" s="2" t="s">
        <v>580</v>
      </c>
      <c r="I5009" s="2" t="s">
        <v>581</v>
      </c>
      <c r="J5009" s="4">
        <v>-8.8999999999999996E-2</v>
      </c>
      <c r="K5009" s="2" t="s">
        <v>537</v>
      </c>
      <c r="L5009" s="2">
        <v>2024</v>
      </c>
      <c r="M5009" s="2" t="s">
        <v>274</v>
      </c>
      <c r="N5009" s="2" t="s">
        <v>23</v>
      </c>
      <c r="O5009">
        <f t="shared" si="156"/>
        <v>1.5999999999999943</v>
      </c>
      <c r="P5009">
        <f t="shared" si="157"/>
        <v>9.7460000000000004</v>
      </c>
    </row>
    <row r="5010" spans="1:16" x14ac:dyDescent="0.35">
      <c r="A5010" s="9" t="s">
        <v>546</v>
      </c>
      <c r="B5010" s="2">
        <v>111.899</v>
      </c>
      <c r="C5010" s="2">
        <v>111.899</v>
      </c>
      <c r="D5010" s="2">
        <v>110.25</v>
      </c>
      <c r="E5010" s="2">
        <v>110.84</v>
      </c>
      <c r="F5010" s="2">
        <v>13106079</v>
      </c>
      <c r="G5010" s="2" t="s">
        <v>579</v>
      </c>
      <c r="H5010" s="2" t="s">
        <v>580</v>
      </c>
      <c r="I5010" s="2" t="s">
        <v>581</v>
      </c>
      <c r="J5010" s="4">
        <v>-0.876</v>
      </c>
      <c r="K5010" s="2" t="s">
        <v>537</v>
      </c>
      <c r="L5010" s="2">
        <v>2024</v>
      </c>
      <c r="M5010" s="2" t="s">
        <v>274</v>
      </c>
      <c r="N5010" s="2" t="s">
        <v>23</v>
      </c>
      <c r="O5010">
        <f t="shared" si="156"/>
        <v>1.6490000000000009</v>
      </c>
      <c r="P5010">
        <f t="shared" si="157"/>
        <v>8.870000000000001</v>
      </c>
    </row>
    <row r="5011" spans="1:16" x14ac:dyDescent="0.35">
      <c r="A5011" s="9" t="s">
        <v>547</v>
      </c>
      <c r="B5011" s="2">
        <v>110.2</v>
      </c>
      <c r="C5011" s="2">
        <v>110.4</v>
      </c>
      <c r="D5011" s="2">
        <v>108.16</v>
      </c>
      <c r="E5011" s="2">
        <v>108.47</v>
      </c>
      <c r="F5011" s="2">
        <v>20256088</v>
      </c>
      <c r="G5011" s="2" t="s">
        <v>579</v>
      </c>
      <c r="H5011" s="2" t="s">
        <v>580</v>
      </c>
      <c r="I5011" s="2" t="s">
        <v>581</v>
      </c>
      <c r="J5011" s="4">
        <v>-2.1379999999999999</v>
      </c>
      <c r="K5011" s="2" t="s">
        <v>537</v>
      </c>
      <c r="L5011" s="2">
        <v>2024</v>
      </c>
      <c r="M5011" s="2" t="s">
        <v>274</v>
      </c>
      <c r="N5011" s="2" t="s">
        <v>23</v>
      </c>
      <c r="O5011">
        <f t="shared" si="156"/>
        <v>2.2400000000000091</v>
      </c>
      <c r="P5011">
        <f t="shared" si="157"/>
        <v>6.7320000000000011</v>
      </c>
    </row>
    <row r="5012" spans="1:16" x14ac:dyDescent="0.35">
      <c r="A5012" s="9" t="s">
        <v>548</v>
      </c>
      <c r="B5012" s="2">
        <v>107.235</v>
      </c>
      <c r="C5012" s="2">
        <v>108.17</v>
      </c>
      <c r="D5012" s="2">
        <v>106.78700000000001</v>
      </c>
      <c r="E5012" s="2">
        <v>108.01</v>
      </c>
      <c r="F5012" s="2">
        <v>17553995</v>
      </c>
      <c r="G5012" s="2" t="s">
        <v>579</v>
      </c>
      <c r="H5012" s="2" t="s">
        <v>580</v>
      </c>
      <c r="I5012" s="2" t="s">
        <v>581</v>
      </c>
      <c r="J5012" s="4">
        <v>-0.42399999999999999</v>
      </c>
      <c r="K5012" s="2" t="s">
        <v>537</v>
      </c>
      <c r="L5012" s="2">
        <v>2024</v>
      </c>
      <c r="M5012" s="2" t="s">
        <v>274</v>
      </c>
      <c r="N5012" s="2" t="s">
        <v>23</v>
      </c>
      <c r="O5012">
        <f t="shared" si="156"/>
        <v>1.3829999999999956</v>
      </c>
      <c r="P5012">
        <f t="shared" si="157"/>
        <v>6.3080000000000007</v>
      </c>
    </row>
    <row r="5013" spans="1:16" x14ac:dyDescent="0.35">
      <c r="A5013" s="9" t="s">
        <v>549</v>
      </c>
      <c r="B5013" s="2">
        <v>107.57</v>
      </c>
      <c r="C5013" s="2">
        <v>108.83</v>
      </c>
      <c r="D5013" s="2">
        <v>106.31</v>
      </c>
      <c r="E5013" s="2">
        <v>106.42</v>
      </c>
      <c r="F5013" s="2">
        <v>17114542</v>
      </c>
      <c r="G5013" s="2" t="s">
        <v>579</v>
      </c>
      <c r="H5013" s="2" t="s">
        <v>580</v>
      </c>
      <c r="I5013" s="2" t="s">
        <v>581</v>
      </c>
      <c r="J5013" s="4">
        <v>-1.472</v>
      </c>
      <c r="K5013" s="2" t="s">
        <v>537</v>
      </c>
      <c r="L5013" s="2">
        <v>2024</v>
      </c>
      <c r="M5013" s="2" t="s">
        <v>274</v>
      </c>
      <c r="N5013" s="2" t="s">
        <v>23</v>
      </c>
      <c r="O5013">
        <f t="shared" si="156"/>
        <v>2.519999999999996</v>
      </c>
      <c r="P5013">
        <f t="shared" si="157"/>
        <v>4.8360000000000003</v>
      </c>
    </row>
    <row r="5014" spans="1:16" x14ac:dyDescent="0.35">
      <c r="A5014" s="9" t="s">
        <v>550</v>
      </c>
      <c r="B5014" s="2">
        <v>107.39</v>
      </c>
      <c r="C5014" s="2">
        <v>107.67</v>
      </c>
      <c r="D5014" s="2">
        <v>105.21</v>
      </c>
      <c r="E5014" s="2">
        <v>105.51</v>
      </c>
      <c r="F5014" s="2">
        <v>20565557</v>
      </c>
      <c r="G5014" s="2" t="s">
        <v>579</v>
      </c>
      <c r="H5014" s="2" t="s">
        <v>580</v>
      </c>
      <c r="I5014" s="2" t="s">
        <v>581</v>
      </c>
      <c r="J5014" s="4">
        <v>-0.85499999999999998</v>
      </c>
      <c r="K5014" s="2" t="s">
        <v>537</v>
      </c>
      <c r="L5014" s="2">
        <v>2024</v>
      </c>
      <c r="M5014" s="2" t="s">
        <v>274</v>
      </c>
      <c r="N5014" s="2" t="s">
        <v>23</v>
      </c>
      <c r="O5014">
        <f t="shared" si="156"/>
        <v>2.460000000000008</v>
      </c>
      <c r="P5014">
        <f t="shared" si="157"/>
        <v>3.9810000000000003</v>
      </c>
    </row>
    <row r="5015" spans="1:16" x14ac:dyDescent="0.35">
      <c r="A5015" s="9" t="s">
        <v>551</v>
      </c>
      <c r="B5015" s="2">
        <v>105.45</v>
      </c>
      <c r="C5015" s="2">
        <v>106.13500000000001</v>
      </c>
      <c r="D5015" s="2">
        <v>104.84</v>
      </c>
      <c r="E5015" s="2">
        <v>105.87</v>
      </c>
      <c r="F5015" s="2">
        <v>40141153</v>
      </c>
      <c r="G5015" s="2" t="s">
        <v>579</v>
      </c>
      <c r="H5015" s="2" t="s">
        <v>580</v>
      </c>
      <c r="I5015" s="2" t="s">
        <v>581</v>
      </c>
      <c r="J5015" s="3">
        <v>0.34100000000000003</v>
      </c>
      <c r="K5015" s="2" t="s">
        <v>537</v>
      </c>
      <c r="L5015" s="2">
        <v>2024</v>
      </c>
      <c r="M5015" s="2" t="s">
        <v>274</v>
      </c>
      <c r="N5015" s="2" t="s">
        <v>21</v>
      </c>
      <c r="O5015">
        <f t="shared" si="156"/>
        <v>1.2950000000000017</v>
      </c>
      <c r="P5015">
        <f t="shared" si="157"/>
        <v>4.3220000000000001</v>
      </c>
    </row>
    <row r="5016" spans="1:16" x14ac:dyDescent="0.35">
      <c r="A5016" s="9" t="s">
        <v>552</v>
      </c>
      <c r="B5016" s="2">
        <v>105.31</v>
      </c>
      <c r="C5016" s="2">
        <v>106.6</v>
      </c>
      <c r="D5016" s="2">
        <v>104.92</v>
      </c>
      <c r="E5016" s="2">
        <v>106.3</v>
      </c>
      <c r="F5016" s="2">
        <v>12285078</v>
      </c>
      <c r="G5016" s="2" t="s">
        <v>579</v>
      </c>
      <c r="H5016" s="2" t="s">
        <v>580</v>
      </c>
      <c r="I5016" s="2" t="s">
        <v>581</v>
      </c>
      <c r="J5016" s="3">
        <v>0.40600000000000003</v>
      </c>
      <c r="K5016" s="2" t="s">
        <v>537</v>
      </c>
      <c r="L5016" s="2">
        <v>2024</v>
      </c>
      <c r="M5016" s="2" t="s">
        <v>274</v>
      </c>
      <c r="N5016" s="2" t="s">
        <v>21</v>
      </c>
      <c r="O5016">
        <f t="shared" si="156"/>
        <v>1.6799999999999926</v>
      </c>
      <c r="P5016">
        <f t="shared" si="157"/>
        <v>4.7279999999999998</v>
      </c>
    </row>
    <row r="5017" spans="1:16" x14ac:dyDescent="0.35">
      <c r="A5017" s="9" t="s">
        <v>553</v>
      </c>
      <c r="B5017" s="2">
        <v>106.52</v>
      </c>
      <c r="C5017" s="2">
        <v>107.19</v>
      </c>
      <c r="D5017" s="2">
        <v>105.7</v>
      </c>
      <c r="E5017" s="2">
        <v>106.4</v>
      </c>
      <c r="F5017" s="2">
        <v>7806997</v>
      </c>
      <c r="G5017" s="2" t="s">
        <v>579</v>
      </c>
      <c r="H5017" s="2" t="s">
        <v>580</v>
      </c>
      <c r="I5017" s="2" t="s">
        <v>581</v>
      </c>
      <c r="J5017" s="3">
        <v>9.4E-2</v>
      </c>
      <c r="K5017" s="2" t="s">
        <v>537</v>
      </c>
      <c r="L5017" s="2">
        <v>2024</v>
      </c>
      <c r="M5017" s="2" t="s">
        <v>274</v>
      </c>
      <c r="N5017" s="2" t="s">
        <v>21</v>
      </c>
      <c r="O5017">
        <f t="shared" si="156"/>
        <v>1.4899999999999949</v>
      </c>
      <c r="P5017">
        <f t="shared" si="157"/>
        <v>4.8220000000000001</v>
      </c>
    </row>
    <row r="5018" spans="1:16" x14ac:dyDescent="0.35">
      <c r="A5018" s="9" t="s">
        <v>554</v>
      </c>
      <c r="B5018" s="2">
        <v>106.52</v>
      </c>
      <c r="C5018" s="2">
        <v>107.03</v>
      </c>
      <c r="D5018" s="2">
        <v>105.94</v>
      </c>
      <c r="E5018" s="2">
        <v>106.49</v>
      </c>
      <c r="F5018" s="2">
        <v>9653408</v>
      </c>
      <c r="G5018" s="2" t="s">
        <v>579</v>
      </c>
      <c r="H5018" s="2" t="s">
        <v>580</v>
      </c>
      <c r="I5018" s="2" t="s">
        <v>581</v>
      </c>
      <c r="J5018" s="3">
        <v>8.5000000000000006E-2</v>
      </c>
      <c r="K5018" s="2" t="s">
        <v>537</v>
      </c>
      <c r="L5018" s="2">
        <v>2024</v>
      </c>
      <c r="M5018" s="2" t="s">
        <v>274</v>
      </c>
      <c r="N5018" s="2" t="s">
        <v>21</v>
      </c>
      <c r="O5018">
        <f t="shared" si="156"/>
        <v>1.0900000000000034</v>
      </c>
      <c r="P5018">
        <f t="shared" si="157"/>
        <v>4.907</v>
      </c>
    </row>
    <row r="5019" spans="1:16" x14ac:dyDescent="0.35">
      <c r="A5019" s="9" t="s">
        <v>555</v>
      </c>
      <c r="B5019" s="2">
        <v>106.3</v>
      </c>
      <c r="C5019" s="2">
        <v>107.99</v>
      </c>
      <c r="D5019" s="2">
        <v>105.77</v>
      </c>
      <c r="E5019" s="2">
        <v>106.48</v>
      </c>
      <c r="F5019" s="2">
        <v>11943906</v>
      </c>
      <c r="G5019" s="2" t="s">
        <v>579</v>
      </c>
      <c r="H5019" s="2" t="s">
        <v>580</v>
      </c>
      <c r="I5019" s="2" t="s">
        <v>581</v>
      </c>
      <c r="J5019" s="4">
        <v>-8.9999999999999993E-3</v>
      </c>
      <c r="K5019" s="2" t="s">
        <v>537</v>
      </c>
      <c r="L5019" s="2">
        <v>2024</v>
      </c>
      <c r="M5019" s="2" t="s">
        <v>274</v>
      </c>
      <c r="N5019" s="2" t="s">
        <v>23</v>
      </c>
      <c r="O5019">
        <f t="shared" si="156"/>
        <v>2.2199999999999989</v>
      </c>
      <c r="P5019">
        <f t="shared" si="157"/>
        <v>4.8979999999999997</v>
      </c>
    </row>
    <row r="5020" spans="1:16" x14ac:dyDescent="0.35">
      <c r="A5020" s="9" t="s">
        <v>556</v>
      </c>
      <c r="B5020" s="2">
        <v>106.3</v>
      </c>
      <c r="C5020" s="2">
        <v>106.56</v>
      </c>
      <c r="D5020" s="2">
        <v>105.51</v>
      </c>
      <c r="E5020" s="2">
        <v>105.76</v>
      </c>
      <c r="F5020" s="2">
        <v>11080770</v>
      </c>
      <c r="G5020" s="2" t="s">
        <v>579</v>
      </c>
      <c r="H5020" s="2" t="s">
        <v>580</v>
      </c>
      <c r="I5020" s="2" t="s">
        <v>581</v>
      </c>
      <c r="J5020" s="4">
        <v>-0.67600000000000005</v>
      </c>
      <c r="K5020" s="2" t="s">
        <v>537</v>
      </c>
      <c r="L5020" s="2">
        <v>2024</v>
      </c>
      <c r="M5020" s="2" t="s">
        <v>274</v>
      </c>
      <c r="N5020" s="2" t="s">
        <v>23</v>
      </c>
      <c r="O5020">
        <f t="shared" si="156"/>
        <v>1.0499999999999972</v>
      </c>
      <c r="P5020">
        <f t="shared" si="157"/>
        <v>4.2219999999999995</v>
      </c>
    </row>
    <row r="5021" spans="1:16" x14ac:dyDescent="0.35">
      <c r="A5021" s="9" t="s">
        <v>557</v>
      </c>
      <c r="B5021" s="2">
        <v>106.17</v>
      </c>
      <c r="C5021" s="2">
        <v>107.9</v>
      </c>
      <c r="D5021" s="2">
        <v>105.78</v>
      </c>
      <c r="E5021" s="2">
        <v>107.57</v>
      </c>
      <c r="F5021" s="2">
        <v>12387756</v>
      </c>
      <c r="G5021" s="2" t="s">
        <v>579</v>
      </c>
      <c r="H5021" s="2" t="s">
        <v>580</v>
      </c>
      <c r="I5021" s="2" t="s">
        <v>581</v>
      </c>
      <c r="J5021" s="3">
        <v>1.7110000000000001</v>
      </c>
      <c r="K5021" s="2" t="s">
        <v>537</v>
      </c>
      <c r="L5021" s="2">
        <v>2024</v>
      </c>
      <c r="M5021" s="2" t="s">
        <v>274</v>
      </c>
      <c r="N5021" s="2" t="s">
        <v>21</v>
      </c>
      <c r="O5021">
        <f t="shared" si="156"/>
        <v>2.1200000000000045</v>
      </c>
      <c r="P5021">
        <f t="shared" si="157"/>
        <v>5.9329999999999998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pane ySplit="1" topLeftCell="A5" activePane="bottomLeft" state="frozen"/>
      <selection pane="bottomLeft" activeCell="E1" activeCellId="1" sqref="D1 E1"/>
    </sheetView>
  </sheetViews>
  <sheetFormatPr defaultRowHeight="14.5" x14ac:dyDescent="0.35"/>
  <cols>
    <col min="1" max="3" width="18" customWidth="1"/>
    <col min="4" max="4" width="19.453125" customWidth="1"/>
    <col min="5" max="10" width="18" customWidth="1"/>
  </cols>
  <sheetData>
    <row r="1" spans="1:10" x14ac:dyDescent="0.35">
      <c r="A1" s="15" t="s">
        <v>6</v>
      </c>
      <c r="B1" s="16" t="s">
        <v>7</v>
      </c>
      <c r="C1" s="16" t="s">
        <v>8</v>
      </c>
      <c r="D1" s="16" t="s">
        <v>582</v>
      </c>
      <c r="E1" s="16" t="s">
        <v>583</v>
      </c>
      <c r="F1" s="16" t="s">
        <v>584</v>
      </c>
      <c r="G1" s="16" t="s">
        <v>585</v>
      </c>
      <c r="H1" s="16" t="s">
        <v>586</v>
      </c>
      <c r="I1" s="16" t="s">
        <v>587</v>
      </c>
      <c r="J1" s="17" t="s">
        <v>588</v>
      </c>
    </row>
    <row r="2" spans="1:10" x14ac:dyDescent="0.35">
      <c r="A2" s="13" t="s">
        <v>15</v>
      </c>
      <c r="B2" s="5" t="s">
        <v>16</v>
      </c>
      <c r="C2" s="5" t="s">
        <v>17</v>
      </c>
      <c r="D2" s="5">
        <v>0.15</v>
      </c>
      <c r="E2" s="5">
        <v>1.345</v>
      </c>
      <c r="F2" s="5">
        <v>7.266</v>
      </c>
      <c r="G2" s="5">
        <v>-4.8159999999999998</v>
      </c>
      <c r="H2" s="5">
        <v>58794510</v>
      </c>
      <c r="I2" s="5">
        <v>188.07</v>
      </c>
      <c r="J2" s="14">
        <v>502</v>
      </c>
    </row>
    <row r="3" spans="1:10" x14ac:dyDescent="0.35">
      <c r="A3" s="13" t="s">
        <v>558</v>
      </c>
      <c r="B3" s="5" t="s">
        <v>559</v>
      </c>
      <c r="C3" s="5" t="s">
        <v>560</v>
      </c>
      <c r="D3" s="5">
        <v>0.20599999999999999</v>
      </c>
      <c r="E3" s="5">
        <v>1.929</v>
      </c>
      <c r="F3" s="5">
        <v>8.2690000000000001</v>
      </c>
      <c r="G3" s="5">
        <v>-8.7850000000000001</v>
      </c>
      <c r="H3" s="5">
        <v>49884932</v>
      </c>
      <c r="I3" s="5">
        <v>153.13</v>
      </c>
      <c r="J3" s="14">
        <v>502</v>
      </c>
    </row>
    <row r="4" spans="1:10" x14ac:dyDescent="0.35">
      <c r="A4" s="13" t="s">
        <v>561</v>
      </c>
      <c r="B4" s="5" t="s">
        <v>562</v>
      </c>
      <c r="C4" s="5" t="s">
        <v>17</v>
      </c>
      <c r="D4" s="5">
        <v>0.16800000000000001</v>
      </c>
      <c r="E4" s="5">
        <v>1.84</v>
      </c>
      <c r="F4" s="5">
        <v>10.224</v>
      </c>
      <c r="G4" s="5">
        <v>-9.5079999999999991</v>
      </c>
      <c r="H4" s="5">
        <v>30176535</v>
      </c>
      <c r="I4" s="5">
        <v>140.97999999999999</v>
      </c>
      <c r="J4" s="14">
        <v>502</v>
      </c>
    </row>
    <row r="5" spans="1:10" x14ac:dyDescent="0.35">
      <c r="A5" s="13" t="s">
        <v>563</v>
      </c>
      <c r="B5" s="5" t="s">
        <v>564</v>
      </c>
      <c r="C5" s="5" t="s">
        <v>565</v>
      </c>
      <c r="D5" s="5">
        <v>-3.6999999999999998E-2</v>
      </c>
      <c r="E5" s="5">
        <v>0.999</v>
      </c>
      <c r="F5" s="5">
        <v>6.0730000000000004</v>
      </c>
      <c r="G5" s="5">
        <v>-3.9830000000000001</v>
      </c>
      <c r="H5" s="5">
        <v>9175539</v>
      </c>
      <c r="I5" s="5">
        <v>157.9</v>
      </c>
      <c r="J5" s="14">
        <v>502</v>
      </c>
    </row>
    <row r="6" spans="1:10" x14ac:dyDescent="0.35">
      <c r="A6" s="13" t="s">
        <v>566</v>
      </c>
      <c r="B6" s="5" t="s">
        <v>567</v>
      </c>
      <c r="C6" s="5" t="s">
        <v>568</v>
      </c>
      <c r="D6" s="5">
        <v>0.124</v>
      </c>
      <c r="E6" s="5">
        <v>1.3979999999999999</v>
      </c>
      <c r="F6" s="5">
        <v>11.545</v>
      </c>
      <c r="G6" s="5">
        <v>-6.468</v>
      </c>
      <c r="H6" s="5">
        <v>9879926</v>
      </c>
      <c r="I6" s="5">
        <v>174.75</v>
      </c>
      <c r="J6" s="14">
        <v>502</v>
      </c>
    </row>
    <row r="7" spans="1:10" x14ac:dyDescent="0.35">
      <c r="A7" s="13" t="s">
        <v>569</v>
      </c>
      <c r="B7" s="5" t="s">
        <v>570</v>
      </c>
      <c r="C7" s="5" t="s">
        <v>17</v>
      </c>
      <c r="D7" s="5">
        <v>0.126</v>
      </c>
      <c r="E7" s="5">
        <v>1.429</v>
      </c>
      <c r="F7" s="5">
        <v>7.2439999999999998</v>
      </c>
      <c r="G7" s="5">
        <v>-6.0529999999999999</v>
      </c>
      <c r="H7" s="5">
        <v>24325943</v>
      </c>
      <c r="I7" s="5">
        <v>364.8</v>
      </c>
      <c r="J7" s="14">
        <v>502</v>
      </c>
    </row>
    <row r="8" spans="1:10" x14ac:dyDescent="0.35">
      <c r="A8" s="13" t="s">
        <v>571</v>
      </c>
      <c r="B8" s="5" t="s">
        <v>572</v>
      </c>
      <c r="C8" s="5" t="s">
        <v>17</v>
      </c>
      <c r="D8" s="5">
        <v>0.497</v>
      </c>
      <c r="E8" s="5">
        <v>3.18</v>
      </c>
      <c r="F8" s="5">
        <v>24.37</v>
      </c>
      <c r="G8" s="5">
        <v>-10.005000000000001</v>
      </c>
      <c r="H8" s="5">
        <v>425453760</v>
      </c>
      <c r="I8" s="5">
        <v>72.319999999999993</v>
      </c>
      <c r="J8" s="14">
        <v>502</v>
      </c>
    </row>
    <row r="9" spans="1:10" x14ac:dyDescent="0.35">
      <c r="A9" s="13" t="s">
        <v>573</v>
      </c>
      <c r="B9" s="5" t="s">
        <v>574</v>
      </c>
      <c r="C9" s="5" t="s">
        <v>575</v>
      </c>
      <c r="D9" s="5">
        <v>0.33</v>
      </c>
      <c r="E9" s="5">
        <v>3.673</v>
      </c>
      <c r="F9" s="5">
        <v>21.919</v>
      </c>
      <c r="G9" s="5">
        <v>-12.335000000000001</v>
      </c>
      <c r="H9" s="5">
        <v>116031117</v>
      </c>
      <c r="I9" s="5">
        <v>224.07</v>
      </c>
      <c r="J9" s="14">
        <v>502</v>
      </c>
    </row>
    <row r="10" spans="1:10" x14ac:dyDescent="0.35">
      <c r="A10" s="13" t="s">
        <v>576</v>
      </c>
      <c r="B10" s="5" t="s">
        <v>577</v>
      </c>
      <c r="C10" s="5" t="s">
        <v>578</v>
      </c>
      <c r="D10" s="5">
        <v>0.13500000000000001</v>
      </c>
      <c r="E10" s="5">
        <v>1.054</v>
      </c>
      <c r="F10" s="5">
        <v>6.9859999999999998</v>
      </c>
      <c r="G10" s="5">
        <v>-8.093</v>
      </c>
      <c r="H10" s="5">
        <v>18033300</v>
      </c>
      <c r="I10" s="5">
        <v>60.5</v>
      </c>
      <c r="J10" s="14">
        <v>502</v>
      </c>
    </row>
    <row r="11" spans="1:10" x14ac:dyDescent="0.35">
      <c r="A11" s="18" t="s">
        <v>579</v>
      </c>
      <c r="B11" s="19" t="s">
        <v>580</v>
      </c>
      <c r="C11" s="19" t="s">
        <v>581</v>
      </c>
      <c r="D11" s="19">
        <v>1.2E-2</v>
      </c>
      <c r="E11" s="19">
        <v>1.405</v>
      </c>
      <c r="F11" s="19">
        <v>5.9</v>
      </c>
      <c r="G11" s="19">
        <v>-4.9749999999999996</v>
      </c>
      <c r="H11" s="19">
        <v>16890276</v>
      </c>
      <c r="I11" s="19">
        <v>111.06</v>
      </c>
      <c r="J11" s="20">
        <v>502</v>
      </c>
    </row>
  </sheetData>
  <pageMargins left="0.75" right="0.75" top="1" bottom="1" header="0.5" footer="0.5"/>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5" x14ac:dyDescent="0.35"/>
  <cols>
    <col min="1" max="5" width="18" customWidth="1"/>
  </cols>
  <sheetData>
    <row r="1" spans="1:5" x14ac:dyDescent="0.35">
      <c r="A1" s="6" t="s">
        <v>8</v>
      </c>
      <c r="B1" s="6" t="s">
        <v>589</v>
      </c>
      <c r="C1" s="6" t="s">
        <v>590</v>
      </c>
      <c r="D1" s="6" t="s">
        <v>586</v>
      </c>
      <c r="E1" s="6" t="s">
        <v>591</v>
      </c>
    </row>
    <row r="2" spans="1:5" x14ac:dyDescent="0.35">
      <c r="A2" s="5" t="s">
        <v>575</v>
      </c>
      <c r="B2" s="5">
        <v>0.33</v>
      </c>
      <c r="C2" s="5">
        <v>3.673</v>
      </c>
      <c r="D2" s="5">
        <v>116031117</v>
      </c>
      <c r="E2" s="5">
        <v>1</v>
      </c>
    </row>
    <row r="3" spans="1:5" x14ac:dyDescent="0.35">
      <c r="A3" s="5" t="s">
        <v>568</v>
      </c>
      <c r="B3" s="5">
        <v>0.124</v>
      </c>
      <c r="C3" s="5">
        <v>1.3979999999999999</v>
      </c>
      <c r="D3" s="5">
        <v>9879926</v>
      </c>
      <c r="E3" s="5">
        <v>1</v>
      </c>
    </row>
    <row r="4" spans="1:5" x14ac:dyDescent="0.35">
      <c r="A4" s="5" t="s">
        <v>560</v>
      </c>
      <c r="B4" s="5">
        <v>0.20599999999999999</v>
      </c>
      <c r="C4" s="5">
        <v>1.929</v>
      </c>
      <c r="D4" s="5">
        <v>49884932</v>
      </c>
      <c r="E4" s="5">
        <v>1</v>
      </c>
    </row>
    <row r="5" spans="1:5" x14ac:dyDescent="0.35">
      <c r="A5" s="5" t="s">
        <v>581</v>
      </c>
      <c r="B5" s="5">
        <v>1.2E-2</v>
      </c>
      <c r="C5" s="5">
        <v>1.405</v>
      </c>
      <c r="D5" s="5">
        <v>16890276</v>
      </c>
      <c r="E5" s="5">
        <v>1</v>
      </c>
    </row>
    <row r="6" spans="1:5" x14ac:dyDescent="0.35">
      <c r="A6" s="5" t="s">
        <v>565</v>
      </c>
      <c r="B6" s="5">
        <v>-3.6999999999999998E-2</v>
      </c>
      <c r="C6" s="5">
        <v>0.999</v>
      </c>
      <c r="D6" s="5">
        <v>9175539</v>
      </c>
      <c r="E6" s="5">
        <v>1</v>
      </c>
    </row>
    <row r="7" spans="1:5" x14ac:dyDescent="0.35">
      <c r="A7" s="5" t="s">
        <v>578</v>
      </c>
      <c r="B7" s="5">
        <v>0.13500000000000001</v>
      </c>
      <c r="C7" s="5">
        <v>1.054</v>
      </c>
      <c r="D7" s="5">
        <v>18033300</v>
      </c>
      <c r="E7" s="5">
        <v>1</v>
      </c>
    </row>
    <row r="8" spans="1:5" x14ac:dyDescent="0.35">
      <c r="A8" s="5" t="s">
        <v>17</v>
      </c>
      <c r="B8" s="5">
        <v>0.23499999999999999</v>
      </c>
      <c r="C8" s="5">
        <v>2.0870000000000002</v>
      </c>
      <c r="D8" s="5">
        <v>134687687</v>
      </c>
      <c r="E8" s="5">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Stock_Data</vt:lpstr>
      <vt:lpstr>Summary_Stats</vt:lpstr>
      <vt:lpstr>Sector_Analysis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Goud</cp:lastModifiedBy>
  <dcterms:created xsi:type="dcterms:W3CDTF">2026-05-06T10:50:48Z</dcterms:created>
  <dcterms:modified xsi:type="dcterms:W3CDTF">2026-05-06T19:15:43Z</dcterms:modified>
</cp:coreProperties>
</file>